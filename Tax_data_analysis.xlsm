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aksha\Documents\GitHub\Tax_Revenue_ExcelBI\"/>
    </mc:Choice>
  </mc:AlternateContent>
  <xr:revisionPtr revIDLastSave="0" documentId="13_ncr:1_{1611D5B9-A80C-4751-95ED-D387DD17B0EE}" xr6:coauthVersionLast="47" xr6:coauthVersionMax="47" xr10:uidLastSave="{00000000-0000-0000-0000-000000000000}"/>
  <bookViews>
    <workbookView xWindow="-108" yWindow="-108" windowWidth="23256" windowHeight="12456" activeTab="1" xr2:uid="{00000000-000D-0000-FFFF-FFFF00000000}"/>
  </bookViews>
  <sheets>
    <sheet name="Calculations" sheetId="4" r:id="rId1"/>
    <sheet name="Dashboard" sheetId="9" r:id="rId2"/>
  </sheets>
  <definedNames>
    <definedName name="_xlnm._FilterDatabase" localSheetId="0" hidden="1">Calculations!$C$67:$D$71</definedName>
    <definedName name="_xlnm.Print_Area" localSheetId="1">Dashboard!$A$1:$T$45</definedName>
    <definedName name="Slicer_Fiscal_Year">#N/A</definedName>
  </definedNames>
  <calcPr calcId="191029"/>
  <pivotCaches>
    <pivotCache cacheId="18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1" i="4" l="1"/>
  <c r="G91" i="4"/>
  <c r="H91" i="4"/>
  <c r="G92" i="4"/>
  <c r="H92" i="4"/>
  <c r="G93" i="4"/>
  <c r="H93" i="4"/>
  <c r="G94" i="4"/>
  <c r="H94" i="4"/>
  <c r="G95" i="4"/>
  <c r="H95" i="4"/>
  <c r="G96" i="4"/>
  <c r="H96" i="4"/>
  <c r="G97" i="4"/>
  <c r="H97" i="4"/>
  <c r="G98" i="4"/>
  <c r="H98" i="4"/>
  <c r="G99" i="4"/>
  <c r="H99" i="4"/>
  <c r="G100" i="4"/>
  <c r="H100" i="4"/>
  <c r="G101" i="4"/>
  <c r="H101" i="4"/>
  <c r="G102" i="4"/>
  <c r="H102" i="4"/>
  <c r="G103" i="4"/>
  <c r="H103" i="4"/>
  <c r="F104" i="4"/>
  <c r="G104" i="4"/>
  <c r="H104" i="4"/>
  <c r="G109" i="4"/>
  <c r="G110" i="4"/>
  <c r="G111" i="4"/>
  <c r="G112" i="4"/>
  <c r="G113" i="4"/>
  <c r="G114" i="4"/>
  <c r="E108" i="4"/>
  <c r="E109" i="4"/>
  <c r="F109" i="4"/>
  <c r="E110" i="4"/>
  <c r="F110" i="4"/>
  <c r="E111" i="4"/>
  <c r="F111" i="4"/>
  <c r="E112" i="4"/>
  <c r="F112" i="4"/>
  <c r="E113" i="4"/>
  <c r="F113" i="4"/>
  <c r="E114" i="4"/>
  <c r="F114" i="4"/>
  <c r="E75" i="4"/>
  <c r="F75" i="4"/>
  <c r="F76" i="4"/>
  <c r="E77" i="4"/>
  <c r="F77" i="4"/>
  <c r="E78" i="4"/>
  <c r="F78" i="4"/>
  <c r="E79" i="4"/>
  <c r="F79" i="4"/>
  <c r="H16" i="4"/>
  <c r="H17" i="4"/>
  <c r="H18" i="4"/>
  <c r="H19" i="4"/>
  <c r="H20" i="4"/>
  <c r="H21" i="4"/>
  <c r="H15" i="4"/>
  <c r="M32" i="4"/>
  <c r="I26" i="4"/>
  <c r="I25" i="4"/>
  <c r="I36" i="4"/>
  <c r="M31" i="4"/>
  <c r="M26" i="4"/>
  <c r="M27" i="4"/>
  <c r="M29" i="4"/>
  <c r="I32" i="4"/>
  <c r="M25" i="4"/>
  <c r="I28" i="4"/>
  <c r="M33" i="4"/>
  <c r="M30" i="4"/>
  <c r="M34" i="4"/>
  <c r="M36" i="4"/>
  <c r="I34" i="4"/>
  <c r="F11" i="4"/>
  <c r="I27" i="4"/>
  <c r="I29" i="4"/>
  <c r="I35" i="4"/>
  <c r="I31" i="4"/>
  <c r="M35" i="4"/>
  <c r="I33" i="4"/>
  <c r="D105" i="4"/>
  <c r="M28" i="4"/>
  <c r="I30" i="4"/>
  <c r="C11" i="4"/>
  <c r="I14" i="4" l="1"/>
  <c r="J26" i="4"/>
  <c r="K26" i="4" s="1"/>
  <c r="J25" i="4"/>
  <c r="K25" i="4" s="1"/>
  <c r="J31" i="4"/>
  <c r="J27" i="4"/>
  <c r="K27" i="4" s="1"/>
  <c r="J30" i="4"/>
  <c r="K30" i="4" s="1"/>
  <c r="J29" i="4"/>
  <c r="K29" i="4" s="1"/>
  <c r="J28" i="4"/>
  <c r="K28" i="4" s="1"/>
  <c r="K31" i="4"/>
  <c r="J36" i="4"/>
  <c r="J33" i="4"/>
  <c r="J35" i="4"/>
  <c r="J34" i="4"/>
  <c r="J32" i="4"/>
  <c r="K36" i="4" l="1"/>
  <c r="N25" i="4"/>
  <c r="K35" i="4"/>
  <c r="K33" i="4"/>
  <c r="K34" i="4"/>
  <c r="K32" i="4"/>
  <c r="N26" i="4"/>
  <c r="N27" i="4"/>
  <c r="N28" i="4"/>
  <c r="N29" i="4"/>
  <c r="N30" i="4"/>
  <c r="N34" i="4" l="1"/>
  <c r="N33" i="4"/>
  <c r="N31" i="4"/>
  <c r="N35" i="4"/>
  <c r="N36" i="4"/>
  <c r="N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5DFF8E-5AE0-4EFB-A62F-264E067F5AE2}" keepAlive="1" name="Query - USGovtRevCollect_20200418_20250417 (2)" description="Connection to the 'USGovtRevCollect_20200418_20250417 (2)' query in the workbook." type="5" refreshedVersion="8" background="1">
    <dbPr connection="Provider=Microsoft.Mashup.OleDb.1;Data Source=$Workbook$;Location=&quot;USGovtRevCollect_20200418_20250417 (2)&quot;;Extended Properties=&quot;&quot;" command="SELECT * FROM [USGovtRevCollect_20200418_20250417 (2)]"/>
  </connection>
</connections>
</file>

<file path=xl/sharedStrings.xml><?xml version="1.0" encoding="utf-8"?>
<sst xmlns="http://schemas.openxmlformats.org/spreadsheetml/2006/main" count="103" uniqueCount="52">
  <si>
    <t>Sum of Net Collections Amount</t>
  </si>
  <si>
    <t>Grand Total</t>
  </si>
  <si>
    <t>Row Labels</t>
  </si>
  <si>
    <t>Fully Electronic - FS</t>
  </si>
  <si>
    <t>Over-the-Counter (OTC)</t>
  </si>
  <si>
    <t>IRS Non-Tax</t>
  </si>
  <si>
    <t>Non-Electronic</t>
  </si>
  <si>
    <t>Mail</t>
  </si>
  <si>
    <t>Non-Tax</t>
  </si>
  <si>
    <t>Electronic Settlement</t>
  </si>
  <si>
    <t>IRS Tax</t>
  </si>
  <si>
    <t>Fully Electronic - All</t>
  </si>
  <si>
    <t>Internet</t>
  </si>
  <si>
    <t>Bank</t>
  </si>
  <si>
    <t>Total Revenue</t>
  </si>
  <si>
    <t>Refund Flag</t>
  </si>
  <si>
    <t>Refund</t>
  </si>
  <si>
    <t>Count of Record Date</t>
  </si>
  <si>
    <t>Monthly sum</t>
  </si>
  <si>
    <t>Jan</t>
  </si>
  <si>
    <t>Feb</t>
  </si>
  <si>
    <t>Mar</t>
  </si>
  <si>
    <t>Apr</t>
  </si>
  <si>
    <t>May</t>
  </si>
  <si>
    <t>Jun</t>
  </si>
  <si>
    <t>Jul</t>
  </si>
  <si>
    <t>Aug</t>
  </si>
  <si>
    <t>Sep</t>
  </si>
  <si>
    <t>Oct</t>
  </si>
  <si>
    <t>Nov</t>
  </si>
  <si>
    <t>Dec</t>
  </si>
  <si>
    <t>Q1</t>
  </si>
  <si>
    <t>Q2</t>
  </si>
  <si>
    <t>Q3</t>
  </si>
  <si>
    <t>Q4</t>
  </si>
  <si>
    <t>Fiscal Quarter</t>
  </si>
  <si>
    <t>Quarterly sum</t>
  </si>
  <si>
    <t>Calendar YOY</t>
  </si>
  <si>
    <t>Fiscal YOY</t>
  </si>
  <si>
    <t>Total Refund</t>
  </si>
  <si>
    <t>Top Tax Category</t>
  </si>
  <si>
    <t>Avg amount per trans</t>
  </si>
  <si>
    <t xml:space="preserve">Avg </t>
  </si>
  <si>
    <t>Monthly networth</t>
  </si>
  <si>
    <t xml:space="preserve">Fiscal Quaterly </t>
  </si>
  <si>
    <t>OTC</t>
  </si>
  <si>
    <t>Quarterly Final</t>
  </si>
  <si>
    <t>Final monthly</t>
  </si>
  <si>
    <t>Fiscal Month</t>
  </si>
  <si>
    <t>Cal Month</t>
  </si>
  <si>
    <t>Forecasted monthly Sum</t>
  </si>
  <si>
    <t>Fiscal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</si>
</sst>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quot; B&quot;"/>
    <numFmt numFmtId="165" formatCode="&quot;$&quot;#,##0,,&quot; M&quot;;\-&quot;$&quot;#,##0,,&quot; M&quot;"/>
    <numFmt numFmtId="166" formatCode="&quot;$&quot;#,##0.0,,,&quot; B&quot;"/>
    <numFmt numFmtId="167" formatCode="&quot;$&quot;#,##0.00,,,&quot; B&quot;"/>
    <numFmt numFmtId="168" formatCode="&quot;$&quot;#,##0,,&quot; M&quot;"/>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0" fontId="0" fillId="0" borderId="0" xfId="0" applyNumberFormat="1"/>
    <xf numFmtId="9" fontId="0" fillId="0" borderId="0" xfId="1" applyFont="1"/>
    <xf numFmtId="168" fontId="0" fillId="0" borderId="0" xfId="0" applyNumberFormat="1"/>
    <xf numFmtId="0" fontId="0" fillId="0" borderId="0" xfId="0" pivotButton="1" applyAlignment="1">
      <alignment wrapText="1"/>
    </xf>
    <xf numFmtId="0" fontId="0" fillId="0" borderId="0" xfId="0" applyAlignment="1">
      <alignment wrapText="1"/>
    </xf>
    <xf numFmtId="0" fontId="0" fillId="0" borderId="2" xfId="0" applyBorder="1" applyAlignment="1">
      <alignment wrapText="1"/>
    </xf>
    <xf numFmtId="0" fontId="0" fillId="0" borderId="2" xfId="0" applyBorder="1"/>
    <xf numFmtId="164" fontId="0" fillId="0" borderId="2" xfId="0" applyNumberFormat="1" applyBorder="1"/>
    <xf numFmtId="2" fontId="0" fillId="0" borderId="2" xfId="0" applyNumberFormat="1" applyBorder="1"/>
    <xf numFmtId="0" fontId="2" fillId="0" borderId="0" xfId="0" applyFont="1"/>
    <xf numFmtId="0" fontId="0" fillId="0" borderId="0" xfId="0" applyNumberFormat="1"/>
  </cellXfs>
  <cellStyles count="2">
    <cellStyle name="Normal" xfId="0" builtinId="0"/>
    <cellStyle name="Percent" xfId="1" builtinId="5"/>
  </cellStyles>
  <dxfs count="34">
    <dxf>
      <numFmt numFmtId="164" formatCode="&quot;$&quot;#,##0,,,&quot; B&quot;"/>
    </dxf>
    <dxf>
      <numFmt numFmtId="164" formatCode="&quot;$&quot;#,##0,,,&quot; B&quot;"/>
    </dxf>
    <dxf>
      <alignment wrapText="1"/>
    </dxf>
    <dxf>
      <alignment wrapText="1"/>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9" formatCode="[$$-409]#,##0"/>
    </dxf>
    <dxf>
      <numFmt numFmtId="169" formatCode="[$$-409]#,##0"/>
    </dxf>
    <dxf>
      <numFmt numFmtId="164" formatCode="&quot;$&quot;#,##0,,,&quot; B&quot;"/>
    </dxf>
    <dxf>
      <numFmt numFmtId="164" formatCode="&quot;$&quot;#,##0,,,&quot; B&quot;"/>
    </dxf>
    <dxf>
      <numFmt numFmtId="164" formatCode="&quot;$&quot;#,##0,,,&quot; B&quot;"/>
    </dxf>
    <dxf>
      <alignment wrapText="1"/>
    </dxf>
    <dxf>
      <alignment wrapText="1"/>
    </dxf>
    <dxf>
      <alignment wrapText="1"/>
    </dxf>
    <dxf>
      <alignment wrapText="1"/>
    </dxf>
    <dxf>
      <numFmt numFmtId="164" formatCode="&quot;$&quot;#,##0,,,&quot; B&quot;"/>
    </dxf>
    <dxf>
      <numFmt numFmtId="164" formatCode="&quot;$&quot;#,##0,,,&quot; B&quot;"/>
    </dxf>
    <dxf>
      <numFmt numFmtId="164" formatCode="&quot;$&quot;#,##0,,,&quot; B&quot;"/>
    </dxf>
    <dxf>
      <numFmt numFmtId="169" formatCode="[$$-409]#,##0"/>
    </dxf>
    <dxf>
      <numFmt numFmtId="169" formatCode="[$$-409]#,##0"/>
    </dxf>
    <dxf>
      <numFmt numFmtId="165" formatCode="&quot;$&quot;#,##0,,&quot; M&quot;;\-&quot;$&quot;#,##0,,&quot; M&quot;"/>
    </dxf>
    <dxf>
      <numFmt numFmtId="165" formatCode="&quot;$&quot;#,##0,,&quot; M&quot;;\-&quot;$&quot;#,##0,,&quot; M&quot;"/>
    </dxf>
    <dxf>
      <numFmt numFmtId="167" formatCode="&quot;$&quot;#,##0.00,,,&quot; B&quot;"/>
    </dxf>
    <dxf>
      <numFmt numFmtId="164" formatCode="&quot;$&quot;#,##0,,,&quot; B&quot;"/>
    </dxf>
    <dxf>
      <alignment wrapText="1"/>
    </dxf>
    <dxf>
      <alignment wrapText="1"/>
    </dxf>
    <dxf>
      <numFmt numFmtId="164" formatCode="&quot;$&quot;#,##0,,,&quot; B&quot;"/>
    </dxf>
    <dxf>
      <numFmt numFmtId="164" formatCode="&quot;$&quot;#,##0,,,&quot; B&quot;"/>
    </dxf>
    <dxf>
      <font>
        <b/>
        <color theme="1"/>
      </font>
      <fill>
        <gradientFill degree="90">
          <stop position="0">
            <color theme="9" tint="0.40000610370189521"/>
          </stop>
          <stop position="1">
            <color theme="9" tint="-0.25098422193060094"/>
          </stop>
        </gradientFill>
      </fill>
      <border>
        <bottom style="thin">
          <color theme="9"/>
        </bottom>
        <vertical/>
        <horizontal/>
      </border>
    </dxf>
    <dxf>
      <font>
        <color theme="1"/>
      </font>
      <fill>
        <patternFill patternType="solid">
          <fgColor auto="1"/>
          <bgColor theme="9" tint="0.39994506668294322"/>
        </patternFill>
      </fill>
      <border>
        <left style="thin">
          <color theme="9"/>
        </left>
        <right style="thin">
          <color theme="9"/>
        </right>
        <top style="thin">
          <color theme="9"/>
        </top>
        <bottom style="thin">
          <color theme="9"/>
        </bottom>
        <vertical/>
        <horizontal/>
      </border>
    </dxf>
    <dxf>
      <font>
        <b/>
        <i val="0"/>
        <name val="Calibri Light"/>
        <family val="2"/>
        <scheme val="major"/>
      </font>
      <fill>
        <gradientFill degree="270">
          <stop position="0">
            <color theme="9" tint="0.40000610370189521"/>
          </stop>
          <stop position="1">
            <color theme="9" tint="-0.25098422193060094"/>
          </stop>
        </gradientFill>
      </fill>
    </dxf>
    <dxf>
      <font>
        <b/>
        <i val="0"/>
        <name val="Calibri"/>
        <family val="2"/>
        <scheme val="minor"/>
      </font>
      <fill>
        <patternFill patternType="solid">
          <fgColor auto="1"/>
          <bgColor theme="9" tint="0.39994506668294322"/>
        </patternFill>
      </fill>
    </dxf>
  </dxfs>
  <tableStyles count="2" defaultTableStyle="TableStyleMedium2" defaultPivotStyle="PivotStyleLight16">
    <tableStyle name="Slicer Style 1" pivot="0" table="0" count="3" xr9:uid="{ABC15C31-D23A-4B8E-9EFF-930A9009EE89}">
      <tableStyleElement type="wholeTable" dxfId="33"/>
      <tableStyleElement type="headerRow" dxfId="32"/>
    </tableStyle>
    <tableStyle name="SlicerStyleDark6 2" pivot="0" table="0" count="10" xr9:uid="{A16EEDF7-0E41-4420-9659-611FD3FEE470}">
      <tableStyleElement type="wholeTable" dxfId="31"/>
      <tableStyleElement type="headerRow" dxfId="30"/>
    </tableStyle>
  </tableStyles>
  <extLst>
    <ext xmlns:x14="http://schemas.microsoft.com/office/spreadsheetml/2009/9/main" uri="{46F421CA-312F-682f-3DD2-61675219B42D}">
      <x14:dxfs count="9">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auto="1"/>
              <bgColor theme="9" tint="-0.24994659260841701"/>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theme="9" tint="0.3999450666829432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9" tint="0.39994506668294322"/>
            </patternFill>
          </fill>
          <border>
            <left style="thin">
              <color rgb="FFC0C0C0"/>
            </left>
            <right style="thin">
              <color rgb="FFC0C0C0"/>
            </right>
            <top style="thin">
              <color rgb="FFC0C0C0"/>
            </top>
            <bottom style="thin">
              <color rgb="FFC0C0C0"/>
            </bottom>
            <vertical/>
            <horizontal/>
          </border>
        </dxf>
        <dxf>
          <fill>
            <patternFill>
              <f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[Tax_data_analysis.xlsm]Calculations!electronic</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Calculations!$D$58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AA-4BB0-9317-E3889493C2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AA-4BB0-9317-E3889493C2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EAA-4BB0-9317-E3889493C2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EAA-4BB0-9317-E3889493C20A}"/>
              </c:ext>
            </c:extLst>
          </c:dPt>
          <c:dLbls>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Calculations!$C$59:$C$63</c:f>
              <c:strCache>
                <c:ptCount val="4"/>
                <c:pt idx="0">
                  <c:v>Electronic Settlement</c:v>
                </c:pt>
                <c:pt idx="1">
                  <c:v>Fully Electronic - All</c:v>
                </c:pt>
                <c:pt idx="2">
                  <c:v>Fully Electronic - FS</c:v>
                </c:pt>
                <c:pt idx="3">
                  <c:v>Non-Electronic</c:v>
                </c:pt>
              </c:strCache>
            </c:strRef>
          </c:cat>
          <c:val>
            <c:numRef>
              <c:f>Calculations!$D$59:$D$63</c:f>
              <c:numCache>
                <c:formatCode>General</c:formatCode>
                <c:ptCount val="4"/>
                <c:pt idx="0">
                  <c:v>407</c:v>
                </c:pt>
                <c:pt idx="1">
                  <c:v>815</c:v>
                </c:pt>
                <c:pt idx="2">
                  <c:v>406</c:v>
                </c:pt>
                <c:pt idx="3">
                  <c:v>361</c:v>
                </c:pt>
              </c:numCache>
            </c:numRef>
          </c:val>
          <c:extLst>
            <c:ext xmlns:c16="http://schemas.microsoft.com/office/drawing/2014/chart" uri="{C3380CC4-5D6E-409C-BE32-E72D297353CC}">
              <c16:uniqueId val="{00000000-59F7-421A-9D2A-6A6B11932FA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baseline="0">
                <a:solidFill>
                  <a:schemeClr val="dk1">
                    <a:lumMod val="75000"/>
                    <a:lumOff val="25000"/>
                  </a:schemeClr>
                </a:solidFill>
                <a:latin typeface="+mn-lt"/>
                <a:ea typeface="+mn-ea"/>
                <a:cs typeface="+mn-cs"/>
              </a:defRPr>
            </a:pPr>
            <a:r>
              <a:rPr lang="en-US" sz="1400" b="0" i="0" u="none" strike="noStrike" baseline="0">
                <a:solidFill>
                  <a:sysClr val="windowText" lastClr="000000">
                    <a:lumMod val="65000"/>
                    <a:lumOff val="35000"/>
                  </a:sysClr>
                </a:solidFill>
                <a:latin typeface="Calibri" panose="020F0502020204030204"/>
              </a:rPr>
              <a:t>Payment Channel</a:t>
            </a:r>
          </a:p>
        </c:rich>
      </c:tx>
      <c:overlay val="0"/>
      <c:spPr>
        <a:noFill/>
        <a:ln>
          <a:noFill/>
        </a:ln>
        <a:effectLst/>
      </c:spPr>
      <c:txPr>
        <a:bodyPr rot="0" spcFirstLastPara="1" vertOverflow="ellipsis" vert="horz" wrap="square" anchor="ctr" anchorCtr="1"/>
        <a:lstStyle/>
        <a:p>
          <a:pPr>
            <a:defRPr sz="1800" b="1" i="0" u="none" strike="noStrike"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Calculations!$F$75</c:f>
              <c:strCache>
                <c:ptCount val="1"/>
                <c:pt idx="0">
                  <c:v>Count of Record Date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Calculations!$E$76:$E$81</c:f>
              <c:strCache>
                <c:ptCount val="4"/>
                <c:pt idx="0">
                  <c:v>OTC</c:v>
                </c:pt>
                <c:pt idx="1">
                  <c:v>Internet</c:v>
                </c:pt>
                <c:pt idx="2">
                  <c:v>Mail</c:v>
                </c:pt>
                <c:pt idx="3">
                  <c:v>Bank</c:v>
                </c:pt>
              </c:strCache>
            </c:strRef>
          </c:cat>
          <c:val>
            <c:numRef>
              <c:f>Calculations!$F$76:$F$81</c:f>
              <c:numCache>
                <c:formatCode>General</c:formatCode>
                <c:ptCount val="6"/>
                <c:pt idx="0">
                  <c:v>949</c:v>
                </c:pt>
                <c:pt idx="1">
                  <c:v>408</c:v>
                </c:pt>
                <c:pt idx="2">
                  <c:v>361</c:v>
                </c:pt>
                <c:pt idx="3">
                  <c:v>271</c:v>
                </c:pt>
              </c:numCache>
            </c:numRef>
          </c:val>
          <c:extLst>
            <c:ext xmlns:c16="http://schemas.microsoft.com/office/drawing/2014/chart" uri="{C3380CC4-5D6E-409C-BE32-E72D297353CC}">
              <c16:uniqueId val="{00000000-802C-44AB-A572-56512ABD94FF}"/>
            </c:ext>
          </c:extLst>
        </c:ser>
        <c:dLbls>
          <c:showLegendKey val="0"/>
          <c:showVal val="1"/>
          <c:showCatName val="0"/>
          <c:showSerName val="0"/>
          <c:showPercent val="0"/>
          <c:showBubbleSize val="0"/>
        </c:dLbls>
        <c:gapWidth val="15"/>
        <c:overlap val="100"/>
        <c:axId val="280220047"/>
        <c:axId val="280221967"/>
      </c:barChart>
      <c:catAx>
        <c:axId val="2802200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baseline="0">
                <a:solidFill>
                  <a:schemeClr val="dk1">
                    <a:lumMod val="75000"/>
                    <a:lumOff val="25000"/>
                  </a:schemeClr>
                </a:solidFill>
                <a:latin typeface="+mn-lt"/>
                <a:ea typeface="+mn-ea"/>
                <a:cs typeface="+mn-cs"/>
              </a:defRPr>
            </a:pPr>
            <a:endParaRPr lang="en-US"/>
          </a:p>
        </c:txPr>
        <c:crossAx val="280221967"/>
        <c:crosses val="autoZero"/>
        <c:auto val="1"/>
        <c:lblAlgn val="ctr"/>
        <c:lblOffset val="100"/>
        <c:noMultiLvlLbl val="0"/>
      </c:catAx>
      <c:valAx>
        <c:axId val="2802219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8022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Year Over Year Growth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Calculations!$F$108</c:f>
              <c:strCache>
                <c:ptCount val="1"/>
                <c:pt idx="0">
                  <c:v>Fiscal YOY</c:v>
                </c:pt>
              </c:strCache>
            </c:strRef>
          </c:tx>
          <c:spPr>
            <a:solidFill>
              <a:schemeClr val="accent1"/>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Calculations!$F$109:$F$114</c:f>
              <c:numCache>
                <c:formatCode>0%</c:formatCode>
                <c:ptCount val="6"/>
                <c:pt idx="0">
                  <c:v>0</c:v>
                </c:pt>
                <c:pt idx="1">
                  <c:v>1.4661686246654391</c:v>
                </c:pt>
                <c:pt idx="2">
                  <c:v>0.17298134411404062</c:v>
                </c:pt>
                <c:pt idx="3">
                  <c:v>-5.069249872393973E-2</c:v>
                </c:pt>
                <c:pt idx="4">
                  <c:v>7.8715151162042626E-2</c:v>
                </c:pt>
                <c:pt idx="5">
                  <c:v>-0.4092870924800901</c:v>
                </c:pt>
              </c:numCache>
            </c:numRef>
          </c:val>
          <c:extLst>
            <c:ext xmlns:c16="http://schemas.microsoft.com/office/drawing/2014/chart" uri="{C3380CC4-5D6E-409C-BE32-E72D297353CC}">
              <c16:uniqueId val="{00000000-C2A7-4889-8216-0303F17A15A2}"/>
            </c:ext>
          </c:extLst>
        </c:ser>
        <c:ser>
          <c:idx val="1"/>
          <c:order val="1"/>
          <c:tx>
            <c:strRef>
              <c:f>Calculations!$G$108</c:f>
              <c:strCache>
                <c:ptCount val="1"/>
                <c:pt idx="0">
                  <c:v>Calendar YOY</c:v>
                </c:pt>
              </c:strCache>
            </c:strRef>
          </c:tx>
          <c:spPr>
            <a:solidFill>
              <a:schemeClr val="accent2"/>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Calculations!$G$109:$G$114</c:f>
              <c:numCache>
                <c:formatCode>0.00%</c:formatCode>
                <c:ptCount val="6"/>
                <c:pt idx="0">
                  <c:v>0</c:v>
                </c:pt>
                <c:pt idx="1">
                  <c:v>0.74557832447374683</c:v>
                </c:pt>
                <c:pt idx="2">
                  <c:v>0.11234825852314094</c:v>
                </c:pt>
                <c:pt idx="3">
                  <c:v>-3.4634771376583225E-2</c:v>
                </c:pt>
                <c:pt idx="4">
                  <c:v>5.7493814100394322E-2</c:v>
                </c:pt>
                <c:pt idx="5">
                  <c:v>-0.62895229073043868</c:v>
                </c:pt>
              </c:numCache>
            </c:numRef>
          </c:val>
          <c:extLst>
            <c:ext xmlns:c16="http://schemas.microsoft.com/office/drawing/2014/chart" uri="{C3380CC4-5D6E-409C-BE32-E72D297353CC}">
              <c16:uniqueId val="{00000001-C2A7-4889-8216-0303F17A15A2}"/>
            </c:ext>
          </c:extLst>
        </c:ser>
        <c:dLbls>
          <c:showLegendKey val="0"/>
          <c:showVal val="0"/>
          <c:showCatName val="0"/>
          <c:showSerName val="0"/>
          <c:showPercent val="0"/>
          <c:showBubbleSize val="0"/>
        </c:dLbls>
        <c:gapWidth val="182"/>
        <c:axId val="377344015"/>
        <c:axId val="377344975"/>
      </c:barChart>
      <c:catAx>
        <c:axId val="37734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344975"/>
        <c:crosses val="autoZero"/>
        <c:auto val="1"/>
        <c:lblAlgn val="ctr"/>
        <c:lblOffset val="100"/>
        <c:noMultiLvlLbl val="0"/>
      </c:catAx>
      <c:valAx>
        <c:axId val="37734497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344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 vs</a:t>
            </a:r>
            <a:r>
              <a:rPr lang="en-IN" baseline="0"/>
              <a:t> Tax apyer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Calculations!$G$91</c:f>
              <c:strCache>
                <c:ptCount val="1"/>
                <c:pt idx="0">
                  <c:v>Count of Record Date</c:v>
                </c:pt>
              </c:strCache>
            </c:strRef>
          </c:tx>
          <c:spPr>
            <a:solidFill>
              <a:schemeClr val="accent1"/>
            </a:solidFill>
            <a:ln>
              <a:noFill/>
            </a:ln>
            <a:effectLst/>
          </c:spPr>
          <c:invertIfNegative val="0"/>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Calculations!$G$92:$G$103</c:f>
              <c:numCache>
                <c:formatCode>General</c:formatCode>
                <c:ptCount val="12"/>
                <c:pt idx="0">
                  <c:v>305</c:v>
                </c:pt>
                <c:pt idx="1">
                  <c:v>283</c:v>
                </c:pt>
                <c:pt idx="2">
                  <c:v>308</c:v>
                </c:pt>
                <c:pt idx="3">
                  <c:v>194</c:v>
                </c:pt>
                <c:pt idx="4">
                  <c:v>318</c:v>
                </c:pt>
                <c:pt idx="5">
                  <c:v>278</c:v>
                </c:pt>
                <c:pt idx="6">
                  <c:v>303</c:v>
                </c:pt>
                <c:pt idx="7">
                  <c:v>1989</c:v>
                </c:pt>
                <c:pt idx="8">
                  <c:v>0</c:v>
                </c:pt>
                <c:pt idx="9">
                  <c:v>0</c:v>
                </c:pt>
                <c:pt idx="10">
                  <c:v>0</c:v>
                </c:pt>
                <c:pt idx="11">
                  <c:v>0</c:v>
                </c:pt>
              </c:numCache>
            </c:numRef>
          </c:val>
          <c:extLst>
            <c:ext xmlns:c16="http://schemas.microsoft.com/office/drawing/2014/chart" uri="{C3380CC4-5D6E-409C-BE32-E72D297353CC}">
              <c16:uniqueId val="{00000000-B0FF-4688-BA85-E9876991D366}"/>
            </c:ext>
          </c:extLst>
        </c:ser>
        <c:dLbls>
          <c:showLegendKey val="0"/>
          <c:showVal val="0"/>
          <c:showCatName val="0"/>
          <c:showSerName val="0"/>
          <c:showPercent val="0"/>
          <c:showBubbleSize val="0"/>
        </c:dLbls>
        <c:gapWidth val="219"/>
        <c:axId val="1427911424"/>
        <c:axId val="1437979024"/>
      </c:barChart>
      <c:lineChart>
        <c:grouping val="standard"/>
        <c:varyColors val="0"/>
        <c:ser>
          <c:idx val="1"/>
          <c:order val="1"/>
          <c:tx>
            <c:strRef>
              <c:f>Calculations!$H$91</c:f>
              <c:strCache>
                <c:ptCount val="1"/>
                <c:pt idx="0">
                  <c:v>Sum of Net Collections Amount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Calculations!$H$92:$H$103</c:f>
              <c:numCache>
                <c:formatCode>"$"#,##0,,," B"</c:formatCode>
                <c:ptCount val="12"/>
                <c:pt idx="0">
                  <c:v>573557315733.70984</c:v>
                </c:pt>
                <c:pt idx="1">
                  <c:v>416031753930.81012</c:v>
                </c:pt>
                <c:pt idx="2">
                  <c:v>508683208557.53033</c:v>
                </c:pt>
                <c:pt idx="3">
                  <c:v>681875507407.62012</c:v>
                </c:pt>
                <c:pt idx="4">
                  <c:v>414463241394.27032</c:v>
                </c:pt>
                <c:pt idx="5">
                  <c:v>368728028088.57983</c:v>
                </c:pt>
                <c:pt idx="6">
                  <c:v>520118459629.2901</c:v>
                </c:pt>
                <c:pt idx="7">
                  <c:v>3483457514741.8071</c:v>
                </c:pt>
                <c:pt idx="8">
                  <c:v>0</c:v>
                </c:pt>
                <c:pt idx="9">
                  <c:v>0</c:v>
                </c:pt>
                <c:pt idx="10">
                  <c:v>0</c:v>
                </c:pt>
                <c:pt idx="11">
                  <c:v>0</c:v>
                </c:pt>
              </c:numCache>
            </c:numRef>
          </c:val>
          <c:smooth val="0"/>
          <c:extLst>
            <c:ext xmlns:c16="http://schemas.microsoft.com/office/drawing/2014/chart" uri="{C3380CC4-5D6E-409C-BE32-E72D297353CC}">
              <c16:uniqueId val="{00000001-B0FF-4688-BA85-E9876991D366}"/>
            </c:ext>
          </c:extLst>
        </c:ser>
        <c:dLbls>
          <c:showLegendKey val="0"/>
          <c:showVal val="0"/>
          <c:showCatName val="0"/>
          <c:showSerName val="0"/>
          <c:showPercent val="0"/>
          <c:showBubbleSize val="0"/>
        </c:dLbls>
        <c:marker val="1"/>
        <c:smooth val="0"/>
        <c:axId val="1298897408"/>
        <c:axId val="565149040"/>
      </c:lineChart>
      <c:catAx>
        <c:axId val="129889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49040"/>
        <c:crosses val="autoZero"/>
        <c:auto val="0"/>
        <c:lblAlgn val="ctr"/>
        <c:lblOffset val="100"/>
        <c:noMultiLvlLbl val="0"/>
      </c:catAx>
      <c:valAx>
        <c:axId val="565149040"/>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97408"/>
        <c:crosses val="autoZero"/>
        <c:crossBetween val="between"/>
      </c:valAx>
      <c:valAx>
        <c:axId val="1437979024"/>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911424"/>
        <c:crosses val="max"/>
        <c:crossBetween val="between"/>
      </c:valAx>
      <c:catAx>
        <c:axId val="1427911424"/>
        <c:scaling>
          <c:orientation val="minMax"/>
        </c:scaling>
        <c:delete val="1"/>
        <c:axPos val="b"/>
        <c:numFmt formatCode="General" sourceLinked="1"/>
        <c:majorTickMark val="out"/>
        <c:minorTickMark val="none"/>
        <c:tickLblPos val="nextTo"/>
        <c:crossAx val="143797902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[Tax_data_analysis.xlsm]Calculations!Top Tax Category</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18224587788396E-2"/>
          <c:y val="9.4444447887301247E-2"/>
          <c:w val="0.84517301666024791"/>
          <c:h val="0.64439062570686156"/>
        </c:manualLayout>
      </c:layout>
      <c:barChart>
        <c:barDir val="col"/>
        <c:grouping val="clustered"/>
        <c:varyColors val="0"/>
        <c:ser>
          <c:idx val="0"/>
          <c:order val="0"/>
          <c:tx>
            <c:strRef>
              <c:f>Calculations!$C$14</c:f>
              <c:strCache>
                <c:ptCount val="1"/>
                <c:pt idx="0">
                  <c:v>Total</c:v>
                </c:pt>
              </c:strCache>
            </c:strRef>
          </c:tx>
          <c:spPr>
            <a:solidFill>
              <a:schemeClr val="accent1"/>
            </a:solidFill>
            <a:ln>
              <a:noFill/>
            </a:ln>
            <a:effectLst/>
          </c:spPr>
          <c:invertIfNegative val="0"/>
          <c:cat>
            <c:strRef>
              <c:f>Calculations!$B$15:$B$18</c:f>
              <c:strCache>
                <c:ptCount val="3"/>
                <c:pt idx="0">
                  <c:v>IRS Non-Tax</c:v>
                </c:pt>
                <c:pt idx="1">
                  <c:v>IRS Tax</c:v>
                </c:pt>
                <c:pt idx="2">
                  <c:v>Non-Tax</c:v>
                </c:pt>
              </c:strCache>
            </c:strRef>
          </c:cat>
          <c:val>
            <c:numRef>
              <c:f>Calculations!$C$15:$C$18</c:f>
              <c:numCache>
                <c:formatCode>"$"#,##0,,," B"</c:formatCode>
                <c:ptCount val="3"/>
                <c:pt idx="0">
                  <c:v>71784554.799999997</c:v>
                </c:pt>
                <c:pt idx="1">
                  <c:v>3025840892763.0581</c:v>
                </c:pt>
                <c:pt idx="2">
                  <c:v>457544837423.95032</c:v>
                </c:pt>
              </c:numCache>
            </c:numRef>
          </c:val>
          <c:extLst>
            <c:ext xmlns:c16="http://schemas.microsoft.com/office/drawing/2014/chart" uri="{C3380CC4-5D6E-409C-BE32-E72D297353CC}">
              <c16:uniqueId val="{00000000-9C57-4F7C-AADB-B26CF4B8692B}"/>
            </c:ext>
          </c:extLst>
        </c:ser>
        <c:dLbls>
          <c:showLegendKey val="0"/>
          <c:showVal val="0"/>
          <c:showCatName val="0"/>
          <c:showSerName val="0"/>
          <c:showPercent val="0"/>
          <c:showBubbleSize val="0"/>
        </c:dLbls>
        <c:gapWidth val="219"/>
        <c:overlap val="-27"/>
        <c:axId val="280333951"/>
        <c:axId val="280354111"/>
      </c:barChart>
      <c:catAx>
        <c:axId val="28033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54111"/>
        <c:crosses val="autoZero"/>
        <c:auto val="1"/>
        <c:lblAlgn val="ctr"/>
        <c:lblOffset val="100"/>
        <c:noMultiLvlLbl val="0"/>
      </c:catAx>
      <c:valAx>
        <c:axId val="280354111"/>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2"/>
          <c:tx>
            <c:strRef>
              <c:f>Calculations!$N$24</c:f>
              <c:strCache>
                <c:ptCount val="1"/>
                <c:pt idx="0">
                  <c:v>Quarterly Final</c:v>
                </c:pt>
              </c:strCache>
            </c:strRef>
          </c:tx>
          <c:spPr>
            <a:solidFill>
              <a:schemeClr val="accent5"/>
            </a:solidFill>
            <a:ln>
              <a:noFill/>
            </a:ln>
            <a:effectLst/>
          </c:spPr>
          <c:invertIfNegative val="0"/>
          <c:dPt>
            <c:idx val="0"/>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3-624F-4F03-A9DB-5BC32D6CD725}"/>
              </c:ext>
            </c:extLst>
          </c:dPt>
          <c:dPt>
            <c:idx val="1"/>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4-624F-4F03-A9DB-5BC32D6CD725}"/>
              </c:ext>
            </c:extLst>
          </c:dPt>
          <c:dPt>
            <c:idx val="2"/>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5-624F-4F03-A9DB-5BC32D6CD725}"/>
              </c:ext>
            </c:extLst>
          </c:dPt>
          <c:dPt>
            <c:idx val="3"/>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6-624F-4F03-A9DB-5BC32D6CD725}"/>
              </c:ext>
            </c:extLst>
          </c:dPt>
          <c:dPt>
            <c:idx val="4"/>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7-624F-4F03-A9DB-5BC32D6CD725}"/>
              </c:ext>
            </c:extLst>
          </c:dPt>
          <c:dPt>
            <c:idx val="5"/>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8-624F-4F03-A9DB-5BC32D6CD725}"/>
              </c:ext>
            </c:extLst>
          </c:dPt>
          <c:dPt>
            <c:idx val="6"/>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9-624F-4F03-A9DB-5BC32D6CD725}"/>
              </c:ext>
            </c:extLst>
          </c:dPt>
          <c:dPt>
            <c:idx val="7"/>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A-624F-4F03-A9DB-5BC32D6CD725}"/>
              </c:ext>
            </c:extLst>
          </c:dPt>
          <c:dPt>
            <c:idx val="8"/>
            <c:invertIfNegative val="0"/>
            <c:bubble3D val="0"/>
            <c:spPr>
              <a:solidFill>
                <a:schemeClr val="accent5"/>
              </a:solidFill>
              <a:ln>
                <a:solidFill>
                  <a:schemeClr val="accent5">
                    <a:lumMod val="50000"/>
                  </a:schemeClr>
                </a:solidFill>
              </a:ln>
              <a:effectLst/>
            </c:spPr>
            <c:extLst>
              <c:ext xmlns:c16="http://schemas.microsoft.com/office/drawing/2014/chart" uri="{C3380CC4-5D6E-409C-BE32-E72D297353CC}">
                <c16:uniqueId val="{0000000B-624F-4F03-A9DB-5BC32D6CD725}"/>
              </c:ext>
            </c:extLst>
          </c:dPt>
          <c:dPt>
            <c:idx val="9"/>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C-624F-4F03-A9DB-5BC32D6CD725}"/>
              </c:ext>
            </c:extLst>
          </c:dPt>
          <c:dPt>
            <c:idx val="10"/>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D-624F-4F03-A9DB-5BC32D6CD725}"/>
              </c:ext>
            </c:extLst>
          </c:dPt>
          <c:dPt>
            <c:idx val="11"/>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E-624F-4F03-A9DB-5BC32D6CD725}"/>
              </c:ext>
            </c:extLst>
          </c:dPt>
          <c:dLbls>
            <c:dLbl>
              <c:idx val="0"/>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Q1 = </a:t>
                    </a:r>
                    <a:fld id="{49803FDA-D2AB-4FF1-A9C6-1EADA5787B93}" type="VALUE">
                      <a:rPr lang="en-US"/>
                      <a:pPr>
                        <a:defRPr sz="1100" b="1"/>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736189866750174"/>
                      <c:h val="5.7599910173286785E-2"/>
                    </c:manualLayout>
                  </c15:layout>
                  <c15:dlblFieldTable/>
                  <c15:showDataLabelsRange val="0"/>
                </c:ext>
                <c:ext xmlns:c16="http://schemas.microsoft.com/office/drawing/2014/chart" uri="{C3380CC4-5D6E-409C-BE32-E72D297353CC}">
                  <c16:uniqueId val="{00000003-624F-4F03-A9DB-5BC32D6CD725}"/>
                </c:ext>
              </c:extLst>
            </c:dLbl>
            <c:dLbl>
              <c:idx val="1"/>
              <c:delete val="1"/>
              <c:extLst>
                <c:ext xmlns:c15="http://schemas.microsoft.com/office/drawing/2012/chart" uri="{CE6537A1-D6FC-4f65-9D91-7224C49458BB}"/>
                <c:ext xmlns:c16="http://schemas.microsoft.com/office/drawing/2014/chart" uri="{C3380CC4-5D6E-409C-BE32-E72D297353CC}">
                  <c16:uniqueId val="{00000004-624F-4F03-A9DB-5BC32D6CD725}"/>
                </c:ext>
              </c:extLst>
            </c:dLbl>
            <c:dLbl>
              <c:idx val="2"/>
              <c:delete val="1"/>
              <c:extLst>
                <c:ext xmlns:c15="http://schemas.microsoft.com/office/drawing/2012/chart" uri="{CE6537A1-D6FC-4f65-9D91-7224C49458BB}"/>
                <c:ext xmlns:c16="http://schemas.microsoft.com/office/drawing/2014/chart" uri="{C3380CC4-5D6E-409C-BE32-E72D297353CC}">
                  <c16:uniqueId val="{00000005-624F-4F03-A9DB-5BC32D6CD725}"/>
                </c:ext>
              </c:extLst>
            </c:dLbl>
            <c:dLbl>
              <c:idx val="3"/>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Q2 = </a:t>
                    </a:r>
                    <a:fld id="{125F3D0E-349C-4930-A73E-82E4A20B4054}" type="VALUE">
                      <a:rPr lang="en-US"/>
                      <a:pPr>
                        <a:defRPr sz="1100" b="1"/>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6.506587390281196E-2"/>
                    </c:manualLayout>
                  </c15:layout>
                  <c15:dlblFieldTable/>
                  <c15:showDataLabelsRange val="0"/>
                </c:ext>
                <c:ext xmlns:c16="http://schemas.microsoft.com/office/drawing/2014/chart" uri="{C3380CC4-5D6E-409C-BE32-E72D297353CC}">
                  <c16:uniqueId val="{00000006-624F-4F03-A9DB-5BC32D6CD725}"/>
                </c:ext>
              </c:extLst>
            </c:dLbl>
            <c:dLbl>
              <c:idx val="4"/>
              <c:delete val="1"/>
              <c:extLst>
                <c:ext xmlns:c15="http://schemas.microsoft.com/office/drawing/2012/chart" uri="{CE6537A1-D6FC-4f65-9D91-7224C49458BB}"/>
                <c:ext xmlns:c16="http://schemas.microsoft.com/office/drawing/2014/chart" uri="{C3380CC4-5D6E-409C-BE32-E72D297353CC}">
                  <c16:uniqueId val="{00000007-624F-4F03-A9DB-5BC32D6CD725}"/>
                </c:ext>
              </c:extLst>
            </c:dLbl>
            <c:dLbl>
              <c:idx val="5"/>
              <c:delete val="1"/>
              <c:extLst>
                <c:ext xmlns:c15="http://schemas.microsoft.com/office/drawing/2012/chart" uri="{CE6537A1-D6FC-4f65-9D91-7224C49458BB}"/>
                <c:ext xmlns:c16="http://schemas.microsoft.com/office/drawing/2014/chart" uri="{C3380CC4-5D6E-409C-BE32-E72D297353CC}">
                  <c16:uniqueId val="{00000008-624F-4F03-A9DB-5BC32D6CD725}"/>
                </c:ext>
              </c:extLst>
            </c:dLbl>
            <c:dLbl>
              <c:idx val="6"/>
              <c:layout>
                <c:manualLayout>
                  <c:x val="8.4798606231412221E-2"/>
                  <c:y val="-1.4931927459050382E-2"/>
                </c:manualLayout>
              </c:layout>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Q3 = </a:t>
                    </a:r>
                    <a:fld id="{E6D9D429-6453-4E5A-928A-65E28A9D85D8}" type="VALUE">
                      <a:rPr lang="en-US"/>
                      <a:pPr>
                        <a:defRPr sz="1100" b="1"/>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5.3866928308524194E-2"/>
                    </c:manualLayout>
                  </c15:layout>
                  <c15:dlblFieldTable/>
                  <c15:showDataLabelsRange val="0"/>
                </c:ext>
                <c:ext xmlns:c16="http://schemas.microsoft.com/office/drawing/2014/chart" uri="{C3380CC4-5D6E-409C-BE32-E72D297353CC}">
                  <c16:uniqueId val="{00000009-624F-4F03-A9DB-5BC32D6CD725}"/>
                </c:ext>
              </c:extLst>
            </c:dLbl>
            <c:dLbl>
              <c:idx val="7"/>
              <c:delete val="1"/>
              <c:extLst>
                <c:ext xmlns:c15="http://schemas.microsoft.com/office/drawing/2012/chart" uri="{CE6537A1-D6FC-4f65-9D91-7224C49458BB}"/>
                <c:ext xmlns:c16="http://schemas.microsoft.com/office/drawing/2014/chart" uri="{C3380CC4-5D6E-409C-BE32-E72D297353CC}">
                  <c16:uniqueId val="{0000000A-624F-4F03-A9DB-5BC32D6CD725}"/>
                </c:ext>
              </c:extLst>
            </c:dLbl>
            <c:dLbl>
              <c:idx val="8"/>
              <c:delete val="1"/>
              <c:extLst>
                <c:ext xmlns:c15="http://schemas.microsoft.com/office/drawing/2012/chart" uri="{CE6537A1-D6FC-4f65-9D91-7224C49458BB}"/>
                <c:ext xmlns:c16="http://schemas.microsoft.com/office/drawing/2014/chart" uri="{C3380CC4-5D6E-409C-BE32-E72D297353CC}">
                  <c16:uniqueId val="{0000000B-624F-4F03-A9DB-5BC32D6CD725}"/>
                </c:ext>
              </c:extLst>
            </c:dLbl>
            <c:dLbl>
              <c:idx val="9"/>
              <c:delete val="1"/>
              <c:extLst>
                <c:ext xmlns:c15="http://schemas.microsoft.com/office/drawing/2012/chart" uri="{CE6537A1-D6FC-4f65-9D91-7224C49458BB}"/>
                <c:ext xmlns:c16="http://schemas.microsoft.com/office/drawing/2014/chart" uri="{C3380CC4-5D6E-409C-BE32-E72D297353CC}">
                  <c16:uniqueId val="{0000000C-624F-4F03-A9DB-5BC32D6CD725}"/>
                </c:ext>
              </c:extLst>
            </c:dLbl>
            <c:dLbl>
              <c:idx val="10"/>
              <c:tx>
                <c:rich>
                  <a:bodyPr/>
                  <a:lstStyle/>
                  <a:p>
                    <a:r>
                      <a:rPr lang="en-US"/>
                      <a:t>Q4 = </a:t>
                    </a:r>
                    <a:fld id="{E672A5F7-BFFC-4529-AEBE-A648BD6915BC}"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624F-4F03-A9DB-5BC32D6CD725}"/>
                </c:ext>
              </c:extLst>
            </c:dLbl>
            <c:dLbl>
              <c:idx val="11"/>
              <c:delete val="1"/>
              <c:extLst>
                <c:ext xmlns:c15="http://schemas.microsoft.com/office/drawing/2012/chart" uri="{CE6537A1-D6FC-4f65-9D91-7224C49458BB}"/>
                <c:ext xmlns:c16="http://schemas.microsoft.com/office/drawing/2014/chart" uri="{C3380CC4-5D6E-409C-BE32-E72D297353CC}">
                  <c16:uniqueId val="{0000000E-624F-4F03-A9DB-5BC32D6CD72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Calculations!$N$25:$N$36</c:f>
              <c:numCache>
                <c:formatCode>"$"#,##0,,," B"</c:formatCode>
                <c:ptCount val="12"/>
                <c:pt idx="0">
                  <c:v>1303309729112.1401</c:v>
                </c:pt>
                <c:pt idx="1">
                  <c:v>1303309729112.1401</c:v>
                </c:pt>
                <c:pt idx="2">
                  <c:v>1303309729112.1401</c:v>
                </c:pt>
                <c:pt idx="3">
                  <c:v>1498272278222.0503</c:v>
                </c:pt>
                <c:pt idx="4">
                  <c:v>1498272278222.0503</c:v>
                </c:pt>
                <c:pt idx="5">
                  <c:v>1498272278222.0503</c:v>
                </c:pt>
                <c:pt idx="6">
                  <c:v>2032813696484.4197</c:v>
                </c:pt>
                <c:pt idx="7">
                  <c:v>2032813696484.4197</c:v>
                </c:pt>
                <c:pt idx="8">
                  <c:v>2032813696484.4197</c:v>
                </c:pt>
                <c:pt idx="9">
                  <c:v>2287267183462.9165</c:v>
                </c:pt>
                <c:pt idx="10">
                  <c:v>2287267183462.9165</c:v>
                </c:pt>
                <c:pt idx="11">
                  <c:v>2287267183462.9165</c:v>
                </c:pt>
              </c:numCache>
            </c:numRef>
          </c:val>
          <c:extLst>
            <c:ext xmlns:c16="http://schemas.microsoft.com/office/drawing/2014/chart" uri="{C3380CC4-5D6E-409C-BE32-E72D297353CC}">
              <c16:uniqueId val="{00000002-624F-4F03-A9DB-5BC32D6CD725}"/>
            </c:ext>
          </c:extLst>
        </c:ser>
        <c:dLbls>
          <c:showLegendKey val="0"/>
          <c:showVal val="1"/>
          <c:showCatName val="0"/>
          <c:showSerName val="0"/>
          <c:showPercent val="0"/>
          <c:showBubbleSize val="0"/>
        </c:dLbls>
        <c:gapWidth val="2"/>
        <c:axId val="1726892207"/>
        <c:axId val="1726898447"/>
      </c:barChart>
      <c:lineChart>
        <c:grouping val="standard"/>
        <c:varyColors val="0"/>
        <c:ser>
          <c:idx val="0"/>
          <c:order val="0"/>
          <c:tx>
            <c:strRef>
              <c:f>Calculations!$I$24</c:f>
              <c:strCache>
                <c:ptCount val="1"/>
                <c:pt idx="0">
                  <c:v>Monthly sum</c:v>
                </c:pt>
              </c:strCache>
            </c:strRef>
          </c:tx>
          <c:spPr>
            <a:ln w="28575" cap="rnd">
              <a:solidFill>
                <a:srgbClr val="002060"/>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Calculations!$I$25:$I$36</c:f>
              <c:numCache>
                <c:formatCode>"$"#,##0,,," B"</c:formatCode>
                <c:ptCount val="12"/>
                <c:pt idx="0">
                  <c:v>414463241394.27032</c:v>
                </c:pt>
                <c:pt idx="1">
                  <c:v>368728028088.57983</c:v>
                </c:pt>
                <c:pt idx="2">
                  <c:v>520118459629.2901</c:v>
                </c:pt>
                <c:pt idx="3">
                  <c:v>573557315733.70984</c:v>
                </c:pt>
                <c:pt idx="4">
                  <c:v>416031753930.81012</c:v>
                </c:pt>
                <c:pt idx="5">
                  <c:v>508683208557.53033</c:v>
                </c:pt>
                <c:pt idx="6">
                  <c:v>681875507407.62012</c:v>
                </c:pt>
                <c:pt idx="7">
                  <c:v>0</c:v>
                </c:pt>
                <c:pt idx="8">
                  <c:v>0</c:v>
                </c:pt>
                <c:pt idx="9">
                  <c:v>0</c:v>
                </c:pt>
                <c:pt idx="10">
                  <c:v>0</c:v>
                </c:pt>
                <c:pt idx="11">
                  <c:v>0</c:v>
                </c:pt>
              </c:numCache>
            </c:numRef>
          </c:val>
          <c:smooth val="0"/>
          <c:extLst>
            <c:ext xmlns:c16="http://schemas.microsoft.com/office/drawing/2014/chart" uri="{C3380CC4-5D6E-409C-BE32-E72D297353CC}">
              <c16:uniqueId val="{00000000-624F-4F03-A9DB-5BC32D6CD725}"/>
            </c:ext>
          </c:extLst>
        </c:ser>
        <c:ser>
          <c:idx val="1"/>
          <c:order val="1"/>
          <c:tx>
            <c:strRef>
              <c:f>Calculations!$J$24</c:f>
              <c:strCache>
                <c:ptCount val="1"/>
                <c:pt idx="0">
                  <c:v>Forecasted monthly Sum</c:v>
                </c:pt>
              </c:strCache>
            </c:strRef>
          </c:tx>
          <c:spPr>
            <a:ln w="28575" cap="rnd">
              <a:solidFill>
                <a:schemeClr val="accent3"/>
              </a:solidFill>
              <a:prstDash val="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Calculations!$J$25:$J$36</c:f>
              <c:numCache>
                <c:formatCode>"$"#,##0,,," B"</c:formatCode>
                <c:ptCount val="12"/>
                <c:pt idx="0">
                  <c:v>0</c:v>
                </c:pt>
                <c:pt idx="1">
                  <c:v>0</c:v>
                </c:pt>
                <c:pt idx="2">
                  <c:v>0</c:v>
                </c:pt>
                <c:pt idx="3">
                  <c:v>0</c:v>
                </c:pt>
                <c:pt idx="4">
                  <c:v>0</c:v>
                </c:pt>
                <c:pt idx="5">
                  <c:v>0</c:v>
                </c:pt>
                <c:pt idx="6">
                  <c:v>0</c:v>
                </c:pt>
                <c:pt idx="7">
                  <c:v>658078434548.552</c:v>
                </c:pt>
                <c:pt idx="8">
                  <c:v>692859754528.24756</c:v>
                </c:pt>
                <c:pt idx="9">
                  <c:v>727641074507.94324</c:v>
                </c:pt>
                <c:pt idx="10">
                  <c:v>762422394487.63879</c:v>
                </c:pt>
                <c:pt idx="11">
                  <c:v>797203714467.33447</c:v>
                </c:pt>
              </c:numCache>
            </c:numRef>
          </c:val>
          <c:smooth val="0"/>
          <c:extLst>
            <c:ext xmlns:c16="http://schemas.microsoft.com/office/drawing/2014/chart" uri="{C3380CC4-5D6E-409C-BE32-E72D297353CC}">
              <c16:uniqueId val="{00000001-624F-4F03-A9DB-5BC32D6CD725}"/>
            </c:ext>
          </c:extLst>
        </c:ser>
        <c:dLbls>
          <c:showLegendKey val="0"/>
          <c:showVal val="1"/>
          <c:showCatName val="0"/>
          <c:showSerName val="0"/>
          <c:showPercent val="0"/>
          <c:showBubbleSize val="0"/>
        </c:dLbls>
        <c:marker val="1"/>
        <c:smooth val="0"/>
        <c:axId val="1726892207"/>
        <c:axId val="1726898447"/>
      </c:lineChart>
      <c:catAx>
        <c:axId val="17268922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726898447"/>
        <c:crosses val="autoZero"/>
        <c:auto val="1"/>
        <c:lblAlgn val="ctr"/>
        <c:lblOffset val="100"/>
        <c:noMultiLvlLbl val="0"/>
      </c:catAx>
      <c:valAx>
        <c:axId val="1726898447"/>
        <c:scaling>
          <c:orientation val="minMax"/>
        </c:scaling>
        <c:delete val="1"/>
        <c:axPos val="l"/>
        <c:numFmt formatCode="&quot;$&quot;#,##0,,,&quot; B&quot;" sourceLinked="1"/>
        <c:majorTickMark val="none"/>
        <c:minorTickMark val="none"/>
        <c:tickLblPos val="nextTo"/>
        <c:crossAx val="1726892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Calculations!$G$91</c:f>
              <c:strCache>
                <c:ptCount val="1"/>
                <c:pt idx="0">
                  <c:v>Count of Record Date</c:v>
                </c:pt>
              </c:strCache>
            </c:strRef>
          </c:tx>
          <c:spPr>
            <a:solidFill>
              <a:srgbClr val="002060"/>
            </a:solidFill>
            <a:ln>
              <a:noFill/>
            </a:ln>
            <a:effectLst/>
          </c:spPr>
          <c:invertIfNegative val="0"/>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Calculations!$G$92:$G$103</c:f>
              <c:numCache>
                <c:formatCode>General</c:formatCode>
                <c:ptCount val="12"/>
                <c:pt idx="0">
                  <c:v>305</c:v>
                </c:pt>
                <c:pt idx="1">
                  <c:v>283</c:v>
                </c:pt>
                <c:pt idx="2">
                  <c:v>308</c:v>
                </c:pt>
                <c:pt idx="3">
                  <c:v>194</c:v>
                </c:pt>
                <c:pt idx="4">
                  <c:v>318</c:v>
                </c:pt>
                <c:pt idx="5">
                  <c:v>278</c:v>
                </c:pt>
                <c:pt idx="6">
                  <c:v>303</c:v>
                </c:pt>
                <c:pt idx="7">
                  <c:v>1989</c:v>
                </c:pt>
                <c:pt idx="8">
                  <c:v>0</c:v>
                </c:pt>
                <c:pt idx="9">
                  <c:v>0</c:v>
                </c:pt>
                <c:pt idx="10">
                  <c:v>0</c:v>
                </c:pt>
                <c:pt idx="11">
                  <c:v>0</c:v>
                </c:pt>
              </c:numCache>
            </c:numRef>
          </c:val>
          <c:extLst>
            <c:ext xmlns:c16="http://schemas.microsoft.com/office/drawing/2014/chart" uri="{C3380CC4-5D6E-409C-BE32-E72D297353CC}">
              <c16:uniqueId val="{00000000-1F08-4884-B9FB-01B64BCC2EC7}"/>
            </c:ext>
          </c:extLst>
        </c:ser>
        <c:dLbls>
          <c:showLegendKey val="0"/>
          <c:showVal val="0"/>
          <c:showCatName val="0"/>
          <c:showSerName val="0"/>
          <c:showPercent val="0"/>
          <c:showBubbleSize val="0"/>
        </c:dLbls>
        <c:gapWidth val="219"/>
        <c:axId val="1427911424"/>
        <c:axId val="1437979024"/>
      </c:barChart>
      <c:lineChart>
        <c:grouping val="standard"/>
        <c:varyColors val="0"/>
        <c:ser>
          <c:idx val="1"/>
          <c:order val="1"/>
          <c:tx>
            <c:strRef>
              <c:f>Calculations!$H$91</c:f>
              <c:strCache>
                <c:ptCount val="1"/>
                <c:pt idx="0">
                  <c:v>Sum of Net Collections Amount</c:v>
                </c:pt>
              </c:strCache>
            </c:strRef>
          </c:tx>
          <c:spPr>
            <a:ln w="28575" cap="rnd">
              <a:solidFill>
                <a:schemeClr val="accent6">
                  <a:lumMod val="20000"/>
                  <a:lumOff val="80000"/>
                </a:schemeClr>
              </a:solidFill>
              <a:round/>
            </a:ln>
            <a:effectLst/>
          </c:spPr>
          <c:marker>
            <c:symbol val="circle"/>
            <c:size val="5"/>
            <c:spPr>
              <a:solidFill>
                <a:schemeClr val="accent6">
                  <a:lumMod val="75000"/>
                </a:schemeClr>
              </a:solidFill>
              <a:ln w="9525">
                <a:solidFill>
                  <a:schemeClr val="accent2"/>
                </a:solidFill>
              </a:ln>
              <a:effectLst/>
            </c:spPr>
          </c:marker>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Calculations!$H$92:$H$103</c:f>
              <c:numCache>
                <c:formatCode>"$"#,##0,,," B"</c:formatCode>
                <c:ptCount val="12"/>
                <c:pt idx="0">
                  <c:v>573557315733.70984</c:v>
                </c:pt>
                <c:pt idx="1">
                  <c:v>416031753930.81012</c:v>
                </c:pt>
                <c:pt idx="2">
                  <c:v>508683208557.53033</c:v>
                </c:pt>
                <c:pt idx="3">
                  <c:v>681875507407.62012</c:v>
                </c:pt>
                <c:pt idx="4">
                  <c:v>414463241394.27032</c:v>
                </c:pt>
                <c:pt idx="5">
                  <c:v>368728028088.57983</c:v>
                </c:pt>
                <c:pt idx="6">
                  <c:v>520118459629.2901</c:v>
                </c:pt>
                <c:pt idx="7">
                  <c:v>3483457514741.8071</c:v>
                </c:pt>
                <c:pt idx="8">
                  <c:v>0</c:v>
                </c:pt>
                <c:pt idx="9">
                  <c:v>0</c:v>
                </c:pt>
                <c:pt idx="10">
                  <c:v>0</c:v>
                </c:pt>
                <c:pt idx="11">
                  <c:v>0</c:v>
                </c:pt>
              </c:numCache>
            </c:numRef>
          </c:val>
          <c:smooth val="0"/>
          <c:extLst>
            <c:ext xmlns:c16="http://schemas.microsoft.com/office/drawing/2014/chart" uri="{C3380CC4-5D6E-409C-BE32-E72D297353CC}">
              <c16:uniqueId val="{00000001-1F08-4884-B9FB-01B64BCC2EC7}"/>
            </c:ext>
          </c:extLst>
        </c:ser>
        <c:dLbls>
          <c:showLegendKey val="0"/>
          <c:showVal val="0"/>
          <c:showCatName val="0"/>
          <c:showSerName val="0"/>
          <c:showPercent val="0"/>
          <c:showBubbleSize val="0"/>
        </c:dLbls>
        <c:marker val="1"/>
        <c:smooth val="0"/>
        <c:axId val="1298897408"/>
        <c:axId val="565149040"/>
      </c:lineChart>
      <c:catAx>
        <c:axId val="129889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565149040"/>
        <c:crosses val="autoZero"/>
        <c:auto val="0"/>
        <c:lblAlgn val="ctr"/>
        <c:lblOffset val="100"/>
        <c:noMultiLvlLbl val="0"/>
      </c:catAx>
      <c:valAx>
        <c:axId val="565149040"/>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1298897408"/>
        <c:crosses val="autoZero"/>
        <c:crossBetween val="between"/>
      </c:valAx>
      <c:valAx>
        <c:axId val="1437979024"/>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1427911424"/>
        <c:crosses val="max"/>
        <c:crossBetween val="between"/>
      </c:valAx>
      <c:catAx>
        <c:axId val="1427911424"/>
        <c:scaling>
          <c:orientation val="minMax"/>
        </c:scaling>
        <c:delete val="1"/>
        <c:axPos val="b"/>
        <c:numFmt formatCode="General" sourceLinked="1"/>
        <c:majorTickMark val="out"/>
        <c:minorTickMark val="none"/>
        <c:tickLblPos val="nextTo"/>
        <c:crossAx val="14379790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b="1" i="0" baseline="0">
          <a:solidFill>
            <a:schemeClr val="accent5">
              <a:lumMod val="50000"/>
            </a:schemeClr>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Calculations!$F$108</c:f>
              <c:strCache>
                <c:ptCount val="1"/>
                <c:pt idx="0">
                  <c:v>Fiscal YOY</c:v>
                </c:pt>
              </c:strCache>
            </c:strRef>
          </c:tx>
          <c:spPr>
            <a:solidFill>
              <a:srgbClr val="002060"/>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Calculations!$F$109:$F$114</c:f>
              <c:numCache>
                <c:formatCode>0%</c:formatCode>
                <c:ptCount val="6"/>
                <c:pt idx="0">
                  <c:v>0</c:v>
                </c:pt>
                <c:pt idx="1">
                  <c:v>1.4661686246654391</c:v>
                </c:pt>
                <c:pt idx="2">
                  <c:v>0.17298134411404062</c:v>
                </c:pt>
                <c:pt idx="3">
                  <c:v>-5.069249872393973E-2</c:v>
                </c:pt>
                <c:pt idx="4">
                  <c:v>7.8715151162042626E-2</c:v>
                </c:pt>
                <c:pt idx="5">
                  <c:v>-0.4092870924800901</c:v>
                </c:pt>
              </c:numCache>
            </c:numRef>
          </c:val>
          <c:extLst>
            <c:ext xmlns:c16="http://schemas.microsoft.com/office/drawing/2014/chart" uri="{C3380CC4-5D6E-409C-BE32-E72D297353CC}">
              <c16:uniqueId val="{00000000-B594-47DF-87F4-703F8BADF9D2}"/>
            </c:ext>
          </c:extLst>
        </c:ser>
        <c:ser>
          <c:idx val="1"/>
          <c:order val="1"/>
          <c:tx>
            <c:strRef>
              <c:f>Calculations!$G$108</c:f>
              <c:strCache>
                <c:ptCount val="1"/>
                <c:pt idx="0">
                  <c:v>Calendar YOY</c:v>
                </c:pt>
              </c:strCache>
            </c:strRef>
          </c:tx>
          <c:spPr>
            <a:solidFill>
              <a:schemeClr val="accent6">
                <a:lumMod val="20000"/>
                <a:lumOff val="80000"/>
              </a:schemeClr>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Calculations!$G$109:$G$114</c:f>
              <c:numCache>
                <c:formatCode>0.00%</c:formatCode>
                <c:ptCount val="6"/>
                <c:pt idx="0">
                  <c:v>0</c:v>
                </c:pt>
                <c:pt idx="1">
                  <c:v>0.74557832447374683</c:v>
                </c:pt>
                <c:pt idx="2">
                  <c:v>0.11234825852314094</c:v>
                </c:pt>
                <c:pt idx="3">
                  <c:v>-3.4634771376583225E-2</c:v>
                </c:pt>
                <c:pt idx="4">
                  <c:v>5.7493814100394322E-2</c:v>
                </c:pt>
                <c:pt idx="5">
                  <c:v>-0.62895229073043868</c:v>
                </c:pt>
              </c:numCache>
            </c:numRef>
          </c:val>
          <c:extLst>
            <c:ext xmlns:c16="http://schemas.microsoft.com/office/drawing/2014/chart" uri="{C3380CC4-5D6E-409C-BE32-E72D297353CC}">
              <c16:uniqueId val="{00000001-B594-47DF-87F4-703F8BADF9D2}"/>
            </c:ext>
          </c:extLst>
        </c:ser>
        <c:dLbls>
          <c:showLegendKey val="0"/>
          <c:showVal val="0"/>
          <c:showCatName val="0"/>
          <c:showSerName val="0"/>
          <c:showPercent val="0"/>
          <c:showBubbleSize val="0"/>
        </c:dLbls>
        <c:gapWidth val="109"/>
        <c:axId val="377344015"/>
        <c:axId val="377344975"/>
      </c:barChart>
      <c:catAx>
        <c:axId val="37734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377344975"/>
        <c:crosses val="autoZero"/>
        <c:auto val="0"/>
        <c:lblAlgn val="ctr"/>
        <c:lblOffset val="100"/>
        <c:tickMarkSkip val="5"/>
        <c:noMultiLvlLbl val="0"/>
      </c:catAx>
      <c:valAx>
        <c:axId val="37734497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5">
                    <a:lumMod val="50000"/>
                  </a:schemeClr>
                </a:solidFill>
                <a:latin typeface="+mn-lt"/>
                <a:ea typeface="+mn-ea"/>
                <a:cs typeface="+mn-cs"/>
              </a:defRPr>
            </a:pPr>
            <a:endParaRPr lang="en-US"/>
          </a:p>
        </c:txPr>
        <c:crossAx val="377344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accent5">
                  <a:lumMod val="5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[Tax_data_analysis.xlsm]Calculations!Top Tax Category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Calculations!$C$14</c:f>
              <c:strCache>
                <c:ptCount val="1"/>
                <c:pt idx="0">
                  <c:v>Total</c:v>
                </c:pt>
              </c:strCache>
            </c:strRef>
          </c:tx>
          <c:spPr>
            <a:solidFill>
              <a:schemeClr val="accent5">
                <a:lumMod val="50000"/>
              </a:schemeClr>
            </a:solidFill>
            <a:ln>
              <a:noFill/>
            </a:ln>
            <a:effectLst/>
          </c:spPr>
          <c:invertIfNegative val="0"/>
          <c:cat>
            <c:strRef>
              <c:f>Calculations!$B$15:$B$18</c:f>
              <c:strCache>
                <c:ptCount val="3"/>
                <c:pt idx="0">
                  <c:v>IRS Non-Tax</c:v>
                </c:pt>
                <c:pt idx="1">
                  <c:v>IRS Tax</c:v>
                </c:pt>
                <c:pt idx="2">
                  <c:v>Non-Tax</c:v>
                </c:pt>
              </c:strCache>
            </c:strRef>
          </c:cat>
          <c:val>
            <c:numRef>
              <c:f>Calculations!$C$15:$C$18</c:f>
              <c:numCache>
                <c:formatCode>"$"#,##0,,," B"</c:formatCode>
                <c:ptCount val="3"/>
                <c:pt idx="0">
                  <c:v>71784554.799999997</c:v>
                </c:pt>
                <c:pt idx="1">
                  <c:v>3025840892763.0581</c:v>
                </c:pt>
                <c:pt idx="2">
                  <c:v>457544837423.95032</c:v>
                </c:pt>
              </c:numCache>
            </c:numRef>
          </c:val>
          <c:extLst>
            <c:ext xmlns:c16="http://schemas.microsoft.com/office/drawing/2014/chart" uri="{C3380CC4-5D6E-409C-BE32-E72D297353CC}">
              <c16:uniqueId val="{00000000-4713-47F1-BC47-4B76DEA8147D}"/>
            </c:ext>
          </c:extLst>
        </c:ser>
        <c:dLbls>
          <c:showLegendKey val="0"/>
          <c:showVal val="0"/>
          <c:showCatName val="0"/>
          <c:showSerName val="0"/>
          <c:showPercent val="0"/>
          <c:showBubbleSize val="0"/>
        </c:dLbls>
        <c:gapWidth val="219"/>
        <c:overlap val="-27"/>
        <c:axId val="280333951"/>
        <c:axId val="280354111"/>
      </c:barChart>
      <c:catAx>
        <c:axId val="2803339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280354111"/>
        <c:crosses val="autoZero"/>
        <c:auto val="1"/>
        <c:lblAlgn val="ctr"/>
        <c:lblOffset val="100"/>
        <c:noMultiLvlLbl val="0"/>
      </c:catAx>
      <c:valAx>
        <c:axId val="280354111"/>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[Tax_data_analysis.xlsm]Calculations!electronic</c:name>
    <c:fmtId val="7"/>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5">
              <a:shade val="58000"/>
            </a:schemeClr>
          </a:solidFill>
          <a:ln w="19050">
            <a:solidFill>
              <a:schemeClr val="lt1"/>
            </a:solidFill>
          </a:ln>
          <a:effectLst/>
        </c:spPr>
      </c:pivotFmt>
      <c:pivotFmt>
        <c:idx val="8"/>
        <c:spPr>
          <a:solidFill>
            <a:schemeClr val="accent5">
              <a:shade val="86000"/>
            </a:schemeClr>
          </a:solidFill>
          <a:ln w="19050">
            <a:solidFill>
              <a:schemeClr val="lt1"/>
            </a:solidFill>
          </a:ln>
          <a:effectLst/>
        </c:spPr>
      </c:pivotFmt>
      <c:pivotFmt>
        <c:idx val="9"/>
        <c:spPr>
          <a:solidFill>
            <a:schemeClr val="accent5">
              <a:tint val="86000"/>
            </a:schemeClr>
          </a:solidFill>
          <a:ln w="19050">
            <a:solidFill>
              <a:schemeClr val="lt1"/>
            </a:solidFill>
          </a:ln>
          <a:effectLst/>
        </c:spPr>
      </c:pivotFmt>
      <c:pivotFmt>
        <c:idx val="10"/>
        <c:spPr>
          <a:solidFill>
            <a:schemeClr val="accent5">
              <a:tint val="58000"/>
            </a:schemeClr>
          </a:solidFill>
          <a:ln w="19050">
            <a:solidFill>
              <a:schemeClr val="lt1"/>
            </a:solidFill>
          </a:ln>
          <a:effectLst/>
        </c:spPr>
      </c:pivotFmt>
    </c:pivotFmts>
    <c:plotArea>
      <c:layout>
        <c:manualLayout>
          <c:layoutTarget val="inner"/>
          <c:xMode val="edge"/>
          <c:yMode val="edge"/>
          <c:x val="0.2064130117793247"/>
          <c:y val="6.8343381464237948E-2"/>
          <c:w val="0.58717397644135061"/>
          <c:h val="0.66237064372403032"/>
        </c:manualLayout>
      </c:layout>
      <c:doughnutChart>
        <c:varyColors val="1"/>
        <c:ser>
          <c:idx val="0"/>
          <c:order val="0"/>
          <c:tx>
            <c:strRef>
              <c:f>Calculations!$D$58</c:f>
              <c:strCache>
                <c:ptCount val="1"/>
                <c:pt idx="0">
                  <c:v>Total</c:v>
                </c:pt>
              </c:strCache>
            </c:strRef>
          </c:tx>
          <c:dPt>
            <c:idx val="0"/>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1-A691-4C02-B230-7CD37A41C163}"/>
              </c:ext>
            </c:extLst>
          </c:dPt>
          <c:dPt>
            <c:idx val="1"/>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3-A691-4C02-B230-7CD37A41C163}"/>
              </c:ext>
            </c:extLst>
          </c:dPt>
          <c:dPt>
            <c:idx val="2"/>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5-A691-4C02-B230-7CD37A41C163}"/>
              </c:ext>
            </c:extLst>
          </c:dPt>
          <c:dPt>
            <c:idx val="3"/>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7-A691-4C02-B230-7CD37A41C163}"/>
              </c:ext>
            </c:extLst>
          </c:dPt>
          <c:dLbls>
            <c:spPr>
              <a:noFill/>
              <a:ln>
                <a:noFill/>
              </a:ln>
              <a:effectLst/>
            </c:spPr>
            <c:txPr>
              <a:bodyPr rot="0" spcFirstLastPara="1" vertOverflow="ellipsis" vert="horz" wrap="square" lIns="38100" tIns="19050" rIns="38100" bIns="19050" anchor="b"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Calculations!$C$59:$C$63</c:f>
              <c:strCache>
                <c:ptCount val="4"/>
                <c:pt idx="0">
                  <c:v>Electronic Settlement</c:v>
                </c:pt>
                <c:pt idx="1">
                  <c:v>Fully Electronic - All</c:v>
                </c:pt>
                <c:pt idx="2">
                  <c:v>Fully Electronic - FS</c:v>
                </c:pt>
                <c:pt idx="3">
                  <c:v>Non-Electronic</c:v>
                </c:pt>
              </c:strCache>
            </c:strRef>
          </c:cat>
          <c:val>
            <c:numRef>
              <c:f>Calculations!$D$59:$D$63</c:f>
              <c:numCache>
                <c:formatCode>General</c:formatCode>
                <c:ptCount val="4"/>
                <c:pt idx="0">
                  <c:v>407</c:v>
                </c:pt>
                <c:pt idx="1">
                  <c:v>815</c:v>
                </c:pt>
                <c:pt idx="2">
                  <c:v>406</c:v>
                </c:pt>
                <c:pt idx="3">
                  <c:v>361</c:v>
                </c:pt>
              </c:numCache>
            </c:numRef>
          </c:val>
          <c:extLst>
            <c:ext xmlns:c16="http://schemas.microsoft.com/office/drawing/2014/chart" uri="{C3380CC4-5D6E-409C-BE32-E72D297353CC}">
              <c16:uniqueId val="{00000008-A691-4C02-B230-7CD37A41C16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0"/>
          <c:order val="0"/>
          <c:tx>
            <c:strRef>
              <c:f>Calculations!$F$75</c:f>
              <c:strCache>
                <c:ptCount val="1"/>
                <c:pt idx="0">
                  <c:v>Count of Record Date</c:v>
                </c:pt>
              </c:strCache>
            </c:strRef>
          </c:tx>
          <c:spPr>
            <a:solidFill>
              <a:schemeClr val="accent5"/>
            </a:solidFill>
            <a:ln>
              <a:noFill/>
            </a:ln>
            <a:effectLst/>
          </c:spPr>
          <c:invertIfNegative val="0"/>
          <c:dPt>
            <c:idx val="0"/>
            <c:invertIfNegative val="0"/>
            <c:bubble3D val="0"/>
            <c:spPr>
              <a:solidFill>
                <a:schemeClr val="accent5">
                  <a:lumMod val="75000"/>
                </a:schemeClr>
              </a:solidFill>
              <a:ln>
                <a:noFill/>
              </a:ln>
              <a:effectLst/>
            </c:spPr>
            <c:extLst>
              <c:ext xmlns:c16="http://schemas.microsoft.com/office/drawing/2014/chart" uri="{C3380CC4-5D6E-409C-BE32-E72D297353CC}">
                <c16:uniqueId val="{00000002-4BC0-4230-907A-AE6A08B41AA0}"/>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3-4BC0-4230-907A-AE6A08B41AA0}"/>
              </c:ext>
            </c:extLst>
          </c:dPt>
          <c:dPt>
            <c:idx val="2"/>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4-4BC0-4230-907A-AE6A08B41AA0}"/>
              </c:ext>
            </c:extLst>
          </c:dPt>
          <c:dPt>
            <c:idx val="3"/>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5-4BC0-4230-907A-AE6A08B41AA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rgbClr val="00206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Calculations!$E$76:$E$81</c:f>
              <c:strCache>
                <c:ptCount val="4"/>
                <c:pt idx="0">
                  <c:v>OTC</c:v>
                </c:pt>
                <c:pt idx="1">
                  <c:v>Internet</c:v>
                </c:pt>
                <c:pt idx="2">
                  <c:v>Mail</c:v>
                </c:pt>
                <c:pt idx="3">
                  <c:v>Bank</c:v>
                </c:pt>
              </c:strCache>
            </c:strRef>
          </c:cat>
          <c:val>
            <c:numRef>
              <c:f>Calculations!$F$76:$F$81</c:f>
              <c:numCache>
                <c:formatCode>General</c:formatCode>
                <c:ptCount val="6"/>
                <c:pt idx="0">
                  <c:v>949</c:v>
                </c:pt>
                <c:pt idx="1">
                  <c:v>408</c:v>
                </c:pt>
                <c:pt idx="2">
                  <c:v>361</c:v>
                </c:pt>
                <c:pt idx="3">
                  <c:v>271</c:v>
                </c:pt>
              </c:numCache>
            </c:numRef>
          </c:val>
          <c:extLst>
            <c:ext xmlns:c16="http://schemas.microsoft.com/office/drawing/2014/chart" uri="{C3380CC4-5D6E-409C-BE32-E72D297353CC}">
              <c16:uniqueId val="{00000000-4BC0-4230-907A-AE6A08B41AA0}"/>
            </c:ext>
          </c:extLst>
        </c:ser>
        <c:dLbls>
          <c:showLegendKey val="0"/>
          <c:showVal val="1"/>
          <c:showCatName val="0"/>
          <c:showSerName val="0"/>
          <c:showPercent val="0"/>
          <c:showBubbleSize val="0"/>
        </c:dLbls>
        <c:gapWidth val="15"/>
        <c:overlap val="100"/>
        <c:axId val="2079229584"/>
        <c:axId val="2079237264"/>
      </c:barChart>
      <c:catAx>
        <c:axId val="2079229584"/>
        <c:scaling>
          <c:orientation val="minMax"/>
        </c:scaling>
        <c:delete val="0"/>
        <c:axPos val="b"/>
        <c:numFmt formatCode="General" sourceLinked="1"/>
        <c:majorTickMark val="none"/>
        <c:minorTickMark val="none"/>
        <c:tickLblPos val="nextTo"/>
        <c:spPr>
          <a:noFill/>
          <a:ln w="19050" cap="flat" cmpd="sng" algn="ctr">
            <a:noFill/>
            <a:round/>
          </a:ln>
          <a:effectLst/>
        </c:spPr>
        <c:txPr>
          <a:bodyPr rot="-60000000" spcFirstLastPara="1" vertOverflow="ellipsis" vert="horz" wrap="square" anchor="ctr" anchorCtr="1"/>
          <a:lstStyle/>
          <a:p>
            <a:pPr>
              <a:defRPr sz="1000" b="1" i="0" u="none" strike="noStrike" baseline="0">
                <a:solidFill>
                  <a:srgbClr val="002060"/>
                </a:solidFill>
                <a:latin typeface="+mn-lt"/>
                <a:ea typeface="+mn-ea"/>
                <a:cs typeface="+mn-cs"/>
              </a:defRPr>
            </a:pPr>
            <a:endParaRPr lang="en-US"/>
          </a:p>
        </c:txPr>
        <c:crossAx val="2079237264"/>
        <c:crosses val="autoZero"/>
        <c:auto val="1"/>
        <c:lblAlgn val="ctr"/>
        <c:lblOffset val="100"/>
        <c:noMultiLvlLbl val="0"/>
      </c:catAx>
      <c:valAx>
        <c:axId val="2079237264"/>
        <c:scaling>
          <c:orientation val="minMax"/>
        </c:scaling>
        <c:delete val="1"/>
        <c:axPos val="l"/>
        <c:numFmt formatCode="General" sourceLinked="1"/>
        <c:majorTickMark val="none"/>
        <c:minorTickMark val="none"/>
        <c:tickLblPos val="nextTo"/>
        <c:crossAx val="207922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2"/>
          <c:tx>
            <c:strRef>
              <c:f>Calculations!$N$24</c:f>
              <c:strCache>
                <c:ptCount val="1"/>
                <c:pt idx="0">
                  <c:v>Quarterly Final</c:v>
                </c:pt>
              </c:strCache>
            </c:strRef>
          </c:tx>
          <c:spPr>
            <a:solidFill>
              <a:schemeClr val="accent5"/>
            </a:solidFill>
            <a:ln>
              <a:noFill/>
            </a:ln>
            <a:effectLst/>
          </c:spPr>
          <c:invertIfNegative val="0"/>
          <c:dPt>
            <c:idx val="0"/>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1-A78E-4D7A-B257-DA96922E949C}"/>
              </c:ext>
            </c:extLst>
          </c:dPt>
          <c:dPt>
            <c:idx val="1"/>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3-A78E-4D7A-B257-DA96922E949C}"/>
              </c:ext>
            </c:extLst>
          </c:dPt>
          <c:dPt>
            <c:idx val="2"/>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5-A78E-4D7A-B257-DA96922E949C}"/>
              </c:ext>
            </c:extLst>
          </c:dPt>
          <c:dPt>
            <c:idx val="3"/>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7-A78E-4D7A-B257-DA96922E949C}"/>
              </c:ext>
            </c:extLst>
          </c:dPt>
          <c:dPt>
            <c:idx val="4"/>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9-A78E-4D7A-B257-DA96922E949C}"/>
              </c:ext>
            </c:extLst>
          </c:dPt>
          <c:dPt>
            <c:idx val="5"/>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B-A78E-4D7A-B257-DA96922E949C}"/>
              </c:ext>
            </c:extLst>
          </c:dPt>
          <c:dPt>
            <c:idx val="6"/>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D-A78E-4D7A-B257-DA96922E949C}"/>
              </c:ext>
            </c:extLst>
          </c:dPt>
          <c:dPt>
            <c:idx val="7"/>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F-A78E-4D7A-B257-DA96922E949C}"/>
              </c:ext>
            </c:extLst>
          </c:dPt>
          <c:dPt>
            <c:idx val="8"/>
            <c:invertIfNegative val="0"/>
            <c:bubble3D val="0"/>
            <c:spPr>
              <a:solidFill>
                <a:schemeClr val="accent5"/>
              </a:solidFill>
              <a:ln>
                <a:solidFill>
                  <a:schemeClr val="accent5">
                    <a:lumMod val="50000"/>
                  </a:schemeClr>
                </a:solidFill>
              </a:ln>
              <a:effectLst/>
            </c:spPr>
            <c:extLst>
              <c:ext xmlns:c16="http://schemas.microsoft.com/office/drawing/2014/chart" uri="{C3380CC4-5D6E-409C-BE32-E72D297353CC}">
                <c16:uniqueId val="{00000011-A78E-4D7A-B257-DA96922E949C}"/>
              </c:ext>
            </c:extLst>
          </c:dPt>
          <c:dPt>
            <c:idx val="9"/>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3-A78E-4D7A-B257-DA96922E949C}"/>
              </c:ext>
            </c:extLst>
          </c:dPt>
          <c:dPt>
            <c:idx val="10"/>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5-A78E-4D7A-B257-DA96922E949C}"/>
              </c:ext>
            </c:extLst>
          </c:dPt>
          <c:dPt>
            <c:idx val="11"/>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7-A78E-4D7A-B257-DA96922E949C}"/>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Q1 = </a:t>
                    </a:r>
                    <a:fld id="{49803FDA-D2AB-4FF1-A9C6-1EADA5787B93}" type="VALUE">
                      <a:rPr lang="en-US" sz="1000" baseline="0">
                        <a:solidFill>
                          <a:schemeClr val="accent5">
                            <a:lumMod val="50000"/>
                          </a:schemeClr>
                        </a:solidFill>
                      </a:rPr>
                      <a:pPr>
                        <a:defRPr sz="1000" b="1">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736189866750174"/>
                      <c:h val="5.7599910173286785E-2"/>
                    </c:manualLayout>
                  </c15:layout>
                  <c15:dlblFieldTable/>
                  <c15:showDataLabelsRange val="0"/>
                </c:ext>
                <c:ext xmlns:c16="http://schemas.microsoft.com/office/drawing/2014/chart" uri="{C3380CC4-5D6E-409C-BE32-E72D297353CC}">
                  <c16:uniqueId val="{00000001-A78E-4D7A-B257-DA96922E949C}"/>
                </c:ext>
              </c:extLst>
            </c:dLbl>
            <c:dLbl>
              <c:idx val="1"/>
              <c:delete val="1"/>
              <c:extLst>
                <c:ext xmlns:c15="http://schemas.microsoft.com/office/drawing/2012/chart" uri="{CE6537A1-D6FC-4f65-9D91-7224C49458BB}"/>
                <c:ext xmlns:c16="http://schemas.microsoft.com/office/drawing/2014/chart" uri="{C3380CC4-5D6E-409C-BE32-E72D297353CC}">
                  <c16:uniqueId val="{00000003-A78E-4D7A-B257-DA96922E949C}"/>
                </c:ext>
              </c:extLst>
            </c:dLbl>
            <c:dLbl>
              <c:idx val="2"/>
              <c:delete val="1"/>
              <c:extLst>
                <c:ext xmlns:c15="http://schemas.microsoft.com/office/drawing/2012/chart" uri="{CE6537A1-D6FC-4f65-9D91-7224C49458BB}"/>
                <c:ext xmlns:c16="http://schemas.microsoft.com/office/drawing/2014/chart" uri="{C3380CC4-5D6E-409C-BE32-E72D297353CC}">
                  <c16:uniqueId val="{00000005-A78E-4D7A-B257-DA96922E949C}"/>
                </c:ext>
              </c:extLst>
            </c:dLbl>
            <c:dLbl>
              <c:idx val="3"/>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Q2 = </a:t>
                    </a:r>
                    <a:fld id="{125F3D0E-349C-4930-A73E-82E4A20B4054}" type="VALUE">
                      <a:rPr lang="en-US" sz="1000" baseline="0">
                        <a:solidFill>
                          <a:schemeClr val="accent5">
                            <a:lumMod val="50000"/>
                          </a:schemeClr>
                        </a:solidFill>
                      </a:rPr>
                      <a:pPr>
                        <a:defRPr sz="1000" b="1">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6.506587390281196E-2"/>
                    </c:manualLayout>
                  </c15:layout>
                  <c15:dlblFieldTable/>
                  <c15:showDataLabelsRange val="0"/>
                </c:ext>
                <c:ext xmlns:c16="http://schemas.microsoft.com/office/drawing/2014/chart" uri="{C3380CC4-5D6E-409C-BE32-E72D297353CC}">
                  <c16:uniqueId val="{00000007-A78E-4D7A-B257-DA96922E949C}"/>
                </c:ext>
              </c:extLst>
            </c:dLbl>
            <c:dLbl>
              <c:idx val="4"/>
              <c:delete val="1"/>
              <c:extLst>
                <c:ext xmlns:c15="http://schemas.microsoft.com/office/drawing/2012/chart" uri="{CE6537A1-D6FC-4f65-9D91-7224C49458BB}"/>
                <c:ext xmlns:c16="http://schemas.microsoft.com/office/drawing/2014/chart" uri="{C3380CC4-5D6E-409C-BE32-E72D297353CC}">
                  <c16:uniqueId val="{00000009-A78E-4D7A-B257-DA96922E949C}"/>
                </c:ext>
              </c:extLst>
            </c:dLbl>
            <c:dLbl>
              <c:idx val="5"/>
              <c:delete val="1"/>
              <c:extLst>
                <c:ext xmlns:c15="http://schemas.microsoft.com/office/drawing/2012/chart" uri="{CE6537A1-D6FC-4f65-9D91-7224C49458BB}"/>
                <c:ext xmlns:c16="http://schemas.microsoft.com/office/drawing/2014/chart" uri="{C3380CC4-5D6E-409C-BE32-E72D297353CC}">
                  <c16:uniqueId val="{0000000B-A78E-4D7A-B257-DA96922E949C}"/>
                </c:ext>
              </c:extLst>
            </c:dLbl>
            <c:dLbl>
              <c:idx val="6"/>
              <c:layout>
                <c:manualLayout>
                  <c:x val="8.4798606231412221E-2"/>
                  <c:y val="-1.4931927459050382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Q3 = </a:t>
                    </a:r>
                    <a:fld id="{E6D9D429-6453-4E5A-928A-65E28A9D85D8}" type="VALUE">
                      <a:rPr lang="en-US" sz="1000" baseline="0">
                        <a:solidFill>
                          <a:schemeClr val="accent5">
                            <a:lumMod val="50000"/>
                          </a:schemeClr>
                        </a:solidFill>
                      </a:rPr>
                      <a:pPr>
                        <a:defRPr sz="1000" b="1">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5.3866928308524194E-2"/>
                    </c:manualLayout>
                  </c15:layout>
                  <c15:dlblFieldTable/>
                  <c15:showDataLabelsRange val="0"/>
                </c:ext>
                <c:ext xmlns:c16="http://schemas.microsoft.com/office/drawing/2014/chart" uri="{C3380CC4-5D6E-409C-BE32-E72D297353CC}">
                  <c16:uniqueId val="{0000000D-A78E-4D7A-B257-DA96922E949C}"/>
                </c:ext>
              </c:extLst>
            </c:dLbl>
            <c:dLbl>
              <c:idx val="7"/>
              <c:delete val="1"/>
              <c:extLst>
                <c:ext xmlns:c15="http://schemas.microsoft.com/office/drawing/2012/chart" uri="{CE6537A1-D6FC-4f65-9D91-7224C49458BB}"/>
                <c:ext xmlns:c16="http://schemas.microsoft.com/office/drawing/2014/chart" uri="{C3380CC4-5D6E-409C-BE32-E72D297353CC}">
                  <c16:uniqueId val="{0000000F-A78E-4D7A-B257-DA96922E949C}"/>
                </c:ext>
              </c:extLst>
            </c:dLbl>
            <c:dLbl>
              <c:idx val="8"/>
              <c:delete val="1"/>
              <c:extLst>
                <c:ext xmlns:c15="http://schemas.microsoft.com/office/drawing/2012/chart" uri="{CE6537A1-D6FC-4f65-9D91-7224C49458BB}"/>
                <c:ext xmlns:c16="http://schemas.microsoft.com/office/drawing/2014/chart" uri="{C3380CC4-5D6E-409C-BE32-E72D297353CC}">
                  <c16:uniqueId val="{00000011-A78E-4D7A-B257-DA96922E949C}"/>
                </c:ext>
              </c:extLst>
            </c:dLbl>
            <c:dLbl>
              <c:idx val="9"/>
              <c:delete val="1"/>
              <c:extLst>
                <c:ext xmlns:c15="http://schemas.microsoft.com/office/drawing/2012/chart" uri="{CE6537A1-D6FC-4f65-9D91-7224C49458BB}"/>
                <c:ext xmlns:c16="http://schemas.microsoft.com/office/drawing/2014/chart" uri="{C3380CC4-5D6E-409C-BE32-E72D297353CC}">
                  <c16:uniqueId val="{00000013-A78E-4D7A-B257-DA96922E949C}"/>
                </c:ext>
              </c:extLst>
            </c:dLbl>
            <c:dLbl>
              <c:idx val="10"/>
              <c:tx>
                <c:rich>
                  <a:bodyPr/>
                  <a:lstStyle/>
                  <a:p>
                    <a:r>
                      <a:rPr lang="en-US"/>
                      <a:t>Q4 = </a:t>
                    </a:r>
                    <a:fld id="{E672A5F7-BFFC-4529-AEBE-A648BD6915BC}"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A78E-4D7A-B257-DA96922E949C}"/>
                </c:ext>
              </c:extLst>
            </c:dLbl>
            <c:dLbl>
              <c:idx val="11"/>
              <c:delete val="1"/>
              <c:extLst>
                <c:ext xmlns:c15="http://schemas.microsoft.com/office/drawing/2012/chart" uri="{CE6537A1-D6FC-4f65-9D91-7224C49458BB}"/>
                <c:ext xmlns:c16="http://schemas.microsoft.com/office/drawing/2014/chart" uri="{C3380CC4-5D6E-409C-BE32-E72D297353CC}">
                  <c16:uniqueId val="{00000017-A78E-4D7A-B257-DA96922E949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Calculations!$N$25:$N$36</c:f>
              <c:numCache>
                <c:formatCode>"$"#,##0,,," B"</c:formatCode>
                <c:ptCount val="12"/>
                <c:pt idx="0">
                  <c:v>1303309729112.1401</c:v>
                </c:pt>
                <c:pt idx="1">
                  <c:v>1303309729112.1401</c:v>
                </c:pt>
                <c:pt idx="2">
                  <c:v>1303309729112.1401</c:v>
                </c:pt>
                <c:pt idx="3">
                  <c:v>1498272278222.0503</c:v>
                </c:pt>
                <c:pt idx="4">
                  <c:v>1498272278222.0503</c:v>
                </c:pt>
                <c:pt idx="5">
                  <c:v>1498272278222.0503</c:v>
                </c:pt>
                <c:pt idx="6">
                  <c:v>2032813696484.4197</c:v>
                </c:pt>
                <c:pt idx="7">
                  <c:v>2032813696484.4197</c:v>
                </c:pt>
                <c:pt idx="8">
                  <c:v>2032813696484.4197</c:v>
                </c:pt>
                <c:pt idx="9">
                  <c:v>2287267183462.9165</c:v>
                </c:pt>
                <c:pt idx="10">
                  <c:v>2287267183462.9165</c:v>
                </c:pt>
                <c:pt idx="11">
                  <c:v>2287267183462.9165</c:v>
                </c:pt>
              </c:numCache>
            </c:numRef>
          </c:val>
          <c:extLst>
            <c:ext xmlns:c16="http://schemas.microsoft.com/office/drawing/2014/chart" uri="{C3380CC4-5D6E-409C-BE32-E72D297353CC}">
              <c16:uniqueId val="{00000018-A78E-4D7A-B257-DA96922E949C}"/>
            </c:ext>
          </c:extLst>
        </c:ser>
        <c:dLbls>
          <c:showLegendKey val="0"/>
          <c:showVal val="1"/>
          <c:showCatName val="0"/>
          <c:showSerName val="0"/>
          <c:showPercent val="0"/>
          <c:showBubbleSize val="0"/>
        </c:dLbls>
        <c:gapWidth val="2"/>
        <c:axId val="1726892207"/>
        <c:axId val="1726898447"/>
      </c:barChart>
      <c:lineChart>
        <c:grouping val="standard"/>
        <c:varyColors val="0"/>
        <c:ser>
          <c:idx val="0"/>
          <c:order val="0"/>
          <c:tx>
            <c:strRef>
              <c:f>Calculations!$I$24</c:f>
              <c:strCache>
                <c:ptCount val="1"/>
                <c:pt idx="0">
                  <c:v>Monthly sum</c:v>
                </c:pt>
              </c:strCache>
            </c:strRef>
          </c:tx>
          <c:spPr>
            <a:ln w="28575" cap="rnd">
              <a:solidFill>
                <a:schemeClr val="accent6">
                  <a:lumMod val="20000"/>
                  <a:lumOff val="80000"/>
                </a:schemeClr>
              </a:solidFill>
              <a:round/>
            </a:ln>
            <a:effectLst/>
          </c:spPr>
          <c:marker>
            <c:symbol val="circle"/>
            <c:size val="5"/>
            <c:spPr>
              <a:solidFill>
                <a:schemeClr val="accent6">
                  <a:lumMod val="50000"/>
                </a:schemeClr>
              </a:solidFill>
              <a:ln w="9525">
                <a:solidFill>
                  <a:schemeClr val="accent2"/>
                </a:solidFill>
              </a:ln>
              <a:effectLst/>
            </c:spPr>
          </c:marker>
          <c:dLbls>
            <c:delete val="1"/>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Calculations!$I$25:$I$36</c:f>
              <c:numCache>
                <c:formatCode>"$"#,##0,,," B"</c:formatCode>
                <c:ptCount val="12"/>
                <c:pt idx="0">
                  <c:v>414463241394.27032</c:v>
                </c:pt>
                <c:pt idx="1">
                  <c:v>368728028088.57983</c:v>
                </c:pt>
                <c:pt idx="2">
                  <c:v>520118459629.2901</c:v>
                </c:pt>
                <c:pt idx="3">
                  <c:v>573557315733.70984</c:v>
                </c:pt>
                <c:pt idx="4">
                  <c:v>416031753930.81012</c:v>
                </c:pt>
                <c:pt idx="5">
                  <c:v>508683208557.53033</c:v>
                </c:pt>
                <c:pt idx="6">
                  <c:v>681875507407.62012</c:v>
                </c:pt>
                <c:pt idx="7">
                  <c:v>0</c:v>
                </c:pt>
                <c:pt idx="8">
                  <c:v>0</c:v>
                </c:pt>
                <c:pt idx="9">
                  <c:v>0</c:v>
                </c:pt>
                <c:pt idx="10">
                  <c:v>0</c:v>
                </c:pt>
                <c:pt idx="11">
                  <c:v>0</c:v>
                </c:pt>
              </c:numCache>
            </c:numRef>
          </c:val>
          <c:smooth val="0"/>
          <c:extLst>
            <c:ext xmlns:c16="http://schemas.microsoft.com/office/drawing/2014/chart" uri="{C3380CC4-5D6E-409C-BE32-E72D297353CC}">
              <c16:uniqueId val="{00000019-A78E-4D7A-B257-DA96922E949C}"/>
            </c:ext>
          </c:extLst>
        </c:ser>
        <c:ser>
          <c:idx val="1"/>
          <c:order val="1"/>
          <c:tx>
            <c:strRef>
              <c:f>Calculations!$J$24</c:f>
              <c:strCache>
                <c:ptCount val="1"/>
                <c:pt idx="0">
                  <c:v>Forecasted monthly Sum</c:v>
                </c:pt>
              </c:strCache>
            </c:strRef>
          </c:tx>
          <c:spPr>
            <a:ln w="28575" cap="rnd">
              <a:solidFill>
                <a:schemeClr val="accent2"/>
              </a:solidFill>
              <a:prstDash val="dash"/>
              <a:round/>
            </a:ln>
            <a:effectLst/>
          </c:spPr>
          <c:marker>
            <c:symbol val="none"/>
          </c:marker>
          <c:dLbls>
            <c:delete val="1"/>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Calculations!$J$25:$J$36</c:f>
              <c:numCache>
                <c:formatCode>"$"#,##0,,," B"</c:formatCode>
                <c:ptCount val="12"/>
                <c:pt idx="0">
                  <c:v>0</c:v>
                </c:pt>
                <c:pt idx="1">
                  <c:v>0</c:v>
                </c:pt>
                <c:pt idx="2">
                  <c:v>0</c:v>
                </c:pt>
                <c:pt idx="3">
                  <c:v>0</c:v>
                </c:pt>
                <c:pt idx="4">
                  <c:v>0</c:v>
                </c:pt>
                <c:pt idx="5">
                  <c:v>0</c:v>
                </c:pt>
                <c:pt idx="6">
                  <c:v>0</c:v>
                </c:pt>
                <c:pt idx="7">
                  <c:v>658078434548.552</c:v>
                </c:pt>
                <c:pt idx="8">
                  <c:v>692859754528.24756</c:v>
                </c:pt>
                <c:pt idx="9">
                  <c:v>727641074507.94324</c:v>
                </c:pt>
                <c:pt idx="10">
                  <c:v>762422394487.63879</c:v>
                </c:pt>
                <c:pt idx="11">
                  <c:v>797203714467.33447</c:v>
                </c:pt>
              </c:numCache>
            </c:numRef>
          </c:val>
          <c:smooth val="0"/>
          <c:extLst>
            <c:ext xmlns:c16="http://schemas.microsoft.com/office/drawing/2014/chart" uri="{C3380CC4-5D6E-409C-BE32-E72D297353CC}">
              <c16:uniqueId val="{0000001A-A78E-4D7A-B257-DA96922E949C}"/>
            </c:ext>
          </c:extLst>
        </c:ser>
        <c:dLbls>
          <c:showLegendKey val="0"/>
          <c:showVal val="1"/>
          <c:showCatName val="0"/>
          <c:showSerName val="0"/>
          <c:showPercent val="0"/>
          <c:showBubbleSize val="0"/>
        </c:dLbls>
        <c:marker val="1"/>
        <c:smooth val="0"/>
        <c:axId val="1726892207"/>
        <c:axId val="1726898447"/>
      </c:lineChart>
      <c:catAx>
        <c:axId val="17268922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726898447"/>
        <c:crosses val="autoZero"/>
        <c:auto val="1"/>
        <c:lblAlgn val="ctr"/>
        <c:lblOffset val="100"/>
        <c:noMultiLvlLbl val="0"/>
      </c:catAx>
      <c:valAx>
        <c:axId val="1726898447"/>
        <c:scaling>
          <c:orientation val="minMax"/>
        </c:scaling>
        <c:delete val="1"/>
        <c:axPos val="l"/>
        <c:numFmt formatCode="&quot;$&quot;#,##0,,,&quot; B&quot;" sourceLinked="1"/>
        <c:majorTickMark val="none"/>
        <c:minorTickMark val="none"/>
        <c:tickLblPos val="nextTo"/>
        <c:crossAx val="1726892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8">
  <a:schemeClr val="accent5"/>
</cs:colorStyle>
</file>

<file path=xl/charts/colors11.xml><?xml version="1.0" encoding="utf-8"?>
<cs:colorStyle xmlns:cs="http://schemas.microsoft.com/office/drawing/2012/chartStyle" xmlns:a="http://schemas.openxmlformats.org/drawingml/2006/main" meth="withinLinearReversed" id="25">
  <a:schemeClr val="accent5"/>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microsoft.com/office/2007/relationships/hdphoto" Target="../media/hdphoto2.wdp"/><Relationship Id="rId13" Type="http://schemas.openxmlformats.org/officeDocument/2006/relationships/chart" Target="../charts/chart11.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10.xml"/><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9.xml"/><Relationship Id="rId5" Type="http://schemas.openxmlformats.org/officeDocument/2006/relationships/image" Target="../media/image5.png"/><Relationship Id="rId10"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342900</xdr:colOff>
      <xdr:row>56</xdr:row>
      <xdr:rowOff>106680</xdr:rowOff>
    </xdr:from>
    <xdr:to>
      <xdr:col>8</xdr:col>
      <xdr:colOff>7620</xdr:colOff>
      <xdr:row>71</xdr:row>
      <xdr:rowOff>106680</xdr:rowOff>
    </xdr:to>
    <xdr:graphicFrame macro="">
      <xdr:nvGraphicFramePr>
        <xdr:cNvPr id="20" name="Chart 19">
          <a:extLst>
            <a:ext uri="{FF2B5EF4-FFF2-40B4-BE49-F238E27FC236}">
              <a16:creationId xmlns:a16="http://schemas.microsoft.com/office/drawing/2014/main" id="{079D0D9B-3777-E2A2-2112-A1D1F0E6C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73</xdr:row>
      <xdr:rowOff>45720</xdr:rowOff>
    </xdr:from>
    <xdr:to>
      <xdr:col>13</xdr:col>
      <xdr:colOff>403860</xdr:colOff>
      <xdr:row>88</xdr:row>
      <xdr:rowOff>45720</xdr:rowOff>
    </xdr:to>
    <xdr:graphicFrame macro="">
      <xdr:nvGraphicFramePr>
        <xdr:cNvPr id="22" name="Chart 21">
          <a:extLst>
            <a:ext uri="{FF2B5EF4-FFF2-40B4-BE49-F238E27FC236}">
              <a16:creationId xmlns:a16="http://schemas.microsoft.com/office/drawing/2014/main" id="{70BFA736-ACCB-6391-F486-FA63DAD0E3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358140</xdr:colOff>
      <xdr:row>114</xdr:row>
      <xdr:rowOff>114300</xdr:rowOff>
    </xdr:from>
    <xdr:to>
      <xdr:col>6</xdr:col>
      <xdr:colOff>1051560</xdr:colOff>
      <xdr:row>129</xdr:row>
      <xdr:rowOff>114300</xdr:rowOff>
    </xdr:to>
    <xdr:graphicFrame macro="">
      <xdr:nvGraphicFramePr>
        <xdr:cNvPr id="26" name="Chart 25">
          <a:extLst>
            <a:ext uri="{FF2B5EF4-FFF2-40B4-BE49-F238E27FC236}">
              <a16:creationId xmlns:a16="http://schemas.microsoft.com/office/drawing/2014/main" id="{5D06D9E4-AFE0-C5A0-CCB9-8132F32FA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60511</xdr:colOff>
      <xdr:row>89</xdr:row>
      <xdr:rowOff>152401</xdr:rowOff>
    </xdr:from>
    <xdr:to>
      <xdr:col>24</xdr:col>
      <xdr:colOff>115644</xdr:colOff>
      <xdr:row>104</xdr:row>
      <xdr:rowOff>18826</xdr:rowOff>
    </xdr:to>
    <xdr:graphicFrame macro="">
      <xdr:nvGraphicFramePr>
        <xdr:cNvPr id="32" name="Chart 31">
          <a:extLst>
            <a:ext uri="{FF2B5EF4-FFF2-40B4-BE49-F238E27FC236}">
              <a16:creationId xmlns:a16="http://schemas.microsoft.com/office/drawing/2014/main" id="{EF415F17-E58E-ACFE-23D5-66B379EFD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515023</xdr:colOff>
      <xdr:row>1</xdr:row>
      <xdr:rowOff>106232</xdr:rowOff>
    </xdr:from>
    <xdr:to>
      <xdr:col>8</xdr:col>
      <xdr:colOff>96371</xdr:colOff>
      <xdr:row>10</xdr:row>
      <xdr:rowOff>106232</xdr:rowOff>
    </xdr:to>
    <xdr:graphicFrame macro="">
      <xdr:nvGraphicFramePr>
        <xdr:cNvPr id="34" name="Chart 33">
          <a:extLst>
            <a:ext uri="{FF2B5EF4-FFF2-40B4-BE49-F238E27FC236}">
              <a16:creationId xmlns:a16="http://schemas.microsoft.com/office/drawing/2014/main" id="{9549D804-C48F-781C-7425-BBD1B2C370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40340</xdr:colOff>
      <xdr:row>37</xdr:row>
      <xdr:rowOff>138953</xdr:rowOff>
    </xdr:from>
    <xdr:to>
      <xdr:col>13</xdr:col>
      <xdr:colOff>331693</xdr:colOff>
      <xdr:row>56</xdr:row>
      <xdr:rowOff>134470</xdr:rowOff>
    </xdr:to>
    <xdr:graphicFrame macro="">
      <xdr:nvGraphicFramePr>
        <xdr:cNvPr id="2" name="Chart 1">
          <a:extLst>
            <a:ext uri="{FF2B5EF4-FFF2-40B4-BE49-F238E27FC236}">
              <a16:creationId xmlns:a16="http://schemas.microsoft.com/office/drawing/2014/main" id="{0400184E-0D98-E406-8B7A-218334B03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15240</xdr:rowOff>
    </xdr:from>
    <xdr:to>
      <xdr:col>19</xdr:col>
      <xdr:colOff>205740</xdr:colOff>
      <xdr:row>45</xdr:row>
      <xdr:rowOff>38100</xdr:rowOff>
    </xdr:to>
    <xdr:sp macro="" textlink="">
      <xdr:nvSpPr>
        <xdr:cNvPr id="2" name="Rectangle: Rounded Corners 1">
          <a:extLst>
            <a:ext uri="{FF2B5EF4-FFF2-40B4-BE49-F238E27FC236}">
              <a16:creationId xmlns:a16="http://schemas.microsoft.com/office/drawing/2014/main" id="{4015D1BC-11D9-5441-BD9F-FD18E02CF5A8}"/>
            </a:ext>
          </a:extLst>
        </xdr:cNvPr>
        <xdr:cNvSpPr/>
      </xdr:nvSpPr>
      <xdr:spPr>
        <a:xfrm>
          <a:off x="0" y="198120"/>
          <a:ext cx="11788140" cy="8069580"/>
        </a:xfrm>
        <a:prstGeom prst="roundRect">
          <a:avLst>
            <a:gd name="adj" fmla="val 2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1</xdr:row>
      <xdr:rowOff>60960</xdr:rowOff>
    </xdr:from>
    <xdr:to>
      <xdr:col>2</xdr:col>
      <xdr:colOff>563880</xdr:colOff>
      <xdr:row>6</xdr:row>
      <xdr:rowOff>42672</xdr:rowOff>
    </xdr:to>
    <xdr:sp macro="" textlink="">
      <xdr:nvSpPr>
        <xdr:cNvPr id="3" name="Rectangle: Rounded Corners 2">
          <a:extLst>
            <a:ext uri="{FF2B5EF4-FFF2-40B4-BE49-F238E27FC236}">
              <a16:creationId xmlns:a16="http://schemas.microsoft.com/office/drawing/2014/main" id="{13D646E7-28D9-09B9-5FE3-9E784359CD1C}"/>
            </a:ext>
          </a:extLst>
        </xdr:cNvPr>
        <xdr:cNvSpPr/>
      </xdr:nvSpPr>
      <xdr:spPr>
        <a:xfrm>
          <a:off x="83820" y="60960"/>
          <a:ext cx="1699260" cy="896112"/>
        </a:xfrm>
        <a:prstGeom prst="roundRect">
          <a:avLst>
            <a:gd name="adj" fmla="val 561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594360</xdr:colOff>
      <xdr:row>1</xdr:row>
      <xdr:rowOff>76200</xdr:rowOff>
    </xdr:from>
    <xdr:to>
      <xdr:col>19</xdr:col>
      <xdr:colOff>121920</xdr:colOff>
      <xdr:row>6</xdr:row>
      <xdr:rowOff>60960</xdr:rowOff>
    </xdr:to>
    <xdr:sp macro="" textlink="">
      <xdr:nvSpPr>
        <xdr:cNvPr id="4" name="Rectangle: Rounded Corners 3">
          <a:extLst>
            <a:ext uri="{FF2B5EF4-FFF2-40B4-BE49-F238E27FC236}">
              <a16:creationId xmlns:a16="http://schemas.microsoft.com/office/drawing/2014/main" id="{AC2A4A56-0E9B-4C31-8A52-2675FFF781EF}"/>
            </a:ext>
          </a:extLst>
        </xdr:cNvPr>
        <xdr:cNvSpPr/>
      </xdr:nvSpPr>
      <xdr:spPr>
        <a:xfrm>
          <a:off x="1813560" y="76200"/>
          <a:ext cx="9890760" cy="899160"/>
        </a:xfrm>
        <a:prstGeom prst="roundRect">
          <a:avLst>
            <a:gd name="adj" fmla="val 6498"/>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3200" b="1" baseline="0">
              <a:solidFill>
                <a:srgbClr val="002060"/>
              </a:solidFill>
            </a:rPr>
            <a:t>    </a:t>
          </a:r>
          <a:r>
            <a:rPr lang="en-IN" sz="3200" b="1">
              <a:solidFill>
                <a:srgbClr val="002060"/>
              </a:solidFill>
            </a:rPr>
            <a:t>FEDERAL REVENUE</a:t>
          </a:r>
          <a:r>
            <a:rPr lang="en-IN" sz="3200" b="1" baseline="0">
              <a:solidFill>
                <a:srgbClr val="002060"/>
              </a:solidFill>
            </a:rPr>
            <a:t> COLLECTION DASHBOARD </a:t>
          </a:r>
        </a:p>
        <a:p>
          <a:pPr algn="ctr"/>
          <a:r>
            <a:rPr lang="en-IN" sz="1400" i="1">
              <a:solidFill>
                <a:srgbClr val="002060"/>
              </a:solidFill>
            </a:rPr>
            <a:t>-Based on U.S. Treasury Fiscal Data (2020–2025)</a:t>
          </a:r>
          <a:endParaRPr lang="en-IN" sz="1400" b="1" i="1">
            <a:solidFill>
              <a:srgbClr val="002060"/>
            </a:solidFill>
          </a:endParaRPr>
        </a:p>
      </xdr:txBody>
    </xdr:sp>
    <xdr:clientData/>
  </xdr:twoCellAnchor>
  <xdr:twoCellAnchor editAs="oneCell">
    <xdr:from>
      <xdr:col>0</xdr:col>
      <xdr:colOff>86665</xdr:colOff>
      <xdr:row>1</xdr:row>
      <xdr:rowOff>121920</xdr:rowOff>
    </xdr:from>
    <xdr:to>
      <xdr:col>2</xdr:col>
      <xdr:colOff>419100</xdr:colOff>
      <xdr:row>5</xdr:row>
      <xdr:rowOff>22860</xdr:rowOff>
    </xdr:to>
    <xdr:pic>
      <xdr:nvPicPr>
        <xdr:cNvPr id="6" name="Picture 5">
          <a:extLst>
            <a:ext uri="{FF2B5EF4-FFF2-40B4-BE49-F238E27FC236}">
              <a16:creationId xmlns:a16="http://schemas.microsoft.com/office/drawing/2014/main" id="{33D16BFA-68EF-A3AE-3EFD-B259467E20AE}"/>
            </a:ext>
          </a:extLst>
        </xdr:cNvPr>
        <xdr:cNvPicPr>
          <a:picLocks noChangeAspect="1"/>
        </xdr:cNvPicPr>
      </xdr:nvPicPr>
      <xdr:blipFill rotWithShape="1">
        <a:blip xmlns:r="http://schemas.openxmlformats.org/officeDocument/2006/relationships" r:embed="rId1"/>
        <a:srcRect t="18825" r="9360" b="26580"/>
        <a:stretch/>
      </xdr:blipFill>
      <xdr:spPr>
        <a:xfrm>
          <a:off x="86665" y="121920"/>
          <a:ext cx="1551635" cy="632460"/>
        </a:xfrm>
        <a:prstGeom prst="rect">
          <a:avLst/>
        </a:prstGeom>
      </xdr:spPr>
    </xdr:pic>
    <xdr:clientData/>
  </xdr:twoCellAnchor>
  <xdr:twoCellAnchor editAs="oneCell">
    <xdr:from>
      <xdr:col>16</xdr:col>
      <xdr:colOff>579121</xdr:colOff>
      <xdr:row>1</xdr:row>
      <xdr:rowOff>137161</xdr:rowOff>
    </xdr:from>
    <xdr:to>
      <xdr:col>17</xdr:col>
      <xdr:colOff>525781</xdr:colOff>
      <xdr:row>4</xdr:row>
      <xdr:rowOff>144781</xdr:rowOff>
    </xdr:to>
    <xdr:pic macro="[0]!Refresh">
      <xdr:nvPicPr>
        <xdr:cNvPr id="7" name="Picture 6">
          <a:extLst>
            <a:ext uri="{FF2B5EF4-FFF2-40B4-BE49-F238E27FC236}">
              <a16:creationId xmlns:a16="http://schemas.microsoft.com/office/drawing/2014/main" id="{718822FF-399D-9DBB-4386-7D3507CF3A85}"/>
            </a:ext>
          </a:extLst>
        </xdr:cNvPr>
        <xdr:cNvPicPr>
          <a:picLocks noChangeAspect="1"/>
        </xdr:cNvPicPr>
      </xdr:nvPicPr>
      <xdr:blipFill>
        <a:blip xmlns:r="http://schemas.openxmlformats.org/officeDocument/2006/relationships" r:embed="rId2"/>
        <a:stretch>
          <a:fillRect/>
        </a:stretch>
      </xdr:blipFill>
      <xdr:spPr>
        <a:xfrm>
          <a:off x="10332721" y="137161"/>
          <a:ext cx="556260" cy="556260"/>
        </a:xfrm>
        <a:prstGeom prst="rect">
          <a:avLst/>
        </a:prstGeom>
      </xdr:spPr>
    </xdr:pic>
    <xdr:clientData/>
  </xdr:twoCellAnchor>
  <xdr:twoCellAnchor editAs="oneCell">
    <xdr:from>
      <xdr:col>18</xdr:col>
      <xdr:colOff>53340</xdr:colOff>
      <xdr:row>2</xdr:row>
      <xdr:rowOff>7621</xdr:rowOff>
    </xdr:from>
    <xdr:to>
      <xdr:col>18</xdr:col>
      <xdr:colOff>411480</xdr:colOff>
      <xdr:row>4</xdr:row>
      <xdr:rowOff>112547</xdr:rowOff>
    </xdr:to>
    <xdr:pic macro="[0]!ExportAsPDF">
      <xdr:nvPicPr>
        <xdr:cNvPr id="12" name="Picture 11">
          <a:extLst>
            <a:ext uri="{FF2B5EF4-FFF2-40B4-BE49-F238E27FC236}">
              <a16:creationId xmlns:a16="http://schemas.microsoft.com/office/drawing/2014/main" id="{EB1C3A00-1DB1-CCDE-F6F7-CC4641AADD57}"/>
            </a:ext>
          </a:extLst>
        </xdr:cNvPr>
        <xdr:cNvPicPr>
          <a:picLocks noChangeAspect="1"/>
        </xdr:cNvPicPr>
      </xdr:nvPicPr>
      <xdr:blipFill rotWithShape="1">
        <a:blip xmlns:r="http://schemas.openxmlformats.org/officeDocument/2006/relationships" r:embed="rId3"/>
        <a:srcRect l="12444" r="11467"/>
        <a:stretch/>
      </xdr:blipFill>
      <xdr:spPr>
        <a:xfrm>
          <a:off x="11026140" y="190501"/>
          <a:ext cx="358140" cy="470686"/>
        </a:xfrm>
        <a:prstGeom prst="rect">
          <a:avLst/>
        </a:prstGeom>
      </xdr:spPr>
    </xdr:pic>
    <xdr:clientData/>
  </xdr:twoCellAnchor>
  <xdr:twoCellAnchor>
    <xdr:from>
      <xdr:col>0</xdr:col>
      <xdr:colOff>83820</xdr:colOff>
      <xdr:row>6</xdr:row>
      <xdr:rowOff>91440</xdr:rowOff>
    </xdr:from>
    <xdr:to>
      <xdr:col>2</xdr:col>
      <xdr:colOff>563880</xdr:colOff>
      <xdr:row>11</xdr:row>
      <xdr:rowOff>129540</xdr:rowOff>
    </xdr:to>
    <xdr:sp macro="" textlink="">
      <xdr:nvSpPr>
        <xdr:cNvPr id="14" name="Rectangle: Rounded Corners 13">
          <a:extLst>
            <a:ext uri="{FF2B5EF4-FFF2-40B4-BE49-F238E27FC236}">
              <a16:creationId xmlns:a16="http://schemas.microsoft.com/office/drawing/2014/main" id="{CC296176-7F6F-4A8A-82CB-BC5CCEB41250}"/>
            </a:ext>
          </a:extLst>
        </xdr:cNvPr>
        <xdr:cNvSpPr/>
      </xdr:nvSpPr>
      <xdr:spPr>
        <a:xfrm>
          <a:off x="83820" y="1005840"/>
          <a:ext cx="1699260" cy="952500"/>
        </a:xfrm>
        <a:prstGeom prst="roundRect">
          <a:avLst>
            <a:gd name="adj" fmla="val 6187"/>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137160</xdr:colOff>
      <xdr:row>6</xdr:row>
      <xdr:rowOff>129540</xdr:rowOff>
    </xdr:from>
    <xdr:to>
      <xdr:col>2</xdr:col>
      <xdr:colOff>472440</xdr:colOff>
      <xdr:row>11</xdr:row>
      <xdr:rowOff>106680</xdr:rowOff>
    </xdr:to>
    <mc:AlternateContent xmlns:mc="http://schemas.openxmlformats.org/markup-compatibility/2006" xmlns:a14="http://schemas.microsoft.com/office/drawing/2010/main">
      <mc:Choice Requires="a14">
        <xdr:graphicFrame macro="">
          <xdr:nvGraphicFramePr>
            <xdr:cNvPr id="15" name="Fiscal Year">
              <a:extLst>
                <a:ext uri="{FF2B5EF4-FFF2-40B4-BE49-F238E27FC236}">
                  <a16:creationId xmlns:a16="http://schemas.microsoft.com/office/drawing/2014/main" id="{05A7C62C-54B8-45BB-8A00-D67AFC3DD24C}"/>
                </a:ext>
              </a:extLst>
            </xdr:cNvPr>
            <xdr:cNvGraphicFramePr/>
          </xdr:nvGraphicFramePr>
          <xdr:xfrm>
            <a:off x="0" y="0"/>
            <a:ext cx="0" cy="0"/>
          </xdr:xfrm>
          <a:graphic>
            <a:graphicData uri="http://schemas.microsoft.com/office/drawing/2010/slicer">
              <sle:slicer xmlns:sle="http://schemas.microsoft.com/office/drawing/2010/slicer" name="Fiscal Year"/>
            </a:graphicData>
          </a:graphic>
        </xdr:graphicFrame>
      </mc:Choice>
      <mc:Fallback xmlns="">
        <xdr:sp macro="" textlink="">
          <xdr:nvSpPr>
            <xdr:cNvPr id="0" name=""/>
            <xdr:cNvSpPr>
              <a:spLocks noTextEdit="1"/>
            </xdr:cNvSpPr>
          </xdr:nvSpPr>
          <xdr:spPr>
            <a:xfrm>
              <a:off x="137160" y="1226820"/>
              <a:ext cx="155448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6</xdr:row>
      <xdr:rowOff>83820</xdr:rowOff>
    </xdr:from>
    <xdr:to>
      <xdr:col>6</xdr:col>
      <xdr:colOff>525780</xdr:colOff>
      <xdr:row>11</xdr:row>
      <xdr:rowOff>121920</xdr:rowOff>
    </xdr:to>
    <xdr:sp macro="" textlink="">
      <xdr:nvSpPr>
        <xdr:cNvPr id="16" name="Rectangle: Rounded Corners 15">
          <a:extLst>
            <a:ext uri="{FF2B5EF4-FFF2-40B4-BE49-F238E27FC236}">
              <a16:creationId xmlns:a16="http://schemas.microsoft.com/office/drawing/2014/main" id="{F939CAFB-AB59-4155-8477-6C98786B1CA2}"/>
            </a:ext>
          </a:extLst>
        </xdr:cNvPr>
        <xdr:cNvSpPr/>
      </xdr:nvSpPr>
      <xdr:spPr>
        <a:xfrm>
          <a:off x="1828800" y="998220"/>
          <a:ext cx="2354580" cy="95250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TOTAL REVENUE</a:t>
          </a:r>
        </a:p>
      </xdr:txBody>
    </xdr:sp>
    <xdr:clientData/>
  </xdr:twoCellAnchor>
  <xdr:twoCellAnchor editAs="oneCell">
    <xdr:from>
      <xdr:col>3</xdr:col>
      <xdr:colOff>99060</xdr:colOff>
      <xdr:row>8</xdr:row>
      <xdr:rowOff>15240</xdr:rowOff>
    </xdr:from>
    <xdr:to>
      <xdr:col>4</xdr:col>
      <xdr:colOff>91440</xdr:colOff>
      <xdr:row>11</xdr:row>
      <xdr:rowOff>68580</xdr:rowOff>
    </xdr:to>
    <xdr:pic>
      <xdr:nvPicPr>
        <xdr:cNvPr id="19" name="Picture 18">
          <a:extLst>
            <a:ext uri="{FF2B5EF4-FFF2-40B4-BE49-F238E27FC236}">
              <a16:creationId xmlns:a16="http://schemas.microsoft.com/office/drawing/2014/main" id="{45A3DA8E-5267-5578-6EA7-43F9C6B07B7F}"/>
            </a:ext>
          </a:extLst>
        </xdr:cNvPr>
        <xdr:cNvPicPr>
          <a:picLocks noChangeAspect="1"/>
        </xdr:cNvPicPr>
      </xdr:nvPicPr>
      <xdr:blipFill>
        <a:blip xmlns:r="http://schemas.openxmlformats.org/officeDocument/2006/relationships" r:embed="rId4"/>
        <a:stretch>
          <a:fillRect/>
        </a:stretch>
      </xdr:blipFill>
      <xdr:spPr>
        <a:xfrm>
          <a:off x="1927860" y="1295400"/>
          <a:ext cx="601980" cy="601980"/>
        </a:xfrm>
        <a:prstGeom prst="rect">
          <a:avLst/>
        </a:prstGeom>
      </xdr:spPr>
    </xdr:pic>
    <xdr:clientData/>
  </xdr:twoCellAnchor>
  <xdr:twoCellAnchor>
    <xdr:from>
      <xdr:col>4</xdr:col>
      <xdr:colOff>167640</xdr:colOff>
      <xdr:row>8</xdr:row>
      <xdr:rowOff>137160</xdr:rowOff>
    </xdr:from>
    <xdr:to>
      <xdr:col>6</xdr:col>
      <xdr:colOff>304800</xdr:colOff>
      <xdr:row>10</xdr:row>
      <xdr:rowOff>137160</xdr:rowOff>
    </xdr:to>
    <xdr:sp macro="" textlink="Calculations!C11">
      <xdr:nvSpPr>
        <xdr:cNvPr id="20" name="TextBox 19">
          <a:extLst>
            <a:ext uri="{FF2B5EF4-FFF2-40B4-BE49-F238E27FC236}">
              <a16:creationId xmlns:a16="http://schemas.microsoft.com/office/drawing/2014/main" id="{8F3CA92E-7726-4A9D-D2BE-627DCD18A30B}"/>
            </a:ext>
          </a:extLst>
        </xdr:cNvPr>
        <xdr:cNvSpPr txBox="1"/>
      </xdr:nvSpPr>
      <xdr:spPr>
        <a:xfrm>
          <a:off x="2606040" y="141732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AD7C18-2803-4518-BBFA-59D80C5C26E2}" type="TxLink">
            <a:rPr lang="en-US" sz="1800" b="1" i="0" u="none" strike="noStrike">
              <a:solidFill>
                <a:srgbClr val="002060"/>
              </a:solidFill>
              <a:latin typeface="Calibri"/>
              <a:ea typeface="Calibri"/>
              <a:cs typeface="Calibri"/>
            </a:rPr>
            <a:pPr algn="ctr"/>
            <a:t>$3,483 B</a:t>
          </a:fld>
          <a:endParaRPr lang="en-IN" sz="1800" b="1">
            <a:solidFill>
              <a:srgbClr val="002060"/>
            </a:solidFill>
          </a:endParaRPr>
        </a:p>
      </xdr:txBody>
    </xdr:sp>
    <xdr:clientData/>
  </xdr:twoCellAnchor>
  <xdr:twoCellAnchor>
    <xdr:from>
      <xdr:col>6</xdr:col>
      <xdr:colOff>548640</xdr:colOff>
      <xdr:row>6</xdr:row>
      <xdr:rowOff>83820</xdr:rowOff>
    </xdr:from>
    <xdr:to>
      <xdr:col>10</xdr:col>
      <xdr:colOff>586740</xdr:colOff>
      <xdr:row>11</xdr:row>
      <xdr:rowOff>114300</xdr:rowOff>
    </xdr:to>
    <xdr:sp macro="" textlink="">
      <xdr:nvSpPr>
        <xdr:cNvPr id="21" name="Rectangle: Rounded Corners 20">
          <a:extLst>
            <a:ext uri="{FF2B5EF4-FFF2-40B4-BE49-F238E27FC236}">
              <a16:creationId xmlns:a16="http://schemas.microsoft.com/office/drawing/2014/main" id="{B1DBE7A8-C874-402E-B401-88DA09A8FC2C}"/>
            </a:ext>
          </a:extLst>
        </xdr:cNvPr>
        <xdr:cNvSpPr/>
      </xdr:nvSpPr>
      <xdr:spPr>
        <a:xfrm>
          <a:off x="4206240" y="998220"/>
          <a:ext cx="2476500" cy="9448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n-IN" sz="1800" b="1">
              <a:solidFill>
                <a:srgbClr val="002060"/>
              </a:solidFill>
            </a:rPr>
            <a:t> TRANSACTIONS</a:t>
          </a:r>
        </a:p>
      </xdr:txBody>
    </xdr:sp>
    <xdr:clientData/>
  </xdr:twoCellAnchor>
  <xdr:twoCellAnchor editAs="oneCell">
    <xdr:from>
      <xdr:col>7</xdr:col>
      <xdr:colOff>7620</xdr:colOff>
      <xdr:row>6</xdr:row>
      <xdr:rowOff>129539</xdr:rowOff>
    </xdr:from>
    <xdr:to>
      <xdr:col>8</xdr:col>
      <xdr:colOff>220980</xdr:colOff>
      <xdr:row>11</xdr:row>
      <xdr:rowOff>1320</xdr:rowOff>
    </xdr:to>
    <xdr:pic>
      <xdr:nvPicPr>
        <xdr:cNvPr id="22" name="Picture 21">
          <a:extLst>
            <a:ext uri="{FF2B5EF4-FFF2-40B4-BE49-F238E27FC236}">
              <a16:creationId xmlns:a16="http://schemas.microsoft.com/office/drawing/2014/main" id="{407E93BB-8795-5853-3DCD-2F751009D06F}"/>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foregroundMark x1="23000" y1="64625" x2="29000" y2="74000"/>
                    </a14:backgroundRemoval>
                  </a14:imgEffect>
                </a14:imgLayer>
              </a14:imgProps>
            </a:ext>
          </a:extLst>
        </a:blip>
        <a:srcRect l="20325" t="20325" r="18699" b="20325"/>
        <a:stretch/>
      </xdr:blipFill>
      <xdr:spPr>
        <a:xfrm>
          <a:off x="4274820" y="1043939"/>
          <a:ext cx="822960" cy="786181"/>
        </a:xfrm>
        <a:prstGeom prst="rect">
          <a:avLst/>
        </a:prstGeom>
      </xdr:spPr>
    </xdr:pic>
    <xdr:clientData/>
  </xdr:twoCellAnchor>
  <xdr:twoCellAnchor>
    <xdr:from>
      <xdr:col>8</xdr:col>
      <xdr:colOff>0</xdr:colOff>
      <xdr:row>8</xdr:row>
      <xdr:rowOff>106680</xdr:rowOff>
    </xdr:from>
    <xdr:to>
      <xdr:col>10</xdr:col>
      <xdr:colOff>137160</xdr:colOff>
      <xdr:row>10</xdr:row>
      <xdr:rowOff>106680</xdr:rowOff>
    </xdr:to>
    <xdr:sp macro="" textlink="Calculations!D105">
      <xdr:nvSpPr>
        <xdr:cNvPr id="23" name="TextBox 22">
          <a:extLst>
            <a:ext uri="{FF2B5EF4-FFF2-40B4-BE49-F238E27FC236}">
              <a16:creationId xmlns:a16="http://schemas.microsoft.com/office/drawing/2014/main" id="{9B31EC6B-2E28-46CF-B551-1D280D090AC5}"/>
            </a:ext>
          </a:extLst>
        </xdr:cNvPr>
        <xdr:cNvSpPr txBox="1"/>
      </xdr:nvSpPr>
      <xdr:spPr>
        <a:xfrm>
          <a:off x="4876800" y="138684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C44717-C436-4A2F-AFF3-BDFF5310CCAF}" type="TxLink">
            <a:rPr lang="en-US" sz="1800" b="1" i="0" u="none" strike="noStrike">
              <a:solidFill>
                <a:srgbClr val="002060"/>
              </a:solidFill>
              <a:latin typeface="Calibri"/>
              <a:ea typeface="Calibri"/>
              <a:cs typeface="Calibri"/>
            </a:rPr>
            <a:pPr algn="ctr"/>
            <a:t>1989</a:t>
          </a:fld>
          <a:endParaRPr lang="en-IN" sz="1800" b="1">
            <a:solidFill>
              <a:srgbClr val="002060"/>
            </a:solidFill>
          </a:endParaRPr>
        </a:p>
      </xdr:txBody>
    </xdr:sp>
    <xdr:clientData/>
  </xdr:twoCellAnchor>
  <xdr:twoCellAnchor>
    <xdr:from>
      <xdr:col>11</xdr:col>
      <xdr:colOff>7620</xdr:colOff>
      <xdr:row>6</xdr:row>
      <xdr:rowOff>83820</xdr:rowOff>
    </xdr:from>
    <xdr:to>
      <xdr:col>14</xdr:col>
      <xdr:colOff>495300</xdr:colOff>
      <xdr:row>11</xdr:row>
      <xdr:rowOff>99060</xdr:rowOff>
    </xdr:to>
    <xdr:sp macro="" textlink="">
      <xdr:nvSpPr>
        <xdr:cNvPr id="24" name="Rectangle: Rounded Corners 23">
          <a:extLst>
            <a:ext uri="{FF2B5EF4-FFF2-40B4-BE49-F238E27FC236}">
              <a16:creationId xmlns:a16="http://schemas.microsoft.com/office/drawing/2014/main" id="{A3BABAB8-7FCA-4578-B05E-A10713D06766}"/>
            </a:ext>
          </a:extLst>
        </xdr:cNvPr>
        <xdr:cNvSpPr/>
      </xdr:nvSpPr>
      <xdr:spPr>
        <a:xfrm>
          <a:off x="6713220" y="998220"/>
          <a:ext cx="2316480" cy="92964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 AVPC</a:t>
          </a:r>
        </a:p>
      </xdr:txBody>
    </xdr:sp>
    <xdr:clientData/>
  </xdr:twoCellAnchor>
  <xdr:twoCellAnchor>
    <xdr:from>
      <xdr:col>11</xdr:col>
      <xdr:colOff>586740</xdr:colOff>
      <xdr:row>8</xdr:row>
      <xdr:rowOff>76200</xdr:rowOff>
    </xdr:from>
    <xdr:to>
      <xdr:col>14</xdr:col>
      <xdr:colOff>114300</xdr:colOff>
      <xdr:row>10</xdr:row>
      <xdr:rowOff>76200</xdr:rowOff>
    </xdr:to>
    <xdr:sp macro="" textlink="Calculations!I14">
      <xdr:nvSpPr>
        <xdr:cNvPr id="25" name="TextBox 24">
          <a:extLst>
            <a:ext uri="{FF2B5EF4-FFF2-40B4-BE49-F238E27FC236}">
              <a16:creationId xmlns:a16="http://schemas.microsoft.com/office/drawing/2014/main" id="{CD16F176-5421-4BC8-BA12-94770A86A82B}"/>
            </a:ext>
          </a:extLst>
        </xdr:cNvPr>
        <xdr:cNvSpPr txBox="1"/>
      </xdr:nvSpPr>
      <xdr:spPr>
        <a:xfrm>
          <a:off x="7292340" y="135636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9BB497F-80DC-4442-A631-2D5A3509738C}" type="TxLink">
            <a:rPr lang="en-US" sz="1800" b="1" i="0" u="none" strike="noStrike">
              <a:solidFill>
                <a:schemeClr val="accent5">
                  <a:lumMod val="50000"/>
                </a:schemeClr>
              </a:solidFill>
              <a:latin typeface="Calibri"/>
              <a:ea typeface="Calibri"/>
              <a:cs typeface="Calibri"/>
            </a:rPr>
            <a:pPr algn="ctr"/>
            <a:t>$1.75 B</a:t>
          </a:fld>
          <a:endParaRPr lang="en-IN" sz="1800" b="1">
            <a:solidFill>
              <a:schemeClr val="accent5">
                <a:lumMod val="50000"/>
              </a:schemeClr>
            </a:solidFill>
          </a:endParaRPr>
        </a:p>
      </xdr:txBody>
    </xdr:sp>
    <xdr:clientData/>
  </xdr:twoCellAnchor>
  <xdr:twoCellAnchor>
    <xdr:from>
      <xdr:col>14</xdr:col>
      <xdr:colOff>548640</xdr:colOff>
      <xdr:row>6</xdr:row>
      <xdr:rowOff>91440</xdr:rowOff>
    </xdr:from>
    <xdr:to>
      <xdr:col>19</xdr:col>
      <xdr:colOff>91440</xdr:colOff>
      <xdr:row>11</xdr:row>
      <xdr:rowOff>106680</xdr:rowOff>
    </xdr:to>
    <xdr:sp macro="" textlink="">
      <xdr:nvSpPr>
        <xdr:cNvPr id="27" name="Rectangle: Rounded Corners 26">
          <a:extLst>
            <a:ext uri="{FF2B5EF4-FFF2-40B4-BE49-F238E27FC236}">
              <a16:creationId xmlns:a16="http://schemas.microsoft.com/office/drawing/2014/main" id="{DF722979-6911-48B7-B679-B0B08A124752}"/>
            </a:ext>
          </a:extLst>
        </xdr:cNvPr>
        <xdr:cNvSpPr/>
      </xdr:nvSpPr>
      <xdr:spPr>
        <a:xfrm>
          <a:off x="9083040" y="1005840"/>
          <a:ext cx="2590800" cy="92964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 REFUND</a:t>
          </a:r>
        </a:p>
      </xdr:txBody>
    </xdr:sp>
    <xdr:clientData/>
  </xdr:twoCellAnchor>
  <xdr:twoCellAnchor editAs="oneCell">
    <xdr:from>
      <xdr:col>14</xdr:col>
      <xdr:colOff>571500</xdr:colOff>
      <xdr:row>8</xdr:row>
      <xdr:rowOff>38100</xdr:rowOff>
    </xdr:from>
    <xdr:to>
      <xdr:col>16</xdr:col>
      <xdr:colOff>207290</xdr:colOff>
      <xdr:row>10</xdr:row>
      <xdr:rowOff>129540</xdr:rowOff>
    </xdr:to>
    <xdr:pic>
      <xdr:nvPicPr>
        <xdr:cNvPr id="28" name="Picture 27">
          <a:extLst>
            <a:ext uri="{FF2B5EF4-FFF2-40B4-BE49-F238E27FC236}">
              <a16:creationId xmlns:a16="http://schemas.microsoft.com/office/drawing/2014/main" id="{DBF3ECC5-3947-9C7F-2B20-9B73EF64638B}"/>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5911" b="89617" l="5751" r="93770">
                      <a14:foregroundMark x1="37583" y1="9051" x2="49521" y2="10863"/>
                      <a14:foregroundMark x1="49521" y1="10863" x2="57827" y2="10064"/>
                      <a14:foregroundMark x1="57827" y1="10064" x2="44888" y2="5751"/>
                      <a14:foregroundMark x1="44888" y1="5751" x2="40800" y2="5924"/>
                      <a14:foregroundMark x1="7373" y1="74993" x2="15335" y2="91054"/>
                      <a14:foregroundMark x1="15335" y1="91054" x2="23323" y2="93291"/>
                      <a14:foregroundMark x1="23323" y1="93291" x2="24130" y2="92201"/>
                      <a14:foregroundMark x1="65426" y1="74308" x2="69000" y2="70542"/>
                      <a14:foregroundMark x1="34710" y1="61831" x2="24917" y2="65285"/>
                      <a14:foregroundMark x1="89137" y1="18211" x2="97444" y2="23323"/>
                      <a14:foregroundMark x1="97444" y1="23323" x2="97125" y2="33227"/>
                      <a14:foregroundMark x1="97125" y1="33227" x2="93770" y2="43450"/>
                      <a14:foregroundMark x1="93770" y1="43450" x2="89617" y2="48722"/>
                      <a14:backgroundMark x1="31789" y1="8466" x2="40575" y2="5591"/>
                      <a14:backgroundMark x1="40575" y1="5591" x2="31949" y2="6390"/>
                      <a14:backgroundMark x1="31949" y1="6390" x2="31629" y2="7508"/>
                      <a14:backgroundMark x1="31629" y1="7668" x2="31789" y2="8307"/>
                      <a14:backgroundMark x1="16294" y1="67891" x2="24441" y2="66134"/>
                      <a14:backgroundMark x1="24441" y1="66134" x2="24281" y2="66134"/>
                      <a14:backgroundMark x1="27796" y1="86901" x2="55911" y2="83227"/>
                      <a14:backgroundMark x1="55911" y1="83227" x2="75240" y2="69329"/>
                      <a14:backgroundMark x1="75240" y1="69329" x2="76518" y2="59265"/>
                      <a14:backgroundMark x1="76518" y1="59265" x2="67572" y2="54952"/>
                      <a14:backgroundMark x1="67572" y1="54952" x2="33067" y2="56390"/>
                      <a14:backgroundMark x1="33067" y1="56390" x2="30831" y2="57827"/>
                      <a14:backgroundMark x1="2236" y1="69010" x2="11661" y2="72045"/>
                      <a14:backgroundMark x1="11661" y1="72045" x2="21725" y2="86262"/>
                      <a14:backgroundMark x1="21725" y1="86262" x2="12780" y2="78435"/>
                      <a14:backgroundMark x1="12780" y1="78435" x2="12460" y2="69329"/>
                      <a14:backgroundMark x1="12460" y1="69329" x2="12939" y2="69329"/>
                      <a14:backgroundMark x1="3355" y1="73163" x2="59904" y2="61981"/>
                      <a14:backgroundMark x1="59904" y1="61981" x2="78754" y2="66134"/>
                      <a14:backgroundMark x1="78754" y1="66134" x2="61981" y2="90415"/>
                      <a14:backgroundMark x1="61981" y1="90415" x2="25879" y2="92971"/>
                      <a14:backgroundMark x1="25879" y1="92971" x2="17891" y2="82588"/>
                      <a14:backgroundMark x1="17891" y1="82588" x2="17891" y2="80831"/>
                      <a14:backgroundMark x1="7987" y1="59425" x2="69808" y2="56550"/>
                      <a14:backgroundMark x1="69808" y1="56550" x2="80192" y2="63578"/>
                      <a14:backgroundMark x1="80192" y1="63578" x2="68051" y2="84345"/>
                      <a14:backgroundMark x1="68051" y1="84345" x2="34185" y2="94728"/>
                      <a14:backgroundMark x1="34185" y1="94728" x2="18211" y2="86262"/>
                      <a14:backgroundMark x1="18211" y1="86262" x2="13419" y2="64537"/>
                      <a14:backgroundMark x1="13419" y1="64537" x2="10703" y2="59585"/>
                      <a14:backgroundMark x1="6390" y1="59105" x2="35783" y2="58946"/>
                      <a14:backgroundMark x1="35783" y1="58946" x2="69010" y2="61502"/>
                      <a14:backgroundMark x1="69010" y1="61502" x2="75399" y2="77316"/>
                      <a14:backgroundMark x1="75399" y1="77316" x2="42812" y2="86741"/>
                      <a14:backgroundMark x1="42812" y1="86741" x2="27476" y2="80671"/>
                      <a14:backgroundMark x1="27476" y1="80671" x2="26518" y2="75719"/>
                    </a14:backgroundRemoval>
                  </a14:imgEffect>
                </a14:imgLayer>
              </a14:imgProps>
            </a:ext>
          </a:extLst>
        </a:blip>
        <a:srcRect l="10393" t="5240" r="5703" b="49520"/>
        <a:stretch/>
      </xdr:blipFill>
      <xdr:spPr>
        <a:xfrm>
          <a:off x="9105900" y="1318260"/>
          <a:ext cx="854990" cy="457200"/>
        </a:xfrm>
        <a:prstGeom prst="rect">
          <a:avLst/>
        </a:prstGeom>
      </xdr:spPr>
    </xdr:pic>
    <xdr:clientData/>
  </xdr:twoCellAnchor>
  <xdr:twoCellAnchor>
    <xdr:from>
      <xdr:col>16</xdr:col>
      <xdr:colOff>281940</xdr:colOff>
      <xdr:row>8</xdr:row>
      <xdr:rowOff>83820</xdr:rowOff>
    </xdr:from>
    <xdr:to>
      <xdr:col>18</xdr:col>
      <xdr:colOff>220980</xdr:colOff>
      <xdr:row>10</xdr:row>
      <xdr:rowOff>83820</xdr:rowOff>
    </xdr:to>
    <xdr:sp macro="" textlink="Calculations!F11">
      <xdr:nvSpPr>
        <xdr:cNvPr id="29" name="TextBox 28">
          <a:extLst>
            <a:ext uri="{FF2B5EF4-FFF2-40B4-BE49-F238E27FC236}">
              <a16:creationId xmlns:a16="http://schemas.microsoft.com/office/drawing/2014/main" id="{B99ADA18-ED9B-4450-A503-5FB342973ABC}"/>
            </a:ext>
          </a:extLst>
        </xdr:cNvPr>
        <xdr:cNvSpPr txBox="1"/>
      </xdr:nvSpPr>
      <xdr:spPr>
        <a:xfrm>
          <a:off x="10035540" y="1363980"/>
          <a:ext cx="11582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EA28DB-0A5F-4BA9-99C5-6F2E62039DB6}" type="TxLink">
            <a:rPr lang="en-US" sz="1800" b="1" i="0" u="none" strike="noStrike">
              <a:solidFill>
                <a:srgbClr val="002060"/>
              </a:solidFill>
              <a:latin typeface="Calibri"/>
              <a:ea typeface="Calibri"/>
              <a:cs typeface="Calibri"/>
            </a:rPr>
            <a:pPr algn="ctr"/>
            <a:t>-$5 M</a:t>
          </a:fld>
          <a:endParaRPr lang="en-IN" sz="1800" b="1">
            <a:solidFill>
              <a:srgbClr val="002060"/>
            </a:solidFill>
          </a:endParaRPr>
        </a:p>
      </xdr:txBody>
    </xdr:sp>
    <xdr:clientData/>
  </xdr:twoCellAnchor>
  <xdr:twoCellAnchor>
    <xdr:from>
      <xdr:col>0</xdr:col>
      <xdr:colOff>45720</xdr:colOff>
      <xdr:row>11</xdr:row>
      <xdr:rowOff>175260</xdr:rowOff>
    </xdr:from>
    <xdr:to>
      <xdr:col>7</xdr:col>
      <xdr:colOff>220980</xdr:colOff>
      <xdr:row>27</xdr:row>
      <xdr:rowOff>60960</xdr:rowOff>
    </xdr:to>
    <xdr:sp macro="" textlink="">
      <xdr:nvSpPr>
        <xdr:cNvPr id="30" name="Rectangle: Rounded Corners 29">
          <a:extLst>
            <a:ext uri="{FF2B5EF4-FFF2-40B4-BE49-F238E27FC236}">
              <a16:creationId xmlns:a16="http://schemas.microsoft.com/office/drawing/2014/main" id="{370BE682-5C5D-479F-BA77-CF46F934F3C5}"/>
            </a:ext>
          </a:extLst>
        </xdr:cNvPr>
        <xdr:cNvSpPr/>
      </xdr:nvSpPr>
      <xdr:spPr>
        <a:xfrm>
          <a:off x="45720" y="2004060"/>
          <a:ext cx="4442460" cy="2811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Revenue Vs Tax Payer Distribution </a:t>
          </a:r>
        </a:p>
      </xdr:txBody>
    </xdr:sp>
    <xdr:clientData/>
  </xdr:twoCellAnchor>
  <xdr:twoCellAnchor>
    <xdr:from>
      <xdr:col>0</xdr:col>
      <xdr:colOff>167640</xdr:colOff>
      <xdr:row>13</xdr:row>
      <xdr:rowOff>167640</xdr:rowOff>
    </xdr:from>
    <xdr:to>
      <xdr:col>6</xdr:col>
      <xdr:colOff>601980</xdr:colOff>
      <xdr:row>26</xdr:row>
      <xdr:rowOff>7620</xdr:rowOff>
    </xdr:to>
    <xdr:graphicFrame macro="">
      <xdr:nvGraphicFramePr>
        <xdr:cNvPr id="31" name="Chart 30">
          <a:extLst>
            <a:ext uri="{FF2B5EF4-FFF2-40B4-BE49-F238E27FC236}">
              <a16:creationId xmlns:a16="http://schemas.microsoft.com/office/drawing/2014/main" id="{FF07CC77-FD15-4465-A5D2-D7EC72B5CB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251460</xdr:colOff>
      <xdr:row>11</xdr:row>
      <xdr:rowOff>167640</xdr:rowOff>
    </xdr:from>
    <xdr:to>
      <xdr:col>19</xdr:col>
      <xdr:colOff>106680</xdr:colOff>
      <xdr:row>27</xdr:row>
      <xdr:rowOff>53340</xdr:rowOff>
    </xdr:to>
    <xdr:sp macro="" textlink="">
      <xdr:nvSpPr>
        <xdr:cNvPr id="32" name="Rectangle: Rounded Corners 31">
          <a:extLst>
            <a:ext uri="{FF2B5EF4-FFF2-40B4-BE49-F238E27FC236}">
              <a16:creationId xmlns:a16="http://schemas.microsoft.com/office/drawing/2014/main" id="{6154AB12-D12C-41DA-80C8-989E9BEF533B}"/>
            </a:ext>
          </a:extLst>
        </xdr:cNvPr>
        <xdr:cNvSpPr/>
      </xdr:nvSpPr>
      <xdr:spPr>
        <a:xfrm>
          <a:off x="4518660" y="2179320"/>
          <a:ext cx="7170420" cy="2811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800" b="1" i="0" baseline="0">
              <a:solidFill>
                <a:srgbClr val="002060"/>
              </a:solidFill>
              <a:effectLst/>
              <a:latin typeface="+mn-lt"/>
              <a:ea typeface="+mn-ea"/>
              <a:cs typeface="+mn-cs"/>
            </a:rPr>
            <a:t>Monthly</a:t>
          </a:r>
          <a:r>
            <a:rPr lang="en-IN" sz="2000" b="1" i="0" baseline="0">
              <a:solidFill>
                <a:srgbClr val="002060"/>
              </a:solidFill>
              <a:effectLst/>
              <a:latin typeface="+mn-lt"/>
              <a:ea typeface="+mn-ea"/>
              <a:cs typeface="+mn-cs"/>
            </a:rPr>
            <a:t> &amp; Fiscal Quarterly Net Worth</a:t>
          </a:r>
          <a:endParaRPr lang="en-IN" sz="2000">
            <a:solidFill>
              <a:srgbClr val="002060"/>
            </a:solidFill>
            <a:effectLst/>
          </a:endParaRPr>
        </a:p>
        <a:p>
          <a:pPr algn="ctr"/>
          <a:endParaRPr lang="en-IN" sz="1800" b="1">
            <a:solidFill>
              <a:srgbClr val="002060"/>
            </a:solidFill>
          </a:endParaRPr>
        </a:p>
      </xdr:txBody>
    </xdr:sp>
    <xdr:clientData/>
  </xdr:twoCellAnchor>
  <xdr:twoCellAnchor>
    <xdr:from>
      <xdr:col>0</xdr:col>
      <xdr:colOff>0</xdr:colOff>
      <xdr:row>27</xdr:row>
      <xdr:rowOff>121920</xdr:rowOff>
    </xdr:from>
    <xdr:to>
      <xdr:col>5</xdr:col>
      <xdr:colOff>373380</xdr:colOff>
      <xdr:row>44</xdr:row>
      <xdr:rowOff>175260</xdr:rowOff>
    </xdr:to>
    <xdr:sp macro="" textlink="">
      <xdr:nvSpPr>
        <xdr:cNvPr id="34" name="Rectangle: Rounded Corners 33">
          <a:extLst>
            <a:ext uri="{FF2B5EF4-FFF2-40B4-BE49-F238E27FC236}">
              <a16:creationId xmlns:a16="http://schemas.microsoft.com/office/drawing/2014/main" id="{498D5DA8-F883-4F3B-A7E3-4D1144F52CCA}"/>
            </a:ext>
          </a:extLst>
        </xdr:cNvPr>
        <xdr:cNvSpPr/>
      </xdr:nvSpPr>
      <xdr:spPr>
        <a:xfrm>
          <a:off x="0" y="5059680"/>
          <a:ext cx="3421380" cy="3162300"/>
        </a:xfrm>
        <a:prstGeom prst="roundRect">
          <a:avLst>
            <a:gd name="adj" fmla="val 1966"/>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Year Over Year Growth Rate</a:t>
          </a:r>
        </a:p>
      </xdr:txBody>
    </xdr:sp>
    <xdr:clientData/>
  </xdr:twoCellAnchor>
  <xdr:twoCellAnchor>
    <xdr:from>
      <xdr:col>0</xdr:col>
      <xdr:colOff>0</xdr:colOff>
      <xdr:row>29</xdr:row>
      <xdr:rowOff>68580</xdr:rowOff>
    </xdr:from>
    <xdr:to>
      <xdr:col>5</xdr:col>
      <xdr:colOff>297180</xdr:colOff>
      <xdr:row>42</xdr:row>
      <xdr:rowOff>38100</xdr:rowOff>
    </xdr:to>
    <xdr:graphicFrame macro="">
      <xdr:nvGraphicFramePr>
        <xdr:cNvPr id="35" name="Chart 34">
          <a:extLst>
            <a:ext uri="{FF2B5EF4-FFF2-40B4-BE49-F238E27FC236}">
              <a16:creationId xmlns:a16="http://schemas.microsoft.com/office/drawing/2014/main" id="{99B8F3EE-3EA9-4FFC-B083-BA5A0B713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434340</xdr:colOff>
      <xdr:row>27</xdr:row>
      <xdr:rowOff>76200</xdr:rowOff>
    </xdr:from>
    <xdr:to>
      <xdr:col>9</xdr:col>
      <xdr:colOff>129540</xdr:colOff>
      <xdr:row>44</xdr:row>
      <xdr:rowOff>160020</xdr:rowOff>
    </xdr:to>
    <xdr:sp macro="" textlink="">
      <xdr:nvSpPr>
        <xdr:cNvPr id="36" name="Rectangle: Rounded Corners 35">
          <a:extLst>
            <a:ext uri="{FF2B5EF4-FFF2-40B4-BE49-F238E27FC236}">
              <a16:creationId xmlns:a16="http://schemas.microsoft.com/office/drawing/2014/main" id="{EB3DE0A3-303D-4036-ADB1-2A6DB9FCEB5D}"/>
            </a:ext>
          </a:extLst>
        </xdr:cNvPr>
        <xdr:cNvSpPr/>
      </xdr:nvSpPr>
      <xdr:spPr>
        <a:xfrm>
          <a:off x="3482340" y="5013960"/>
          <a:ext cx="2133600" cy="3192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Top tax Category</a:t>
          </a:r>
        </a:p>
      </xdr:txBody>
    </xdr:sp>
    <xdr:clientData/>
  </xdr:twoCellAnchor>
  <xdr:twoCellAnchor>
    <xdr:from>
      <xdr:col>5</xdr:col>
      <xdr:colOff>502920</xdr:colOff>
      <xdr:row>31</xdr:row>
      <xdr:rowOff>83820</xdr:rowOff>
    </xdr:from>
    <xdr:to>
      <xdr:col>9</xdr:col>
      <xdr:colOff>167640</xdr:colOff>
      <xdr:row>41</xdr:row>
      <xdr:rowOff>121920</xdr:rowOff>
    </xdr:to>
    <xdr:graphicFrame macro="">
      <xdr:nvGraphicFramePr>
        <xdr:cNvPr id="38" name="Chart 37">
          <a:extLst>
            <a:ext uri="{FF2B5EF4-FFF2-40B4-BE49-F238E27FC236}">
              <a16:creationId xmlns:a16="http://schemas.microsoft.com/office/drawing/2014/main" id="{A25801FF-7192-48AE-9C62-43E918A58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152400</xdr:colOff>
      <xdr:row>27</xdr:row>
      <xdr:rowOff>83820</xdr:rowOff>
    </xdr:from>
    <xdr:to>
      <xdr:col>14</xdr:col>
      <xdr:colOff>182880</xdr:colOff>
      <xdr:row>44</xdr:row>
      <xdr:rowOff>144780</xdr:rowOff>
    </xdr:to>
    <xdr:sp macro="" textlink="">
      <xdr:nvSpPr>
        <xdr:cNvPr id="39" name="Rectangle: Rounded Corners 38">
          <a:extLst>
            <a:ext uri="{FF2B5EF4-FFF2-40B4-BE49-F238E27FC236}">
              <a16:creationId xmlns:a16="http://schemas.microsoft.com/office/drawing/2014/main" id="{3CE7A3DF-8E45-499D-89FE-E6E269EEE7B4}"/>
            </a:ext>
          </a:extLst>
        </xdr:cNvPr>
        <xdr:cNvSpPr/>
      </xdr:nvSpPr>
      <xdr:spPr>
        <a:xfrm>
          <a:off x="5638800" y="4838700"/>
          <a:ext cx="3078480" cy="316992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Payment</a:t>
          </a:r>
          <a:r>
            <a:rPr lang="en-IN" sz="1800" b="1" baseline="0">
              <a:solidFill>
                <a:srgbClr val="002060"/>
              </a:solidFill>
            </a:rPr>
            <a:t> Type</a:t>
          </a:r>
          <a:endParaRPr lang="en-IN" sz="1800" b="1">
            <a:solidFill>
              <a:srgbClr val="002060"/>
            </a:solidFill>
          </a:endParaRPr>
        </a:p>
      </xdr:txBody>
    </xdr:sp>
    <xdr:clientData/>
  </xdr:twoCellAnchor>
  <xdr:twoCellAnchor>
    <xdr:from>
      <xdr:col>9</xdr:col>
      <xdr:colOff>236220</xdr:colOff>
      <xdr:row>29</xdr:row>
      <xdr:rowOff>0</xdr:rowOff>
    </xdr:from>
    <xdr:to>
      <xdr:col>14</xdr:col>
      <xdr:colOff>342900</xdr:colOff>
      <xdr:row>44</xdr:row>
      <xdr:rowOff>53340</xdr:rowOff>
    </xdr:to>
    <xdr:graphicFrame macro="">
      <xdr:nvGraphicFramePr>
        <xdr:cNvPr id="40" name="Chart 39">
          <a:extLst>
            <a:ext uri="{FF2B5EF4-FFF2-40B4-BE49-F238E27FC236}">
              <a16:creationId xmlns:a16="http://schemas.microsoft.com/office/drawing/2014/main" id="{BC3998CC-6FCF-43F3-A9CF-9706F4273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213360</xdr:colOff>
      <xdr:row>27</xdr:row>
      <xdr:rowOff>91440</xdr:rowOff>
    </xdr:from>
    <xdr:to>
      <xdr:col>19</xdr:col>
      <xdr:colOff>114300</xdr:colOff>
      <xdr:row>44</xdr:row>
      <xdr:rowOff>152400</xdr:rowOff>
    </xdr:to>
    <xdr:sp macro="" textlink="">
      <xdr:nvSpPr>
        <xdr:cNvPr id="41" name="Rectangle: Rounded Corners 40">
          <a:extLst>
            <a:ext uri="{FF2B5EF4-FFF2-40B4-BE49-F238E27FC236}">
              <a16:creationId xmlns:a16="http://schemas.microsoft.com/office/drawing/2014/main" id="{ECA2DCD0-72F5-4A10-BE85-1C08BBB99153}"/>
            </a:ext>
          </a:extLst>
        </xdr:cNvPr>
        <xdr:cNvSpPr/>
      </xdr:nvSpPr>
      <xdr:spPr>
        <a:xfrm>
          <a:off x="8747760" y="4846320"/>
          <a:ext cx="2948940" cy="316992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Payment Channel</a:t>
          </a:r>
          <a:r>
            <a:rPr lang="en-IN" sz="1800" b="1" baseline="0">
              <a:solidFill>
                <a:srgbClr val="002060"/>
              </a:solidFill>
            </a:rPr>
            <a:t> Type</a:t>
          </a:r>
          <a:endParaRPr lang="en-IN" sz="1800" b="1">
            <a:solidFill>
              <a:srgbClr val="002060"/>
            </a:solidFill>
          </a:endParaRPr>
        </a:p>
      </xdr:txBody>
    </xdr:sp>
    <xdr:clientData/>
  </xdr:twoCellAnchor>
  <xdr:twoCellAnchor>
    <xdr:from>
      <xdr:col>14</xdr:col>
      <xdr:colOff>205740</xdr:colOff>
      <xdr:row>29</xdr:row>
      <xdr:rowOff>137160</xdr:rowOff>
    </xdr:from>
    <xdr:to>
      <xdr:col>19</xdr:col>
      <xdr:colOff>68580</xdr:colOff>
      <xdr:row>43</xdr:row>
      <xdr:rowOff>22860</xdr:rowOff>
    </xdr:to>
    <xdr:graphicFrame macro="">
      <xdr:nvGraphicFramePr>
        <xdr:cNvPr id="42" name="Chart 41">
          <a:extLst>
            <a:ext uri="{FF2B5EF4-FFF2-40B4-BE49-F238E27FC236}">
              <a16:creationId xmlns:a16="http://schemas.microsoft.com/office/drawing/2014/main" id="{E24E5C78-C689-44F2-8ED5-1355C91AB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350521</xdr:colOff>
      <xdr:row>14</xdr:row>
      <xdr:rowOff>45721</xdr:rowOff>
    </xdr:from>
    <xdr:to>
      <xdr:col>18</xdr:col>
      <xdr:colOff>571501</xdr:colOff>
      <xdr:row>26</xdr:row>
      <xdr:rowOff>114301</xdr:rowOff>
    </xdr:to>
    <xdr:graphicFrame macro="">
      <xdr:nvGraphicFramePr>
        <xdr:cNvPr id="8" name="Chart 7">
          <a:extLst>
            <a:ext uri="{FF2B5EF4-FFF2-40B4-BE49-F238E27FC236}">
              <a16:creationId xmlns:a16="http://schemas.microsoft.com/office/drawing/2014/main" id="{4381E745-CC57-4B1B-B2E1-8A8C5D0D5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ya Sekar" refreshedDate="45769.505190393516" backgroundQuery="1" createdVersion="8" refreshedVersion="8" minRefreshableVersion="3" recordCount="17618" xr:uid="{CF1CFAB1-491E-47BC-A52D-892ADDD0BF38}">
  <cacheSource type="external" connectionId="1"/>
  <cacheFields count="16">
    <cacheField name="Record Date" numFmtId="0">
      <sharedItems containsSemiMixedTypes="0" containsNonDate="0" containsDate="1" containsString="0" minDate="2020-04-20T00:00:00" maxDate="2025-04-18T00:00:00"/>
    </cacheField>
    <cacheField name="Electronic Category Description" numFmtId="0">
      <sharedItems count="4">
        <s v="Non-Electronic"/>
        <s v="Electronic Settlement"/>
        <s v="Fully Electronic - FS"/>
        <s v="Fully Electronic - All"/>
      </sharedItems>
    </cacheField>
    <cacheField name="Channel Type Description" numFmtId="0">
      <sharedItems count="5">
        <s v="Mail"/>
        <s v="Over-the-Counter (OTC)"/>
        <s v="Internet"/>
        <s v="Bank"/>
        <s v="Other"/>
      </sharedItems>
    </cacheField>
    <cacheField name="Tax Category Description" numFmtId="0">
      <sharedItems count="3">
        <s v="Non-Tax"/>
        <s v="IRS Tax"/>
        <s v="IRS Non-Tax"/>
      </sharedItems>
    </cacheField>
    <cacheField name="Net Collections Amount" numFmtId="0">
      <sharedItems containsSemiMixedTypes="0" containsString="0" containsNumber="1" minValue="-119599323.51000001" maxValue="182768860599.60001"/>
    </cacheField>
    <cacheField name="Electronic Category ID" numFmtId="0">
      <sharedItems containsSemiMixedTypes="0" containsString="0" containsNumber="1" containsInteger="1" minValue="1" maxValue="4" count="4">
        <n v="4"/>
        <n v="3"/>
        <n v="2"/>
        <n v="1"/>
      </sharedItems>
    </cacheField>
    <cacheField name="Channel Type ID" numFmtId="0">
      <sharedItems containsSemiMixedTypes="0" containsString="0" containsNumber="1" containsInteger="1" minValue="1" maxValue="7" count="5">
        <n v="2"/>
        <n v="1"/>
        <n v="3"/>
        <n v="5"/>
        <n v="7"/>
      </sharedItems>
    </cacheField>
    <cacheField name="Tax Category ID" numFmtId="0">
      <sharedItems containsSemiMixedTypes="0" containsString="0" containsNumber="1" containsInteger="1" minValue="1" maxValue="3" count="3">
        <n v="1"/>
        <n v="3"/>
        <n v="2"/>
      </sharedItems>
    </cacheField>
    <cacheField name="Source Line Number" numFmtId="0">
      <sharedItems containsSemiMixedTypes="0" containsString="0" containsNumber="1" containsInteger="1" minValue="1" maxValue="17" count="17">
        <n v="1"/>
        <n v="2"/>
        <n v="3"/>
        <n v="4"/>
        <n v="5"/>
        <n v="6"/>
        <n v="7"/>
        <n v="8"/>
        <n v="9"/>
        <n v="10"/>
        <n v="11"/>
        <n v="12"/>
        <n v="13"/>
        <n v="14"/>
        <n v="15"/>
        <n v="16"/>
        <n v="17"/>
      </sharedItems>
    </cacheField>
    <cacheField name="Fiscal Year" numFmtId="0">
      <sharedItems containsSemiMixedTypes="0" containsString="0" containsNumber="1" containsInteger="1" minValue="2020" maxValue="2025" count="6">
        <n v="2025"/>
        <n v="2024"/>
        <n v="2023"/>
        <n v="2022"/>
        <n v="2021"/>
        <n v="2020"/>
      </sharedItems>
    </cacheField>
    <cacheField name="Fiscal Quarter Number" numFmtId="0">
      <sharedItems containsSemiMixedTypes="0" containsString="0" containsNumber="1" containsInteger="1" minValue="1" maxValue="4" count="4">
        <n v="3"/>
        <n v="2"/>
        <n v="1"/>
        <n v="4"/>
      </sharedItems>
    </cacheField>
    <cacheField name="Calendar Year" numFmtId="0">
      <sharedItems containsSemiMixedTypes="0" containsString="0" containsNumber="1" containsInteger="1" minValue="2020" maxValue="2025" count="6">
        <n v="2025"/>
        <n v="2024"/>
        <n v="2023"/>
        <n v="2022"/>
        <n v="2021"/>
        <n v="2020"/>
      </sharedItems>
    </cacheField>
    <cacheField name="Calendar Quarter Number" numFmtId="0">
      <sharedItems containsSemiMixedTypes="0" containsString="0" containsNumber="1" containsInteger="1" minValue="1" maxValue="4" count="4">
        <n v="2"/>
        <n v="1"/>
        <n v="4"/>
        <n v="3"/>
      </sharedItems>
    </cacheField>
    <cacheField name="Calendar Month Number" numFmtId="0">
      <sharedItems containsSemiMixedTypes="0" containsString="0" containsNumber="1" containsInteger="1" minValue="1" maxValue="12" count="12">
        <n v="4"/>
        <n v="3"/>
        <n v="2"/>
        <n v="1"/>
        <n v="12"/>
        <n v="11"/>
        <n v="10"/>
        <n v="9"/>
        <n v="8"/>
        <n v="7"/>
        <n v="6"/>
        <n v="5"/>
      </sharedItems>
    </cacheField>
    <cacheField name="Calendar Day Number" numFmtId="0">
      <sharedItems containsSemiMixedTypes="0" containsString="0" containsNumber="1" containsInteger="1" minValue="1" maxValue="31"/>
    </cacheField>
    <cacheField name="Refund Flag" numFmtId="0">
      <sharedItems count="2">
        <s v="Revenue"/>
        <s v="Refund"/>
      </sharedItems>
    </cacheField>
  </cacheFields>
  <extLst>
    <ext xmlns:x14="http://schemas.microsoft.com/office/spreadsheetml/2009/9/main" uri="{725AE2AE-9491-48be-B2B4-4EB974FC3084}">
      <x14:pivotCacheDefinition pivotCacheId="14104628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18">
  <r>
    <d v="2025-04-17T00:00:00"/>
    <x v="0"/>
    <x v="0"/>
    <x v="0"/>
    <n v="885"/>
    <x v="0"/>
    <x v="0"/>
    <x v="0"/>
    <x v="0"/>
    <x v="0"/>
    <x v="0"/>
    <x v="0"/>
    <x v="0"/>
    <x v="0"/>
    <n v="17"/>
    <x v="0"/>
  </r>
  <r>
    <d v="2025-04-17T00:00:00"/>
    <x v="1"/>
    <x v="1"/>
    <x v="0"/>
    <n v="838231.21"/>
    <x v="1"/>
    <x v="1"/>
    <x v="0"/>
    <x v="1"/>
    <x v="0"/>
    <x v="0"/>
    <x v="0"/>
    <x v="0"/>
    <x v="0"/>
    <n v="17"/>
    <x v="0"/>
  </r>
  <r>
    <d v="2025-04-17T00:00:00"/>
    <x v="0"/>
    <x v="1"/>
    <x v="0"/>
    <n v="5906068.8200000003"/>
    <x v="0"/>
    <x v="1"/>
    <x v="0"/>
    <x v="2"/>
    <x v="0"/>
    <x v="0"/>
    <x v="0"/>
    <x v="0"/>
    <x v="0"/>
    <n v="17"/>
    <x v="0"/>
  </r>
  <r>
    <d v="2025-04-17T00:00:00"/>
    <x v="0"/>
    <x v="1"/>
    <x v="1"/>
    <n v="17084789.27"/>
    <x v="0"/>
    <x v="1"/>
    <x v="1"/>
    <x v="3"/>
    <x v="0"/>
    <x v="0"/>
    <x v="0"/>
    <x v="0"/>
    <x v="0"/>
    <n v="17"/>
    <x v="0"/>
  </r>
  <r>
    <d v="2025-04-17T00:00:00"/>
    <x v="2"/>
    <x v="1"/>
    <x v="2"/>
    <n v="9855.6"/>
    <x v="2"/>
    <x v="1"/>
    <x v="2"/>
    <x v="4"/>
    <x v="0"/>
    <x v="0"/>
    <x v="0"/>
    <x v="0"/>
    <x v="0"/>
    <n v="17"/>
    <x v="0"/>
  </r>
  <r>
    <d v="2025-04-17T00:00:00"/>
    <x v="3"/>
    <x v="2"/>
    <x v="2"/>
    <n v="406506.46"/>
    <x v="3"/>
    <x v="2"/>
    <x v="2"/>
    <x v="5"/>
    <x v="0"/>
    <x v="0"/>
    <x v="0"/>
    <x v="0"/>
    <x v="0"/>
    <n v="17"/>
    <x v="0"/>
  </r>
  <r>
    <d v="2025-04-17T00:00:00"/>
    <x v="2"/>
    <x v="1"/>
    <x v="0"/>
    <n v="76540638.569999993"/>
    <x v="2"/>
    <x v="1"/>
    <x v="0"/>
    <x v="6"/>
    <x v="0"/>
    <x v="0"/>
    <x v="0"/>
    <x v="0"/>
    <x v="0"/>
    <n v="17"/>
    <x v="0"/>
  </r>
  <r>
    <d v="2025-04-17T00:00:00"/>
    <x v="3"/>
    <x v="3"/>
    <x v="0"/>
    <n v="2735004675.1199999"/>
    <x v="3"/>
    <x v="3"/>
    <x v="0"/>
    <x v="7"/>
    <x v="0"/>
    <x v="0"/>
    <x v="0"/>
    <x v="0"/>
    <x v="0"/>
    <n v="17"/>
    <x v="0"/>
  </r>
  <r>
    <d v="2025-04-17T00:00:00"/>
    <x v="2"/>
    <x v="1"/>
    <x v="1"/>
    <n v="1238784510.8499999"/>
    <x v="2"/>
    <x v="1"/>
    <x v="1"/>
    <x v="8"/>
    <x v="0"/>
    <x v="0"/>
    <x v="0"/>
    <x v="0"/>
    <x v="0"/>
    <n v="17"/>
    <x v="0"/>
  </r>
  <r>
    <d v="2025-04-17T00:00:00"/>
    <x v="1"/>
    <x v="0"/>
    <x v="0"/>
    <n v="85747712.359999999"/>
    <x v="1"/>
    <x v="0"/>
    <x v="0"/>
    <x v="9"/>
    <x v="0"/>
    <x v="0"/>
    <x v="0"/>
    <x v="0"/>
    <x v="0"/>
    <n v="17"/>
    <x v="0"/>
  </r>
  <r>
    <d v="2025-04-17T00:00:00"/>
    <x v="1"/>
    <x v="0"/>
    <x v="1"/>
    <n v="7102562206.6300001"/>
    <x v="1"/>
    <x v="0"/>
    <x v="1"/>
    <x v="10"/>
    <x v="0"/>
    <x v="0"/>
    <x v="0"/>
    <x v="0"/>
    <x v="0"/>
    <n v="17"/>
    <x v="0"/>
  </r>
  <r>
    <d v="2025-04-17T00:00:00"/>
    <x v="3"/>
    <x v="1"/>
    <x v="0"/>
    <n v="17061981.699999999"/>
    <x v="3"/>
    <x v="1"/>
    <x v="0"/>
    <x v="11"/>
    <x v="0"/>
    <x v="0"/>
    <x v="0"/>
    <x v="0"/>
    <x v="0"/>
    <n v="17"/>
    <x v="0"/>
  </r>
  <r>
    <d v="2025-04-17T00:00:00"/>
    <x v="3"/>
    <x v="2"/>
    <x v="0"/>
    <n v="566365044.19000006"/>
    <x v="3"/>
    <x v="2"/>
    <x v="0"/>
    <x v="12"/>
    <x v="0"/>
    <x v="0"/>
    <x v="0"/>
    <x v="0"/>
    <x v="0"/>
    <n v="17"/>
    <x v="0"/>
  </r>
  <r>
    <d v="2025-04-17T00:00:00"/>
    <x v="3"/>
    <x v="2"/>
    <x v="1"/>
    <n v="40097222889.080002"/>
    <x v="3"/>
    <x v="2"/>
    <x v="1"/>
    <x v="13"/>
    <x v="0"/>
    <x v="0"/>
    <x v="0"/>
    <x v="0"/>
    <x v="0"/>
    <n v="17"/>
    <x v="0"/>
  </r>
  <r>
    <d v="2025-04-16T00:00:00"/>
    <x v="2"/>
    <x v="1"/>
    <x v="2"/>
    <n v="21233.93"/>
    <x v="2"/>
    <x v="1"/>
    <x v="2"/>
    <x v="2"/>
    <x v="0"/>
    <x v="0"/>
    <x v="0"/>
    <x v="0"/>
    <x v="0"/>
    <n v="16"/>
    <x v="0"/>
  </r>
  <r>
    <d v="2025-04-16T00:00:00"/>
    <x v="3"/>
    <x v="3"/>
    <x v="1"/>
    <n v="1863.73"/>
    <x v="3"/>
    <x v="3"/>
    <x v="1"/>
    <x v="3"/>
    <x v="0"/>
    <x v="0"/>
    <x v="0"/>
    <x v="0"/>
    <x v="0"/>
    <n v="16"/>
    <x v="0"/>
  </r>
  <r>
    <d v="2025-04-16T00:00:00"/>
    <x v="0"/>
    <x v="0"/>
    <x v="0"/>
    <n v="692.36"/>
    <x v="0"/>
    <x v="0"/>
    <x v="0"/>
    <x v="0"/>
    <x v="0"/>
    <x v="0"/>
    <x v="0"/>
    <x v="0"/>
    <x v="0"/>
    <n v="16"/>
    <x v="0"/>
  </r>
  <r>
    <d v="2025-04-16T00:00:00"/>
    <x v="0"/>
    <x v="1"/>
    <x v="0"/>
    <n v="12618736.32"/>
    <x v="0"/>
    <x v="1"/>
    <x v="0"/>
    <x v="1"/>
    <x v="0"/>
    <x v="0"/>
    <x v="0"/>
    <x v="0"/>
    <x v="0"/>
    <n v="16"/>
    <x v="0"/>
  </r>
  <r>
    <d v="2025-04-16T00:00:00"/>
    <x v="3"/>
    <x v="2"/>
    <x v="2"/>
    <n v="167190.82"/>
    <x v="3"/>
    <x v="2"/>
    <x v="2"/>
    <x v="5"/>
    <x v="0"/>
    <x v="0"/>
    <x v="0"/>
    <x v="0"/>
    <x v="0"/>
    <n v="16"/>
    <x v="0"/>
  </r>
  <r>
    <d v="2025-04-16T00:00:00"/>
    <x v="1"/>
    <x v="1"/>
    <x v="0"/>
    <n v="44532.87"/>
    <x v="1"/>
    <x v="1"/>
    <x v="0"/>
    <x v="6"/>
    <x v="0"/>
    <x v="0"/>
    <x v="0"/>
    <x v="0"/>
    <x v="0"/>
    <n v="16"/>
    <x v="0"/>
  </r>
  <r>
    <d v="2025-04-16T00:00:00"/>
    <x v="2"/>
    <x v="1"/>
    <x v="0"/>
    <n v="114551141.93000001"/>
    <x v="2"/>
    <x v="1"/>
    <x v="0"/>
    <x v="7"/>
    <x v="0"/>
    <x v="0"/>
    <x v="0"/>
    <x v="0"/>
    <x v="0"/>
    <n v="16"/>
    <x v="0"/>
  </r>
  <r>
    <d v="2025-04-16T00:00:00"/>
    <x v="3"/>
    <x v="3"/>
    <x v="0"/>
    <n v="1305445735.05"/>
    <x v="3"/>
    <x v="3"/>
    <x v="0"/>
    <x v="8"/>
    <x v="0"/>
    <x v="0"/>
    <x v="0"/>
    <x v="0"/>
    <x v="0"/>
    <n v="16"/>
    <x v="0"/>
  </r>
  <r>
    <d v="2025-04-16T00:00:00"/>
    <x v="0"/>
    <x v="1"/>
    <x v="1"/>
    <n v="14171577.76"/>
    <x v="0"/>
    <x v="1"/>
    <x v="1"/>
    <x v="4"/>
    <x v="0"/>
    <x v="0"/>
    <x v="0"/>
    <x v="0"/>
    <x v="0"/>
    <n v="16"/>
    <x v="0"/>
  </r>
  <r>
    <d v="2025-04-16T00:00:00"/>
    <x v="2"/>
    <x v="1"/>
    <x v="1"/>
    <n v="1168218861.79"/>
    <x v="2"/>
    <x v="1"/>
    <x v="1"/>
    <x v="9"/>
    <x v="0"/>
    <x v="0"/>
    <x v="0"/>
    <x v="0"/>
    <x v="0"/>
    <n v="16"/>
    <x v="0"/>
  </r>
  <r>
    <d v="2025-04-16T00:00:00"/>
    <x v="1"/>
    <x v="0"/>
    <x v="0"/>
    <n v="110815527.51000001"/>
    <x v="1"/>
    <x v="0"/>
    <x v="0"/>
    <x v="10"/>
    <x v="0"/>
    <x v="0"/>
    <x v="0"/>
    <x v="0"/>
    <x v="0"/>
    <n v="16"/>
    <x v="0"/>
  </r>
  <r>
    <d v="2025-04-16T00:00:00"/>
    <x v="1"/>
    <x v="0"/>
    <x v="1"/>
    <n v="7791811203.6700001"/>
    <x v="1"/>
    <x v="0"/>
    <x v="1"/>
    <x v="11"/>
    <x v="0"/>
    <x v="0"/>
    <x v="0"/>
    <x v="0"/>
    <x v="0"/>
    <n v="16"/>
    <x v="0"/>
  </r>
  <r>
    <d v="2025-04-16T00:00:00"/>
    <x v="3"/>
    <x v="1"/>
    <x v="0"/>
    <n v="18779697.219999999"/>
    <x v="3"/>
    <x v="1"/>
    <x v="0"/>
    <x v="12"/>
    <x v="0"/>
    <x v="0"/>
    <x v="0"/>
    <x v="0"/>
    <x v="0"/>
    <n v="16"/>
    <x v="0"/>
  </r>
  <r>
    <d v="2025-04-16T00:00:00"/>
    <x v="3"/>
    <x v="2"/>
    <x v="0"/>
    <n v="558686297.70000005"/>
    <x v="3"/>
    <x v="2"/>
    <x v="0"/>
    <x v="13"/>
    <x v="0"/>
    <x v="0"/>
    <x v="0"/>
    <x v="0"/>
    <x v="0"/>
    <n v="16"/>
    <x v="0"/>
  </r>
  <r>
    <d v="2025-04-16T00:00:00"/>
    <x v="3"/>
    <x v="2"/>
    <x v="1"/>
    <n v="76427165553.339996"/>
    <x v="3"/>
    <x v="2"/>
    <x v="1"/>
    <x v="14"/>
    <x v="0"/>
    <x v="0"/>
    <x v="0"/>
    <x v="0"/>
    <x v="0"/>
    <n v="16"/>
    <x v="0"/>
  </r>
  <r>
    <d v="2025-04-15T00:00:00"/>
    <x v="3"/>
    <x v="3"/>
    <x v="2"/>
    <n v="482160.22"/>
    <x v="3"/>
    <x v="3"/>
    <x v="2"/>
    <x v="3"/>
    <x v="0"/>
    <x v="0"/>
    <x v="0"/>
    <x v="0"/>
    <x v="0"/>
    <n v="15"/>
    <x v="0"/>
  </r>
  <r>
    <d v="2025-04-15T00:00:00"/>
    <x v="3"/>
    <x v="3"/>
    <x v="1"/>
    <n v="2235795"/>
    <x v="3"/>
    <x v="3"/>
    <x v="1"/>
    <x v="4"/>
    <x v="0"/>
    <x v="0"/>
    <x v="0"/>
    <x v="0"/>
    <x v="0"/>
    <n v="15"/>
    <x v="0"/>
  </r>
  <r>
    <d v="2025-04-15T00:00:00"/>
    <x v="0"/>
    <x v="1"/>
    <x v="1"/>
    <n v="11379879.98"/>
    <x v="0"/>
    <x v="1"/>
    <x v="1"/>
    <x v="5"/>
    <x v="0"/>
    <x v="0"/>
    <x v="0"/>
    <x v="0"/>
    <x v="0"/>
    <n v="15"/>
    <x v="0"/>
  </r>
  <r>
    <d v="2025-04-15T00:00:00"/>
    <x v="2"/>
    <x v="1"/>
    <x v="2"/>
    <n v="13302.7"/>
    <x v="2"/>
    <x v="1"/>
    <x v="2"/>
    <x v="6"/>
    <x v="0"/>
    <x v="0"/>
    <x v="0"/>
    <x v="0"/>
    <x v="0"/>
    <n v="15"/>
    <x v="0"/>
  </r>
  <r>
    <d v="2025-04-15T00:00:00"/>
    <x v="3"/>
    <x v="2"/>
    <x v="2"/>
    <n v="194633"/>
    <x v="3"/>
    <x v="2"/>
    <x v="2"/>
    <x v="7"/>
    <x v="0"/>
    <x v="0"/>
    <x v="0"/>
    <x v="0"/>
    <x v="0"/>
    <n v="15"/>
    <x v="0"/>
  </r>
  <r>
    <d v="2025-04-15T00:00:00"/>
    <x v="0"/>
    <x v="0"/>
    <x v="0"/>
    <n v="551.88"/>
    <x v="0"/>
    <x v="0"/>
    <x v="0"/>
    <x v="0"/>
    <x v="0"/>
    <x v="0"/>
    <x v="0"/>
    <x v="0"/>
    <x v="0"/>
    <n v="15"/>
    <x v="0"/>
  </r>
  <r>
    <d v="2025-04-15T00:00:00"/>
    <x v="1"/>
    <x v="1"/>
    <x v="0"/>
    <n v="225023.28"/>
    <x v="1"/>
    <x v="1"/>
    <x v="0"/>
    <x v="1"/>
    <x v="0"/>
    <x v="0"/>
    <x v="0"/>
    <x v="0"/>
    <x v="0"/>
    <n v="15"/>
    <x v="0"/>
  </r>
  <r>
    <d v="2025-04-15T00:00:00"/>
    <x v="0"/>
    <x v="1"/>
    <x v="0"/>
    <n v="18670498.350000001"/>
    <x v="0"/>
    <x v="1"/>
    <x v="0"/>
    <x v="2"/>
    <x v="0"/>
    <x v="0"/>
    <x v="0"/>
    <x v="0"/>
    <x v="0"/>
    <n v="15"/>
    <x v="0"/>
  </r>
  <r>
    <d v="2025-04-15T00:00:00"/>
    <x v="3"/>
    <x v="3"/>
    <x v="0"/>
    <n v="1692352947.3399999"/>
    <x v="3"/>
    <x v="3"/>
    <x v="0"/>
    <x v="8"/>
    <x v="0"/>
    <x v="0"/>
    <x v="0"/>
    <x v="0"/>
    <x v="0"/>
    <n v="15"/>
    <x v="0"/>
  </r>
  <r>
    <d v="2025-04-15T00:00:00"/>
    <x v="2"/>
    <x v="1"/>
    <x v="0"/>
    <n v="130214249.43000001"/>
    <x v="2"/>
    <x v="1"/>
    <x v="0"/>
    <x v="9"/>
    <x v="0"/>
    <x v="0"/>
    <x v="0"/>
    <x v="0"/>
    <x v="0"/>
    <n v="15"/>
    <x v="0"/>
  </r>
  <r>
    <d v="2025-04-15T00:00:00"/>
    <x v="2"/>
    <x v="1"/>
    <x v="1"/>
    <n v="920151088.84000003"/>
    <x v="2"/>
    <x v="1"/>
    <x v="1"/>
    <x v="10"/>
    <x v="0"/>
    <x v="0"/>
    <x v="0"/>
    <x v="0"/>
    <x v="0"/>
    <n v="15"/>
    <x v="0"/>
  </r>
  <r>
    <d v="2025-04-15T00:00:00"/>
    <x v="1"/>
    <x v="0"/>
    <x v="0"/>
    <n v="93495337.760000005"/>
    <x v="1"/>
    <x v="0"/>
    <x v="0"/>
    <x v="11"/>
    <x v="0"/>
    <x v="0"/>
    <x v="0"/>
    <x v="0"/>
    <x v="0"/>
    <n v="15"/>
    <x v="0"/>
  </r>
  <r>
    <d v="2025-04-15T00:00:00"/>
    <x v="1"/>
    <x v="0"/>
    <x v="1"/>
    <n v="8081540966.5699997"/>
    <x v="1"/>
    <x v="0"/>
    <x v="1"/>
    <x v="12"/>
    <x v="0"/>
    <x v="0"/>
    <x v="0"/>
    <x v="0"/>
    <x v="0"/>
    <n v="15"/>
    <x v="0"/>
  </r>
  <r>
    <d v="2025-04-15T00:00:00"/>
    <x v="3"/>
    <x v="1"/>
    <x v="0"/>
    <n v="15480407.01"/>
    <x v="3"/>
    <x v="1"/>
    <x v="0"/>
    <x v="13"/>
    <x v="0"/>
    <x v="0"/>
    <x v="0"/>
    <x v="0"/>
    <x v="0"/>
    <n v="15"/>
    <x v="0"/>
  </r>
  <r>
    <d v="2025-04-15T00:00:00"/>
    <x v="3"/>
    <x v="2"/>
    <x v="0"/>
    <n v="948337176.97000003"/>
    <x v="3"/>
    <x v="2"/>
    <x v="0"/>
    <x v="14"/>
    <x v="0"/>
    <x v="0"/>
    <x v="0"/>
    <x v="0"/>
    <x v="0"/>
    <n v="15"/>
    <x v="0"/>
  </r>
  <r>
    <d v="2025-04-15T00:00:00"/>
    <x v="3"/>
    <x v="2"/>
    <x v="1"/>
    <n v="173622553206.70999"/>
    <x v="3"/>
    <x v="2"/>
    <x v="1"/>
    <x v="15"/>
    <x v="0"/>
    <x v="0"/>
    <x v="0"/>
    <x v="0"/>
    <x v="0"/>
    <n v="15"/>
    <x v="0"/>
  </r>
  <r>
    <d v="2025-04-14T00:00:00"/>
    <x v="0"/>
    <x v="1"/>
    <x v="1"/>
    <n v="8345980.3499999996"/>
    <x v="0"/>
    <x v="1"/>
    <x v="1"/>
    <x v="5"/>
    <x v="0"/>
    <x v="0"/>
    <x v="0"/>
    <x v="0"/>
    <x v="0"/>
    <n v="14"/>
    <x v="0"/>
  </r>
  <r>
    <d v="2025-04-14T00:00:00"/>
    <x v="3"/>
    <x v="2"/>
    <x v="2"/>
    <n v="137637.92000000001"/>
    <x v="3"/>
    <x v="2"/>
    <x v="2"/>
    <x v="6"/>
    <x v="0"/>
    <x v="0"/>
    <x v="0"/>
    <x v="0"/>
    <x v="0"/>
    <n v="14"/>
    <x v="0"/>
  </r>
  <r>
    <d v="2025-04-14T00:00:00"/>
    <x v="0"/>
    <x v="0"/>
    <x v="0"/>
    <n v="645.4"/>
    <x v="0"/>
    <x v="0"/>
    <x v="0"/>
    <x v="0"/>
    <x v="0"/>
    <x v="0"/>
    <x v="0"/>
    <x v="0"/>
    <x v="0"/>
    <n v="14"/>
    <x v="0"/>
  </r>
  <r>
    <d v="2025-04-14T00:00:00"/>
    <x v="1"/>
    <x v="1"/>
    <x v="0"/>
    <n v="208676.46"/>
    <x v="1"/>
    <x v="1"/>
    <x v="0"/>
    <x v="1"/>
    <x v="0"/>
    <x v="0"/>
    <x v="0"/>
    <x v="0"/>
    <x v="0"/>
    <n v="14"/>
    <x v="0"/>
  </r>
  <r>
    <d v="2025-04-14T00:00:00"/>
    <x v="0"/>
    <x v="1"/>
    <x v="0"/>
    <n v="15395728.619999999"/>
    <x v="0"/>
    <x v="1"/>
    <x v="0"/>
    <x v="2"/>
    <x v="0"/>
    <x v="0"/>
    <x v="0"/>
    <x v="0"/>
    <x v="0"/>
    <n v="14"/>
    <x v="0"/>
  </r>
  <r>
    <d v="2025-04-14T00:00:00"/>
    <x v="3"/>
    <x v="3"/>
    <x v="2"/>
    <n v="1027.3699999999999"/>
    <x v="3"/>
    <x v="3"/>
    <x v="2"/>
    <x v="3"/>
    <x v="0"/>
    <x v="0"/>
    <x v="0"/>
    <x v="0"/>
    <x v="0"/>
    <n v="14"/>
    <x v="0"/>
  </r>
  <r>
    <d v="2025-04-14T00:00:00"/>
    <x v="2"/>
    <x v="1"/>
    <x v="2"/>
    <n v="1255967"/>
    <x v="2"/>
    <x v="1"/>
    <x v="2"/>
    <x v="4"/>
    <x v="0"/>
    <x v="0"/>
    <x v="0"/>
    <x v="0"/>
    <x v="0"/>
    <n v="14"/>
    <x v="0"/>
  </r>
  <r>
    <d v="2025-04-14T00:00:00"/>
    <x v="2"/>
    <x v="1"/>
    <x v="0"/>
    <n v="76175963.620000005"/>
    <x v="2"/>
    <x v="1"/>
    <x v="0"/>
    <x v="7"/>
    <x v="0"/>
    <x v="0"/>
    <x v="0"/>
    <x v="0"/>
    <x v="0"/>
    <n v="14"/>
    <x v="0"/>
  </r>
  <r>
    <d v="2025-04-14T00:00:00"/>
    <x v="3"/>
    <x v="3"/>
    <x v="0"/>
    <n v="1842664246.8299999"/>
    <x v="3"/>
    <x v="3"/>
    <x v="0"/>
    <x v="8"/>
    <x v="0"/>
    <x v="0"/>
    <x v="0"/>
    <x v="0"/>
    <x v="0"/>
    <n v="14"/>
    <x v="0"/>
  </r>
  <r>
    <d v="2025-04-14T00:00:00"/>
    <x v="1"/>
    <x v="0"/>
    <x v="0"/>
    <n v="53221709.229999997"/>
    <x v="1"/>
    <x v="0"/>
    <x v="0"/>
    <x v="10"/>
    <x v="0"/>
    <x v="0"/>
    <x v="0"/>
    <x v="0"/>
    <x v="0"/>
    <n v="14"/>
    <x v="0"/>
  </r>
  <r>
    <d v="2025-04-14T00:00:00"/>
    <x v="2"/>
    <x v="1"/>
    <x v="1"/>
    <n v="566141643.00999999"/>
    <x v="2"/>
    <x v="1"/>
    <x v="1"/>
    <x v="9"/>
    <x v="0"/>
    <x v="0"/>
    <x v="0"/>
    <x v="0"/>
    <x v="0"/>
    <n v="14"/>
    <x v="0"/>
  </r>
  <r>
    <d v="2025-04-14T00:00:00"/>
    <x v="1"/>
    <x v="0"/>
    <x v="1"/>
    <n v="3251151305.6100001"/>
    <x v="1"/>
    <x v="0"/>
    <x v="1"/>
    <x v="11"/>
    <x v="0"/>
    <x v="0"/>
    <x v="0"/>
    <x v="0"/>
    <x v="0"/>
    <n v="14"/>
    <x v="0"/>
  </r>
  <r>
    <d v="2025-04-14T00:00:00"/>
    <x v="3"/>
    <x v="2"/>
    <x v="0"/>
    <n v="973887551.07000005"/>
    <x v="3"/>
    <x v="2"/>
    <x v="0"/>
    <x v="12"/>
    <x v="0"/>
    <x v="0"/>
    <x v="0"/>
    <x v="0"/>
    <x v="0"/>
    <n v="14"/>
    <x v="0"/>
  </r>
  <r>
    <d v="2025-04-14T00:00:00"/>
    <x v="3"/>
    <x v="1"/>
    <x v="0"/>
    <n v="55282159.189999998"/>
    <x v="3"/>
    <x v="1"/>
    <x v="0"/>
    <x v="13"/>
    <x v="0"/>
    <x v="0"/>
    <x v="0"/>
    <x v="0"/>
    <x v="0"/>
    <n v="14"/>
    <x v="0"/>
  </r>
  <r>
    <d v="2025-04-14T00:00:00"/>
    <x v="3"/>
    <x v="2"/>
    <x v="1"/>
    <n v="98305214289.289993"/>
    <x v="3"/>
    <x v="2"/>
    <x v="1"/>
    <x v="14"/>
    <x v="0"/>
    <x v="0"/>
    <x v="0"/>
    <x v="0"/>
    <x v="0"/>
    <n v="14"/>
    <x v="0"/>
  </r>
  <r>
    <d v="2025-04-11T00:00:00"/>
    <x v="0"/>
    <x v="0"/>
    <x v="0"/>
    <n v="372.8"/>
    <x v="0"/>
    <x v="0"/>
    <x v="0"/>
    <x v="0"/>
    <x v="0"/>
    <x v="0"/>
    <x v="0"/>
    <x v="0"/>
    <x v="0"/>
    <n v="11"/>
    <x v="0"/>
  </r>
  <r>
    <d v="2025-04-11T00:00:00"/>
    <x v="0"/>
    <x v="1"/>
    <x v="0"/>
    <n v="16082498.4"/>
    <x v="0"/>
    <x v="1"/>
    <x v="0"/>
    <x v="1"/>
    <x v="0"/>
    <x v="0"/>
    <x v="0"/>
    <x v="0"/>
    <x v="0"/>
    <n v="11"/>
    <x v="0"/>
  </r>
  <r>
    <d v="2025-04-11T00:00:00"/>
    <x v="2"/>
    <x v="1"/>
    <x v="2"/>
    <n v="3856.48"/>
    <x v="2"/>
    <x v="1"/>
    <x v="2"/>
    <x v="2"/>
    <x v="0"/>
    <x v="0"/>
    <x v="0"/>
    <x v="0"/>
    <x v="0"/>
    <n v="11"/>
    <x v="0"/>
  </r>
  <r>
    <d v="2025-04-11T00:00:00"/>
    <x v="0"/>
    <x v="0"/>
    <x v="1"/>
    <n v="-3825"/>
    <x v="0"/>
    <x v="0"/>
    <x v="1"/>
    <x v="3"/>
    <x v="0"/>
    <x v="0"/>
    <x v="0"/>
    <x v="0"/>
    <x v="0"/>
    <n v="11"/>
    <x v="1"/>
  </r>
  <r>
    <d v="2025-04-11T00:00:00"/>
    <x v="3"/>
    <x v="3"/>
    <x v="1"/>
    <n v="45125.87"/>
    <x v="3"/>
    <x v="3"/>
    <x v="1"/>
    <x v="4"/>
    <x v="0"/>
    <x v="0"/>
    <x v="0"/>
    <x v="0"/>
    <x v="0"/>
    <n v="11"/>
    <x v="0"/>
  </r>
  <r>
    <d v="2025-04-11T00:00:00"/>
    <x v="0"/>
    <x v="1"/>
    <x v="1"/>
    <n v="14571739.470000001"/>
    <x v="0"/>
    <x v="1"/>
    <x v="1"/>
    <x v="5"/>
    <x v="0"/>
    <x v="0"/>
    <x v="0"/>
    <x v="0"/>
    <x v="0"/>
    <n v="11"/>
    <x v="0"/>
  </r>
  <r>
    <d v="2025-04-11T00:00:00"/>
    <x v="3"/>
    <x v="2"/>
    <x v="2"/>
    <n v="233449.72"/>
    <x v="3"/>
    <x v="2"/>
    <x v="2"/>
    <x v="7"/>
    <x v="0"/>
    <x v="0"/>
    <x v="0"/>
    <x v="0"/>
    <x v="0"/>
    <n v="11"/>
    <x v="0"/>
  </r>
  <r>
    <d v="2025-04-11T00:00:00"/>
    <x v="1"/>
    <x v="1"/>
    <x v="0"/>
    <n v="839053.88"/>
    <x v="1"/>
    <x v="1"/>
    <x v="0"/>
    <x v="6"/>
    <x v="0"/>
    <x v="0"/>
    <x v="0"/>
    <x v="0"/>
    <x v="0"/>
    <n v="11"/>
    <x v="0"/>
  </r>
  <r>
    <d v="2025-04-11T00:00:00"/>
    <x v="2"/>
    <x v="1"/>
    <x v="0"/>
    <n v="61431573.340000004"/>
    <x v="2"/>
    <x v="1"/>
    <x v="0"/>
    <x v="8"/>
    <x v="0"/>
    <x v="0"/>
    <x v="0"/>
    <x v="0"/>
    <x v="0"/>
    <n v="11"/>
    <x v="0"/>
  </r>
  <r>
    <d v="2025-04-11T00:00:00"/>
    <x v="3"/>
    <x v="3"/>
    <x v="0"/>
    <n v="1541042929.6700001"/>
    <x v="3"/>
    <x v="3"/>
    <x v="0"/>
    <x v="9"/>
    <x v="0"/>
    <x v="0"/>
    <x v="0"/>
    <x v="0"/>
    <x v="0"/>
    <n v="11"/>
    <x v="0"/>
  </r>
  <r>
    <d v="2025-04-11T00:00:00"/>
    <x v="2"/>
    <x v="1"/>
    <x v="1"/>
    <n v="281753700.31"/>
    <x v="2"/>
    <x v="1"/>
    <x v="1"/>
    <x v="10"/>
    <x v="0"/>
    <x v="0"/>
    <x v="0"/>
    <x v="0"/>
    <x v="0"/>
    <n v="11"/>
    <x v="0"/>
  </r>
  <r>
    <d v="2025-04-11T00:00:00"/>
    <x v="1"/>
    <x v="0"/>
    <x v="0"/>
    <n v="54790710.649999999"/>
    <x v="1"/>
    <x v="0"/>
    <x v="0"/>
    <x v="11"/>
    <x v="0"/>
    <x v="0"/>
    <x v="0"/>
    <x v="0"/>
    <x v="0"/>
    <n v="11"/>
    <x v="0"/>
  </r>
  <r>
    <d v="2025-04-11T00:00:00"/>
    <x v="1"/>
    <x v="0"/>
    <x v="1"/>
    <n v="2336172837.27"/>
    <x v="1"/>
    <x v="0"/>
    <x v="1"/>
    <x v="12"/>
    <x v="0"/>
    <x v="0"/>
    <x v="0"/>
    <x v="0"/>
    <x v="0"/>
    <n v="11"/>
    <x v="0"/>
  </r>
  <r>
    <d v="2025-04-11T00:00:00"/>
    <x v="3"/>
    <x v="1"/>
    <x v="0"/>
    <n v="16319966.33"/>
    <x v="3"/>
    <x v="1"/>
    <x v="0"/>
    <x v="13"/>
    <x v="0"/>
    <x v="0"/>
    <x v="0"/>
    <x v="0"/>
    <x v="0"/>
    <n v="11"/>
    <x v="0"/>
  </r>
  <r>
    <d v="2025-04-11T00:00:00"/>
    <x v="3"/>
    <x v="2"/>
    <x v="0"/>
    <n v="743971320.63"/>
    <x v="3"/>
    <x v="2"/>
    <x v="0"/>
    <x v="14"/>
    <x v="0"/>
    <x v="0"/>
    <x v="0"/>
    <x v="0"/>
    <x v="0"/>
    <n v="11"/>
    <x v="0"/>
  </r>
  <r>
    <d v="2025-04-11T00:00:00"/>
    <x v="3"/>
    <x v="2"/>
    <x v="1"/>
    <n v="45204699509.300003"/>
    <x v="3"/>
    <x v="2"/>
    <x v="1"/>
    <x v="15"/>
    <x v="0"/>
    <x v="0"/>
    <x v="0"/>
    <x v="0"/>
    <x v="0"/>
    <n v="11"/>
    <x v="0"/>
  </r>
  <r>
    <d v="2025-04-10T00:00:00"/>
    <x v="1"/>
    <x v="1"/>
    <x v="0"/>
    <n v="301022.09000000003"/>
    <x v="1"/>
    <x v="1"/>
    <x v="0"/>
    <x v="7"/>
    <x v="0"/>
    <x v="0"/>
    <x v="0"/>
    <x v="0"/>
    <x v="0"/>
    <n v="10"/>
    <x v="0"/>
  </r>
  <r>
    <d v="2025-04-10T00:00:00"/>
    <x v="0"/>
    <x v="1"/>
    <x v="0"/>
    <n v="12406712.4"/>
    <x v="0"/>
    <x v="1"/>
    <x v="0"/>
    <x v="0"/>
    <x v="0"/>
    <x v="0"/>
    <x v="0"/>
    <x v="0"/>
    <x v="0"/>
    <n v="10"/>
    <x v="0"/>
  </r>
  <r>
    <d v="2025-04-10T00:00:00"/>
    <x v="0"/>
    <x v="0"/>
    <x v="1"/>
    <n v="3825"/>
    <x v="0"/>
    <x v="0"/>
    <x v="1"/>
    <x v="1"/>
    <x v="0"/>
    <x v="0"/>
    <x v="0"/>
    <x v="0"/>
    <x v="0"/>
    <n v="10"/>
    <x v="0"/>
  </r>
  <r>
    <d v="2025-04-10T00:00:00"/>
    <x v="3"/>
    <x v="3"/>
    <x v="1"/>
    <n v="154684.75"/>
    <x v="3"/>
    <x v="3"/>
    <x v="1"/>
    <x v="2"/>
    <x v="0"/>
    <x v="0"/>
    <x v="0"/>
    <x v="0"/>
    <x v="0"/>
    <n v="10"/>
    <x v="0"/>
  </r>
  <r>
    <d v="2025-04-10T00:00:00"/>
    <x v="0"/>
    <x v="1"/>
    <x v="1"/>
    <n v="20798588.23"/>
    <x v="0"/>
    <x v="1"/>
    <x v="1"/>
    <x v="3"/>
    <x v="0"/>
    <x v="0"/>
    <x v="0"/>
    <x v="0"/>
    <x v="0"/>
    <n v="10"/>
    <x v="0"/>
  </r>
  <r>
    <d v="2025-04-10T00:00:00"/>
    <x v="3"/>
    <x v="3"/>
    <x v="2"/>
    <n v="-20"/>
    <x v="3"/>
    <x v="3"/>
    <x v="2"/>
    <x v="4"/>
    <x v="0"/>
    <x v="0"/>
    <x v="0"/>
    <x v="0"/>
    <x v="0"/>
    <n v="10"/>
    <x v="1"/>
  </r>
  <r>
    <d v="2025-04-10T00:00:00"/>
    <x v="3"/>
    <x v="2"/>
    <x v="2"/>
    <n v="117039.74"/>
    <x v="3"/>
    <x v="2"/>
    <x v="2"/>
    <x v="5"/>
    <x v="0"/>
    <x v="0"/>
    <x v="0"/>
    <x v="0"/>
    <x v="0"/>
    <n v="10"/>
    <x v="0"/>
  </r>
  <r>
    <d v="2025-04-10T00:00:00"/>
    <x v="2"/>
    <x v="1"/>
    <x v="0"/>
    <n v="90549048.510000005"/>
    <x v="2"/>
    <x v="1"/>
    <x v="0"/>
    <x v="9"/>
    <x v="0"/>
    <x v="0"/>
    <x v="0"/>
    <x v="0"/>
    <x v="0"/>
    <n v="10"/>
    <x v="0"/>
  </r>
  <r>
    <d v="2025-04-10T00:00:00"/>
    <x v="2"/>
    <x v="1"/>
    <x v="2"/>
    <n v="11428.15"/>
    <x v="2"/>
    <x v="1"/>
    <x v="2"/>
    <x v="6"/>
    <x v="0"/>
    <x v="0"/>
    <x v="0"/>
    <x v="0"/>
    <x v="0"/>
    <n v="10"/>
    <x v="0"/>
  </r>
  <r>
    <d v="2025-04-10T00:00:00"/>
    <x v="2"/>
    <x v="1"/>
    <x v="1"/>
    <n v="351563325.5"/>
    <x v="2"/>
    <x v="1"/>
    <x v="1"/>
    <x v="10"/>
    <x v="0"/>
    <x v="0"/>
    <x v="0"/>
    <x v="0"/>
    <x v="0"/>
    <n v="10"/>
    <x v="0"/>
  </r>
  <r>
    <d v="2025-04-10T00:00:00"/>
    <x v="3"/>
    <x v="3"/>
    <x v="0"/>
    <n v="1884179679.6099999"/>
    <x v="3"/>
    <x v="3"/>
    <x v="0"/>
    <x v="8"/>
    <x v="0"/>
    <x v="0"/>
    <x v="0"/>
    <x v="0"/>
    <x v="0"/>
    <n v="10"/>
    <x v="0"/>
  </r>
  <r>
    <d v="2025-04-10T00:00:00"/>
    <x v="1"/>
    <x v="0"/>
    <x v="0"/>
    <n v="62263065.210000001"/>
    <x v="1"/>
    <x v="0"/>
    <x v="0"/>
    <x v="11"/>
    <x v="0"/>
    <x v="0"/>
    <x v="0"/>
    <x v="0"/>
    <x v="0"/>
    <n v="10"/>
    <x v="0"/>
  </r>
  <r>
    <d v="2025-04-10T00:00:00"/>
    <x v="1"/>
    <x v="0"/>
    <x v="1"/>
    <n v="3226237643.3000002"/>
    <x v="1"/>
    <x v="0"/>
    <x v="1"/>
    <x v="12"/>
    <x v="0"/>
    <x v="0"/>
    <x v="0"/>
    <x v="0"/>
    <x v="0"/>
    <n v="10"/>
    <x v="0"/>
  </r>
  <r>
    <d v="2025-04-10T00:00:00"/>
    <x v="3"/>
    <x v="1"/>
    <x v="0"/>
    <n v="15915107.9"/>
    <x v="3"/>
    <x v="1"/>
    <x v="0"/>
    <x v="13"/>
    <x v="0"/>
    <x v="0"/>
    <x v="0"/>
    <x v="0"/>
    <x v="0"/>
    <n v="10"/>
    <x v="0"/>
  </r>
  <r>
    <d v="2025-04-10T00:00:00"/>
    <x v="3"/>
    <x v="2"/>
    <x v="0"/>
    <n v="632872475.38"/>
    <x v="3"/>
    <x v="2"/>
    <x v="0"/>
    <x v="14"/>
    <x v="0"/>
    <x v="0"/>
    <x v="0"/>
    <x v="0"/>
    <x v="0"/>
    <n v="10"/>
    <x v="0"/>
  </r>
  <r>
    <d v="2025-04-10T00:00:00"/>
    <x v="3"/>
    <x v="2"/>
    <x v="1"/>
    <n v="25961741978.669998"/>
    <x v="3"/>
    <x v="2"/>
    <x v="1"/>
    <x v="15"/>
    <x v="0"/>
    <x v="0"/>
    <x v="0"/>
    <x v="0"/>
    <x v="0"/>
    <n v="10"/>
    <x v="0"/>
  </r>
  <r>
    <d v="2025-04-09T00:00:00"/>
    <x v="0"/>
    <x v="0"/>
    <x v="0"/>
    <n v="680"/>
    <x v="0"/>
    <x v="0"/>
    <x v="0"/>
    <x v="0"/>
    <x v="0"/>
    <x v="0"/>
    <x v="0"/>
    <x v="0"/>
    <x v="0"/>
    <n v="9"/>
    <x v="0"/>
  </r>
  <r>
    <d v="2025-04-09T00:00:00"/>
    <x v="0"/>
    <x v="1"/>
    <x v="0"/>
    <n v="16100991.439999999"/>
    <x v="0"/>
    <x v="1"/>
    <x v="0"/>
    <x v="1"/>
    <x v="0"/>
    <x v="0"/>
    <x v="0"/>
    <x v="0"/>
    <x v="0"/>
    <n v="9"/>
    <x v="0"/>
  </r>
  <r>
    <d v="2025-04-09T00:00:00"/>
    <x v="1"/>
    <x v="1"/>
    <x v="0"/>
    <n v="657779.73"/>
    <x v="1"/>
    <x v="1"/>
    <x v="0"/>
    <x v="7"/>
    <x v="0"/>
    <x v="0"/>
    <x v="0"/>
    <x v="0"/>
    <x v="0"/>
    <n v="9"/>
    <x v="0"/>
  </r>
  <r>
    <d v="2025-04-09T00:00:00"/>
    <x v="3"/>
    <x v="3"/>
    <x v="2"/>
    <n v="194"/>
    <x v="3"/>
    <x v="3"/>
    <x v="2"/>
    <x v="2"/>
    <x v="0"/>
    <x v="0"/>
    <x v="0"/>
    <x v="0"/>
    <x v="0"/>
    <n v="9"/>
    <x v="0"/>
  </r>
  <r>
    <d v="2025-04-09T00:00:00"/>
    <x v="2"/>
    <x v="1"/>
    <x v="2"/>
    <n v="48691.42"/>
    <x v="2"/>
    <x v="1"/>
    <x v="2"/>
    <x v="3"/>
    <x v="0"/>
    <x v="0"/>
    <x v="0"/>
    <x v="0"/>
    <x v="0"/>
    <n v="9"/>
    <x v="0"/>
  </r>
  <r>
    <d v="2025-04-09T00:00:00"/>
    <x v="2"/>
    <x v="1"/>
    <x v="0"/>
    <n v="129384289.47"/>
    <x v="2"/>
    <x v="1"/>
    <x v="0"/>
    <x v="8"/>
    <x v="0"/>
    <x v="0"/>
    <x v="0"/>
    <x v="0"/>
    <x v="0"/>
    <n v="9"/>
    <x v="0"/>
  </r>
  <r>
    <d v="2025-04-09T00:00:00"/>
    <x v="3"/>
    <x v="3"/>
    <x v="0"/>
    <n v="693345889.75"/>
    <x v="3"/>
    <x v="3"/>
    <x v="0"/>
    <x v="9"/>
    <x v="0"/>
    <x v="0"/>
    <x v="0"/>
    <x v="0"/>
    <x v="0"/>
    <n v="9"/>
    <x v="0"/>
  </r>
  <r>
    <d v="2025-04-09T00:00:00"/>
    <x v="3"/>
    <x v="3"/>
    <x v="1"/>
    <n v="51661.78"/>
    <x v="3"/>
    <x v="3"/>
    <x v="1"/>
    <x v="4"/>
    <x v="0"/>
    <x v="0"/>
    <x v="0"/>
    <x v="0"/>
    <x v="0"/>
    <n v="9"/>
    <x v="0"/>
  </r>
  <r>
    <d v="2025-04-09T00:00:00"/>
    <x v="0"/>
    <x v="1"/>
    <x v="1"/>
    <n v="3231802.76"/>
    <x v="0"/>
    <x v="1"/>
    <x v="1"/>
    <x v="5"/>
    <x v="0"/>
    <x v="0"/>
    <x v="0"/>
    <x v="0"/>
    <x v="0"/>
    <n v="9"/>
    <x v="0"/>
  </r>
  <r>
    <d v="2025-04-09T00:00:00"/>
    <x v="3"/>
    <x v="2"/>
    <x v="2"/>
    <n v="728563.07"/>
    <x v="3"/>
    <x v="2"/>
    <x v="2"/>
    <x v="6"/>
    <x v="0"/>
    <x v="0"/>
    <x v="0"/>
    <x v="0"/>
    <x v="0"/>
    <n v="9"/>
    <x v="0"/>
  </r>
  <r>
    <d v="2025-04-09T00:00:00"/>
    <x v="2"/>
    <x v="1"/>
    <x v="1"/>
    <n v="287773163.19"/>
    <x v="2"/>
    <x v="1"/>
    <x v="1"/>
    <x v="10"/>
    <x v="0"/>
    <x v="0"/>
    <x v="0"/>
    <x v="0"/>
    <x v="0"/>
    <n v="9"/>
    <x v="0"/>
  </r>
  <r>
    <d v="2025-04-09T00:00:00"/>
    <x v="1"/>
    <x v="0"/>
    <x v="0"/>
    <n v="174121168.16999999"/>
    <x v="1"/>
    <x v="0"/>
    <x v="0"/>
    <x v="11"/>
    <x v="0"/>
    <x v="0"/>
    <x v="0"/>
    <x v="0"/>
    <x v="0"/>
    <n v="9"/>
    <x v="0"/>
  </r>
  <r>
    <d v="2025-04-09T00:00:00"/>
    <x v="1"/>
    <x v="0"/>
    <x v="1"/>
    <n v="3497901008.5599999"/>
    <x v="1"/>
    <x v="0"/>
    <x v="1"/>
    <x v="12"/>
    <x v="0"/>
    <x v="0"/>
    <x v="0"/>
    <x v="0"/>
    <x v="0"/>
    <n v="9"/>
    <x v="0"/>
  </r>
  <r>
    <d v="2025-04-09T00:00:00"/>
    <x v="3"/>
    <x v="1"/>
    <x v="0"/>
    <n v="16954438.620000001"/>
    <x v="3"/>
    <x v="1"/>
    <x v="0"/>
    <x v="13"/>
    <x v="0"/>
    <x v="0"/>
    <x v="0"/>
    <x v="0"/>
    <x v="0"/>
    <n v="9"/>
    <x v="0"/>
  </r>
  <r>
    <d v="2025-04-09T00:00:00"/>
    <x v="3"/>
    <x v="2"/>
    <x v="0"/>
    <n v="643445302.50999999"/>
    <x v="3"/>
    <x v="2"/>
    <x v="0"/>
    <x v="14"/>
    <x v="0"/>
    <x v="0"/>
    <x v="0"/>
    <x v="0"/>
    <x v="0"/>
    <n v="9"/>
    <x v="0"/>
  </r>
  <r>
    <d v="2025-04-09T00:00:00"/>
    <x v="3"/>
    <x v="2"/>
    <x v="1"/>
    <n v="19173832591.080002"/>
    <x v="3"/>
    <x v="2"/>
    <x v="1"/>
    <x v="15"/>
    <x v="0"/>
    <x v="0"/>
    <x v="0"/>
    <x v="0"/>
    <x v="0"/>
    <n v="9"/>
    <x v="0"/>
  </r>
  <r>
    <d v="2025-04-08T00:00:00"/>
    <x v="0"/>
    <x v="1"/>
    <x v="1"/>
    <n v="4398237.97"/>
    <x v="0"/>
    <x v="1"/>
    <x v="1"/>
    <x v="3"/>
    <x v="0"/>
    <x v="0"/>
    <x v="0"/>
    <x v="0"/>
    <x v="0"/>
    <n v="8"/>
    <x v="0"/>
  </r>
  <r>
    <d v="2025-04-08T00:00:00"/>
    <x v="1"/>
    <x v="1"/>
    <x v="0"/>
    <n v="401478.65"/>
    <x v="1"/>
    <x v="1"/>
    <x v="0"/>
    <x v="0"/>
    <x v="0"/>
    <x v="0"/>
    <x v="0"/>
    <x v="0"/>
    <x v="0"/>
    <n v="8"/>
    <x v="0"/>
  </r>
  <r>
    <d v="2025-04-08T00:00:00"/>
    <x v="0"/>
    <x v="1"/>
    <x v="0"/>
    <n v="13227444.98"/>
    <x v="0"/>
    <x v="1"/>
    <x v="0"/>
    <x v="1"/>
    <x v="0"/>
    <x v="0"/>
    <x v="0"/>
    <x v="0"/>
    <x v="0"/>
    <n v="8"/>
    <x v="0"/>
  </r>
  <r>
    <d v="2025-04-08T00:00:00"/>
    <x v="2"/>
    <x v="1"/>
    <x v="2"/>
    <n v="41049.32"/>
    <x v="2"/>
    <x v="1"/>
    <x v="2"/>
    <x v="2"/>
    <x v="0"/>
    <x v="0"/>
    <x v="0"/>
    <x v="0"/>
    <x v="0"/>
    <n v="8"/>
    <x v="0"/>
  </r>
  <r>
    <d v="2025-04-08T00:00:00"/>
    <x v="2"/>
    <x v="1"/>
    <x v="0"/>
    <n v="82165648.5"/>
    <x v="2"/>
    <x v="1"/>
    <x v="0"/>
    <x v="5"/>
    <x v="0"/>
    <x v="0"/>
    <x v="0"/>
    <x v="0"/>
    <x v="0"/>
    <n v="8"/>
    <x v="0"/>
  </r>
  <r>
    <d v="2025-04-08T00:00:00"/>
    <x v="3"/>
    <x v="3"/>
    <x v="0"/>
    <n v="3317365384.0999999"/>
    <x v="3"/>
    <x v="3"/>
    <x v="0"/>
    <x v="6"/>
    <x v="0"/>
    <x v="0"/>
    <x v="0"/>
    <x v="0"/>
    <x v="0"/>
    <n v="8"/>
    <x v="0"/>
  </r>
  <r>
    <d v="2025-04-08T00:00:00"/>
    <x v="3"/>
    <x v="2"/>
    <x v="2"/>
    <n v="334862.05"/>
    <x v="3"/>
    <x v="2"/>
    <x v="2"/>
    <x v="4"/>
    <x v="0"/>
    <x v="0"/>
    <x v="0"/>
    <x v="0"/>
    <x v="0"/>
    <n v="8"/>
    <x v="0"/>
  </r>
  <r>
    <d v="2025-04-08T00:00:00"/>
    <x v="2"/>
    <x v="1"/>
    <x v="1"/>
    <n v="257522410.65000001"/>
    <x v="2"/>
    <x v="1"/>
    <x v="1"/>
    <x v="7"/>
    <x v="0"/>
    <x v="0"/>
    <x v="0"/>
    <x v="0"/>
    <x v="0"/>
    <n v="8"/>
    <x v="0"/>
  </r>
  <r>
    <d v="2025-04-08T00:00:00"/>
    <x v="1"/>
    <x v="0"/>
    <x v="0"/>
    <n v="124846457.39"/>
    <x v="1"/>
    <x v="0"/>
    <x v="0"/>
    <x v="8"/>
    <x v="0"/>
    <x v="0"/>
    <x v="0"/>
    <x v="0"/>
    <x v="0"/>
    <n v="8"/>
    <x v="0"/>
  </r>
  <r>
    <d v="2025-04-08T00:00:00"/>
    <x v="1"/>
    <x v="0"/>
    <x v="1"/>
    <n v="1575769919.21"/>
    <x v="1"/>
    <x v="0"/>
    <x v="1"/>
    <x v="9"/>
    <x v="0"/>
    <x v="0"/>
    <x v="0"/>
    <x v="0"/>
    <x v="0"/>
    <n v="8"/>
    <x v="0"/>
  </r>
  <r>
    <d v="2025-04-08T00:00:00"/>
    <x v="3"/>
    <x v="1"/>
    <x v="0"/>
    <n v="14514045.779999999"/>
    <x v="3"/>
    <x v="1"/>
    <x v="0"/>
    <x v="10"/>
    <x v="0"/>
    <x v="0"/>
    <x v="0"/>
    <x v="0"/>
    <x v="0"/>
    <n v="8"/>
    <x v="0"/>
  </r>
  <r>
    <d v="2025-04-08T00:00:00"/>
    <x v="3"/>
    <x v="2"/>
    <x v="0"/>
    <n v="1251004452.53"/>
    <x v="3"/>
    <x v="2"/>
    <x v="0"/>
    <x v="11"/>
    <x v="0"/>
    <x v="0"/>
    <x v="0"/>
    <x v="0"/>
    <x v="0"/>
    <n v="8"/>
    <x v="0"/>
  </r>
  <r>
    <d v="2025-04-08T00:00:00"/>
    <x v="3"/>
    <x v="2"/>
    <x v="1"/>
    <n v="11290052120.43"/>
    <x v="3"/>
    <x v="2"/>
    <x v="1"/>
    <x v="12"/>
    <x v="0"/>
    <x v="0"/>
    <x v="0"/>
    <x v="0"/>
    <x v="0"/>
    <n v="8"/>
    <x v="0"/>
  </r>
  <r>
    <d v="2025-04-07T00:00:00"/>
    <x v="0"/>
    <x v="1"/>
    <x v="1"/>
    <n v="17744568.399999999"/>
    <x v="0"/>
    <x v="1"/>
    <x v="1"/>
    <x v="5"/>
    <x v="0"/>
    <x v="0"/>
    <x v="0"/>
    <x v="0"/>
    <x v="0"/>
    <n v="7"/>
    <x v="0"/>
  </r>
  <r>
    <d v="2025-04-07T00:00:00"/>
    <x v="0"/>
    <x v="0"/>
    <x v="0"/>
    <n v="350"/>
    <x v="0"/>
    <x v="0"/>
    <x v="0"/>
    <x v="0"/>
    <x v="0"/>
    <x v="0"/>
    <x v="0"/>
    <x v="0"/>
    <x v="0"/>
    <n v="7"/>
    <x v="0"/>
  </r>
  <r>
    <d v="2025-04-07T00:00:00"/>
    <x v="0"/>
    <x v="1"/>
    <x v="0"/>
    <n v="12602754.33"/>
    <x v="0"/>
    <x v="1"/>
    <x v="0"/>
    <x v="1"/>
    <x v="0"/>
    <x v="0"/>
    <x v="0"/>
    <x v="0"/>
    <x v="0"/>
    <n v="7"/>
    <x v="0"/>
  </r>
  <r>
    <d v="2025-04-07T00:00:00"/>
    <x v="3"/>
    <x v="2"/>
    <x v="2"/>
    <n v="148200.97"/>
    <x v="3"/>
    <x v="2"/>
    <x v="2"/>
    <x v="7"/>
    <x v="0"/>
    <x v="0"/>
    <x v="0"/>
    <x v="0"/>
    <x v="0"/>
    <n v="7"/>
    <x v="0"/>
  </r>
  <r>
    <d v="2025-04-07T00:00:00"/>
    <x v="3"/>
    <x v="3"/>
    <x v="2"/>
    <n v="130"/>
    <x v="3"/>
    <x v="3"/>
    <x v="2"/>
    <x v="2"/>
    <x v="0"/>
    <x v="0"/>
    <x v="0"/>
    <x v="0"/>
    <x v="0"/>
    <n v="7"/>
    <x v="0"/>
  </r>
  <r>
    <d v="2025-04-07T00:00:00"/>
    <x v="2"/>
    <x v="1"/>
    <x v="2"/>
    <n v="12482.41"/>
    <x v="2"/>
    <x v="1"/>
    <x v="2"/>
    <x v="3"/>
    <x v="0"/>
    <x v="0"/>
    <x v="0"/>
    <x v="0"/>
    <x v="0"/>
    <n v="7"/>
    <x v="0"/>
  </r>
  <r>
    <d v="2025-04-07T00:00:00"/>
    <x v="3"/>
    <x v="3"/>
    <x v="1"/>
    <n v="635155.5"/>
    <x v="3"/>
    <x v="3"/>
    <x v="1"/>
    <x v="4"/>
    <x v="0"/>
    <x v="0"/>
    <x v="0"/>
    <x v="0"/>
    <x v="0"/>
    <n v="7"/>
    <x v="0"/>
  </r>
  <r>
    <d v="2025-04-07T00:00:00"/>
    <x v="2"/>
    <x v="1"/>
    <x v="0"/>
    <n v="63476956.030000001"/>
    <x v="2"/>
    <x v="1"/>
    <x v="0"/>
    <x v="8"/>
    <x v="0"/>
    <x v="0"/>
    <x v="0"/>
    <x v="0"/>
    <x v="0"/>
    <n v="7"/>
    <x v="0"/>
  </r>
  <r>
    <d v="2025-04-07T00:00:00"/>
    <x v="1"/>
    <x v="1"/>
    <x v="0"/>
    <n v="351283.77"/>
    <x v="1"/>
    <x v="1"/>
    <x v="0"/>
    <x v="6"/>
    <x v="0"/>
    <x v="0"/>
    <x v="0"/>
    <x v="0"/>
    <x v="0"/>
    <n v="7"/>
    <x v="0"/>
  </r>
  <r>
    <d v="2025-04-07T00:00:00"/>
    <x v="1"/>
    <x v="0"/>
    <x v="0"/>
    <n v="135268378.65000001"/>
    <x v="1"/>
    <x v="0"/>
    <x v="0"/>
    <x v="11"/>
    <x v="0"/>
    <x v="0"/>
    <x v="0"/>
    <x v="0"/>
    <x v="0"/>
    <n v="7"/>
    <x v="0"/>
  </r>
  <r>
    <d v="2025-04-07T00:00:00"/>
    <x v="3"/>
    <x v="3"/>
    <x v="0"/>
    <n v="1085085762.5899999"/>
    <x v="3"/>
    <x v="3"/>
    <x v="0"/>
    <x v="9"/>
    <x v="0"/>
    <x v="0"/>
    <x v="0"/>
    <x v="0"/>
    <x v="0"/>
    <n v="7"/>
    <x v="0"/>
  </r>
  <r>
    <d v="2025-04-07T00:00:00"/>
    <x v="2"/>
    <x v="1"/>
    <x v="1"/>
    <n v="138582161.44999999"/>
    <x v="2"/>
    <x v="1"/>
    <x v="1"/>
    <x v="10"/>
    <x v="0"/>
    <x v="0"/>
    <x v="0"/>
    <x v="0"/>
    <x v="0"/>
    <n v="7"/>
    <x v="0"/>
  </r>
  <r>
    <d v="2025-04-07T00:00:00"/>
    <x v="1"/>
    <x v="0"/>
    <x v="1"/>
    <n v="1448486671.4200001"/>
    <x v="1"/>
    <x v="0"/>
    <x v="1"/>
    <x v="12"/>
    <x v="0"/>
    <x v="0"/>
    <x v="0"/>
    <x v="0"/>
    <x v="0"/>
    <n v="7"/>
    <x v="0"/>
  </r>
  <r>
    <d v="2025-04-07T00:00:00"/>
    <x v="3"/>
    <x v="2"/>
    <x v="0"/>
    <n v="888646827.83000004"/>
    <x v="3"/>
    <x v="2"/>
    <x v="0"/>
    <x v="13"/>
    <x v="0"/>
    <x v="0"/>
    <x v="0"/>
    <x v="0"/>
    <x v="0"/>
    <n v="7"/>
    <x v="0"/>
  </r>
  <r>
    <d v="2025-04-07T00:00:00"/>
    <x v="3"/>
    <x v="2"/>
    <x v="1"/>
    <n v="29880140162.029999"/>
    <x v="3"/>
    <x v="2"/>
    <x v="1"/>
    <x v="14"/>
    <x v="0"/>
    <x v="0"/>
    <x v="0"/>
    <x v="0"/>
    <x v="0"/>
    <n v="7"/>
    <x v="0"/>
  </r>
  <r>
    <d v="2025-04-07T00:00:00"/>
    <x v="3"/>
    <x v="1"/>
    <x v="0"/>
    <n v="52635834.93"/>
    <x v="3"/>
    <x v="1"/>
    <x v="0"/>
    <x v="15"/>
    <x v="0"/>
    <x v="0"/>
    <x v="0"/>
    <x v="0"/>
    <x v="0"/>
    <n v="7"/>
    <x v="0"/>
  </r>
  <r>
    <d v="2025-04-04T00:00:00"/>
    <x v="2"/>
    <x v="1"/>
    <x v="2"/>
    <n v="50023"/>
    <x v="2"/>
    <x v="1"/>
    <x v="2"/>
    <x v="3"/>
    <x v="0"/>
    <x v="0"/>
    <x v="0"/>
    <x v="0"/>
    <x v="0"/>
    <n v="4"/>
    <x v="0"/>
  </r>
  <r>
    <d v="2025-04-04T00:00:00"/>
    <x v="3"/>
    <x v="2"/>
    <x v="2"/>
    <n v="277438.78999999998"/>
    <x v="3"/>
    <x v="2"/>
    <x v="2"/>
    <x v="6"/>
    <x v="0"/>
    <x v="0"/>
    <x v="0"/>
    <x v="0"/>
    <x v="0"/>
    <n v="4"/>
    <x v="0"/>
  </r>
  <r>
    <d v="2025-04-04T00:00:00"/>
    <x v="0"/>
    <x v="0"/>
    <x v="0"/>
    <n v="485.2"/>
    <x v="0"/>
    <x v="0"/>
    <x v="0"/>
    <x v="0"/>
    <x v="0"/>
    <x v="0"/>
    <x v="0"/>
    <x v="0"/>
    <x v="0"/>
    <n v="4"/>
    <x v="0"/>
  </r>
  <r>
    <d v="2025-04-04T00:00:00"/>
    <x v="0"/>
    <x v="1"/>
    <x v="0"/>
    <n v="12352604.48"/>
    <x v="0"/>
    <x v="1"/>
    <x v="0"/>
    <x v="1"/>
    <x v="0"/>
    <x v="0"/>
    <x v="0"/>
    <x v="0"/>
    <x v="0"/>
    <n v="4"/>
    <x v="0"/>
  </r>
  <r>
    <d v="2025-04-04T00:00:00"/>
    <x v="3"/>
    <x v="3"/>
    <x v="2"/>
    <n v="60"/>
    <x v="3"/>
    <x v="3"/>
    <x v="2"/>
    <x v="2"/>
    <x v="0"/>
    <x v="0"/>
    <x v="0"/>
    <x v="0"/>
    <x v="0"/>
    <n v="4"/>
    <x v="0"/>
  </r>
  <r>
    <d v="2025-04-04T00:00:00"/>
    <x v="3"/>
    <x v="3"/>
    <x v="0"/>
    <n v="2162058134.29"/>
    <x v="3"/>
    <x v="3"/>
    <x v="0"/>
    <x v="7"/>
    <x v="0"/>
    <x v="0"/>
    <x v="0"/>
    <x v="0"/>
    <x v="0"/>
    <n v="4"/>
    <x v="0"/>
  </r>
  <r>
    <d v="2025-04-04T00:00:00"/>
    <x v="2"/>
    <x v="1"/>
    <x v="0"/>
    <n v="97861191.670000002"/>
    <x v="2"/>
    <x v="1"/>
    <x v="0"/>
    <x v="8"/>
    <x v="0"/>
    <x v="0"/>
    <x v="0"/>
    <x v="0"/>
    <x v="0"/>
    <n v="4"/>
    <x v="0"/>
  </r>
  <r>
    <d v="2025-04-04T00:00:00"/>
    <x v="0"/>
    <x v="1"/>
    <x v="1"/>
    <n v="9693044.1999999993"/>
    <x v="0"/>
    <x v="1"/>
    <x v="1"/>
    <x v="4"/>
    <x v="0"/>
    <x v="0"/>
    <x v="0"/>
    <x v="0"/>
    <x v="0"/>
    <n v="4"/>
    <x v="0"/>
  </r>
  <r>
    <d v="2025-04-04T00:00:00"/>
    <x v="1"/>
    <x v="1"/>
    <x v="0"/>
    <n v="1254930.69"/>
    <x v="1"/>
    <x v="1"/>
    <x v="0"/>
    <x v="5"/>
    <x v="0"/>
    <x v="0"/>
    <x v="0"/>
    <x v="0"/>
    <x v="0"/>
    <n v="4"/>
    <x v="0"/>
  </r>
  <r>
    <d v="2025-04-04T00:00:00"/>
    <x v="2"/>
    <x v="1"/>
    <x v="1"/>
    <n v="195152634.30000001"/>
    <x v="2"/>
    <x v="1"/>
    <x v="1"/>
    <x v="9"/>
    <x v="0"/>
    <x v="0"/>
    <x v="0"/>
    <x v="0"/>
    <x v="0"/>
    <n v="4"/>
    <x v="0"/>
  </r>
  <r>
    <d v="2025-04-04T00:00:00"/>
    <x v="1"/>
    <x v="0"/>
    <x v="0"/>
    <n v="57395189.189999998"/>
    <x v="1"/>
    <x v="0"/>
    <x v="0"/>
    <x v="10"/>
    <x v="0"/>
    <x v="0"/>
    <x v="0"/>
    <x v="0"/>
    <x v="0"/>
    <n v="4"/>
    <x v="0"/>
  </r>
  <r>
    <d v="2025-04-04T00:00:00"/>
    <x v="1"/>
    <x v="0"/>
    <x v="1"/>
    <n v="821032704.32000005"/>
    <x v="1"/>
    <x v="0"/>
    <x v="1"/>
    <x v="11"/>
    <x v="0"/>
    <x v="0"/>
    <x v="0"/>
    <x v="0"/>
    <x v="0"/>
    <n v="4"/>
    <x v="0"/>
  </r>
  <r>
    <d v="2025-04-04T00:00:00"/>
    <x v="3"/>
    <x v="1"/>
    <x v="0"/>
    <n v="16193564.380000001"/>
    <x v="3"/>
    <x v="1"/>
    <x v="0"/>
    <x v="12"/>
    <x v="0"/>
    <x v="0"/>
    <x v="0"/>
    <x v="0"/>
    <x v="0"/>
    <n v="4"/>
    <x v="0"/>
  </r>
  <r>
    <d v="2025-04-04T00:00:00"/>
    <x v="3"/>
    <x v="2"/>
    <x v="0"/>
    <n v="694825679.82000005"/>
    <x v="3"/>
    <x v="2"/>
    <x v="0"/>
    <x v="13"/>
    <x v="0"/>
    <x v="0"/>
    <x v="0"/>
    <x v="0"/>
    <x v="0"/>
    <n v="4"/>
    <x v="0"/>
  </r>
  <r>
    <d v="2025-04-04T00:00:00"/>
    <x v="3"/>
    <x v="2"/>
    <x v="1"/>
    <n v="14167068027.780001"/>
    <x v="3"/>
    <x v="2"/>
    <x v="1"/>
    <x v="14"/>
    <x v="0"/>
    <x v="0"/>
    <x v="0"/>
    <x v="0"/>
    <x v="0"/>
    <n v="4"/>
    <x v="0"/>
  </r>
  <r>
    <d v="2025-04-03T00:00:00"/>
    <x v="3"/>
    <x v="2"/>
    <x v="2"/>
    <n v="130157.35"/>
    <x v="3"/>
    <x v="2"/>
    <x v="2"/>
    <x v="6"/>
    <x v="0"/>
    <x v="0"/>
    <x v="0"/>
    <x v="0"/>
    <x v="0"/>
    <n v="3"/>
    <x v="0"/>
  </r>
  <r>
    <d v="2025-04-03T00:00:00"/>
    <x v="0"/>
    <x v="1"/>
    <x v="0"/>
    <n v="10488326.91"/>
    <x v="0"/>
    <x v="1"/>
    <x v="0"/>
    <x v="0"/>
    <x v="0"/>
    <x v="0"/>
    <x v="0"/>
    <x v="0"/>
    <x v="0"/>
    <n v="3"/>
    <x v="0"/>
  </r>
  <r>
    <d v="2025-04-03T00:00:00"/>
    <x v="3"/>
    <x v="3"/>
    <x v="2"/>
    <n v="20"/>
    <x v="3"/>
    <x v="3"/>
    <x v="2"/>
    <x v="1"/>
    <x v="0"/>
    <x v="0"/>
    <x v="0"/>
    <x v="0"/>
    <x v="0"/>
    <n v="3"/>
    <x v="0"/>
  </r>
  <r>
    <d v="2025-04-03T00:00:00"/>
    <x v="2"/>
    <x v="1"/>
    <x v="2"/>
    <n v="14676.42"/>
    <x v="2"/>
    <x v="1"/>
    <x v="2"/>
    <x v="2"/>
    <x v="0"/>
    <x v="0"/>
    <x v="0"/>
    <x v="0"/>
    <x v="0"/>
    <n v="3"/>
    <x v="0"/>
  </r>
  <r>
    <d v="2025-04-03T00:00:00"/>
    <x v="2"/>
    <x v="1"/>
    <x v="0"/>
    <n v="97507299.450000003"/>
    <x v="2"/>
    <x v="1"/>
    <x v="0"/>
    <x v="7"/>
    <x v="0"/>
    <x v="0"/>
    <x v="0"/>
    <x v="0"/>
    <x v="0"/>
    <n v="3"/>
    <x v="0"/>
  </r>
  <r>
    <d v="2025-04-03T00:00:00"/>
    <x v="3"/>
    <x v="3"/>
    <x v="1"/>
    <n v="5759.89"/>
    <x v="3"/>
    <x v="3"/>
    <x v="1"/>
    <x v="3"/>
    <x v="0"/>
    <x v="0"/>
    <x v="0"/>
    <x v="0"/>
    <x v="0"/>
    <n v="3"/>
    <x v="0"/>
  </r>
  <r>
    <d v="2025-04-03T00:00:00"/>
    <x v="0"/>
    <x v="1"/>
    <x v="1"/>
    <n v="4322516.47"/>
    <x v="0"/>
    <x v="1"/>
    <x v="1"/>
    <x v="4"/>
    <x v="0"/>
    <x v="0"/>
    <x v="0"/>
    <x v="0"/>
    <x v="0"/>
    <n v="3"/>
    <x v="0"/>
  </r>
  <r>
    <d v="2025-04-03T00:00:00"/>
    <x v="1"/>
    <x v="1"/>
    <x v="0"/>
    <n v="240078.15"/>
    <x v="1"/>
    <x v="1"/>
    <x v="0"/>
    <x v="5"/>
    <x v="0"/>
    <x v="0"/>
    <x v="0"/>
    <x v="0"/>
    <x v="0"/>
    <n v="3"/>
    <x v="0"/>
  </r>
  <r>
    <d v="2025-04-03T00:00:00"/>
    <x v="2"/>
    <x v="1"/>
    <x v="1"/>
    <n v="199227196.65000001"/>
    <x v="2"/>
    <x v="1"/>
    <x v="1"/>
    <x v="9"/>
    <x v="0"/>
    <x v="0"/>
    <x v="0"/>
    <x v="0"/>
    <x v="0"/>
    <n v="3"/>
    <x v="0"/>
  </r>
  <r>
    <d v="2025-04-03T00:00:00"/>
    <x v="1"/>
    <x v="0"/>
    <x v="0"/>
    <n v="57274826.579999998"/>
    <x v="1"/>
    <x v="0"/>
    <x v="0"/>
    <x v="10"/>
    <x v="0"/>
    <x v="0"/>
    <x v="0"/>
    <x v="0"/>
    <x v="0"/>
    <n v="3"/>
    <x v="0"/>
  </r>
  <r>
    <d v="2025-04-03T00:00:00"/>
    <x v="3"/>
    <x v="3"/>
    <x v="0"/>
    <n v="1688023056.02"/>
    <x v="3"/>
    <x v="3"/>
    <x v="0"/>
    <x v="8"/>
    <x v="0"/>
    <x v="0"/>
    <x v="0"/>
    <x v="0"/>
    <x v="0"/>
    <n v="3"/>
    <x v="0"/>
  </r>
  <r>
    <d v="2025-04-03T00:00:00"/>
    <x v="1"/>
    <x v="0"/>
    <x v="1"/>
    <n v="1219959738.95"/>
    <x v="1"/>
    <x v="0"/>
    <x v="1"/>
    <x v="11"/>
    <x v="0"/>
    <x v="0"/>
    <x v="0"/>
    <x v="0"/>
    <x v="0"/>
    <n v="3"/>
    <x v="0"/>
  </r>
  <r>
    <d v="2025-04-03T00:00:00"/>
    <x v="3"/>
    <x v="1"/>
    <x v="0"/>
    <n v="16209506.82"/>
    <x v="3"/>
    <x v="1"/>
    <x v="0"/>
    <x v="12"/>
    <x v="0"/>
    <x v="0"/>
    <x v="0"/>
    <x v="0"/>
    <x v="0"/>
    <n v="3"/>
    <x v="0"/>
  </r>
  <r>
    <d v="2025-04-03T00:00:00"/>
    <x v="3"/>
    <x v="2"/>
    <x v="0"/>
    <n v="660968264.63999999"/>
    <x v="3"/>
    <x v="2"/>
    <x v="0"/>
    <x v="13"/>
    <x v="0"/>
    <x v="0"/>
    <x v="0"/>
    <x v="0"/>
    <x v="0"/>
    <n v="3"/>
    <x v="0"/>
  </r>
  <r>
    <d v="2025-04-03T00:00:00"/>
    <x v="3"/>
    <x v="2"/>
    <x v="1"/>
    <n v="9977856207.8299999"/>
    <x v="3"/>
    <x v="2"/>
    <x v="1"/>
    <x v="14"/>
    <x v="0"/>
    <x v="0"/>
    <x v="0"/>
    <x v="0"/>
    <x v="0"/>
    <n v="3"/>
    <x v="0"/>
  </r>
  <r>
    <d v="2025-04-02T00:00:00"/>
    <x v="0"/>
    <x v="0"/>
    <x v="0"/>
    <n v="22"/>
    <x v="0"/>
    <x v="0"/>
    <x v="0"/>
    <x v="0"/>
    <x v="0"/>
    <x v="0"/>
    <x v="0"/>
    <x v="0"/>
    <x v="0"/>
    <n v="2"/>
    <x v="0"/>
  </r>
  <r>
    <d v="2025-04-02T00:00:00"/>
    <x v="2"/>
    <x v="1"/>
    <x v="2"/>
    <n v="16700.66"/>
    <x v="2"/>
    <x v="1"/>
    <x v="2"/>
    <x v="4"/>
    <x v="0"/>
    <x v="0"/>
    <x v="0"/>
    <x v="0"/>
    <x v="0"/>
    <n v="2"/>
    <x v="0"/>
  </r>
  <r>
    <d v="2025-04-02T00:00:00"/>
    <x v="1"/>
    <x v="1"/>
    <x v="0"/>
    <n v="369181.81"/>
    <x v="1"/>
    <x v="1"/>
    <x v="0"/>
    <x v="1"/>
    <x v="0"/>
    <x v="0"/>
    <x v="0"/>
    <x v="0"/>
    <x v="0"/>
    <n v="2"/>
    <x v="0"/>
  </r>
  <r>
    <d v="2025-04-02T00:00:00"/>
    <x v="0"/>
    <x v="1"/>
    <x v="0"/>
    <n v="4536903.29"/>
    <x v="0"/>
    <x v="1"/>
    <x v="0"/>
    <x v="2"/>
    <x v="0"/>
    <x v="0"/>
    <x v="0"/>
    <x v="0"/>
    <x v="0"/>
    <n v="2"/>
    <x v="0"/>
  </r>
  <r>
    <d v="2025-04-02T00:00:00"/>
    <x v="3"/>
    <x v="2"/>
    <x v="2"/>
    <n v="422823.51"/>
    <x v="3"/>
    <x v="2"/>
    <x v="2"/>
    <x v="5"/>
    <x v="0"/>
    <x v="0"/>
    <x v="0"/>
    <x v="0"/>
    <x v="0"/>
    <n v="2"/>
    <x v="0"/>
  </r>
  <r>
    <d v="2025-04-02T00:00:00"/>
    <x v="2"/>
    <x v="1"/>
    <x v="0"/>
    <n v="140196571.56"/>
    <x v="2"/>
    <x v="1"/>
    <x v="0"/>
    <x v="6"/>
    <x v="0"/>
    <x v="0"/>
    <x v="0"/>
    <x v="0"/>
    <x v="0"/>
    <n v="2"/>
    <x v="0"/>
  </r>
  <r>
    <d v="2025-04-02T00:00:00"/>
    <x v="3"/>
    <x v="3"/>
    <x v="0"/>
    <n v="1987997992.79"/>
    <x v="3"/>
    <x v="3"/>
    <x v="0"/>
    <x v="7"/>
    <x v="0"/>
    <x v="0"/>
    <x v="0"/>
    <x v="0"/>
    <x v="0"/>
    <n v="2"/>
    <x v="0"/>
  </r>
  <r>
    <d v="2025-04-02T00:00:00"/>
    <x v="0"/>
    <x v="1"/>
    <x v="1"/>
    <n v="9860207.7899999991"/>
    <x v="0"/>
    <x v="1"/>
    <x v="1"/>
    <x v="3"/>
    <x v="0"/>
    <x v="0"/>
    <x v="0"/>
    <x v="0"/>
    <x v="0"/>
    <n v="2"/>
    <x v="0"/>
  </r>
  <r>
    <d v="2025-04-02T00:00:00"/>
    <x v="1"/>
    <x v="0"/>
    <x v="0"/>
    <n v="126052232.56999999"/>
    <x v="1"/>
    <x v="0"/>
    <x v="0"/>
    <x v="9"/>
    <x v="0"/>
    <x v="0"/>
    <x v="0"/>
    <x v="0"/>
    <x v="0"/>
    <n v="2"/>
    <x v="0"/>
  </r>
  <r>
    <d v="2025-04-02T00:00:00"/>
    <x v="2"/>
    <x v="1"/>
    <x v="1"/>
    <n v="206890684.75"/>
    <x v="2"/>
    <x v="1"/>
    <x v="1"/>
    <x v="8"/>
    <x v="0"/>
    <x v="0"/>
    <x v="0"/>
    <x v="0"/>
    <x v="0"/>
    <n v="2"/>
    <x v="0"/>
  </r>
  <r>
    <d v="2025-04-02T00:00:00"/>
    <x v="1"/>
    <x v="0"/>
    <x v="1"/>
    <n v="2026758602.3099999"/>
    <x v="1"/>
    <x v="0"/>
    <x v="1"/>
    <x v="10"/>
    <x v="0"/>
    <x v="0"/>
    <x v="0"/>
    <x v="0"/>
    <x v="0"/>
    <n v="2"/>
    <x v="0"/>
  </r>
  <r>
    <d v="2025-04-02T00:00:00"/>
    <x v="3"/>
    <x v="1"/>
    <x v="0"/>
    <n v="18132022.170000002"/>
    <x v="3"/>
    <x v="1"/>
    <x v="0"/>
    <x v="11"/>
    <x v="0"/>
    <x v="0"/>
    <x v="0"/>
    <x v="0"/>
    <x v="0"/>
    <n v="2"/>
    <x v="0"/>
  </r>
  <r>
    <d v="2025-04-02T00:00:00"/>
    <x v="3"/>
    <x v="2"/>
    <x v="0"/>
    <n v="1123322625.8499999"/>
    <x v="3"/>
    <x v="2"/>
    <x v="0"/>
    <x v="12"/>
    <x v="0"/>
    <x v="0"/>
    <x v="0"/>
    <x v="0"/>
    <x v="0"/>
    <n v="2"/>
    <x v="0"/>
  </r>
  <r>
    <d v="2025-04-02T00:00:00"/>
    <x v="3"/>
    <x v="2"/>
    <x v="1"/>
    <n v="19100723762.880001"/>
    <x v="3"/>
    <x v="2"/>
    <x v="1"/>
    <x v="13"/>
    <x v="0"/>
    <x v="0"/>
    <x v="0"/>
    <x v="0"/>
    <x v="0"/>
    <n v="2"/>
    <x v="0"/>
  </r>
  <r>
    <d v="2025-04-01T00:00:00"/>
    <x v="0"/>
    <x v="1"/>
    <x v="0"/>
    <n v="31088296.210000001"/>
    <x v="0"/>
    <x v="1"/>
    <x v="0"/>
    <x v="0"/>
    <x v="0"/>
    <x v="0"/>
    <x v="0"/>
    <x v="0"/>
    <x v="0"/>
    <n v="1"/>
    <x v="0"/>
  </r>
  <r>
    <d v="2025-04-01T00:00:00"/>
    <x v="2"/>
    <x v="1"/>
    <x v="0"/>
    <n v="84004588.019999996"/>
    <x v="2"/>
    <x v="1"/>
    <x v="0"/>
    <x v="5"/>
    <x v="0"/>
    <x v="0"/>
    <x v="0"/>
    <x v="0"/>
    <x v="0"/>
    <n v="1"/>
    <x v="0"/>
  </r>
  <r>
    <d v="2025-04-01T00:00:00"/>
    <x v="0"/>
    <x v="1"/>
    <x v="1"/>
    <n v="5037735"/>
    <x v="0"/>
    <x v="1"/>
    <x v="1"/>
    <x v="1"/>
    <x v="0"/>
    <x v="0"/>
    <x v="0"/>
    <x v="0"/>
    <x v="0"/>
    <n v="1"/>
    <x v="0"/>
  </r>
  <r>
    <d v="2025-04-01T00:00:00"/>
    <x v="1"/>
    <x v="1"/>
    <x v="0"/>
    <n v="360514.27"/>
    <x v="1"/>
    <x v="1"/>
    <x v="0"/>
    <x v="2"/>
    <x v="0"/>
    <x v="0"/>
    <x v="0"/>
    <x v="0"/>
    <x v="0"/>
    <n v="1"/>
    <x v="0"/>
  </r>
  <r>
    <d v="2025-04-01T00:00:00"/>
    <x v="2"/>
    <x v="1"/>
    <x v="2"/>
    <n v="510731.86"/>
    <x v="2"/>
    <x v="1"/>
    <x v="2"/>
    <x v="3"/>
    <x v="0"/>
    <x v="0"/>
    <x v="0"/>
    <x v="0"/>
    <x v="0"/>
    <n v="1"/>
    <x v="0"/>
  </r>
  <r>
    <d v="2025-04-01T00:00:00"/>
    <x v="3"/>
    <x v="2"/>
    <x v="2"/>
    <n v="175071.52"/>
    <x v="3"/>
    <x v="2"/>
    <x v="2"/>
    <x v="4"/>
    <x v="0"/>
    <x v="0"/>
    <x v="0"/>
    <x v="0"/>
    <x v="0"/>
    <n v="1"/>
    <x v="0"/>
  </r>
  <r>
    <d v="2025-04-01T00:00:00"/>
    <x v="3"/>
    <x v="3"/>
    <x v="0"/>
    <n v="4866742790.6899996"/>
    <x v="3"/>
    <x v="3"/>
    <x v="0"/>
    <x v="6"/>
    <x v="0"/>
    <x v="0"/>
    <x v="0"/>
    <x v="0"/>
    <x v="0"/>
    <n v="1"/>
    <x v="0"/>
  </r>
  <r>
    <d v="2025-04-01T00:00:00"/>
    <x v="2"/>
    <x v="1"/>
    <x v="1"/>
    <n v="226400154.34999999"/>
    <x v="2"/>
    <x v="1"/>
    <x v="1"/>
    <x v="7"/>
    <x v="0"/>
    <x v="0"/>
    <x v="0"/>
    <x v="0"/>
    <x v="0"/>
    <n v="1"/>
    <x v="0"/>
  </r>
  <r>
    <d v="2025-04-01T00:00:00"/>
    <x v="1"/>
    <x v="0"/>
    <x v="0"/>
    <n v="125874495.59999999"/>
    <x v="1"/>
    <x v="0"/>
    <x v="0"/>
    <x v="8"/>
    <x v="0"/>
    <x v="0"/>
    <x v="0"/>
    <x v="0"/>
    <x v="0"/>
    <n v="1"/>
    <x v="0"/>
  </r>
  <r>
    <d v="2025-04-01T00:00:00"/>
    <x v="1"/>
    <x v="0"/>
    <x v="1"/>
    <n v="717107541.12"/>
    <x v="1"/>
    <x v="0"/>
    <x v="1"/>
    <x v="9"/>
    <x v="0"/>
    <x v="0"/>
    <x v="0"/>
    <x v="0"/>
    <x v="0"/>
    <n v="1"/>
    <x v="0"/>
  </r>
  <r>
    <d v="2025-04-01T00:00:00"/>
    <x v="3"/>
    <x v="1"/>
    <x v="0"/>
    <n v="14831714.869999999"/>
    <x v="3"/>
    <x v="1"/>
    <x v="0"/>
    <x v="10"/>
    <x v="0"/>
    <x v="0"/>
    <x v="0"/>
    <x v="0"/>
    <x v="0"/>
    <n v="1"/>
    <x v="0"/>
  </r>
  <r>
    <d v="2025-04-01T00:00:00"/>
    <x v="3"/>
    <x v="2"/>
    <x v="0"/>
    <n v="975680735.57000005"/>
    <x v="3"/>
    <x v="2"/>
    <x v="0"/>
    <x v="11"/>
    <x v="0"/>
    <x v="0"/>
    <x v="0"/>
    <x v="0"/>
    <x v="0"/>
    <n v="1"/>
    <x v="0"/>
  </r>
  <r>
    <d v="2025-04-01T00:00:00"/>
    <x v="3"/>
    <x v="2"/>
    <x v="1"/>
    <n v="28938411932.509998"/>
    <x v="3"/>
    <x v="2"/>
    <x v="1"/>
    <x v="12"/>
    <x v="0"/>
    <x v="0"/>
    <x v="0"/>
    <x v="0"/>
    <x v="0"/>
    <n v="1"/>
    <x v="0"/>
  </r>
  <r>
    <d v="2025-03-31T00:00:00"/>
    <x v="1"/>
    <x v="1"/>
    <x v="0"/>
    <n v="255021.71"/>
    <x v="1"/>
    <x v="1"/>
    <x v="0"/>
    <x v="5"/>
    <x v="0"/>
    <x v="1"/>
    <x v="0"/>
    <x v="1"/>
    <x v="1"/>
    <n v="31"/>
    <x v="0"/>
  </r>
  <r>
    <d v="2025-03-31T00:00:00"/>
    <x v="0"/>
    <x v="0"/>
    <x v="0"/>
    <n v="700.62"/>
    <x v="0"/>
    <x v="0"/>
    <x v="0"/>
    <x v="0"/>
    <x v="0"/>
    <x v="1"/>
    <x v="0"/>
    <x v="1"/>
    <x v="1"/>
    <n v="31"/>
    <x v="0"/>
  </r>
  <r>
    <d v="2025-03-31T00:00:00"/>
    <x v="0"/>
    <x v="1"/>
    <x v="0"/>
    <n v="14555433.16"/>
    <x v="0"/>
    <x v="1"/>
    <x v="0"/>
    <x v="1"/>
    <x v="0"/>
    <x v="1"/>
    <x v="0"/>
    <x v="1"/>
    <x v="1"/>
    <n v="31"/>
    <x v="0"/>
  </r>
  <r>
    <d v="2025-03-31T00:00:00"/>
    <x v="3"/>
    <x v="3"/>
    <x v="0"/>
    <n v="4841274250.3900003"/>
    <x v="3"/>
    <x v="3"/>
    <x v="0"/>
    <x v="7"/>
    <x v="0"/>
    <x v="1"/>
    <x v="0"/>
    <x v="1"/>
    <x v="1"/>
    <n v="31"/>
    <x v="0"/>
  </r>
  <r>
    <d v="2025-03-31T00:00:00"/>
    <x v="3"/>
    <x v="3"/>
    <x v="2"/>
    <n v="6295.4"/>
    <x v="3"/>
    <x v="3"/>
    <x v="2"/>
    <x v="2"/>
    <x v="0"/>
    <x v="1"/>
    <x v="0"/>
    <x v="1"/>
    <x v="1"/>
    <n v="31"/>
    <x v="0"/>
  </r>
  <r>
    <d v="2025-03-31T00:00:00"/>
    <x v="2"/>
    <x v="1"/>
    <x v="0"/>
    <n v="78138792.120000005"/>
    <x v="2"/>
    <x v="1"/>
    <x v="0"/>
    <x v="8"/>
    <x v="0"/>
    <x v="1"/>
    <x v="0"/>
    <x v="1"/>
    <x v="1"/>
    <n v="31"/>
    <x v="0"/>
  </r>
  <r>
    <d v="2025-03-31T00:00:00"/>
    <x v="0"/>
    <x v="1"/>
    <x v="1"/>
    <n v="10592355.75"/>
    <x v="0"/>
    <x v="1"/>
    <x v="1"/>
    <x v="3"/>
    <x v="0"/>
    <x v="1"/>
    <x v="0"/>
    <x v="1"/>
    <x v="1"/>
    <n v="31"/>
    <x v="0"/>
  </r>
  <r>
    <d v="2025-03-31T00:00:00"/>
    <x v="2"/>
    <x v="1"/>
    <x v="2"/>
    <n v="9116.09"/>
    <x v="2"/>
    <x v="1"/>
    <x v="2"/>
    <x v="4"/>
    <x v="0"/>
    <x v="1"/>
    <x v="0"/>
    <x v="1"/>
    <x v="1"/>
    <n v="31"/>
    <x v="0"/>
  </r>
  <r>
    <d v="2025-03-31T00:00:00"/>
    <x v="3"/>
    <x v="2"/>
    <x v="2"/>
    <n v="382778.56"/>
    <x v="3"/>
    <x v="2"/>
    <x v="2"/>
    <x v="6"/>
    <x v="0"/>
    <x v="1"/>
    <x v="0"/>
    <x v="1"/>
    <x v="1"/>
    <n v="31"/>
    <x v="0"/>
  </r>
  <r>
    <d v="2025-03-31T00:00:00"/>
    <x v="2"/>
    <x v="1"/>
    <x v="1"/>
    <n v="166364063.15000001"/>
    <x v="2"/>
    <x v="1"/>
    <x v="1"/>
    <x v="9"/>
    <x v="0"/>
    <x v="1"/>
    <x v="0"/>
    <x v="1"/>
    <x v="1"/>
    <n v="31"/>
    <x v="0"/>
  </r>
  <r>
    <d v="2025-03-31T00:00:00"/>
    <x v="1"/>
    <x v="0"/>
    <x v="0"/>
    <n v="64036068.979999997"/>
    <x v="1"/>
    <x v="0"/>
    <x v="0"/>
    <x v="10"/>
    <x v="0"/>
    <x v="1"/>
    <x v="0"/>
    <x v="1"/>
    <x v="1"/>
    <n v="31"/>
    <x v="0"/>
  </r>
  <r>
    <d v="2025-03-31T00:00:00"/>
    <x v="1"/>
    <x v="0"/>
    <x v="1"/>
    <n v="702622370.64999998"/>
    <x v="1"/>
    <x v="0"/>
    <x v="1"/>
    <x v="11"/>
    <x v="0"/>
    <x v="1"/>
    <x v="0"/>
    <x v="1"/>
    <x v="1"/>
    <n v="31"/>
    <x v="0"/>
  </r>
  <r>
    <d v="2025-03-31T00:00:00"/>
    <x v="3"/>
    <x v="2"/>
    <x v="0"/>
    <n v="1869908408.27"/>
    <x v="3"/>
    <x v="2"/>
    <x v="0"/>
    <x v="12"/>
    <x v="0"/>
    <x v="1"/>
    <x v="0"/>
    <x v="1"/>
    <x v="1"/>
    <n v="31"/>
    <x v="0"/>
  </r>
  <r>
    <d v="2025-03-31T00:00:00"/>
    <x v="3"/>
    <x v="1"/>
    <x v="0"/>
    <n v="54600066.420000002"/>
    <x v="3"/>
    <x v="1"/>
    <x v="0"/>
    <x v="13"/>
    <x v="0"/>
    <x v="1"/>
    <x v="0"/>
    <x v="1"/>
    <x v="1"/>
    <n v="31"/>
    <x v="0"/>
  </r>
  <r>
    <d v="2025-03-31T00:00:00"/>
    <x v="3"/>
    <x v="2"/>
    <x v="1"/>
    <n v="34307499131.630001"/>
    <x v="3"/>
    <x v="2"/>
    <x v="1"/>
    <x v="14"/>
    <x v="0"/>
    <x v="1"/>
    <x v="0"/>
    <x v="1"/>
    <x v="1"/>
    <n v="31"/>
    <x v="0"/>
  </r>
  <r>
    <d v="2025-03-28T00:00:00"/>
    <x v="0"/>
    <x v="1"/>
    <x v="0"/>
    <n v="5121794.01"/>
    <x v="0"/>
    <x v="1"/>
    <x v="0"/>
    <x v="0"/>
    <x v="0"/>
    <x v="1"/>
    <x v="0"/>
    <x v="1"/>
    <x v="1"/>
    <n v="28"/>
    <x v="0"/>
  </r>
  <r>
    <d v="2025-03-28T00:00:00"/>
    <x v="2"/>
    <x v="1"/>
    <x v="2"/>
    <n v="10614.11"/>
    <x v="2"/>
    <x v="1"/>
    <x v="2"/>
    <x v="4"/>
    <x v="0"/>
    <x v="1"/>
    <x v="0"/>
    <x v="1"/>
    <x v="1"/>
    <n v="28"/>
    <x v="0"/>
  </r>
  <r>
    <d v="2025-03-28T00:00:00"/>
    <x v="1"/>
    <x v="1"/>
    <x v="0"/>
    <n v="262228.98"/>
    <x v="1"/>
    <x v="1"/>
    <x v="0"/>
    <x v="5"/>
    <x v="0"/>
    <x v="1"/>
    <x v="0"/>
    <x v="1"/>
    <x v="1"/>
    <n v="28"/>
    <x v="0"/>
  </r>
  <r>
    <d v="2025-03-28T00:00:00"/>
    <x v="2"/>
    <x v="1"/>
    <x v="0"/>
    <n v="92468283.379999995"/>
    <x v="2"/>
    <x v="1"/>
    <x v="0"/>
    <x v="6"/>
    <x v="0"/>
    <x v="1"/>
    <x v="0"/>
    <x v="1"/>
    <x v="1"/>
    <n v="28"/>
    <x v="0"/>
  </r>
  <r>
    <d v="2025-03-28T00:00:00"/>
    <x v="3"/>
    <x v="2"/>
    <x v="2"/>
    <n v="200113.39"/>
    <x v="3"/>
    <x v="2"/>
    <x v="2"/>
    <x v="1"/>
    <x v="0"/>
    <x v="1"/>
    <x v="0"/>
    <x v="1"/>
    <x v="1"/>
    <n v="28"/>
    <x v="0"/>
  </r>
  <r>
    <d v="2025-03-28T00:00:00"/>
    <x v="3"/>
    <x v="3"/>
    <x v="0"/>
    <n v="2045766498.9200001"/>
    <x v="3"/>
    <x v="3"/>
    <x v="0"/>
    <x v="7"/>
    <x v="0"/>
    <x v="1"/>
    <x v="0"/>
    <x v="1"/>
    <x v="1"/>
    <n v="28"/>
    <x v="0"/>
  </r>
  <r>
    <d v="2025-03-28T00:00:00"/>
    <x v="3"/>
    <x v="3"/>
    <x v="1"/>
    <n v="3539603.68"/>
    <x v="3"/>
    <x v="3"/>
    <x v="1"/>
    <x v="2"/>
    <x v="0"/>
    <x v="1"/>
    <x v="0"/>
    <x v="1"/>
    <x v="1"/>
    <n v="28"/>
    <x v="0"/>
  </r>
  <r>
    <d v="2025-03-28T00:00:00"/>
    <x v="0"/>
    <x v="1"/>
    <x v="1"/>
    <n v="88122074.609999999"/>
    <x v="0"/>
    <x v="1"/>
    <x v="1"/>
    <x v="3"/>
    <x v="0"/>
    <x v="1"/>
    <x v="0"/>
    <x v="1"/>
    <x v="1"/>
    <n v="28"/>
    <x v="0"/>
  </r>
  <r>
    <d v="2025-03-28T00:00:00"/>
    <x v="2"/>
    <x v="1"/>
    <x v="1"/>
    <n v="156910132.87"/>
    <x v="2"/>
    <x v="1"/>
    <x v="1"/>
    <x v="8"/>
    <x v="0"/>
    <x v="1"/>
    <x v="0"/>
    <x v="1"/>
    <x v="1"/>
    <n v="28"/>
    <x v="0"/>
  </r>
  <r>
    <d v="2025-03-28T00:00:00"/>
    <x v="1"/>
    <x v="0"/>
    <x v="0"/>
    <n v="56377469.439999998"/>
    <x v="1"/>
    <x v="0"/>
    <x v="0"/>
    <x v="9"/>
    <x v="0"/>
    <x v="1"/>
    <x v="0"/>
    <x v="1"/>
    <x v="1"/>
    <n v="28"/>
    <x v="0"/>
  </r>
  <r>
    <d v="2025-03-28T00:00:00"/>
    <x v="1"/>
    <x v="0"/>
    <x v="1"/>
    <n v="491345548.88"/>
    <x v="1"/>
    <x v="0"/>
    <x v="1"/>
    <x v="10"/>
    <x v="0"/>
    <x v="1"/>
    <x v="0"/>
    <x v="1"/>
    <x v="1"/>
    <n v="28"/>
    <x v="0"/>
  </r>
  <r>
    <d v="2025-03-28T00:00:00"/>
    <x v="3"/>
    <x v="1"/>
    <x v="0"/>
    <n v="16083867.59"/>
    <x v="3"/>
    <x v="1"/>
    <x v="0"/>
    <x v="11"/>
    <x v="0"/>
    <x v="1"/>
    <x v="0"/>
    <x v="1"/>
    <x v="1"/>
    <n v="28"/>
    <x v="0"/>
  </r>
  <r>
    <d v="2025-03-28T00:00:00"/>
    <x v="3"/>
    <x v="2"/>
    <x v="0"/>
    <n v="936721995.58000004"/>
    <x v="3"/>
    <x v="2"/>
    <x v="0"/>
    <x v="12"/>
    <x v="0"/>
    <x v="1"/>
    <x v="0"/>
    <x v="1"/>
    <x v="1"/>
    <n v="28"/>
    <x v="0"/>
  </r>
  <r>
    <d v="2025-03-28T00:00:00"/>
    <x v="3"/>
    <x v="2"/>
    <x v="1"/>
    <n v="14012972152.27"/>
    <x v="3"/>
    <x v="2"/>
    <x v="1"/>
    <x v="13"/>
    <x v="0"/>
    <x v="1"/>
    <x v="0"/>
    <x v="1"/>
    <x v="1"/>
    <n v="28"/>
    <x v="0"/>
  </r>
  <r>
    <d v="2025-03-27T00:00:00"/>
    <x v="0"/>
    <x v="1"/>
    <x v="0"/>
    <n v="10856621.720000001"/>
    <x v="0"/>
    <x v="1"/>
    <x v="0"/>
    <x v="0"/>
    <x v="0"/>
    <x v="1"/>
    <x v="0"/>
    <x v="1"/>
    <x v="1"/>
    <n v="27"/>
    <x v="0"/>
  </r>
  <r>
    <d v="2025-03-27T00:00:00"/>
    <x v="1"/>
    <x v="1"/>
    <x v="0"/>
    <n v="1113765.43"/>
    <x v="1"/>
    <x v="1"/>
    <x v="0"/>
    <x v="3"/>
    <x v="0"/>
    <x v="1"/>
    <x v="0"/>
    <x v="1"/>
    <x v="1"/>
    <n v="27"/>
    <x v="0"/>
  </r>
  <r>
    <d v="2025-03-27T00:00:00"/>
    <x v="3"/>
    <x v="2"/>
    <x v="2"/>
    <n v="354259.73"/>
    <x v="3"/>
    <x v="2"/>
    <x v="2"/>
    <x v="4"/>
    <x v="0"/>
    <x v="1"/>
    <x v="0"/>
    <x v="1"/>
    <x v="1"/>
    <n v="27"/>
    <x v="0"/>
  </r>
  <r>
    <d v="2025-03-27T00:00:00"/>
    <x v="2"/>
    <x v="1"/>
    <x v="2"/>
    <n v="17824.55"/>
    <x v="2"/>
    <x v="1"/>
    <x v="2"/>
    <x v="1"/>
    <x v="0"/>
    <x v="1"/>
    <x v="0"/>
    <x v="1"/>
    <x v="1"/>
    <n v="27"/>
    <x v="0"/>
  </r>
  <r>
    <d v="2025-03-27T00:00:00"/>
    <x v="3"/>
    <x v="3"/>
    <x v="0"/>
    <n v="1270804427.25"/>
    <x v="3"/>
    <x v="3"/>
    <x v="0"/>
    <x v="5"/>
    <x v="0"/>
    <x v="1"/>
    <x v="0"/>
    <x v="1"/>
    <x v="1"/>
    <n v="27"/>
    <x v="0"/>
  </r>
  <r>
    <d v="2025-03-27T00:00:00"/>
    <x v="0"/>
    <x v="1"/>
    <x v="1"/>
    <n v="6298987.3600000003"/>
    <x v="0"/>
    <x v="1"/>
    <x v="1"/>
    <x v="2"/>
    <x v="0"/>
    <x v="1"/>
    <x v="0"/>
    <x v="1"/>
    <x v="1"/>
    <n v="27"/>
    <x v="0"/>
  </r>
  <r>
    <d v="2025-03-27T00:00:00"/>
    <x v="2"/>
    <x v="1"/>
    <x v="0"/>
    <n v="97386744.849999994"/>
    <x v="2"/>
    <x v="1"/>
    <x v="0"/>
    <x v="6"/>
    <x v="0"/>
    <x v="1"/>
    <x v="0"/>
    <x v="1"/>
    <x v="1"/>
    <n v="27"/>
    <x v="0"/>
  </r>
  <r>
    <d v="2025-03-27T00:00:00"/>
    <x v="2"/>
    <x v="1"/>
    <x v="1"/>
    <n v="221407511.16"/>
    <x v="2"/>
    <x v="1"/>
    <x v="1"/>
    <x v="7"/>
    <x v="0"/>
    <x v="1"/>
    <x v="0"/>
    <x v="1"/>
    <x v="1"/>
    <n v="27"/>
    <x v="0"/>
  </r>
  <r>
    <d v="2025-03-27T00:00:00"/>
    <x v="1"/>
    <x v="0"/>
    <x v="0"/>
    <n v="122975850.27"/>
    <x v="1"/>
    <x v="0"/>
    <x v="0"/>
    <x v="8"/>
    <x v="0"/>
    <x v="1"/>
    <x v="0"/>
    <x v="1"/>
    <x v="1"/>
    <n v="27"/>
    <x v="0"/>
  </r>
  <r>
    <d v="2025-03-27T00:00:00"/>
    <x v="1"/>
    <x v="0"/>
    <x v="1"/>
    <n v="917486016.84000003"/>
    <x v="1"/>
    <x v="0"/>
    <x v="1"/>
    <x v="9"/>
    <x v="0"/>
    <x v="1"/>
    <x v="0"/>
    <x v="1"/>
    <x v="1"/>
    <n v="27"/>
    <x v="0"/>
  </r>
  <r>
    <d v="2025-03-27T00:00:00"/>
    <x v="3"/>
    <x v="1"/>
    <x v="0"/>
    <n v="15612171.390000001"/>
    <x v="3"/>
    <x v="1"/>
    <x v="0"/>
    <x v="10"/>
    <x v="0"/>
    <x v="1"/>
    <x v="0"/>
    <x v="1"/>
    <x v="1"/>
    <n v="27"/>
    <x v="0"/>
  </r>
  <r>
    <d v="2025-03-27T00:00:00"/>
    <x v="3"/>
    <x v="2"/>
    <x v="0"/>
    <n v="642213405.04999995"/>
    <x v="3"/>
    <x v="2"/>
    <x v="0"/>
    <x v="11"/>
    <x v="0"/>
    <x v="1"/>
    <x v="0"/>
    <x v="1"/>
    <x v="1"/>
    <n v="27"/>
    <x v="0"/>
  </r>
  <r>
    <d v="2025-03-27T00:00:00"/>
    <x v="3"/>
    <x v="2"/>
    <x v="1"/>
    <n v="5747607025.1599998"/>
    <x v="3"/>
    <x v="2"/>
    <x v="1"/>
    <x v="12"/>
    <x v="0"/>
    <x v="1"/>
    <x v="0"/>
    <x v="1"/>
    <x v="1"/>
    <n v="27"/>
    <x v="0"/>
  </r>
  <r>
    <d v="2025-03-26T00:00:00"/>
    <x v="0"/>
    <x v="1"/>
    <x v="0"/>
    <n v="10480026.439999999"/>
    <x v="0"/>
    <x v="1"/>
    <x v="0"/>
    <x v="1"/>
    <x v="0"/>
    <x v="1"/>
    <x v="0"/>
    <x v="1"/>
    <x v="1"/>
    <n v="26"/>
    <x v="0"/>
  </r>
  <r>
    <d v="2025-03-26T00:00:00"/>
    <x v="3"/>
    <x v="3"/>
    <x v="1"/>
    <n v="543963.59"/>
    <x v="3"/>
    <x v="3"/>
    <x v="1"/>
    <x v="3"/>
    <x v="0"/>
    <x v="1"/>
    <x v="0"/>
    <x v="1"/>
    <x v="1"/>
    <n v="26"/>
    <x v="0"/>
  </r>
  <r>
    <d v="2025-03-26T00:00:00"/>
    <x v="3"/>
    <x v="2"/>
    <x v="2"/>
    <n v="325079"/>
    <x v="3"/>
    <x v="2"/>
    <x v="2"/>
    <x v="5"/>
    <x v="0"/>
    <x v="1"/>
    <x v="0"/>
    <x v="1"/>
    <x v="1"/>
    <n v="26"/>
    <x v="0"/>
  </r>
  <r>
    <d v="2025-03-26T00:00:00"/>
    <x v="0"/>
    <x v="0"/>
    <x v="0"/>
    <n v="555.01"/>
    <x v="0"/>
    <x v="0"/>
    <x v="0"/>
    <x v="0"/>
    <x v="0"/>
    <x v="1"/>
    <x v="0"/>
    <x v="1"/>
    <x v="1"/>
    <n v="26"/>
    <x v="0"/>
  </r>
  <r>
    <d v="2025-03-26T00:00:00"/>
    <x v="2"/>
    <x v="1"/>
    <x v="2"/>
    <n v="224588.69"/>
    <x v="2"/>
    <x v="1"/>
    <x v="2"/>
    <x v="2"/>
    <x v="0"/>
    <x v="1"/>
    <x v="0"/>
    <x v="1"/>
    <x v="1"/>
    <n v="26"/>
    <x v="0"/>
  </r>
  <r>
    <d v="2025-03-26T00:00:00"/>
    <x v="2"/>
    <x v="1"/>
    <x v="0"/>
    <n v="88511752.640000001"/>
    <x v="2"/>
    <x v="1"/>
    <x v="0"/>
    <x v="6"/>
    <x v="0"/>
    <x v="1"/>
    <x v="0"/>
    <x v="1"/>
    <x v="1"/>
    <n v="26"/>
    <x v="0"/>
  </r>
  <r>
    <d v="2025-03-26T00:00:00"/>
    <x v="0"/>
    <x v="1"/>
    <x v="1"/>
    <n v="17987456.629999999"/>
    <x v="0"/>
    <x v="1"/>
    <x v="1"/>
    <x v="4"/>
    <x v="0"/>
    <x v="1"/>
    <x v="0"/>
    <x v="1"/>
    <x v="1"/>
    <n v="26"/>
    <x v="0"/>
  </r>
  <r>
    <d v="2025-03-26T00:00:00"/>
    <x v="3"/>
    <x v="3"/>
    <x v="0"/>
    <n v="1525368666.23"/>
    <x v="3"/>
    <x v="3"/>
    <x v="0"/>
    <x v="7"/>
    <x v="0"/>
    <x v="1"/>
    <x v="0"/>
    <x v="1"/>
    <x v="1"/>
    <n v="26"/>
    <x v="0"/>
  </r>
  <r>
    <d v="2025-03-26T00:00:00"/>
    <x v="2"/>
    <x v="1"/>
    <x v="1"/>
    <n v="150565233.21000001"/>
    <x v="2"/>
    <x v="1"/>
    <x v="1"/>
    <x v="8"/>
    <x v="0"/>
    <x v="1"/>
    <x v="0"/>
    <x v="1"/>
    <x v="1"/>
    <n v="26"/>
    <x v="0"/>
  </r>
  <r>
    <d v="2025-03-26T00:00:00"/>
    <x v="1"/>
    <x v="0"/>
    <x v="0"/>
    <n v="256441458.84"/>
    <x v="1"/>
    <x v="0"/>
    <x v="0"/>
    <x v="9"/>
    <x v="0"/>
    <x v="1"/>
    <x v="0"/>
    <x v="1"/>
    <x v="1"/>
    <n v="26"/>
    <x v="0"/>
  </r>
  <r>
    <d v="2025-03-26T00:00:00"/>
    <x v="1"/>
    <x v="0"/>
    <x v="1"/>
    <n v="1359133873.8099999"/>
    <x v="1"/>
    <x v="0"/>
    <x v="1"/>
    <x v="10"/>
    <x v="0"/>
    <x v="1"/>
    <x v="0"/>
    <x v="1"/>
    <x v="1"/>
    <n v="26"/>
    <x v="0"/>
  </r>
  <r>
    <d v="2025-03-26T00:00:00"/>
    <x v="3"/>
    <x v="1"/>
    <x v="0"/>
    <n v="16017881.619999999"/>
    <x v="3"/>
    <x v="1"/>
    <x v="0"/>
    <x v="11"/>
    <x v="0"/>
    <x v="1"/>
    <x v="0"/>
    <x v="1"/>
    <x v="1"/>
    <n v="26"/>
    <x v="0"/>
  </r>
  <r>
    <d v="2025-03-26T00:00:00"/>
    <x v="3"/>
    <x v="2"/>
    <x v="0"/>
    <n v="731970602.69000006"/>
    <x v="3"/>
    <x v="2"/>
    <x v="0"/>
    <x v="12"/>
    <x v="0"/>
    <x v="1"/>
    <x v="0"/>
    <x v="1"/>
    <x v="1"/>
    <n v="26"/>
    <x v="0"/>
  </r>
  <r>
    <d v="2025-03-26T00:00:00"/>
    <x v="3"/>
    <x v="2"/>
    <x v="1"/>
    <n v="13817718337.780001"/>
    <x v="3"/>
    <x v="2"/>
    <x v="1"/>
    <x v="13"/>
    <x v="0"/>
    <x v="1"/>
    <x v="0"/>
    <x v="1"/>
    <x v="1"/>
    <n v="26"/>
    <x v="0"/>
  </r>
  <r>
    <d v="2025-03-25T00:00:00"/>
    <x v="0"/>
    <x v="1"/>
    <x v="1"/>
    <n v="633394.36"/>
    <x v="0"/>
    <x v="1"/>
    <x v="1"/>
    <x v="4"/>
    <x v="0"/>
    <x v="1"/>
    <x v="0"/>
    <x v="1"/>
    <x v="1"/>
    <n v="25"/>
    <x v="0"/>
  </r>
  <r>
    <d v="2025-03-25T00:00:00"/>
    <x v="0"/>
    <x v="0"/>
    <x v="0"/>
    <n v="1535"/>
    <x v="0"/>
    <x v="0"/>
    <x v="0"/>
    <x v="0"/>
    <x v="0"/>
    <x v="1"/>
    <x v="0"/>
    <x v="1"/>
    <x v="1"/>
    <n v="25"/>
    <x v="0"/>
  </r>
  <r>
    <d v="2025-03-25T00:00:00"/>
    <x v="3"/>
    <x v="2"/>
    <x v="2"/>
    <n v="465870.5"/>
    <x v="3"/>
    <x v="2"/>
    <x v="2"/>
    <x v="5"/>
    <x v="0"/>
    <x v="1"/>
    <x v="0"/>
    <x v="1"/>
    <x v="1"/>
    <n v="25"/>
    <x v="0"/>
  </r>
  <r>
    <d v="2025-03-25T00:00:00"/>
    <x v="1"/>
    <x v="1"/>
    <x v="0"/>
    <n v="638495.59"/>
    <x v="1"/>
    <x v="1"/>
    <x v="0"/>
    <x v="1"/>
    <x v="0"/>
    <x v="1"/>
    <x v="0"/>
    <x v="1"/>
    <x v="1"/>
    <n v="25"/>
    <x v="0"/>
  </r>
  <r>
    <d v="2025-03-25T00:00:00"/>
    <x v="0"/>
    <x v="1"/>
    <x v="0"/>
    <n v="9798443.6099999994"/>
    <x v="0"/>
    <x v="1"/>
    <x v="0"/>
    <x v="2"/>
    <x v="0"/>
    <x v="1"/>
    <x v="0"/>
    <x v="1"/>
    <x v="1"/>
    <n v="25"/>
    <x v="0"/>
  </r>
  <r>
    <d v="2025-03-25T00:00:00"/>
    <x v="2"/>
    <x v="1"/>
    <x v="2"/>
    <n v="32830.76"/>
    <x v="2"/>
    <x v="1"/>
    <x v="2"/>
    <x v="3"/>
    <x v="0"/>
    <x v="1"/>
    <x v="0"/>
    <x v="1"/>
    <x v="1"/>
    <n v="25"/>
    <x v="0"/>
  </r>
  <r>
    <d v="2025-03-25T00:00:00"/>
    <x v="2"/>
    <x v="1"/>
    <x v="0"/>
    <n v="79928522.939999998"/>
    <x v="2"/>
    <x v="1"/>
    <x v="0"/>
    <x v="6"/>
    <x v="0"/>
    <x v="1"/>
    <x v="0"/>
    <x v="1"/>
    <x v="1"/>
    <n v="25"/>
    <x v="0"/>
  </r>
  <r>
    <d v="2025-03-25T00:00:00"/>
    <x v="3"/>
    <x v="3"/>
    <x v="0"/>
    <n v="1251500235.76"/>
    <x v="3"/>
    <x v="3"/>
    <x v="0"/>
    <x v="7"/>
    <x v="0"/>
    <x v="1"/>
    <x v="0"/>
    <x v="1"/>
    <x v="1"/>
    <n v="25"/>
    <x v="0"/>
  </r>
  <r>
    <d v="2025-03-25T00:00:00"/>
    <x v="2"/>
    <x v="1"/>
    <x v="1"/>
    <n v="176815524.74000001"/>
    <x v="2"/>
    <x v="1"/>
    <x v="1"/>
    <x v="8"/>
    <x v="0"/>
    <x v="1"/>
    <x v="0"/>
    <x v="1"/>
    <x v="1"/>
    <n v="25"/>
    <x v="0"/>
  </r>
  <r>
    <d v="2025-03-25T00:00:00"/>
    <x v="1"/>
    <x v="0"/>
    <x v="0"/>
    <n v="114510753.87"/>
    <x v="1"/>
    <x v="0"/>
    <x v="0"/>
    <x v="9"/>
    <x v="0"/>
    <x v="1"/>
    <x v="0"/>
    <x v="1"/>
    <x v="1"/>
    <n v="25"/>
    <x v="0"/>
  </r>
  <r>
    <d v="2025-03-25T00:00:00"/>
    <x v="1"/>
    <x v="0"/>
    <x v="1"/>
    <n v="583062970.54999995"/>
    <x v="1"/>
    <x v="0"/>
    <x v="1"/>
    <x v="10"/>
    <x v="0"/>
    <x v="1"/>
    <x v="0"/>
    <x v="1"/>
    <x v="1"/>
    <n v="25"/>
    <x v="0"/>
  </r>
  <r>
    <d v="2025-03-25T00:00:00"/>
    <x v="3"/>
    <x v="1"/>
    <x v="0"/>
    <n v="14544832.57"/>
    <x v="3"/>
    <x v="1"/>
    <x v="0"/>
    <x v="11"/>
    <x v="0"/>
    <x v="1"/>
    <x v="0"/>
    <x v="1"/>
    <x v="1"/>
    <n v="25"/>
    <x v="0"/>
  </r>
  <r>
    <d v="2025-03-25T00:00:00"/>
    <x v="3"/>
    <x v="2"/>
    <x v="0"/>
    <n v="777697834.49000001"/>
    <x v="3"/>
    <x v="2"/>
    <x v="0"/>
    <x v="12"/>
    <x v="0"/>
    <x v="1"/>
    <x v="0"/>
    <x v="1"/>
    <x v="1"/>
    <n v="25"/>
    <x v="0"/>
  </r>
  <r>
    <d v="2025-03-25T00:00:00"/>
    <x v="3"/>
    <x v="2"/>
    <x v="1"/>
    <n v="5455289443.8000002"/>
    <x v="3"/>
    <x v="2"/>
    <x v="1"/>
    <x v="13"/>
    <x v="0"/>
    <x v="1"/>
    <x v="0"/>
    <x v="1"/>
    <x v="1"/>
    <n v="25"/>
    <x v="0"/>
  </r>
  <r>
    <d v="2025-03-24T00:00:00"/>
    <x v="0"/>
    <x v="1"/>
    <x v="0"/>
    <n v="8283374.1100000003"/>
    <x v="0"/>
    <x v="1"/>
    <x v="0"/>
    <x v="1"/>
    <x v="0"/>
    <x v="1"/>
    <x v="0"/>
    <x v="1"/>
    <x v="1"/>
    <n v="24"/>
    <x v="0"/>
  </r>
  <r>
    <d v="2025-03-24T00:00:00"/>
    <x v="2"/>
    <x v="1"/>
    <x v="2"/>
    <n v="10379.77"/>
    <x v="2"/>
    <x v="1"/>
    <x v="2"/>
    <x v="2"/>
    <x v="0"/>
    <x v="1"/>
    <x v="0"/>
    <x v="1"/>
    <x v="1"/>
    <n v="24"/>
    <x v="0"/>
  </r>
  <r>
    <d v="2025-03-24T00:00:00"/>
    <x v="3"/>
    <x v="3"/>
    <x v="1"/>
    <n v="75971.38"/>
    <x v="3"/>
    <x v="3"/>
    <x v="1"/>
    <x v="3"/>
    <x v="0"/>
    <x v="1"/>
    <x v="0"/>
    <x v="1"/>
    <x v="1"/>
    <n v="24"/>
    <x v="0"/>
  </r>
  <r>
    <d v="2025-03-24T00:00:00"/>
    <x v="0"/>
    <x v="1"/>
    <x v="1"/>
    <n v="863755.99"/>
    <x v="0"/>
    <x v="1"/>
    <x v="1"/>
    <x v="4"/>
    <x v="0"/>
    <x v="1"/>
    <x v="0"/>
    <x v="1"/>
    <x v="1"/>
    <n v="24"/>
    <x v="0"/>
  </r>
  <r>
    <d v="2025-03-24T00:00:00"/>
    <x v="1"/>
    <x v="1"/>
    <x v="0"/>
    <n v="112303.81"/>
    <x v="1"/>
    <x v="1"/>
    <x v="0"/>
    <x v="0"/>
    <x v="0"/>
    <x v="1"/>
    <x v="0"/>
    <x v="1"/>
    <x v="1"/>
    <n v="24"/>
    <x v="0"/>
  </r>
  <r>
    <d v="2025-03-24T00:00:00"/>
    <x v="3"/>
    <x v="2"/>
    <x v="2"/>
    <n v="73738.039999999994"/>
    <x v="3"/>
    <x v="2"/>
    <x v="2"/>
    <x v="5"/>
    <x v="0"/>
    <x v="1"/>
    <x v="0"/>
    <x v="1"/>
    <x v="1"/>
    <n v="24"/>
    <x v="0"/>
  </r>
  <r>
    <d v="2025-03-24T00:00:00"/>
    <x v="2"/>
    <x v="1"/>
    <x v="0"/>
    <n v="81911631.049999997"/>
    <x v="2"/>
    <x v="1"/>
    <x v="0"/>
    <x v="6"/>
    <x v="0"/>
    <x v="1"/>
    <x v="0"/>
    <x v="1"/>
    <x v="1"/>
    <n v="24"/>
    <x v="0"/>
  </r>
  <r>
    <d v="2025-03-24T00:00:00"/>
    <x v="3"/>
    <x v="3"/>
    <x v="0"/>
    <n v="1262588521.8399999"/>
    <x v="3"/>
    <x v="3"/>
    <x v="0"/>
    <x v="7"/>
    <x v="0"/>
    <x v="1"/>
    <x v="0"/>
    <x v="1"/>
    <x v="1"/>
    <n v="24"/>
    <x v="0"/>
  </r>
  <r>
    <d v="2025-03-24T00:00:00"/>
    <x v="1"/>
    <x v="0"/>
    <x v="1"/>
    <n v="473325615.69"/>
    <x v="1"/>
    <x v="0"/>
    <x v="1"/>
    <x v="9"/>
    <x v="0"/>
    <x v="1"/>
    <x v="0"/>
    <x v="1"/>
    <x v="1"/>
    <n v="24"/>
    <x v="0"/>
  </r>
  <r>
    <d v="2025-03-24T00:00:00"/>
    <x v="2"/>
    <x v="1"/>
    <x v="1"/>
    <n v="88695350.829999998"/>
    <x v="2"/>
    <x v="1"/>
    <x v="1"/>
    <x v="8"/>
    <x v="0"/>
    <x v="1"/>
    <x v="0"/>
    <x v="1"/>
    <x v="1"/>
    <n v="24"/>
    <x v="0"/>
  </r>
  <r>
    <d v="2025-03-24T00:00:00"/>
    <x v="1"/>
    <x v="0"/>
    <x v="0"/>
    <n v="59556592.009999998"/>
    <x v="1"/>
    <x v="0"/>
    <x v="0"/>
    <x v="10"/>
    <x v="0"/>
    <x v="1"/>
    <x v="0"/>
    <x v="1"/>
    <x v="1"/>
    <n v="24"/>
    <x v="0"/>
  </r>
  <r>
    <d v="2025-03-24T00:00:00"/>
    <x v="3"/>
    <x v="2"/>
    <x v="0"/>
    <n v="6547314440.1000004"/>
    <x v="3"/>
    <x v="2"/>
    <x v="0"/>
    <x v="11"/>
    <x v="0"/>
    <x v="1"/>
    <x v="0"/>
    <x v="1"/>
    <x v="1"/>
    <n v="24"/>
    <x v="0"/>
  </r>
  <r>
    <d v="2025-03-24T00:00:00"/>
    <x v="3"/>
    <x v="1"/>
    <x v="0"/>
    <n v="51518349.799999997"/>
    <x v="3"/>
    <x v="1"/>
    <x v="0"/>
    <x v="12"/>
    <x v="0"/>
    <x v="1"/>
    <x v="0"/>
    <x v="1"/>
    <x v="1"/>
    <n v="24"/>
    <x v="0"/>
  </r>
  <r>
    <d v="2025-03-24T00:00:00"/>
    <x v="3"/>
    <x v="2"/>
    <x v="1"/>
    <n v="30654028944.200001"/>
    <x v="3"/>
    <x v="2"/>
    <x v="1"/>
    <x v="13"/>
    <x v="0"/>
    <x v="1"/>
    <x v="0"/>
    <x v="1"/>
    <x v="1"/>
    <n v="24"/>
    <x v="0"/>
  </r>
  <r>
    <d v="2025-03-21T00:00:00"/>
    <x v="0"/>
    <x v="0"/>
    <x v="0"/>
    <n v="180"/>
    <x v="0"/>
    <x v="0"/>
    <x v="0"/>
    <x v="0"/>
    <x v="0"/>
    <x v="1"/>
    <x v="0"/>
    <x v="1"/>
    <x v="1"/>
    <n v="21"/>
    <x v="0"/>
  </r>
  <r>
    <d v="2025-03-21T00:00:00"/>
    <x v="0"/>
    <x v="1"/>
    <x v="0"/>
    <n v="45216669.210000001"/>
    <x v="0"/>
    <x v="1"/>
    <x v="0"/>
    <x v="1"/>
    <x v="0"/>
    <x v="1"/>
    <x v="0"/>
    <x v="1"/>
    <x v="1"/>
    <n v="21"/>
    <x v="0"/>
  </r>
  <r>
    <d v="2025-03-21T00:00:00"/>
    <x v="3"/>
    <x v="2"/>
    <x v="2"/>
    <n v="682861.3"/>
    <x v="3"/>
    <x v="2"/>
    <x v="2"/>
    <x v="6"/>
    <x v="0"/>
    <x v="1"/>
    <x v="0"/>
    <x v="1"/>
    <x v="1"/>
    <n v="21"/>
    <x v="0"/>
  </r>
  <r>
    <d v="2025-03-21T00:00:00"/>
    <x v="3"/>
    <x v="3"/>
    <x v="0"/>
    <n v="1103419105.1500001"/>
    <x v="3"/>
    <x v="3"/>
    <x v="0"/>
    <x v="7"/>
    <x v="0"/>
    <x v="1"/>
    <x v="0"/>
    <x v="1"/>
    <x v="1"/>
    <n v="21"/>
    <x v="0"/>
  </r>
  <r>
    <d v="2025-03-21T00:00:00"/>
    <x v="2"/>
    <x v="1"/>
    <x v="0"/>
    <n v="68624091.790000007"/>
    <x v="2"/>
    <x v="1"/>
    <x v="0"/>
    <x v="8"/>
    <x v="0"/>
    <x v="1"/>
    <x v="0"/>
    <x v="1"/>
    <x v="1"/>
    <n v="21"/>
    <x v="0"/>
  </r>
  <r>
    <d v="2025-03-21T00:00:00"/>
    <x v="3"/>
    <x v="3"/>
    <x v="1"/>
    <n v="10351.540000000001"/>
    <x v="3"/>
    <x v="3"/>
    <x v="1"/>
    <x v="2"/>
    <x v="0"/>
    <x v="1"/>
    <x v="0"/>
    <x v="1"/>
    <x v="1"/>
    <n v="21"/>
    <x v="0"/>
  </r>
  <r>
    <d v="2025-03-21T00:00:00"/>
    <x v="0"/>
    <x v="1"/>
    <x v="1"/>
    <n v="9931044.0600000005"/>
    <x v="0"/>
    <x v="1"/>
    <x v="1"/>
    <x v="3"/>
    <x v="0"/>
    <x v="1"/>
    <x v="0"/>
    <x v="1"/>
    <x v="1"/>
    <n v="21"/>
    <x v="0"/>
  </r>
  <r>
    <d v="2025-03-21T00:00:00"/>
    <x v="1"/>
    <x v="1"/>
    <x v="0"/>
    <n v="208955.32"/>
    <x v="1"/>
    <x v="1"/>
    <x v="0"/>
    <x v="4"/>
    <x v="0"/>
    <x v="1"/>
    <x v="0"/>
    <x v="1"/>
    <x v="1"/>
    <n v="21"/>
    <x v="0"/>
  </r>
  <r>
    <d v="2025-03-21T00:00:00"/>
    <x v="2"/>
    <x v="1"/>
    <x v="2"/>
    <n v="21304.89"/>
    <x v="2"/>
    <x v="1"/>
    <x v="2"/>
    <x v="5"/>
    <x v="0"/>
    <x v="1"/>
    <x v="0"/>
    <x v="1"/>
    <x v="1"/>
    <n v="21"/>
    <x v="0"/>
  </r>
  <r>
    <d v="2025-03-21T00:00:00"/>
    <x v="2"/>
    <x v="1"/>
    <x v="1"/>
    <n v="151126855.91"/>
    <x v="2"/>
    <x v="1"/>
    <x v="1"/>
    <x v="9"/>
    <x v="0"/>
    <x v="1"/>
    <x v="0"/>
    <x v="1"/>
    <x v="1"/>
    <n v="21"/>
    <x v="0"/>
  </r>
  <r>
    <d v="2025-03-21T00:00:00"/>
    <x v="1"/>
    <x v="0"/>
    <x v="1"/>
    <n v="453449216.35000002"/>
    <x v="1"/>
    <x v="0"/>
    <x v="1"/>
    <x v="10"/>
    <x v="0"/>
    <x v="1"/>
    <x v="0"/>
    <x v="1"/>
    <x v="1"/>
    <n v="21"/>
    <x v="0"/>
  </r>
  <r>
    <d v="2025-03-21T00:00:00"/>
    <x v="1"/>
    <x v="0"/>
    <x v="0"/>
    <n v="66952426.57"/>
    <x v="1"/>
    <x v="0"/>
    <x v="0"/>
    <x v="11"/>
    <x v="0"/>
    <x v="1"/>
    <x v="0"/>
    <x v="1"/>
    <x v="1"/>
    <n v="21"/>
    <x v="0"/>
  </r>
  <r>
    <d v="2025-03-21T00:00:00"/>
    <x v="3"/>
    <x v="1"/>
    <x v="0"/>
    <n v="15730585.66"/>
    <x v="3"/>
    <x v="1"/>
    <x v="0"/>
    <x v="12"/>
    <x v="0"/>
    <x v="1"/>
    <x v="0"/>
    <x v="1"/>
    <x v="1"/>
    <n v="21"/>
    <x v="0"/>
  </r>
  <r>
    <d v="2025-03-21T00:00:00"/>
    <x v="3"/>
    <x v="2"/>
    <x v="0"/>
    <n v="602473031.16999996"/>
    <x v="3"/>
    <x v="2"/>
    <x v="0"/>
    <x v="13"/>
    <x v="0"/>
    <x v="1"/>
    <x v="0"/>
    <x v="1"/>
    <x v="1"/>
    <n v="21"/>
    <x v="0"/>
  </r>
  <r>
    <d v="2025-03-21T00:00:00"/>
    <x v="3"/>
    <x v="2"/>
    <x v="1"/>
    <n v="11434596968.75"/>
    <x v="3"/>
    <x v="2"/>
    <x v="1"/>
    <x v="14"/>
    <x v="0"/>
    <x v="1"/>
    <x v="0"/>
    <x v="1"/>
    <x v="1"/>
    <n v="21"/>
    <x v="0"/>
  </r>
  <r>
    <d v="2025-03-20T00:00:00"/>
    <x v="2"/>
    <x v="1"/>
    <x v="2"/>
    <n v="60660.39"/>
    <x v="2"/>
    <x v="1"/>
    <x v="2"/>
    <x v="4"/>
    <x v="0"/>
    <x v="1"/>
    <x v="0"/>
    <x v="1"/>
    <x v="1"/>
    <n v="20"/>
    <x v="0"/>
  </r>
  <r>
    <d v="2025-03-20T00:00:00"/>
    <x v="0"/>
    <x v="0"/>
    <x v="0"/>
    <n v="600"/>
    <x v="0"/>
    <x v="0"/>
    <x v="0"/>
    <x v="0"/>
    <x v="0"/>
    <x v="1"/>
    <x v="0"/>
    <x v="1"/>
    <x v="1"/>
    <n v="20"/>
    <x v="0"/>
  </r>
  <r>
    <d v="2025-03-20T00:00:00"/>
    <x v="1"/>
    <x v="1"/>
    <x v="0"/>
    <n v="1318062.7"/>
    <x v="1"/>
    <x v="1"/>
    <x v="0"/>
    <x v="1"/>
    <x v="0"/>
    <x v="1"/>
    <x v="0"/>
    <x v="1"/>
    <x v="1"/>
    <n v="20"/>
    <x v="0"/>
  </r>
  <r>
    <d v="2025-03-20T00:00:00"/>
    <x v="0"/>
    <x v="1"/>
    <x v="0"/>
    <n v="12121332.130000001"/>
    <x v="0"/>
    <x v="1"/>
    <x v="0"/>
    <x v="2"/>
    <x v="0"/>
    <x v="1"/>
    <x v="0"/>
    <x v="1"/>
    <x v="1"/>
    <n v="20"/>
    <x v="0"/>
  </r>
  <r>
    <d v="2025-03-20T00:00:00"/>
    <x v="3"/>
    <x v="3"/>
    <x v="2"/>
    <n v="35"/>
    <x v="3"/>
    <x v="3"/>
    <x v="2"/>
    <x v="3"/>
    <x v="0"/>
    <x v="1"/>
    <x v="0"/>
    <x v="1"/>
    <x v="1"/>
    <n v="20"/>
    <x v="0"/>
  </r>
  <r>
    <d v="2025-03-20T00:00:00"/>
    <x v="2"/>
    <x v="1"/>
    <x v="0"/>
    <n v="104604441.40000001"/>
    <x v="2"/>
    <x v="1"/>
    <x v="0"/>
    <x v="8"/>
    <x v="0"/>
    <x v="1"/>
    <x v="0"/>
    <x v="1"/>
    <x v="1"/>
    <n v="20"/>
    <x v="0"/>
  </r>
  <r>
    <d v="2025-03-20T00:00:00"/>
    <x v="3"/>
    <x v="3"/>
    <x v="1"/>
    <n v="3087659.57"/>
    <x v="3"/>
    <x v="3"/>
    <x v="1"/>
    <x v="5"/>
    <x v="0"/>
    <x v="1"/>
    <x v="0"/>
    <x v="1"/>
    <x v="1"/>
    <n v="20"/>
    <x v="0"/>
  </r>
  <r>
    <d v="2025-03-20T00:00:00"/>
    <x v="0"/>
    <x v="1"/>
    <x v="1"/>
    <n v="11278621.619999999"/>
    <x v="0"/>
    <x v="1"/>
    <x v="1"/>
    <x v="6"/>
    <x v="0"/>
    <x v="1"/>
    <x v="0"/>
    <x v="1"/>
    <x v="1"/>
    <n v="20"/>
    <x v="0"/>
  </r>
  <r>
    <d v="2025-03-20T00:00:00"/>
    <x v="3"/>
    <x v="2"/>
    <x v="2"/>
    <n v="169397.91"/>
    <x v="3"/>
    <x v="2"/>
    <x v="2"/>
    <x v="7"/>
    <x v="0"/>
    <x v="1"/>
    <x v="0"/>
    <x v="1"/>
    <x v="1"/>
    <n v="20"/>
    <x v="0"/>
  </r>
  <r>
    <d v="2025-03-20T00:00:00"/>
    <x v="3"/>
    <x v="3"/>
    <x v="0"/>
    <n v="2175122328.4400001"/>
    <x v="3"/>
    <x v="3"/>
    <x v="0"/>
    <x v="10"/>
    <x v="0"/>
    <x v="1"/>
    <x v="0"/>
    <x v="1"/>
    <x v="1"/>
    <n v="20"/>
    <x v="0"/>
  </r>
  <r>
    <d v="2025-03-20T00:00:00"/>
    <x v="1"/>
    <x v="0"/>
    <x v="1"/>
    <n v="449178659.14999998"/>
    <x v="1"/>
    <x v="0"/>
    <x v="1"/>
    <x v="11"/>
    <x v="0"/>
    <x v="1"/>
    <x v="0"/>
    <x v="1"/>
    <x v="1"/>
    <n v="20"/>
    <x v="0"/>
  </r>
  <r>
    <d v="2025-03-20T00:00:00"/>
    <x v="2"/>
    <x v="1"/>
    <x v="1"/>
    <n v="164143053.5"/>
    <x v="2"/>
    <x v="1"/>
    <x v="1"/>
    <x v="9"/>
    <x v="0"/>
    <x v="1"/>
    <x v="0"/>
    <x v="1"/>
    <x v="1"/>
    <n v="20"/>
    <x v="0"/>
  </r>
  <r>
    <d v="2025-03-20T00:00:00"/>
    <x v="1"/>
    <x v="0"/>
    <x v="0"/>
    <n v="88782123.510000005"/>
    <x v="1"/>
    <x v="0"/>
    <x v="0"/>
    <x v="12"/>
    <x v="0"/>
    <x v="1"/>
    <x v="0"/>
    <x v="1"/>
    <x v="1"/>
    <n v="20"/>
    <x v="0"/>
  </r>
  <r>
    <d v="2025-03-20T00:00:00"/>
    <x v="3"/>
    <x v="1"/>
    <x v="0"/>
    <n v="15581332.310000001"/>
    <x v="3"/>
    <x v="1"/>
    <x v="0"/>
    <x v="13"/>
    <x v="0"/>
    <x v="1"/>
    <x v="0"/>
    <x v="1"/>
    <x v="1"/>
    <n v="20"/>
    <x v="0"/>
  </r>
  <r>
    <d v="2025-03-20T00:00:00"/>
    <x v="3"/>
    <x v="2"/>
    <x v="0"/>
    <n v="972181537.27999997"/>
    <x v="3"/>
    <x v="2"/>
    <x v="0"/>
    <x v="14"/>
    <x v="0"/>
    <x v="1"/>
    <x v="0"/>
    <x v="1"/>
    <x v="1"/>
    <n v="20"/>
    <x v="0"/>
  </r>
  <r>
    <d v="2025-03-20T00:00:00"/>
    <x v="3"/>
    <x v="2"/>
    <x v="1"/>
    <n v="4290030805.5700002"/>
    <x v="3"/>
    <x v="2"/>
    <x v="1"/>
    <x v="15"/>
    <x v="0"/>
    <x v="1"/>
    <x v="0"/>
    <x v="1"/>
    <x v="1"/>
    <n v="20"/>
    <x v="0"/>
  </r>
  <r>
    <d v="2025-03-19T00:00:00"/>
    <x v="0"/>
    <x v="0"/>
    <x v="0"/>
    <n v="515"/>
    <x v="0"/>
    <x v="0"/>
    <x v="0"/>
    <x v="0"/>
    <x v="0"/>
    <x v="1"/>
    <x v="0"/>
    <x v="1"/>
    <x v="1"/>
    <n v="19"/>
    <x v="0"/>
  </r>
  <r>
    <d v="2025-03-19T00:00:00"/>
    <x v="0"/>
    <x v="1"/>
    <x v="0"/>
    <n v="8161775.1900000004"/>
    <x v="0"/>
    <x v="1"/>
    <x v="0"/>
    <x v="1"/>
    <x v="0"/>
    <x v="1"/>
    <x v="0"/>
    <x v="1"/>
    <x v="1"/>
    <n v="19"/>
    <x v="0"/>
  </r>
  <r>
    <d v="2025-03-19T00:00:00"/>
    <x v="3"/>
    <x v="2"/>
    <x v="2"/>
    <n v="241464.32000000001"/>
    <x v="3"/>
    <x v="2"/>
    <x v="2"/>
    <x v="5"/>
    <x v="0"/>
    <x v="1"/>
    <x v="0"/>
    <x v="1"/>
    <x v="1"/>
    <n v="19"/>
    <x v="0"/>
  </r>
  <r>
    <d v="2025-03-19T00:00:00"/>
    <x v="2"/>
    <x v="1"/>
    <x v="0"/>
    <n v="91869524.359999999"/>
    <x v="2"/>
    <x v="1"/>
    <x v="0"/>
    <x v="6"/>
    <x v="0"/>
    <x v="1"/>
    <x v="0"/>
    <x v="1"/>
    <x v="1"/>
    <n v="19"/>
    <x v="0"/>
  </r>
  <r>
    <d v="2025-03-19T00:00:00"/>
    <x v="0"/>
    <x v="1"/>
    <x v="1"/>
    <n v="7211006.5199999996"/>
    <x v="0"/>
    <x v="1"/>
    <x v="1"/>
    <x v="2"/>
    <x v="0"/>
    <x v="1"/>
    <x v="0"/>
    <x v="1"/>
    <x v="1"/>
    <n v="19"/>
    <x v="0"/>
  </r>
  <r>
    <d v="2025-03-19T00:00:00"/>
    <x v="1"/>
    <x v="1"/>
    <x v="0"/>
    <n v="567854.63"/>
    <x v="1"/>
    <x v="1"/>
    <x v="0"/>
    <x v="3"/>
    <x v="0"/>
    <x v="1"/>
    <x v="0"/>
    <x v="1"/>
    <x v="1"/>
    <n v="19"/>
    <x v="0"/>
  </r>
  <r>
    <d v="2025-03-19T00:00:00"/>
    <x v="2"/>
    <x v="1"/>
    <x v="2"/>
    <n v="16845.490000000002"/>
    <x v="2"/>
    <x v="1"/>
    <x v="2"/>
    <x v="4"/>
    <x v="0"/>
    <x v="1"/>
    <x v="0"/>
    <x v="1"/>
    <x v="1"/>
    <n v="19"/>
    <x v="0"/>
  </r>
  <r>
    <d v="2025-03-19T00:00:00"/>
    <x v="2"/>
    <x v="1"/>
    <x v="1"/>
    <n v="386257825.87"/>
    <x v="2"/>
    <x v="1"/>
    <x v="1"/>
    <x v="8"/>
    <x v="0"/>
    <x v="1"/>
    <x v="0"/>
    <x v="1"/>
    <x v="1"/>
    <n v="19"/>
    <x v="0"/>
  </r>
  <r>
    <d v="2025-03-19T00:00:00"/>
    <x v="1"/>
    <x v="0"/>
    <x v="1"/>
    <n v="941484855.50999999"/>
    <x v="1"/>
    <x v="0"/>
    <x v="1"/>
    <x v="9"/>
    <x v="0"/>
    <x v="1"/>
    <x v="0"/>
    <x v="1"/>
    <x v="1"/>
    <n v="19"/>
    <x v="0"/>
  </r>
  <r>
    <d v="2025-03-19T00:00:00"/>
    <x v="1"/>
    <x v="0"/>
    <x v="0"/>
    <n v="98374786.480000004"/>
    <x v="1"/>
    <x v="0"/>
    <x v="0"/>
    <x v="10"/>
    <x v="0"/>
    <x v="1"/>
    <x v="0"/>
    <x v="1"/>
    <x v="1"/>
    <n v="19"/>
    <x v="0"/>
  </r>
  <r>
    <d v="2025-03-19T00:00:00"/>
    <x v="3"/>
    <x v="3"/>
    <x v="0"/>
    <n v="939064197.99000001"/>
    <x v="3"/>
    <x v="3"/>
    <x v="0"/>
    <x v="7"/>
    <x v="0"/>
    <x v="1"/>
    <x v="0"/>
    <x v="1"/>
    <x v="1"/>
    <n v="19"/>
    <x v="0"/>
  </r>
  <r>
    <d v="2025-03-19T00:00:00"/>
    <x v="3"/>
    <x v="1"/>
    <x v="0"/>
    <n v="16394090.800000001"/>
    <x v="3"/>
    <x v="1"/>
    <x v="0"/>
    <x v="11"/>
    <x v="0"/>
    <x v="1"/>
    <x v="0"/>
    <x v="1"/>
    <x v="1"/>
    <n v="19"/>
    <x v="0"/>
  </r>
  <r>
    <d v="2025-03-19T00:00:00"/>
    <x v="3"/>
    <x v="2"/>
    <x v="0"/>
    <n v="587860788.49000001"/>
    <x v="3"/>
    <x v="2"/>
    <x v="0"/>
    <x v="12"/>
    <x v="0"/>
    <x v="1"/>
    <x v="0"/>
    <x v="1"/>
    <x v="1"/>
    <n v="19"/>
    <x v="0"/>
  </r>
  <r>
    <d v="2025-03-19T00:00:00"/>
    <x v="3"/>
    <x v="2"/>
    <x v="1"/>
    <n v="15988942458.540001"/>
    <x v="3"/>
    <x v="2"/>
    <x v="1"/>
    <x v="13"/>
    <x v="0"/>
    <x v="1"/>
    <x v="0"/>
    <x v="1"/>
    <x v="1"/>
    <n v="19"/>
    <x v="0"/>
  </r>
  <r>
    <d v="2025-03-18T00:00:00"/>
    <x v="3"/>
    <x v="2"/>
    <x v="2"/>
    <n v="139298.37"/>
    <x v="3"/>
    <x v="2"/>
    <x v="2"/>
    <x v="4"/>
    <x v="0"/>
    <x v="1"/>
    <x v="0"/>
    <x v="1"/>
    <x v="1"/>
    <n v="18"/>
    <x v="0"/>
  </r>
  <r>
    <d v="2025-03-18T00:00:00"/>
    <x v="0"/>
    <x v="0"/>
    <x v="0"/>
    <n v="584.91999999999996"/>
    <x v="0"/>
    <x v="0"/>
    <x v="0"/>
    <x v="0"/>
    <x v="0"/>
    <x v="1"/>
    <x v="0"/>
    <x v="1"/>
    <x v="1"/>
    <n v="18"/>
    <x v="0"/>
  </r>
  <r>
    <d v="2025-03-18T00:00:00"/>
    <x v="1"/>
    <x v="1"/>
    <x v="0"/>
    <n v="101866.85"/>
    <x v="1"/>
    <x v="1"/>
    <x v="0"/>
    <x v="1"/>
    <x v="0"/>
    <x v="1"/>
    <x v="0"/>
    <x v="1"/>
    <x v="1"/>
    <n v="18"/>
    <x v="0"/>
  </r>
  <r>
    <d v="2025-03-18T00:00:00"/>
    <x v="0"/>
    <x v="1"/>
    <x v="0"/>
    <n v="7247789.9199999999"/>
    <x v="0"/>
    <x v="1"/>
    <x v="0"/>
    <x v="2"/>
    <x v="0"/>
    <x v="1"/>
    <x v="0"/>
    <x v="1"/>
    <x v="1"/>
    <n v="18"/>
    <x v="0"/>
  </r>
  <r>
    <d v="2025-03-18T00:00:00"/>
    <x v="2"/>
    <x v="1"/>
    <x v="2"/>
    <n v="14279.48"/>
    <x v="2"/>
    <x v="1"/>
    <x v="2"/>
    <x v="3"/>
    <x v="0"/>
    <x v="1"/>
    <x v="0"/>
    <x v="1"/>
    <x v="1"/>
    <n v="18"/>
    <x v="0"/>
  </r>
  <r>
    <d v="2025-03-18T00:00:00"/>
    <x v="2"/>
    <x v="1"/>
    <x v="0"/>
    <n v="83658807.230000004"/>
    <x v="2"/>
    <x v="1"/>
    <x v="0"/>
    <x v="6"/>
    <x v="0"/>
    <x v="1"/>
    <x v="0"/>
    <x v="1"/>
    <x v="1"/>
    <n v="18"/>
    <x v="0"/>
  </r>
  <r>
    <d v="2025-03-18T00:00:00"/>
    <x v="0"/>
    <x v="1"/>
    <x v="1"/>
    <n v="6526261.7599999998"/>
    <x v="0"/>
    <x v="1"/>
    <x v="1"/>
    <x v="5"/>
    <x v="0"/>
    <x v="1"/>
    <x v="0"/>
    <x v="1"/>
    <x v="1"/>
    <n v="18"/>
    <x v="0"/>
  </r>
  <r>
    <d v="2025-03-18T00:00:00"/>
    <x v="3"/>
    <x v="3"/>
    <x v="0"/>
    <n v="1902853775.5599999"/>
    <x v="3"/>
    <x v="3"/>
    <x v="0"/>
    <x v="7"/>
    <x v="0"/>
    <x v="1"/>
    <x v="0"/>
    <x v="1"/>
    <x v="1"/>
    <n v="18"/>
    <x v="0"/>
  </r>
  <r>
    <d v="2025-03-18T00:00:00"/>
    <x v="2"/>
    <x v="1"/>
    <x v="1"/>
    <n v="176132326.59"/>
    <x v="2"/>
    <x v="1"/>
    <x v="1"/>
    <x v="8"/>
    <x v="0"/>
    <x v="1"/>
    <x v="0"/>
    <x v="1"/>
    <x v="1"/>
    <n v="18"/>
    <x v="0"/>
  </r>
  <r>
    <d v="2025-03-18T00:00:00"/>
    <x v="1"/>
    <x v="0"/>
    <x v="1"/>
    <n v="363861223.37"/>
    <x v="1"/>
    <x v="0"/>
    <x v="1"/>
    <x v="9"/>
    <x v="0"/>
    <x v="1"/>
    <x v="0"/>
    <x v="1"/>
    <x v="1"/>
    <n v="18"/>
    <x v="0"/>
  </r>
  <r>
    <d v="2025-03-18T00:00:00"/>
    <x v="1"/>
    <x v="0"/>
    <x v="0"/>
    <n v="95463394.489999995"/>
    <x v="1"/>
    <x v="0"/>
    <x v="0"/>
    <x v="10"/>
    <x v="0"/>
    <x v="1"/>
    <x v="0"/>
    <x v="1"/>
    <x v="1"/>
    <n v="18"/>
    <x v="0"/>
  </r>
  <r>
    <d v="2025-03-18T00:00:00"/>
    <x v="3"/>
    <x v="1"/>
    <x v="0"/>
    <n v="14710237.449999999"/>
    <x v="3"/>
    <x v="1"/>
    <x v="0"/>
    <x v="11"/>
    <x v="0"/>
    <x v="1"/>
    <x v="0"/>
    <x v="1"/>
    <x v="1"/>
    <n v="18"/>
    <x v="0"/>
  </r>
  <r>
    <d v="2025-03-18T00:00:00"/>
    <x v="3"/>
    <x v="2"/>
    <x v="0"/>
    <n v="750387789.89999998"/>
    <x v="3"/>
    <x v="2"/>
    <x v="0"/>
    <x v="12"/>
    <x v="0"/>
    <x v="1"/>
    <x v="0"/>
    <x v="1"/>
    <x v="1"/>
    <n v="18"/>
    <x v="0"/>
  </r>
  <r>
    <d v="2025-03-18T00:00:00"/>
    <x v="3"/>
    <x v="2"/>
    <x v="1"/>
    <n v="5831907749.5200005"/>
    <x v="3"/>
    <x v="2"/>
    <x v="1"/>
    <x v="13"/>
    <x v="0"/>
    <x v="1"/>
    <x v="0"/>
    <x v="1"/>
    <x v="1"/>
    <n v="18"/>
    <x v="0"/>
  </r>
  <r>
    <d v="2025-03-17T00:00:00"/>
    <x v="3"/>
    <x v="3"/>
    <x v="2"/>
    <n v="959"/>
    <x v="3"/>
    <x v="3"/>
    <x v="2"/>
    <x v="3"/>
    <x v="0"/>
    <x v="1"/>
    <x v="0"/>
    <x v="1"/>
    <x v="1"/>
    <n v="17"/>
    <x v="0"/>
  </r>
  <r>
    <d v="2025-03-17T00:00:00"/>
    <x v="2"/>
    <x v="1"/>
    <x v="2"/>
    <n v="15538.93"/>
    <x v="2"/>
    <x v="1"/>
    <x v="2"/>
    <x v="6"/>
    <x v="0"/>
    <x v="1"/>
    <x v="0"/>
    <x v="1"/>
    <x v="1"/>
    <n v="17"/>
    <x v="0"/>
  </r>
  <r>
    <d v="2025-03-17T00:00:00"/>
    <x v="0"/>
    <x v="0"/>
    <x v="0"/>
    <n v="1389.68"/>
    <x v="0"/>
    <x v="0"/>
    <x v="0"/>
    <x v="0"/>
    <x v="0"/>
    <x v="1"/>
    <x v="0"/>
    <x v="1"/>
    <x v="1"/>
    <n v="17"/>
    <x v="0"/>
  </r>
  <r>
    <d v="2025-03-17T00:00:00"/>
    <x v="1"/>
    <x v="1"/>
    <x v="0"/>
    <n v="114046.09"/>
    <x v="1"/>
    <x v="1"/>
    <x v="0"/>
    <x v="1"/>
    <x v="0"/>
    <x v="1"/>
    <x v="0"/>
    <x v="1"/>
    <x v="1"/>
    <n v="17"/>
    <x v="0"/>
  </r>
  <r>
    <d v="2025-03-17T00:00:00"/>
    <x v="0"/>
    <x v="1"/>
    <x v="0"/>
    <n v="12677914.619999999"/>
    <x v="0"/>
    <x v="1"/>
    <x v="0"/>
    <x v="2"/>
    <x v="0"/>
    <x v="1"/>
    <x v="0"/>
    <x v="1"/>
    <x v="1"/>
    <n v="17"/>
    <x v="0"/>
  </r>
  <r>
    <d v="2025-03-17T00:00:00"/>
    <x v="3"/>
    <x v="2"/>
    <x v="2"/>
    <n v="166590.32"/>
    <x v="3"/>
    <x v="2"/>
    <x v="2"/>
    <x v="7"/>
    <x v="0"/>
    <x v="1"/>
    <x v="0"/>
    <x v="1"/>
    <x v="1"/>
    <n v="17"/>
    <x v="0"/>
  </r>
  <r>
    <d v="2025-03-17T00:00:00"/>
    <x v="3"/>
    <x v="3"/>
    <x v="0"/>
    <n v="1741299044.5999999"/>
    <x v="3"/>
    <x v="3"/>
    <x v="0"/>
    <x v="8"/>
    <x v="0"/>
    <x v="1"/>
    <x v="0"/>
    <x v="1"/>
    <x v="1"/>
    <n v="17"/>
    <x v="0"/>
  </r>
  <r>
    <d v="2025-03-17T00:00:00"/>
    <x v="2"/>
    <x v="1"/>
    <x v="0"/>
    <n v="93726954.75"/>
    <x v="2"/>
    <x v="1"/>
    <x v="0"/>
    <x v="9"/>
    <x v="0"/>
    <x v="1"/>
    <x v="0"/>
    <x v="1"/>
    <x v="1"/>
    <n v="17"/>
    <x v="0"/>
  </r>
  <r>
    <d v="2025-03-17T00:00:00"/>
    <x v="0"/>
    <x v="0"/>
    <x v="1"/>
    <n v="-10356.89"/>
    <x v="0"/>
    <x v="0"/>
    <x v="1"/>
    <x v="4"/>
    <x v="0"/>
    <x v="1"/>
    <x v="0"/>
    <x v="1"/>
    <x v="1"/>
    <n v="17"/>
    <x v="1"/>
  </r>
  <r>
    <d v="2025-03-17T00:00:00"/>
    <x v="0"/>
    <x v="1"/>
    <x v="1"/>
    <n v="8025968.1299999999"/>
    <x v="0"/>
    <x v="1"/>
    <x v="1"/>
    <x v="5"/>
    <x v="0"/>
    <x v="1"/>
    <x v="0"/>
    <x v="1"/>
    <x v="1"/>
    <n v="17"/>
    <x v="0"/>
  </r>
  <r>
    <d v="2025-03-17T00:00:00"/>
    <x v="2"/>
    <x v="1"/>
    <x v="1"/>
    <n v="135524515.56"/>
    <x v="2"/>
    <x v="1"/>
    <x v="1"/>
    <x v="10"/>
    <x v="0"/>
    <x v="1"/>
    <x v="0"/>
    <x v="1"/>
    <x v="1"/>
    <n v="17"/>
    <x v="0"/>
  </r>
  <r>
    <d v="2025-03-17T00:00:00"/>
    <x v="1"/>
    <x v="0"/>
    <x v="1"/>
    <n v="378134088.67000002"/>
    <x v="1"/>
    <x v="0"/>
    <x v="1"/>
    <x v="11"/>
    <x v="0"/>
    <x v="1"/>
    <x v="0"/>
    <x v="1"/>
    <x v="1"/>
    <n v="17"/>
    <x v="0"/>
  </r>
  <r>
    <d v="2025-03-17T00:00:00"/>
    <x v="1"/>
    <x v="0"/>
    <x v="0"/>
    <n v="56326309.450000003"/>
    <x v="1"/>
    <x v="0"/>
    <x v="0"/>
    <x v="12"/>
    <x v="0"/>
    <x v="1"/>
    <x v="0"/>
    <x v="1"/>
    <x v="1"/>
    <n v="17"/>
    <x v="0"/>
  </r>
  <r>
    <d v="2025-03-17T00:00:00"/>
    <x v="3"/>
    <x v="2"/>
    <x v="0"/>
    <n v="792483259.13999999"/>
    <x v="3"/>
    <x v="2"/>
    <x v="0"/>
    <x v="13"/>
    <x v="0"/>
    <x v="1"/>
    <x v="0"/>
    <x v="1"/>
    <x v="1"/>
    <n v="17"/>
    <x v="0"/>
  </r>
  <r>
    <d v="2025-03-17T00:00:00"/>
    <x v="3"/>
    <x v="1"/>
    <x v="0"/>
    <n v="54485284.850000001"/>
    <x v="3"/>
    <x v="1"/>
    <x v="0"/>
    <x v="14"/>
    <x v="0"/>
    <x v="1"/>
    <x v="0"/>
    <x v="1"/>
    <x v="1"/>
    <n v="17"/>
    <x v="0"/>
  </r>
  <r>
    <d v="2025-03-17T00:00:00"/>
    <x v="3"/>
    <x v="2"/>
    <x v="1"/>
    <n v="73307053450.360001"/>
    <x v="3"/>
    <x v="2"/>
    <x v="1"/>
    <x v="15"/>
    <x v="0"/>
    <x v="1"/>
    <x v="0"/>
    <x v="1"/>
    <x v="1"/>
    <n v="17"/>
    <x v="0"/>
  </r>
  <r>
    <d v="2025-03-14T00:00:00"/>
    <x v="1"/>
    <x v="1"/>
    <x v="0"/>
    <n v="437107.59"/>
    <x v="1"/>
    <x v="1"/>
    <x v="0"/>
    <x v="0"/>
    <x v="0"/>
    <x v="1"/>
    <x v="0"/>
    <x v="1"/>
    <x v="1"/>
    <n v="14"/>
    <x v="0"/>
  </r>
  <r>
    <d v="2025-03-14T00:00:00"/>
    <x v="0"/>
    <x v="1"/>
    <x v="0"/>
    <n v="10337504.689999999"/>
    <x v="0"/>
    <x v="1"/>
    <x v="0"/>
    <x v="1"/>
    <x v="0"/>
    <x v="1"/>
    <x v="0"/>
    <x v="1"/>
    <x v="1"/>
    <n v="14"/>
    <x v="0"/>
  </r>
  <r>
    <d v="2025-03-14T00:00:00"/>
    <x v="0"/>
    <x v="1"/>
    <x v="1"/>
    <n v="4770494.91"/>
    <x v="0"/>
    <x v="1"/>
    <x v="1"/>
    <x v="2"/>
    <x v="0"/>
    <x v="1"/>
    <x v="0"/>
    <x v="1"/>
    <x v="1"/>
    <n v="14"/>
    <x v="0"/>
  </r>
  <r>
    <d v="2025-03-14T00:00:00"/>
    <x v="2"/>
    <x v="1"/>
    <x v="0"/>
    <n v="93947461.319999993"/>
    <x v="2"/>
    <x v="1"/>
    <x v="0"/>
    <x v="5"/>
    <x v="0"/>
    <x v="1"/>
    <x v="0"/>
    <x v="1"/>
    <x v="1"/>
    <n v="14"/>
    <x v="0"/>
  </r>
  <r>
    <d v="2025-03-14T00:00:00"/>
    <x v="2"/>
    <x v="1"/>
    <x v="2"/>
    <n v="15329.68"/>
    <x v="2"/>
    <x v="1"/>
    <x v="2"/>
    <x v="3"/>
    <x v="0"/>
    <x v="1"/>
    <x v="0"/>
    <x v="1"/>
    <x v="1"/>
    <n v="14"/>
    <x v="0"/>
  </r>
  <r>
    <d v="2025-03-14T00:00:00"/>
    <x v="3"/>
    <x v="2"/>
    <x v="2"/>
    <n v="493823.66"/>
    <x v="3"/>
    <x v="2"/>
    <x v="2"/>
    <x v="4"/>
    <x v="0"/>
    <x v="1"/>
    <x v="0"/>
    <x v="1"/>
    <x v="1"/>
    <n v="14"/>
    <x v="0"/>
  </r>
  <r>
    <d v="2025-03-14T00:00:00"/>
    <x v="1"/>
    <x v="0"/>
    <x v="1"/>
    <n v="254094898.84999999"/>
    <x v="1"/>
    <x v="0"/>
    <x v="1"/>
    <x v="8"/>
    <x v="0"/>
    <x v="1"/>
    <x v="0"/>
    <x v="1"/>
    <x v="1"/>
    <n v="14"/>
    <x v="0"/>
  </r>
  <r>
    <d v="2025-03-14T00:00:00"/>
    <x v="3"/>
    <x v="3"/>
    <x v="0"/>
    <n v="3714663765.0500002"/>
    <x v="3"/>
    <x v="3"/>
    <x v="0"/>
    <x v="6"/>
    <x v="0"/>
    <x v="1"/>
    <x v="0"/>
    <x v="1"/>
    <x v="1"/>
    <n v="14"/>
    <x v="0"/>
  </r>
  <r>
    <d v="2025-03-14T00:00:00"/>
    <x v="2"/>
    <x v="1"/>
    <x v="1"/>
    <n v="120488883.27"/>
    <x v="2"/>
    <x v="1"/>
    <x v="1"/>
    <x v="7"/>
    <x v="0"/>
    <x v="1"/>
    <x v="0"/>
    <x v="1"/>
    <x v="1"/>
    <n v="14"/>
    <x v="0"/>
  </r>
  <r>
    <d v="2025-03-14T00:00:00"/>
    <x v="1"/>
    <x v="0"/>
    <x v="0"/>
    <n v="53970021.509999998"/>
    <x v="1"/>
    <x v="0"/>
    <x v="0"/>
    <x v="9"/>
    <x v="0"/>
    <x v="1"/>
    <x v="0"/>
    <x v="1"/>
    <x v="1"/>
    <n v="14"/>
    <x v="0"/>
  </r>
  <r>
    <d v="2025-03-14T00:00:00"/>
    <x v="3"/>
    <x v="1"/>
    <x v="0"/>
    <n v="16806641.93"/>
    <x v="3"/>
    <x v="1"/>
    <x v="0"/>
    <x v="10"/>
    <x v="0"/>
    <x v="1"/>
    <x v="0"/>
    <x v="1"/>
    <x v="1"/>
    <n v="14"/>
    <x v="0"/>
  </r>
  <r>
    <d v="2025-03-14T00:00:00"/>
    <x v="3"/>
    <x v="2"/>
    <x v="1"/>
    <n v="24857677330.950001"/>
    <x v="3"/>
    <x v="2"/>
    <x v="1"/>
    <x v="11"/>
    <x v="0"/>
    <x v="1"/>
    <x v="0"/>
    <x v="1"/>
    <x v="1"/>
    <n v="14"/>
    <x v="0"/>
  </r>
  <r>
    <d v="2025-03-14T00:00:00"/>
    <x v="3"/>
    <x v="2"/>
    <x v="0"/>
    <n v="957684846.02999997"/>
    <x v="3"/>
    <x v="2"/>
    <x v="0"/>
    <x v="12"/>
    <x v="0"/>
    <x v="1"/>
    <x v="0"/>
    <x v="1"/>
    <x v="1"/>
    <n v="14"/>
    <x v="0"/>
  </r>
  <r>
    <d v="2025-03-13T00:00:00"/>
    <x v="3"/>
    <x v="2"/>
    <x v="2"/>
    <n v="202012.28"/>
    <x v="3"/>
    <x v="2"/>
    <x v="2"/>
    <x v="5"/>
    <x v="0"/>
    <x v="1"/>
    <x v="0"/>
    <x v="1"/>
    <x v="1"/>
    <n v="13"/>
    <x v="0"/>
  </r>
  <r>
    <d v="2025-03-13T00:00:00"/>
    <x v="0"/>
    <x v="1"/>
    <x v="0"/>
    <n v="14098871.130000001"/>
    <x v="0"/>
    <x v="1"/>
    <x v="0"/>
    <x v="0"/>
    <x v="0"/>
    <x v="1"/>
    <x v="0"/>
    <x v="1"/>
    <x v="1"/>
    <n v="13"/>
    <x v="0"/>
  </r>
  <r>
    <d v="2025-03-13T00:00:00"/>
    <x v="3"/>
    <x v="3"/>
    <x v="1"/>
    <n v="5929311.2599999998"/>
    <x v="3"/>
    <x v="3"/>
    <x v="1"/>
    <x v="1"/>
    <x v="0"/>
    <x v="1"/>
    <x v="0"/>
    <x v="1"/>
    <x v="1"/>
    <n v="13"/>
    <x v="0"/>
  </r>
  <r>
    <d v="2025-03-13T00:00:00"/>
    <x v="0"/>
    <x v="1"/>
    <x v="1"/>
    <n v="9805523.8200000003"/>
    <x v="0"/>
    <x v="1"/>
    <x v="1"/>
    <x v="2"/>
    <x v="0"/>
    <x v="1"/>
    <x v="0"/>
    <x v="1"/>
    <x v="1"/>
    <n v="13"/>
    <x v="0"/>
  </r>
  <r>
    <d v="2025-03-13T00:00:00"/>
    <x v="1"/>
    <x v="1"/>
    <x v="0"/>
    <n v="447872.55"/>
    <x v="1"/>
    <x v="1"/>
    <x v="0"/>
    <x v="3"/>
    <x v="0"/>
    <x v="1"/>
    <x v="0"/>
    <x v="1"/>
    <x v="1"/>
    <n v="13"/>
    <x v="0"/>
  </r>
  <r>
    <d v="2025-03-13T00:00:00"/>
    <x v="2"/>
    <x v="1"/>
    <x v="0"/>
    <n v="115217170.28"/>
    <x v="2"/>
    <x v="1"/>
    <x v="0"/>
    <x v="7"/>
    <x v="0"/>
    <x v="1"/>
    <x v="0"/>
    <x v="1"/>
    <x v="1"/>
    <n v="13"/>
    <x v="0"/>
  </r>
  <r>
    <d v="2025-03-13T00:00:00"/>
    <x v="2"/>
    <x v="1"/>
    <x v="2"/>
    <n v="18543.05"/>
    <x v="2"/>
    <x v="1"/>
    <x v="2"/>
    <x v="4"/>
    <x v="0"/>
    <x v="1"/>
    <x v="0"/>
    <x v="1"/>
    <x v="1"/>
    <n v="13"/>
    <x v="0"/>
  </r>
  <r>
    <d v="2025-03-13T00:00:00"/>
    <x v="1"/>
    <x v="0"/>
    <x v="1"/>
    <n v="326029252"/>
    <x v="1"/>
    <x v="0"/>
    <x v="1"/>
    <x v="9"/>
    <x v="0"/>
    <x v="1"/>
    <x v="0"/>
    <x v="1"/>
    <x v="1"/>
    <n v="13"/>
    <x v="0"/>
  </r>
  <r>
    <d v="2025-03-13T00:00:00"/>
    <x v="3"/>
    <x v="3"/>
    <x v="0"/>
    <n v="3044244640.4499998"/>
    <x v="3"/>
    <x v="3"/>
    <x v="0"/>
    <x v="6"/>
    <x v="0"/>
    <x v="1"/>
    <x v="0"/>
    <x v="1"/>
    <x v="1"/>
    <n v="13"/>
    <x v="0"/>
  </r>
  <r>
    <d v="2025-03-13T00:00:00"/>
    <x v="2"/>
    <x v="1"/>
    <x v="1"/>
    <n v="106254639.20999999"/>
    <x v="2"/>
    <x v="1"/>
    <x v="1"/>
    <x v="8"/>
    <x v="0"/>
    <x v="1"/>
    <x v="0"/>
    <x v="1"/>
    <x v="1"/>
    <n v="13"/>
    <x v="0"/>
  </r>
  <r>
    <d v="2025-03-13T00:00:00"/>
    <x v="1"/>
    <x v="0"/>
    <x v="0"/>
    <n v="59810998.140000001"/>
    <x v="1"/>
    <x v="0"/>
    <x v="0"/>
    <x v="10"/>
    <x v="0"/>
    <x v="1"/>
    <x v="0"/>
    <x v="1"/>
    <x v="1"/>
    <n v="13"/>
    <x v="0"/>
  </r>
  <r>
    <d v="2025-03-13T00:00:00"/>
    <x v="3"/>
    <x v="1"/>
    <x v="0"/>
    <n v="15910732.779999999"/>
    <x v="3"/>
    <x v="1"/>
    <x v="0"/>
    <x v="11"/>
    <x v="0"/>
    <x v="1"/>
    <x v="0"/>
    <x v="1"/>
    <x v="1"/>
    <n v="13"/>
    <x v="0"/>
  </r>
  <r>
    <d v="2025-03-13T00:00:00"/>
    <x v="3"/>
    <x v="2"/>
    <x v="1"/>
    <n v="7993436375.6199999"/>
    <x v="3"/>
    <x v="2"/>
    <x v="1"/>
    <x v="12"/>
    <x v="0"/>
    <x v="1"/>
    <x v="0"/>
    <x v="1"/>
    <x v="1"/>
    <n v="13"/>
    <x v="0"/>
  </r>
  <r>
    <d v="2025-03-13T00:00:00"/>
    <x v="3"/>
    <x v="2"/>
    <x v="0"/>
    <n v="614312684.45000005"/>
    <x v="3"/>
    <x v="2"/>
    <x v="0"/>
    <x v="13"/>
    <x v="0"/>
    <x v="1"/>
    <x v="0"/>
    <x v="1"/>
    <x v="1"/>
    <n v="13"/>
    <x v="0"/>
  </r>
  <r>
    <d v="2025-03-12T00:00:00"/>
    <x v="3"/>
    <x v="2"/>
    <x v="2"/>
    <n v="330839.5"/>
    <x v="3"/>
    <x v="2"/>
    <x v="2"/>
    <x v="6"/>
    <x v="0"/>
    <x v="1"/>
    <x v="0"/>
    <x v="1"/>
    <x v="1"/>
    <n v="12"/>
    <x v="0"/>
  </r>
  <r>
    <d v="2025-03-12T00:00:00"/>
    <x v="0"/>
    <x v="0"/>
    <x v="0"/>
    <n v="5"/>
    <x v="0"/>
    <x v="0"/>
    <x v="0"/>
    <x v="0"/>
    <x v="0"/>
    <x v="1"/>
    <x v="0"/>
    <x v="1"/>
    <x v="1"/>
    <n v="12"/>
    <x v="0"/>
  </r>
  <r>
    <d v="2025-03-12T00:00:00"/>
    <x v="1"/>
    <x v="1"/>
    <x v="0"/>
    <n v="499297.73"/>
    <x v="1"/>
    <x v="1"/>
    <x v="0"/>
    <x v="1"/>
    <x v="0"/>
    <x v="1"/>
    <x v="0"/>
    <x v="1"/>
    <x v="1"/>
    <n v="12"/>
    <x v="0"/>
  </r>
  <r>
    <d v="2025-03-12T00:00:00"/>
    <x v="0"/>
    <x v="1"/>
    <x v="0"/>
    <n v="5747466.9199999999"/>
    <x v="0"/>
    <x v="1"/>
    <x v="0"/>
    <x v="2"/>
    <x v="0"/>
    <x v="1"/>
    <x v="0"/>
    <x v="1"/>
    <x v="1"/>
    <n v="12"/>
    <x v="0"/>
  </r>
  <r>
    <d v="2025-03-12T00:00:00"/>
    <x v="2"/>
    <x v="1"/>
    <x v="2"/>
    <n v="20221.509999999998"/>
    <x v="2"/>
    <x v="1"/>
    <x v="2"/>
    <x v="3"/>
    <x v="0"/>
    <x v="1"/>
    <x v="0"/>
    <x v="1"/>
    <x v="1"/>
    <n v="12"/>
    <x v="0"/>
  </r>
  <r>
    <d v="2025-03-12T00:00:00"/>
    <x v="2"/>
    <x v="1"/>
    <x v="0"/>
    <n v="112051227.70999999"/>
    <x v="2"/>
    <x v="1"/>
    <x v="0"/>
    <x v="7"/>
    <x v="0"/>
    <x v="1"/>
    <x v="0"/>
    <x v="1"/>
    <x v="1"/>
    <n v="12"/>
    <x v="0"/>
  </r>
  <r>
    <d v="2025-03-12T00:00:00"/>
    <x v="0"/>
    <x v="0"/>
    <x v="1"/>
    <n v="-1530"/>
    <x v="0"/>
    <x v="0"/>
    <x v="1"/>
    <x v="4"/>
    <x v="0"/>
    <x v="1"/>
    <x v="0"/>
    <x v="1"/>
    <x v="1"/>
    <n v="12"/>
    <x v="1"/>
  </r>
  <r>
    <d v="2025-03-12T00:00:00"/>
    <x v="0"/>
    <x v="1"/>
    <x v="1"/>
    <n v="4019561.8"/>
    <x v="0"/>
    <x v="1"/>
    <x v="1"/>
    <x v="5"/>
    <x v="0"/>
    <x v="1"/>
    <x v="0"/>
    <x v="1"/>
    <x v="1"/>
    <n v="12"/>
    <x v="0"/>
  </r>
  <r>
    <d v="2025-03-12T00:00:00"/>
    <x v="3"/>
    <x v="3"/>
    <x v="0"/>
    <n v="3267610080.4200001"/>
    <x v="3"/>
    <x v="3"/>
    <x v="0"/>
    <x v="8"/>
    <x v="0"/>
    <x v="1"/>
    <x v="0"/>
    <x v="1"/>
    <x v="1"/>
    <n v="12"/>
    <x v="0"/>
  </r>
  <r>
    <d v="2025-03-12T00:00:00"/>
    <x v="2"/>
    <x v="1"/>
    <x v="1"/>
    <n v="263049454.09999999"/>
    <x v="2"/>
    <x v="1"/>
    <x v="1"/>
    <x v="9"/>
    <x v="0"/>
    <x v="1"/>
    <x v="0"/>
    <x v="1"/>
    <x v="1"/>
    <n v="12"/>
    <x v="0"/>
  </r>
  <r>
    <d v="2025-03-12T00:00:00"/>
    <x v="1"/>
    <x v="0"/>
    <x v="1"/>
    <n v="1029196120.92"/>
    <x v="1"/>
    <x v="0"/>
    <x v="1"/>
    <x v="10"/>
    <x v="0"/>
    <x v="1"/>
    <x v="0"/>
    <x v="1"/>
    <x v="1"/>
    <n v="12"/>
    <x v="0"/>
  </r>
  <r>
    <d v="2025-03-12T00:00:00"/>
    <x v="1"/>
    <x v="0"/>
    <x v="0"/>
    <n v="91356975.159999996"/>
    <x v="1"/>
    <x v="0"/>
    <x v="0"/>
    <x v="11"/>
    <x v="0"/>
    <x v="1"/>
    <x v="0"/>
    <x v="1"/>
    <x v="1"/>
    <n v="12"/>
    <x v="0"/>
  </r>
  <r>
    <d v="2025-03-12T00:00:00"/>
    <x v="3"/>
    <x v="1"/>
    <x v="0"/>
    <n v="16506940.93"/>
    <x v="3"/>
    <x v="1"/>
    <x v="0"/>
    <x v="12"/>
    <x v="0"/>
    <x v="1"/>
    <x v="0"/>
    <x v="1"/>
    <x v="1"/>
    <n v="12"/>
    <x v="0"/>
  </r>
  <r>
    <d v="2025-03-12T00:00:00"/>
    <x v="3"/>
    <x v="2"/>
    <x v="1"/>
    <n v="14638174643.16"/>
    <x v="3"/>
    <x v="2"/>
    <x v="1"/>
    <x v="13"/>
    <x v="0"/>
    <x v="1"/>
    <x v="0"/>
    <x v="1"/>
    <x v="1"/>
    <n v="12"/>
    <x v="0"/>
  </r>
  <r>
    <d v="2025-03-12T00:00:00"/>
    <x v="3"/>
    <x v="2"/>
    <x v="0"/>
    <n v="533230327.81999999"/>
    <x v="3"/>
    <x v="2"/>
    <x v="0"/>
    <x v="14"/>
    <x v="0"/>
    <x v="1"/>
    <x v="0"/>
    <x v="1"/>
    <x v="1"/>
    <n v="12"/>
    <x v="0"/>
  </r>
  <r>
    <d v="2025-03-11T00:00:00"/>
    <x v="2"/>
    <x v="1"/>
    <x v="2"/>
    <n v="7883.11"/>
    <x v="2"/>
    <x v="1"/>
    <x v="2"/>
    <x v="1"/>
    <x v="0"/>
    <x v="1"/>
    <x v="0"/>
    <x v="1"/>
    <x v="1"/>
    <n v="11"/>
    <x v="0"/>
  </r>
  <r>
    <d v="2025-03-11T00:00:00"/>
    <x v="3"/>
    <x v="2"/>
    <x v="2"/>
    <n v="230714.34"/>
    <x v="3"/>
    <x v="2"/>
    <x v="2"/>
    <x v="5"/>
    <x v="0"/>
    <x v="1"/>
    <x v="0"/>
    <x v="1"/>
    <x v="1"/>
    <n v="11"/>
    <x v="0"/>
  </r>
  <r>
    <d v="2025-03-11T00:00:00"/>
    <x v="0"/>
    <x v="1"/>
    <x v="0"/>
    <n v="17241986.120000001"/>
    <x v="0"/>
    <x v="1"/>
    <x v="0"/>
    <x v="0"/>
    <x v="0"/>
    <x v="1"/>
    <x v="0"/>
    <x v="1"/>
    <x v="1"/>
    <n v="11"/>
    <x v="0"/>
  </r>
  <r>
    <d v="2025-03-11T00:00:00"/>
    <x v="2"/>
    <x v="1"/>
    <x v="0"/>
    <n v="97032159.739999995"/>
    <x v="2"/>
    <x v="1"/>
    <x v="0"/>
    <x v="6"/>
    <x v="0"/>
    <x v="1"/>
    <x v="0"/>
    <x v="1"/>
    <x v="1"/>
    <n v="11"/>
    <x v="0"/>
  </r>
  <r>
    <d v="2025-03-11T00:00:00"/>
    <x v="0"/>
    <x v="0"/>
    <x v="1"/>
    <n v="-13940"/>
    <x v="0"/>
    <x v="0"/>
    <x v="1"/>
    <x v="2"/>
    <x v="0"/>
    <x v="1"/>
    <x v="0"/>
    <x v="1"/>
    <x v="1"/>
    <n v="11"/>
    <x v="1"/>
  </r>
  <r>
    <d v="2025-03-11T00:00:00"/>
    <x v="0"/>
    <x v="1"/>
    <x v="1"/>
    <n v="4782805.58"/>
    <x v="0"/>
    <x v="1"/>
    <x v="1"/>
    <x v="3"/>
    <x v="0"/>
    <x v="1"/>
    <x v="0"/>
    <x v="1"/>
    <x v="1"/>
    <n v="11"/>
    <x v="0"/>
  </r>
  <r>
    <d v="2025-03-11T00:00:00"/>
    <x v="1"/>
    <x v="1"/>
    <x v="0"/>
    <n v="223178.49"/>
    <x v="1"/>
    <x v="1"/>
    <x v="0"/>
    <x v="4"/>
    <x v="0"/>
    <x v="1"/>
    <x v="0"/>
    <x v="1"/>
    <x v="1"/>
    <n v="11"/>
    <x v="0"/>
  </r>
  <r>
    <d v="2025-03-11T00:00:00"/>
    <x v="3"/>
    <x v="3"/>
    <x v="0"/>
    <n v="3215474615.1599998"/>
    <x v="3"/>
    <x v="3"/>
    <x v="0"/>
    <x v="7"/>
    <x v="0"/>
    <x v="1"/>
    <x v="0"/>
    <x v="1"/>
    <x v="1"/>
    <n v="11"/>
    <x v="0"/>
  </r>
  <r>
    <d v="2025-03-11T00:00:00"/>
    <x v="2"/>
    <x v="1"/>
    <x v="1"/>
    <n v="135089187.12"/>
    <x v="2"/>
    <x v="1"/>
    <x v="1"/>
    <x v="8"/>
    <x v="0"/>
    <x v="1"/>
    <x v="0"/>
    <x v="1"/>
    <x v="1"/>
    <n v="11"/>
    <x v="0"/>
  </r>
  <r>
    <d v="2025-03-11T00:00:00"/>
    <x v="1"/>
    <x v="0"/>
    <x v="0"/>
    <n v="77081068.400000006"/>
    <x v="1"/>
    <x v="0"/>
    <x v="0"/>
    <x v="10"/>
    <x v="0"/>
    <x v="1"/>
    <x v="0"/>
    <x v="1"/>
    <x v="1"/>
    <n v="11"/>
    <x v="0"/>
  </r>
  <r>
    <d v="2025-03-11T00:00:00"/>
    <x v="1"/>
    <x v="0"/>
    <x v="1"/>
    <n v="375170562.89999998"/>
    <x v="1"/>
    <x v="0"/>
    <x v="1"/>
    <x v="9"/>
    <x v="0"/>
    <x v="1"/>
    <x v="0"/>
    <x v="1"/>
    <x v="1"/>
    <n v="11"/>
    <x v="0"/>
  </r>
  <r>
    <d v="2025-03-11T00:00:00"/>
    <x v="3"/>
    <x v="1"/>
    <x v="0"/>
    <n v="14475588.82"/>
    <x v="3"/>
    <x v="1"/>
    <x v="0"/>
    <x v="11"/>
    <x v="0"/>
    <x v="1"/>
    <x v="0"/>
    <x v="1"/>
    <x v="1"/>
    <n v="11"/>
    <x v="0"/>
  </r>
  <r>
    <d v="2025-03-11T00:00:00"/>
    <x v="3"/>
    <x v="2"/>
    <x v="0"/>
    <n v="755493543.59000003"/>
    <x v="3"/>
    <x v="2"/>
    <x v="0"/>
    <x v="12"/>
    <x v="0"/>
    <x v="1"/>
    <x v="0"/>
    <x v="1"/>
    <x v="1"/>
    <n v="11"/>
    <x v="0"/>
  </r>
  <r>
    <d v="2025-03-11T00:00:00"/>
    <x v="3"/>
    <x v="2"/>
    <x v="1"/>
    <n v="6367146880.5500002"/>
    <x v="3"/>
    <x v="2"/>
    <x v="1"/>
    <x v="13"/>
    <x v="0"/>
    <x v="1"/>
    <x v="0"/>
    <x v="1"/>
    <x v="1"/>
    <n v="11"/>
    <x v="0"/>
  </r>
  <r>
    <d v="2025-03-10T00:00:00"/>
    <x v="3"/>
    <x v="3"/>
    <x v="2"/>
    <n v="25"/>
    <x v="3"/>
    <x v="3"/>
    <x v="2"/>
    <x v="1"/>
    <x v="0"/>
    <x v="1"/>
    <x v="0"/>
    <x v="1"/>
    <x v="1"/>
    <n v="10"/>
    <x v="0"/>
  </r>
  <r>
    <d v="2025-03-10T00:00:00"/>
    <x v="2"/>
    <x v="1"/>
    <x v="2"/>
    <n v="6148.57"/>
    <x v="2"/>
    <x v="1"/>
    <x v="2"/>
    <x v="2"/>
    <x v="0"/>
    <x v="1"/>
    <x v="0"/>
    <x v="1"/>
    <x v="1"/>
    <n v="10"/>
    <x v="0"/>
  </r>
  <r>
    <d v="2025-03-10T00:00:00"/>
    <x v="3"/>
    <x v="2"/>
    <x v="2"/>
    <n v="10906.15"/>
    <x v="3"/>
    <x v="2"/>
    <x v="2"/>
    <x v="6"/>
    <x v="0"/>
    <x v="1"/>
    <x v="0"/>
    <x v="1"/>
    <x v="1"/>
    <n v="10"/>
    <x v="0"/>
  </r>
  <r>
    <d v="2025-03-10T00:00:00"/>
    <x v="0"/>
    <x v="1"/>
    <x v="0"/>
    <n v="64671794.229999997"/>
    <x v="0"/>
    <x v="1"/>
    <x v="0"/>
    <x v="0"/>
    <x v="0"/>
    <x v="1"/>
    <x v="0"/>
    <x v="1"/>
    <x v="1"/>
    <n v="10"/>
    <x v="0"/>
  </r>
  <r>
    <d v="2025-03-10T00:00:00"/>
    <x v="2"/>
    <x v="1"/>
    <x v="0"/>
    <n v="84602305.290000007"/>
    <x v="2"/>
    <x v="1"/>
    <x v="0"/>
    <x v="7"/>
    <x v="0"/>
    <x v="1"/>
    <x v="0"/>
    <x v="1"/>
    <x v="1"/>
    <n v="10"/>
    <x v="0"/>
  </r>
  <r>
    <d v="2025-03-10T00:00:00"/>
    <x v="0"/>
    <x v="0"/>
    <x v="1"/>
    <n v="10356.89"/>
    <x v="0"/>
    <x v="0"/>
    <x v="1"/>
    <x v="3"/>
    <x v="0"/>
    <x v="1"/>
    <x v="0"/>
    <x v="1"/>
    <x v="1"/>
    <n v="10"/>
    <x v="0"/>
  </r>
  <r>
    <d v="2025-03-10T00:00:00"/>
    <x v="0"/>
    <x v="1"/>
    <x v="1"/>
    <n v="10105775.17"/>
    <x v="0"/>
    <x v="1"/>
    <x v="1"/>
    <x v="4"/>
    <x v="0"/>
    <x v="1"/>
    <x v="0"/>
    <x v="1"/>
    <x v="1"/>
    <n v="10"/>
    <x v="0"/>
  </r>
  <r>
    <d v="2025-03-10T00:00:00"/>
    <x v="3"/>
    <x v="3"/>
    <x v="0"/>
    <n v="1553939862.99"/>
    <x v="3"/>
    <x v="3"/>
    <x v="0"/>
    <x v="8"/>
    <x v="0"/>
    <x v="1"/>
    <x v="0"/>
    <x v="1"/>
    <x v="1"/>
    <n v="10"/>
    <x v="0"/>
  </r>
  <r>
    <d v="2025-03-10T00:00:00"/>
    <x v="1"/>
    <x v="1"/>
    <x v="0"/>
    <n v="703892.82"/>
    <x v="1"/>
    <x v="1"/>
    <x v="0"/>
    <x v="5"/>
    <x v="0"/>
    <x v="1"/>
    <x v="0"/>
    <x v="1"/>
    <x v="1"/>
    <n v="10"/>
    <x v="0"/>
  </r>
  <r>
    <d v="2025-03-10T00:00:00"/>
    <x v="2"/>
    <x v="1"/>
    <x v="1"/>
    <n v="144538247.21000001"/>
    <x v="2"/>
    <x v="1"/>
    <x v="1"/>
    <x v="9"/>
    <x v="0"/>
    <x v="1"/>
    <x v="0"/>
    <x v="1"/>
    <x v="1"/>
    <n v="10"/>
    <x v="0"/>
  </r>
  <r>
    <d v="2025-03-10T00:00:00"/>
    <x v="1"/>
    <x v="0"/>
    <x v="1"/>
    <n v="472547884.25999999"/>
    <x v="1"/>
    <x v="0"/>
    <x v="1"/>
    <x v="10"/>
    <x v="0"/>
    <x v="1"/>
    <x v="0"/>
    <x v="1"/>
    <x v="1"/>
    <n v="10"/>
    <x v="0"/>
  </r>
  <r>
    <d v="2025-03-10T00:00:00"/>
    <x v="1"/>
    <x v="0"/>
    <x v="0"/>
    <n v="55709181.109999999"/>
    <x v="1"/>
    <x v="0"/>
    <x v="0"/>
    <x v="11"/>
    <x v="0"/>
    <x v="1"/>
    <x v="0"/>
    <x v="1"/>
    <x v="1"/>
    <n v="10"/>
    <x v="0"/>
  </r>
  <r>
    <d v="2025-03-10T00:00:00"/>
    <x v="3"/>
    <x v="2"/>
    <x v="0"/>
    <n v="930140388.45000005"/>
    <x v="3"/>
    <x v="2"/>
    <x v="0"/>
    <x v="12"/>
    <x v="0"/>
    <x v="1"/>
    <x v="0"/>
    <x v="1"/>
    <x v="1"/>
    <n v="10"/>
    <x v="0"/>
  </r>
  <r>
    <d v="2025-03-10T00:00:00"/>
    <x v="3"/>
    <x v="2"/>
    <x v="1"/>
    <n v="38322567299.849998"/>
    <x v="3"/>
    <x v="2"/>
    <x v="1"/>
    <x v="13"/>
    <x v="0"/>
    <x v="1"/>
    <x v="0"/>
    <x v="1"/>
    <x v="1"/>
    <n v="10"/>
    <x v="0"/>
  </r>
  <r>
    <d v="2025-03-10T00:00:00"/>
    <x v="3"/>
    <x v="1"/>
    <x v="0"/>
    <n v="53440690.799999997"/>
    <x v="3"/>
    <x v="1"/>
    <x v="0"/>
    <x v="14"/>
    <x v="0"/>
    <x v="1"/>
    <x v="0"/>
    <x v="1"/>
    <x v="1"/>
    <n v="10"/>
    <x v="0"/>
  </r>
  <r>
    <d v="2025-03-07T00:00:00"/>
    <x v="0"/>
    <x v="0"/>
    <x v="0"/>
    <n v="1107.25"/>
    <x v="0"/>
    <x v="0"/>
    <x v="0"/>
    <x v="0"/>
    <x v="0"/>
    <x v="1"/>
    <x v="0"/>
    <x v="1"/>
    <x v="1"/>
    <n v="7"/>
    <x v="0"/>
  </r>
  <r>
    <d v="2025-03-07T00:00:00"/>
    <x v="0"/>
    <x v="1"/>
    <x v="0"/>
    <n v="12622431.029999999"/>
    <x v="0"/>
    <x v="1"/>
    <x v="0"/>
    <x v="1"/>
    <x v="0"/>
    <x v="1"/>
    <x v="0"/>
    <x v="1"/>
    <x v="1"/>
    <n v="7"/>
    <x v="0"/>
  </r>
  <r>
    <d v="2025-03-07T00:00:00"/>
    <x v="2"/>
    <x v="1"/>
    <x v="2"/>
    <n v="16458.900000000001"/>
    <x v="2"/>
    <x v="1"/>
    <x v="2"/>
    <x v="2"/>
    <x v="0"/>
    <x v="1"/>
    <x v="0"/>
    <x v="1"/>
    <x v="1"/>
    <n v="7"/>
    <x v="0"/>
  </r>
  <r>
    <d v="2025-03-07T00:00:00"/>
    <x v="0"/>
    <x v="0"/>
    <x v="1"/>
    <n v="-9353.08"/>
    <x v="0"/>
    <x v="0"/>
    <x v="1"/>
    <x v="3"/>
    <x v="0"/>
    <x v="1"/>
    <x v="0"/>
    <x v="1"/>
    <x v="1"/>
    <n v="7"/>
    <x v="1"/>
  </r>
  <r>
    <d v="2025-03-07T00:00:00"/>
    <x v="0"/>
    <x v="1"/>
    <x v="1"/>
    <n v="9461826.5899999999"/>
    <x v="0"/>
    <x v="1"/>
    <x v="1"/>
    <x v="4"/>
    <x v="0"/>
    <x v="1"/>
    <x v="0"/>
    <x v="1"/>
    <x v="1"/>
    <n v="7"/>
    <x v="0"/>
  </r>
  <r>
    <d v="2025-03-07T00:00:00"/>
    <x v="1"/>
    <x v="1"/>
    <x v="0"/>
    <n v="404136.22"/>
    <x v="1"/>
    <x v="1"/>
    <x v="0"/>
    <x v="5"/>
    <x v="0"/>
    <x v="1"/>
    <x v="0"/>
    <x v="1"/>
    <x v="1"/>
    <n v="7"/>
    <x v="0"/>
  </r>
  <r>
    <d v="2025-03-07T00:00:00"/>
    <x v="2"/>
    <x v="1"/>
    <x v="0"/>
    <n v="102629767.69"/>
    <x v="2"/>
    <x v="1"/>
    <x v="0"/>
    <x v="7"/>
    <x v="0"/>
    <x v="1"/>
    <x v="0"/>
    <x v="1"/>
    <x v="1"/>
    <n v="7"/>
    <x v="0"/>
  </r>
  <r>
    <d v="2025-03-07T00:00:00"/>
    <x v="3"/>
    <x v="2"/>
    <x v="2"/>
    <n v="327109"/>
    <x v="3"/>
    <x v="2"/>
    <x v="2"/>
    <x v="6"/>
    <x v="0"/>
    <x v="1"/>
    <x v="0"/>
    <x v="1"/>
    <x v="1"/>
    <n v="7"/>
    <x v="0"/>
  </r>
  <r>
    <d v="2025-03-07T00:00:00"/>
    <x v="3"/>
    <x v="3"/>
    <x v="0"/>
    <n v="2622983452.0799999"/>
    <x v="3"/>
    <x v="3"/>
    <x v="0"/>
    <x v="8"/>
    <x v="0"/>
    <x v="1"/>
    <x v="0"/>
    <x v="1"/>
    <x v="1"/>
    <n v="7"/>
    <x v="0"/>
  </r>
  <r>
    <d v="2025-03-07T00:00:00"/>
    <x v="2"/>
    <x v="1"/>
    <x v="1"/>
    <n v="121021258.75"/>
    <x v="2"/>
    <x v="1"/>
    <x v="1"/>
    <x v="9"/>
    <x v="0"/>
    <x v="1"/>
    <x v="0"/>
    <x v="1"/>
    <x v="1"/>
    <n v="7"/>
    <x v="0"/>
  </r>
  <r>
    <d v="2025-03-07T00:00:00"/>
    <x v="1"/>
    <x v="0"/>
    <x v="0"/>
    <n v="53224531.409999996"/>
    <x v="1"/>
    <x v="0"/>
    <x v="0"/>
    <x v="11"/>
    <x v="0"/>
    <x v="1"/>
    <x v="0"/>
    <x v="1"/>
    <x v="1"/>
    <n v="7"/>
    <x v="0"/>
  </r>
  <r>
    <d v="2025-03-07T00:00:00"/>
    <x v="1"/>
    <x v="0"/>
    <x v="1"/>
    <n v="339443630.01999998"/>
    <x v="1"/>
    <x v="0"/>
    <x v="1"/>
    <x v="10"/>
    <x v="0"/>
    <x v="1"/>
    <x v="0"/>
    <x v="1"/>
    <x v="1"/>
    <n v="7"/>
    <x v="0"/>
  </r>
  <r>
    <d v="2025-03-07T00:00:00"/>
    <x v="3"/>
    <x v="1"/>
    <x v="0"/>
    <n v="16179256"/>
    <x v="3"/>
    <x v="1"/>
    <x v="0"/>
    <x v="12"/>
    <x v="0"/>
    <x v="1"/>
    <x v="0"/>
    <x v="1"/>
    <x v="1"/>
    <n v="7"/>
    <x v="0"/>
  </r>
  <r>
    <d v="2025-03-07T00:00:00"/>
    <x v="3"/>
    <x v="2"/>
    <x v="0"/>
    <n v="923710697.41999996"/>
    <x v="3"/>
    <x v="2"/>
    <x v="0"/>
    <x v="13"/>
    <x v="0"/>
    <x v="1"/>
    <x v="0"/>
    <x v="1"/>
    <x v="1"/>
    <n v="7"/>
    <x v="0"/>
  </r>
  <r>
    <d v="2025-03-07T00:00:00"/>
    <x v="3"/>
    <x v="2"/>
    <x v="1"/>
    <n v="11415563207.4"/>
    <x v="3"/>
    <x v="2"/>
    <x v="1"/>
    <x v="14"/>
    <x v="0"/>
    <x v="1"/>
    <x v="0"/>
    <x v="1"/>
    <x v="1"/>
    <n v="7"/>
    <x v="0"/>
  </r>
  <r>
    <d v="2025-03-06T00:00:00"/>
    <x v="0"/>
    <x v="1"/>
    <x v="0"/>
    <n v="77342312.239999995"/>
    <x v="0"/>
    <x v="1"/>
    <x v="0"/>
    <x v="0"/>
    <x v="0"/>
    <x v="1"/>
    <x v="0"/>
    <x v="1"/>
    <x v="1"/>
    <n v="6"/>
    <x v="0"/>
  </r>
  <r>
    <d v="2025-03-06T00:00:00"/>
    <x v="2"/>
    <x v="1"/>
    <x v="2"/>
    <n v="18484.650000000001"/>
    <x v="2"/>
    <x v="1"/>
    <x v="2"/>
    <x v="1"/>
    <x v="0"/>
    <x v="1"/>
    <x v="0"/>
    <x v="1"/>
    <x v="1"/>
    <n v="6"/>
    <x v="0"/>
  </r>
  <r>
    <d v="2025-03-06T00:00:00"/>
    <x v="3"/>
    <x v="2"/>
    <x v="2"/>
    <n v="235129.04"/>
    <x v="3"/>
    <x v="2"/>
    <x v="2"/>
    <x v="6"/>
    <x v="0"/>
    <x v="1"/>
    <x v="0"/>
    <x v="1"/>
    <x v="1"/>
    <n v="6"/>
    <x v="0"/>
  </r>
  <r>
    <d v="2025-03-06T00:00:00"/>
    <x v="3"/>
    <x v="3"/>
    <x v="1"/>
    <n v="38487"/>
    <x v="3"/>
    <x v="3"/>
    <x v="1"/>
    <x v="2"/>
    <x v="0"/>
    <x v="1"/>
    <x v="0"/>
    <x v="1"/>
    <x v="1"/>
    <n v="6"/>
    <x v="0"/>
  </r>
  <r>
    <d v="2025-03-06T00:00:00"/>
    <x v="0"/>
    <x v="1"/>
    <x v="1"/>
    <n v="7994659.4199999999"/>
    <x v="0"/>
    <x v="1"/>
    <x v="1"/>
    <x v="3"/>
    <x v="0"/>
    <x v="1"/>
    <x v="0"/>
    <x v="1"/>
    <x v="1"/>
    <n v="6"/>
    <x v="0"/>
  </r>
  <r>
    <d v="2025-03-06T00:00:00"/>
    <x v="1"/>
    <x v="1"/>
    <x v="0"/>
    <n v="1100196.04"/>
    <x v="1"/>
    <x v="1"/>
    <x v="0"/>
    <x v="4"/>
    <x v="0"/>
    <x v="1"/>
    <x v="0"/>
    <x v="1"/>
    <x v="1"/>
    <n v="6"/>
    <x v="0"/>
  </r>
  <r>
    <d v="2025-03-06T00:00:00"/>
    <x v="3"/>
    <x v="3"/>
    <x v="2"/>
    <n v="100"/>
    <x v="3"/>
    <x v="3"/>
    <x v="2"/>
    <x v="5"/>
    <x v="0"/>
    <x v="1"/>
    <x v="0"/>
    <x v="1"/>
    <x v="1"/>
    <n v="6"/>
    <x v="0"/>
  </r>
  <r>
    <d v="2025-03-06T00:00:00"/>
    <x v="2"/>
    <x v="1"/>
    <x v="0"/>
    <n v="98742080.560000002"/>
    <x v="2"/>
    <x v="1"/>
    <x v="0"/>
    <x v="7"/>
    <x v="0"/>
    <x v="1"/>
    <x v="0"/>
    <x v="1"/>
    <x v="1"/>
    <n v="6"/>
    <x v="0"/>
  </r>
  <r>
    <d v="2025-03-06T00:00:00"/>
    <x v="2"/>
    <x v="1"/>
    <x v="1"/>
    <n v="61508618.890000001"/>
    <x v="2"/>
    <x v="1"/>
    <x v="1"/>
    <x v="9"/>
    <x v="0"/>
    <x v="1"/>
    <x v="0"/>
    <x v="1"/>
    <x v="1"/>
    <n v="6"/>
    <x v="0"/>
  </r>
  <r>
    <d v="2025-03-06T00:00:00"/>
    <x v="1"/>
    <x v="0"/>
    <x v="0"/>
    <n v="68671677.719999999"/>
    <x v="1"/>
    <x v="0"/>
    <x v="0"/>
    <x v="11"/>
    <x v="0"/>
    <x v="1"/>
    <x v="0"/>
    <x v="1"/>
    <x v="1"/>
    <n v="6"/>
    <x v="0"/>
  </r>
  <r>
    <d v="2025-03-06T00:00:00"/>
    <x v="3"/>
    <x v="3"/>
    <x v="0"/>
    <n v="3153736129.0100002"/>
    <x v="3"/>
    <x v="3"/>
    <x v="0"/>
    <x v="8"/>
    <x v="0"/>
    <x v="1"/>
    <x v="0"/>
    <x v="1"/>
    <x v="1"/>
    <n v="6"/>
    <x v="0"/>
  </r>
  <r>
    <d v="2025-03-06T00:00:00"/>
    <x v="1"/>
    <x v="0"/>
    <x v="1"/>
    <n v="536264540.02999997"/>
    <x v="1"/>
    <x v="0"/>
    <x v="1"/>
    <x v="10"/>
    <x v="0"/>
    <x v="1"/>
    <x v="0"/>
    <x v="1"/>
    <x v="1"/>
    <n v="6"/>
    <x v="0"/>
  </r>
  <r>
    <d v="2025-03-06T00:00:00"/>
    <x v="3"/>
    <x v="1"/>
    <x v="0"/>
    <n v="15498240.449999999"/>
    <x v="3"/>
    <x v="1"/>
    <x v="0"/>
    <x v="12"/>
    <x v="0"/>
    <x v="1"/>
    <x v="0"/>
    <x v="1"/>
    <x v="1"/>
    <n v="6"/>
    <x v="0"/>
  </r>
  <r>
    <d v="2025-03-06T00:00:00"/>
    <x v="3"/>
    <x v="2"/>
    <x v="1"/>
    <n v="6683446355.3400002"/>
    <x v="3"/>
    <x v="2"/>
    <x v="1"/>
    <x v="13"/>
    <x v="0"/>
    <x v="1"/>
    <x v="0"/>
    <x v="1"/>
    <x v="1"/>
    <n v="6"/>
    <x v="0"/>
  </r>
  <r>
    <d v="2025-03-06T00:00:00"/>
    <x v="3"/>
    <x v="2"/>
    <x v="0"/>
    <n v="756856528.27999997"/>
    <x v="3"/>
    <x v="2"/>
    <x v="0"/>
    <x v="14"/>
    <x v="0"/>
    <x v="1"/>
    <x v="0"/>
    <x v="1"/>
    <x v="1"/>
    <n v="6"/>
    <x v="0"/>
  </r>
  <r>
    <d v="2025-03-05T00:00:00"/>
    <x v="1"/>
    <x v="1"/>
    <x v="0"/>
    <n v="868575.86"/>
    <x v="1"/>
    <x v="1"/>
    <x v="0"/>
    <x v="1"/>
    <x v="0"/>
    <x v="1"/>
    <x v="0"/>
    <x v="1"/>
    <x v="1"/>
    <n v="5"/>
    <x v="0"/>
  </r>
  <r>
    <d v="2025-03-05T00:00:00"/>
    <x v="2"/>
    <x v="1"/>
    <x v="2"/>
    <n v="16363.85"/>
    <x v="2"/>
    <x v="1"/>
    <x v="2"/>
    <x v="3"/>
    <x v="0"/>
    <x v="1"/>
    <x v="0"/>
    <x v="1"/>
    <x v="1"/>
    <n v="5"/>
    <x v="0"/>
  </r>
  <r>
    <d v="2025-03-05T00:00:00"/>
    <x v="0"/>
    <x v="1"/>
    <x v="0"/>
    <n v="9577134.4100000001"/>
    <x v="0"/>
    <x v="1"/>
    <x v="0"/>
    <x v="2"/>
    <x v="0"/>
    <x v="1"/>
    <x v="0"/>
    <x v="1"/>
    <x v="1"/>
    <n v="5"/>
    <x v="0"/>
  </r>
  <r>
    <d v="2025-03-05T00:00:00"/>
    <x v="3"/>
    <x v="2"/>
    <x v="2"/>
    <n v="225190.26"/>
    <x v="3"/>
    <x v="2"/>
    <x v="2"/>
    <x v="7"/>
    <x v="0"/>
    <x v="1"/>
    <x v="0"/>
    <x v="1"/>
    <x v="1"/>
    <n v="5"/>
    <x v="0"/>
  </r>
  <r>
    <d v="2025-03-05T00:00:00"/>
    <x v="0"/>
    <x v="0"/>
    <x v="0"/>
    <n v="516"/>
    <x v="0"/>
    <x v="0"/>
    <x v="0"/>
    <x v="0"/>
    <x v="0"/>
    <x v="1"/>
    <x v="0"/>
    <x v="1"/>
    <x v="1"/>
    <n v="5"/>
    <x v="0"/>
  </r>
  <r>
    <d v="2025-03-05T00:00:00"/>
    <x v="2"/>
    <x v="1"/>
    <x v="0"/>
    <n v="125794835.04000001"/>
    <x v="2"/>
    <x v="1"/>
    <x v="0"/>
    <x v="8"/>
    <x v="0"/>
    <x v="1"/>
    <x v="0"/>
    <x v="1"/>
    <x v="1"/>
    <n v="5"/>
    <x v="0"/>
  </r>
  <r>
    <d v="2025-03-05T00:00:00"/>
    <x v="3"/>
    <x v="3"/>
    <x v="1"/>
    <n v="1563.76"/>
    <x v="3"/>
    <x v="3"/>
    <x v="1"/>
    <x v="4"/>
    <x v="0"/>
    <x v="1"/>
    <x v="0"/>
    <x v="1"/>
    <x v="1"/>
    <n v="5"/>
    <x v="0"/>
  </r>
  <r>
    <d v="2025-03-05T00:00:00"/>
    <x v="0"/>
    <x v="0"/>
    <x v="1"/>
    <n v="-49904"/>
    <x v="0"/>
    <x v="0"/>
    <x v="1"/>
    <x v="5"/>
    <x v="0"/>
    <x v="1"/>
    <x v="0"/>
    <x v="1"/>
    <x v="1"/>
    <n v="5"/>
    <x v="1"/>
  </r>
  <r>
    <d v="2025-03-05T00:00:00"/>
    <x v="0"/>
    <x v="1"/>
    <x v="1"/>
    <n v="4053348"/>
    <x v="0"/>
    <x v="1"/>
    <x v="1"/>
    <x v="6"/>
    <x v="0"/>
    <x v="1"/>
    <x v="0"/>
    <x v="1"/>
    <x v="1"/>
    <n v="5"/>
    <x v="0"/>
  </r>
  <r>
    <d v="2025-03-05T00:00:00"/>
    <x v="2"/>
    <x v="1"/>
    <x v="1"/>
    <n v="278332374.82999998"/>
    <x v="2"/>
    <x v="1"/>
    <x v="1"/>
    <x v="9"/>
    <x v="0"/>
    <x v="1"/>
    <x v="0"/>
    <x v="1"/>
    <x v="1"/>
    <n v="5"/>
    <x v="0"/>
  </r>
  <r>
    <d v="2025-03-05T00:00:00"/>
    <x v="3"/>
    <x v="3"/>
    <x v="0"/>
    <n v="3053735633.71"/>
    <x v="3"/>
    <x v="3"/>
    <x v="0"/>
    <x v="10"/>
    <x v="0"/>
    <x v="1"/>
    <x v="0"/>
    <x v="1"/>
    <x v="1"/>
    <n v="5"/>
    <x v="0"/>
  </r>
  <r>
    <d v="2025-03-05T00:00:00"/>
    <x v="1"/>
    <x v="0"/>
    <x v="1"/>
    <n v="1078302453.28"/>
    <x v="1"/>
    <x v="0"/>
    <x v="1"/>
    <x v="11"/>
    <x v="0"/>
    <x v="1"/>
    <x v="0"/>
    <x v="1"/>
    <x v="1"/>
    <n v="5"/>
    <x v="0"/>
  </r>
  <r>
    <d v="2025-03-05T00:00:00"/>
    <x v="1"/>
    <x v="0"/>
    <x v="0"/>
    <n v="108573334.58"/>
    <x v="1"/>
    <x v="0"/>
    <x v="0"/>
    <x v="12"/>
    <x v="0"/>
    <x v="1"/>
    <x v="0"/>
    <x v="1"/>
    <x v="1"/>
    <n v="5"/>
    <x v="0"/>
  </r>
  <r>
    <d v="2025-03-05T00:00:00"/>
    <x v="3"/>
    <x v="1"/>
    <x v="0"/>
    <n v="16461725.77"/>
    <x v="3"/>
    <x v="1"/>
    <x v="0"/>
    <x v="13"/>
    <x v="0"/>
    <x v="1"/>
    <x v="0"/>
    <x v="1"/>
    <x v="1"/>
    <n v="5"/>
    <x v="0"/>
  </r>
  <r>
    <d v="2025-03-05T00:00:00"/>
    <x v="3"/>
    <x v="2"/>
    <x v="0"/>
    <n v="1350107663.1500001"/>
    <x v="3"/>
    <x v="2"/>
    <x v="0"/>
    <x v="14"/>
    <x v="0"/>
    <x v="1"/>
    <x v="0"/>
    <x v="1"/>
    <x v="1"/>
    <n v="5"/>
    <x v="0"/>
  </r>
  <r>
    <d v="2025-03-05T00:00:00"/>
    <x v="3"/>
    <x v="2"/>
    <x v="1"/>
    <n v="15396624725.73"/>
    <x v="3"/>
    <x v="2"/>
    <x v="1"/>
    <x v="15"/>
    <x v="0"/>
    <x v="1"/>
    <x v="0"/>
    <x v="1"/>
    <x v="1"/>
    <n v="5"/>
    <x v="0"/>
  </r>
  <r>
    <d v="2025-03-04T00:00:00"/>
    <x v="3"/>
    <x v="3"/>
    <x v="2"/>
    <n v="100"/>
    <x v="3"/>
    <x v="3"/>
    <x v="2"/>
    <x v="2"/>
    <x v="0"/>
    <x v="1"/>
    <x v="0"/>
    <x v="1"/>
    <x v="1"/>
    <n v="4"/>
    <x v="0"/>
  </r>
  <r>
    <d v="2025-03-04T00:00:00"/>
    <x v="2"/>
    <x v="1"/>
    <x v="2"/>
    <n v="84811.65"/>
    <x v="2"/>
    <x v="1"/>
    <x v="2"/>
    <x v="6"/>
    <x v="0"/>
    <x v="1"/>
    <x v="0"/>
    <x v="1"/>
    <x v="1"/>
    <n v="4"/>
    <x v="0"/>
  </r>
  <r>
    <d v="2025-03-04T00:00:00"/>
    <x v="1"/>
    <x v="1"/>
    <x v="0"/>
    <n v="961410.57"/>
    <x v="1"/>
    <x v="1"/>
    <x v="0"/>
    <x v="0"/>
    <x v="0"/>
    <x v="1"/>
    <x v="0"/>
    <x v="1"/>
    <x v="1"/>
    <n v="4"/>
    <x v="0"/>
  </r>
  <r>
    <d v="2025-03-04T00:00:00"/>
    <x v="0"/>
    <x v="1"/>
    <x v="0"/>
    <n v="8001966.3200000003"/>
    <x v="0"/>
    <x v="1"/>
    <x v="0"/>
    <x v="1"/>
    <x v="0"/>
    <x v="1"/>
    <x v="0"/>
    <x v="1"/>
    <x v="1"/>
    <n v="4"/>
    <x v="0"/>
  </r>
  <r>
    <d v="2025-03-04T00:00:00"/>
    <x v="3"/>
    <x v="2"/>
    <x v="2"/>
    <n v="174329"/>
    <x v="3"/>
    <x v="2"/>
    <x v="2"/>
    <x v="7"/>
    <x v="0"/>
    <x v="1"/>
    <x v="0"/>
    <x v="1"/>
    <x v="1"/>
    <n v="4"/>
    <x v="0"/>
  </r>
  <r>
    <d v="2025-03-04T00:00:00"/>
    <x v="2"/>
    <x v="1"/>
    <x v="0"/>
    <n v="111793841.88"/>
    <x v="2"/>
    <x v="1"/>
    <x v="0"/>
    <x v="8"/>
    <x v="0"/>
    <x v="1"/>
    <x v="0"/>
    <x v="1"/>
    <x v="1"/>
    <n v="4"/>
    <x v="0"/>
  </r>
  <r>
    <d v="2025-03-04T00:00:00"/>
    <x v="3"/>
    <x v="3"/>
    <x v="1"/>
    <n v="171455.75"/>
    <x v="3"/>
    <x v="3"/>
    <x v="1"/>
    <x v="3"/>
    <x v="0"/>
    <x v="1"/>
    <x v="0"/>
    <x v="1"/>
    <x v="1"/>
    <n v="4"/>
    <x v="0"/>
  </r>
  <r>
    <d v="2025-03-04T00:00:00"/>
    <x v="0"/>
    <x v="0"/>
    <x v="1"/>
    <n v="-10937"/>
    <x v="0"/>
    <x v="0"/>
    <x v="1"/>
    <x v="4"/>
    <x v="0"/>
    <x v="1"/>
    <x v="0"/>
    <x v="1"/>
    <x v="1"/>
    <n v="4"/>
    <x v="1"/>
  </r>
  <r>
    <d v="2025-03-04T00:00:00"/>
    <x v="0"/>
    <x v="1"/>
    <x v="1"/>
    <n v="11670109.67"/>
    <x v="0"/>
    <x v="1"/>
    <x v="1"/>
    <x v="5"/>
    <x v="0"/>
    <x v="1"/>
    <x v="0"/>
    <x v="1"/>
    <x v="1"/>
    <n v="4"/>
    <x v="0"/>
  </r>
  <r>
    <d v="2025-03-04T00:00:00"/>
    <x v="2"/>
    <x v="1"/>
    <x v="1"/>
    <n v="84507462.060000002"/>
    <x v="2"/>
    <x v="1"/>
    <x v="1"/>
    <x v="9"/>
    <x v="0"/>
    <x v="1"/>
    <x v="0"/>
    <x v="1"/>
    <x v="1"/>
    <n v="4"/>
    <x v="0"/>
  </r>
  <r>
    <d v="2025-03-04T00:00:00"/>
    <x v="3"/>
    <x v="3"/>
    <x v="0"/>
    <n v="2559833328.4099998"/>
    <x v="3"/>
    <x v="3"/>
    <x v="0"/>
    <x v="10"/>
    <x v="0"/>
    <x v="1"/>
    <x v="0"/>
    <x v="1"/>
    <x v="1"/>
    <n v="4"/>
    <x v="0"/>
  </r>
  <r>
    <d v="2025-03-04T00:00:00"/>
    <x v="1"/>
    <x v="0"/>
    <x v="1"/>
    <n v="250558787.63999999"/>
    <x v="1"/>
    <x v="0"/>
    <x v="1"/>
    <x v="11"/>
    <x v="0"/>
    <x v="1"/>
    <x v="0"/>
    <x v="1"/>
    <x v="1"/>
    <n v="4"/>
    <x v="0"/>
  </r>
  <r>
    <d v="2025-03-04T00:00:00"/>
    <x v="1"/>
    <x v="0"/>
    <x v="0"/>
    <n v="88274069.760000005"/>
    <x v="1"/>
    <x v="0"/>
    <x v="0"/>
    <x v="12"/>
    <x v="0"/>
    <x v="1"/>
    <x v="0"/>
    <x v="1"/>
    <x v="1"/>
    <n v="4"/>
    <x v="0"/>
  </r>
  <r>
    <d v="2025-03-04T00:00:00"/>
    <x v="3"/>
    <x v="1"/>
    <x v="0"/>
    <n v="15923624.6"/>
    <x v="3"/>
    <x v="1"/>
    <x v="0"/>
    <x v="13"/>
    <x v="0"/>
    <x v="1"/>
    <x v="0"/>
    <x v="1"/>
    <x v="1"/>
    <n v="4"/>
    <x v="0"/>
  </r>
  <r>
    <d v="2025-03-04T00:00:00"/>
    <x v="3"/>
    <x v="2"/>
    <x v="0"/>
    <n v="800958604.77999997"/>
    <x v="3"/>
    <x v="2"/>
    <x v="0"/>
    <x v="14"/>
    <x v="0"/>
    <x v="1"/>
    <x v="0"/>
    <x v="1"/>
    <x v="1"/>
    <n v="4"/>
    <x v="0"/>
  </r>
  <r>
    <d v="2025-03-04T00:00:00"/>
    <x v="3"/>
    <x v="2"/>
    <x v="1"/>
    <n v="7233871558.9399996"/>
    <x v="3"/>
    <x v="2"/>
    <x v="1"/>
    <x v="15"/>
    <x v="0"/>
    <x v="1"/>
    <x v="0"/>
    <x v="1"/>
    <x v="1"/>
    <n v="4"/>
    <x v="0"/>
  </r>
  <r>
    <d v="2025-03-03T00:00:00"/>
    <x v="3"/>
    <x v="3"/>
    <x v="2"/>
    <n v="1294.03"/>
    <x v="3"/>
    <x v="3"/>
    <x v="2"/>
    <x v="3"/>
    <x v="0"/>
    <x v="1"/>
    <x v="0"/>
    <x v="1"/>
    <x v="1"/>
    <n v="3"/>
    <x v="0"/>
  </r>
  <r>
    <d v="2025-03-03T00:00:00"/>
    <x v="2"/>
    <x v="1"/>
    <x v="2"/>
    <n v="27734.53"/>
    <x v="2"/>
    <x v="1"/>
    <x v="2"/>
    <x v="4"/>
    <x v="0"/>
    <x v="1"/>
    <x v="0"/>
    <x v="1"/>
    <x v="1"/>
    <n v="3"/>
    <x v="0"/>
  </r>
  <r>
    <d v="2025-03-03T00:00:00"/>
    <x v="0"/>
    <x v="0"/>
    <x v="0"/>
    <n v="350"/>
    <x v="0"/>
    <x v="0"/>
    <x v="0"/>
    <x v="0"/>
    <x v="0"/>
    <x v="1"/>
    <x v="0"/>
    <x v="1"/>
    <x v="1"/>
    <n v="3"/>
    <x v="0"/>
  </r>
  <r>
    <d v="2025-03-03T00:00:00"/>
    <x v="1"/>
    <x v="1"/>
    <x v="0"/>
    <n v="1293120.45"/>
    <x v="1"/>
    <x v="1"/>
    <x v="0"/>
    <x v="1"/>
    <x v="0"/>
    <x v="1"/>
    <x v="0"/>
    <x v="1"/>
    <x v="1"/>
    <n v="3"/>
    <x v="0"/>
  </r>
  <r>
    <d v="2025-03-03T00:00:00"/>
    <x v="0"/>
    <x v="1"/>
    <x v="0"/>
    <n v="14887357.460000001"/>
    <x v="0"/>
    <x v="1"/>
    <x v="0"/>
    <x v="2"/>
    <x v="0"/>
    <x v="1"/>
    <x v="0"/>
    <x v="1"/>
    <x v="1"/>
    <n v="3"/>
    <x v="0"/>
  </r>
  <r>
    <d v="2025-03-03T00:00:00"/>
    <x v="3"/>
    <x v="2"/>
    <x v="2"/>
    <n v="544193.16"/>
    <x v="3"/>
    <x v="2"/>
    <x v="2"/>
    <x v="7"/>
    <x v="0"/>
    <x v="1"/>
    <x v="0"/>
    <x v="1"/>
    <x v="1"/>
    <n v="3"/>
    <x v="0"/>
  </r>
  <r>
    <d v="2025-03-03T00:00:00"/>
    <x v="2"/>
    <x v="1"/>
    <x v="0"/>
    <n v="105690066.22"/>
    <x v="2"/>
    <x v="1"/>
    <x v="0"/>
    <x v="8"/>
    <x v="0"/>
    <x v="1"/>
    <x v="0"/>
    <x v="1"/>
    <x v="1"/>
    <n v="3"/>
    <x v="0"/>
  </r>
  <r>
    <d v="2025-03-03T00:00:00"/>
    <x v="0"/>
    <x v="0"/>
    <x v="1"/>
    <n v="-3000"/>
    <x v="0"/>
    <x v="0"/>
    <x v="1"/>
    <x v="5"/>
    <x v="0"/>
    <x v="1"/>
    <x v="0"/>
    <x v="1"/>
    <x v="1"/>
    <n v="3"/>
    <x v="1"/>
  </r>
  <r>
    <d v="2025-03-03T00:00:00"/>
    <x v="0"/>
    <x v="1"/>
    <x v="1"/>
    <n v="9351959.2300000004"/>
    <x v="0"/>
    <x v="1"/>
    <x v="1"/>
    <x v="6"/>
    <x v="0"/>
    <x v="1"/>
    <x v="0"/>
    <x v="1"/>
    <x v="1"/>
    <n v="3"/>
    <x v="0"/>
  </r>
  <r>
    <d v="2025-03-03T00:00:00"/>
    <x v="3"/>
    <x v="3"/>
    <x v="0"/>
    <n v="3313088906.9699998"/>
    <x v="3"/>
    <x v="3"/>
    <x v="0"/>
    <x v="9"/>
    <x v="0"/>
    <x v="1"/>
    <x v="0"/>
    <x v="1"/>
    <x v="1"/>
    <n v="3"/>
    <x v="0"/>
  </r>
  <r>
    <d v="2025-03-03T00:00:00"/>
    <x v="2"/>
    <x v="1"/>
    <x v="1"/>
    <n v="197195334.97"/>
    <x v="2"/>
    <x v="1"/>
    <x v="1"/>
    <x v="10"/>
    <x v="0"/>
    <x v="1"/>
    <x v="0"/>
    <x v="1"/>
    <x v="1"/>
    <n v="3"/>
    <x v="0"/>
  </r>
  <r>
    <d v="2025-03-03T00:00:00"/>
    <x v="1"/>
    <x v="0"/>
    <x v="1"/>
    <n v="223266860.40000001"/>
    <x v="1"/>
    <x v="0"/>
    <x v="1"/>
    <x v="11"/>
    <x v="0"/>
    <x v="1"/>
    <x v="0"/>
    <x v="1"/>
    <x v="1"/>
    <n v="3"/>
    <x v="0"/>
  </r>
  <r>
    <d v="2025-03-03T00:00:00"/>
    <x v="1"/>
    <x v="0"/>
    <x v="0"/>
    <n v="62059496.079999998"/>
    <x v="1"/>
    <x v="0"/>
    <x v="0"/>
    <x v="12"/>
    <x v="0"/>
    <x v="1"/>
    <x v="0"/>
    <x v="1"/>
    <x v="1"/>
    <n v="3"/>
    <x v="0"/>
  </r>
  <r>
    <d v="2025-03-03T00:00:00"/>
    <x v="3"/>
    <x v="2"/>
    <x v="0"/>
    <n v="1002962939.27"/>
    <x v="3"/>
    <x v="2"/>
    <x v="0"/>
    <x v="13"/>
    <x v="0"/>
    <x v="1"/>
    <x v="0"/>
    <x v="1"/>
    <x v="1"/>
    <n v="3"/>
    <x v="0"/>
  </r>
  <r>
    <d v="2025-03-03T00:00:00"/>
    <x v="3"/>
    <x v="1"/>
    <x v="0"/>
    <n v="59759048.689999998"/>
    <x v="3"/>
    <x v="1"/>
    <x v="0"/>
    <x v="14"/>
    <x v="0"/>
    <x v="1"/>
    <x v="0"/>
    <x v="1"/>
    <x v="1"/>
    <n v="3"/>
    <x v="0"/>
  </r>
  <r>
    <d v="2025-03-03T00:00:00"/>
    <x v="3"/>
    <x v="2"/>
    <x v="1"/>
    <n v="67060886815.889999"/>
    <x v="3"/>
    <x v="2"/>
    <x v="1"/>
    <x v="15"/>
    <x v="0"/>
    <x v="1"/>
    <x v="0"/>
    <x v="1"/>
    <x v="1"/>
    <n v="3"/>
    <x v="0"/>
  </r>
  <r>
    <d v="2025-02-28T00:00:00"/>
    <x v="1"/>
    <x v="1"/>
    <x v="0"/>
    <n v="781841.45"/>
    <x v="1"/>
    <x v="1"/>
    <x v="0"/>
    <x v="0"/>
    <x v="0"/>
    <x v="1"/>
    <x v="0"/>
    <x v="1"/>
    <x v="2"/>
    <n v="28"/>
    <x v="0"/>
  </r>
  <r>
    <d v="2025-02-28T00:00:00"/>
    <x v="0"/>
    <x v="1"/>
    <x v="0"/>
    <n v="5474393.2400000002"/>
    <x v="0"/>
    <x v="1"/>
    <x v="0"/>
    <x v="1"/>
    <x v="0"/>
    <x v="1"/>
    <x v="0"/>
    <x v="1"/>
    <x v="2"/>
    <n v="28"/>
    <x v="0"/>
  </r>
  <r>
    <d v="2025-02-28T00:00:00"/>
    <x v="2"/>
    <x v="1"/>
    <x v="2"/>
    <n v="23676.25"/>
    <x v="2"/>
    <x v="1"/>
    <x v="2"/>
    <x v="4"/>
    <x v="0"/>
    <x v="1"/>
    <x v="0"/>
    <x v="1"/>
    <x v="2"/>
    <n v="28"/>
    <x v="0"/>
  </r>
  <r>
    <d v="2025-02-28T00:00:00"/>
    <x v="2"/>
    <x v="1"/>
    <x v="0"/>
    <n v="121475496.75"/>
    <x v="2"/>
    <x v="1"/>
    <x v="0"/>
    <x v="5"/>
    <x v="0"/>
    <x v="1"/>
    <x v="0"/>
    <x v="1"/>
    <x v="2"/>
    <n v="28"/>
    <x v="0"/>
  </r>
  <r>
    <d v="2025-02-28T00:00:00"/>
    <x v="0"/>
    <x v="1"/>
    <x v="1"/>
    <n v="19163128.300000001"/>
    <x v="0"/>
    <x v="1"/>
    <x v="1"/>
    <x v="2"/>
    <x v="0"/>
    <x v="1"/>
    <x v="0"/>
    <x v="1"/>
    <x v="2"/>
    <n v="28"/>
    <x v="0"/>
  </r>
  <r>
    <d v="2025-02-28T00:00:00"/>
    <x v="3"/>
    <x v="2"/>
    <x v="2"/>
    <n v="265319.59999999998"/>
    <x v="3"/>
    <x v="2"/>
    <x v="2"/>
    <x v="3"/>
    <x v="0"/>
    <x v="1"/>
    <x v="0"/>
    <x v="1"/>
    <x v="2"/>
    <n v="28"/>
    <x v="0"/>
  </r>
  <r>
    <d v="2025-02-28T00:00:00"/>
    <x v="2"/>
    <x v="1"/>
    <x v="1"/>
    <n v="183626776.56"/>
    <x v="2"/>
    <x v="1"/>
    <x v="1"/>
    <x v="7"/>
    <x v="0"/>
    <x v="1"/>
    <x v="0"/>
    <x v="1"/>
    <x v="2"/>
    <n v="28"/>
    <x v="0"/>
  </r>
  <r>
    <d v="2025-02-28T00:00:00"/>
    <x v="1"/>
    <x v="0"/>
    <x v="0"/>
    <n v="56691082.719999999"/>
    <x v="1"/>
    <x v="0"/>
    <x v="0"/>
    <x v="8"/>
    <x v="0"/>
    <x v="1"/>
    <x v="0"/>
    <x v="1"/>
    <x v="2"/>
    <n v="28"/>
    <x v="0"/>
  </r>
  <r>
    <d v="2025-02-28T00:00:00"/>
    <x v="1"/>
    <x v="0"/>
    <x v="1"/>
    <n v="129710344.05"/>
    <x v="1"/>
    <x v="0"/>
    <x v="1"/>
    <x v="9"/>
    <x v="0"/>
    <x v="1"/>
    <x v="0"/>
    <x v="1"/>
    <x v="2"/>
    <n v="28"/>
    <x v="0"/>
  </r>
  <r>
    <d v="2025-02-28T00:00:00"/>
    <x v="3"/>
    <x v="3"/>
    <x v="0"/>
    <n v="3309265124.6999998"/>
    <x v="3"/>
    <x v="3"/>
    <x v="0"/>
    <x v="6"/>
    <x v="0"/>
    <x v="1"/>
    <x v="0"/>
    <x v="1"/>
    <x v="2"/>
    <n v="28"/>
    <x v="0"/>
  </r>
  <r>
    <d v="2025-02-28T00:00:00"/>
    <x v="3"/>
    <x v="1"/>
    <x v="0"/>
    <n v="17756442.890000001"/>
    <x v="3"/>
    <x v="1"/>
    <x v="0"/>
    <x v="10"/>
    <x v="0"/>
    <x v="1"/>
    <x v="0"/>
    <x v="1"/>
    <x v="2"/>
    <n v="28"/>
    <x v="0"/>
  </r>
  <r>
    <d v="2025-02-28T00:00:00"/>
    <x v="3"/>
    <x v="2"/>
    <x v="0"/>
    <n v="1132235393.9200001"/>
    <x v="3"/>
    <x v="2"/>
    <x v="0"/>
    <x v="11"/>
    <x v="0"/>
    <x v="1"/>
    <x v="0"/>
    <x v="1"/>
    <x v="2"/>
    <n v="28"/>
    <x v="0"/>
  </r>
  <r>
    <d v="2025-02-28T00:00:00"/>
    <x v="3"/>
    <x v="2"/>
    <x v="1"/>
    <n v="18170157881.279999"/>
    <x v="3"/>
    <x v="2"/>
    <x v="1"/>
    <x v="12"/>
    <x v="0"/>
    <x v="1"/>
    <x v="0"/>
    <x v="1"/>
    <x v="2"/>
    <n v="28"/>
    <x v="0"/>
  </r>
  <r>
    <d v="2025-02-27T00:00:00"/>
    <x v="0"/>
    <x v="0"/>
    <x v="0"/>
    <n v="20"/>
    <x v="0"/>
    <x v="0"/>
    <x v="0"/>
    <x v="0"/>
    <x v="0"/>
    <x v="1"/>
    <x v="0"/>
    <x v="1"/>
    <x v="2"/>
    <n v="27"/>
    <x v="0"/>
  </r>
  <r>
    <d v="2025-02-27T00:00:00"/>
    <x v="0"/>
    <x v="1"/>
    <x v="0"/>
    <n v="13468778.77"/>
    <x v="0"/>
    <x v="1"/>
    <x v="0"/>
    <x v="1"/>
    <x v="0"/>
    <x v="1"/>
    <x v="0"/>
    <x v="1"/>
    <x v="2"/>
    <n v="27"/>
    <x v="0"/>
  </r>
  <r>
    <d v="2025-02-27T00:00:00"/>
    <x v="3"/>
    <x v="2"/>
    <x v="2"/>
    <n v="156574.95000000001"/>
    <x v="3"/>
    <x v="2"/>
    <x v="2"/>
    <x v="6"/>
    <x v="0"/>
    <x v="1"/>
    <x v="0"/>
    <x v="1"/>
    <x v="2"/>
    <n v="27"/>
    <x v="0"/>
  </r>
  <r>
    <d v="2025-02-27T00:00:00"/>
    <x v="2"/>
    <x v="1"/>
    <x v="2"/>
    <n v="521906.12"/>
    <x v="2"/>
    <x v="1"/>
    <x v="2"/>
    <x v="7"/>
    <x v="0"/>
    <x v="1"/>
    <x v="0"/>
    <x v="1"/>
    <x v="2"/>
    <n v="27"/>
    <x v="0"/>
  </r>
  <r>
    <d v="2025-02-27T00:00:00"/>
    <x v="2"/>
    <x v="1"/>
    <x v="0"/>
    <n v="102830893.58"/>
    <x v="2"/>
    <x v="1"/>
    <x v="0"/>
    <x v="8"/>
    <x v="0"/>
    <x v="1"/>
    <x v="0"/>
    <x v="1"/>
    <x v="2"/>
    <n v="27"/>
    <x v="0"/>
  </r>
  <r>
    <d v="2025-02-27T00:00:00"/>
    <x v="3"/>
    <x v="3"/>
    <x v="0"/>
    <n v="2197395969.2800002"/>
    <x v="3"/>
    <x v="3"/>
    <x v="0"/>
    <x v="9"/>
    <x v="0"/>
    <x v="1"/>
    <x v="0"/>
    <x v="1"/>
    <x v="2"/>
    <n v="27"/>
    <x v="0"/>
  </r>
  <r>
    <d v="2025-02-27T00:00:00"/>
    <x v="0"/>
    <x v="0"/>
    <x v="1"/>
    <n v="15187093.85"/>
    <x v="0"/>
    <x v="0"/>
    <x v="1"/>
    <x v="2"/>
    <x v="0"/>
    <x v="1"/>
    <x v="0"/>
    <x v="1"/>
    <x v="2"/>
    <n v="27"/>
    <x v="0"/>
  </r>
  <r>
    <d v="2025-02-27T00:00:00"/>
    <x v="3"/>
    <x v="3"/>
    <x v="1"/>
    <n v="80493.42"/>
    <x v="3"/>
    <x v="3"/>
    <x v="1"/>
    <x v="3"/>
    <x v="0"/>
    <x v="1"/>
    <x v="0"/>
    <x v="1"/>
    <x v="2"/>
    <n v="27"/>
    <x v="0"/>
  </r>
  <r>
    <d v="2025-02-27T00:00:00"/>
    <x v="0"/>
    <x v="1"/>
    <x v="1"/>
    <n v="11396378.01"/>
    <x v="0"/>
    <x v="1"/>
    <x v="1"/>
    <x v="4"/>
    <x v="0"/>
    <x v="1"/>
    <x v="0"/>
    <x v="1"/>
    <x v="2"/>
    <n v="27"/>
    <x v="0"/>
  </r>
  <r>
    <d v="2025-02-27T00:00:00"/>
    <x v="1"/>
    <x v="1"/>
    <x v="0"/>
    <n v="507906.8"/>
    <x v="1"/>
    <x v="1"/>
    <x v="0"/>
    <x v="5"/>
    <x v="0"/>
    <x v="1"/>
    <x v="0"/>
    <x v="1"/>
    <x v="2"/>
    <n v="27"/>
    <x v="0"/>
  </r>
  <r>
    <d v="2025-02-27T00:00:00"/>
    <x v="2"/>
    <x v="1"/>
    <x v="1"/>
    <n v="658785079.95000005"/>
    <x v="2"/>
    <x v="1"/>
    <x v="1"/>
    <x v="10"/>
    <x v="0"/>
    <x v="1"/>
    <x v="0"/>
    <x v="1"/>
    <x v="2"/>
    <n v="27"/>
    <x v="0"/>
  </r>
  <r>
    <d v="2025-02-27T00:00:00"/>
    <x v="1"/>
    <x v="0"/>
    <x v="1"/>
    <n v="191907883.68000001"/>
    <x v="1"/>
    <x v="0"/>
    <x v="1"/>
    <x v="11"/>
    <x v="0"/>
    <x v="1"/>
    <x v="0"/>
    <x v="1"/>
    <x v="2"/>
    <n v="27"/>
    <x v="0"/>
  </r>
  <r>
    <d v="2025-02-27T00:00:00"/>
    <x v="1"/>
    <x v="0"/>
    <x v="0"/>
    <n v="56773762.810000002"/>
    <x v="1"/>
    <x v="0"/>
    <x v="0"/>
    <x v="12"/>
    <x v="0"/>
    <x v="1"/>
    <x v="0"/>
    <x v="1"/>
    <x v="2"/>
    <n v="27"/>
    <x v="0"/>
  </r>
  <r>
    <d v="2025-02-27T00:00:00"/>
    <x v="3"/>
    <x v="1"/>
    <x v="0"/>
    <n v="16261853.220000001"/>
    <x v="3"/>
    <x v="1"/>
    <x v="0"/>
    <x v="13"/>
    <x v="0"/>
    <x v="1"/>
    <x v="0"/>
    <x v="1"/>
    <x v="2"/>
    <n v="27"/>
    <x v="0"/>
  </r>
  <r>
    <d v="2025-02-27T00:00:00"/>
    <x v="3"/>
    <x v="2"/>
    <x v="0"/>
    <n v="594310106.00999999"/>
    <x v="3"/>
    <x v="2"/>
    <x v="0"/>
    <x v="14"/>
    <x v="0"/>
    <x v="1"/>
    <x v="0"/>
    <x v="1"/>
    <x v="2"/>
    <n v="27"/>
    <x v="0"/>
  </r>
  <r>
    <d v="2025-02-27T00:00:00"/>
    <x v="3"/>
    <x v="2"/>
    <x v="1"/>
    <n v="5770048823.3800001"/>
    <x v="3"/>
    <x v="2"/>
    <x v="1"/>
    <x v="15"/>
    <x v="0"/>
    <x v="1"/>
    <x v="0"/>
    <x v="1"/>
    <x v="2"/>
    <n v="27"/>
    <x v="0"/>
  </r>
  <r>
    <d v="2025-02-26T00:00:00"/>
    <x v="3"/>
    <x v="3"/>
    <x v="2"/>
    <n v="51.14"/>
    <x v="3"/>
    <x v="3"/>
    <x v="2"/>
    <x v="2"/>
    <x v="0"/>
    <x v="1"/>
    <x v="0"/>
    <x v="1"/>
    <x v="2"/>
    <n v="26"/>
    <x v="0"/>
  </r>
  <r>
    <d v="2025-02-26T00:00:00"/>
    <x v="2"/>
    <x v="1"/>
    <x v="2"/>
    <n v="32531.15"/>
    <x v="2"/>
    <x v="1"/>
    <x v="2"/>
    <x v="5"/>
    <x v="0"/>
    <x v="1"/>
    <x v="0"/>
    <x v="1"/>
    <x v="2"/>
    <n v="26"/>
    <x v="0"/>
  </r>
  <r>
    <d v="2025-02-26T00:00:00"/>
    <x v="1"/>
    <x v="1"/>
    <x v="0"/>
    <n v="224672.07"/>
    <x v="1"/>
    <x v="1"/>
    <x v="0"/>
    <x v="0"/>
    <x v="0"/>
    <x v="1"/>
    <x v="0"/>
    <x v="1"/>
    <x v="2"/>
    <n v="26"/>
    <x v="0"/>
  </r>
  <r>
    <d v="2025-02-26T00:00:00"/>
    <x v="0"/>
    <x v="1"/>
    <x v="0"/>
    <n v="5563578.2800000003"/>
    <x v="0"/>
    <x v="1"/>
    <x v="0"/>
    <x v="1"/>
    <x v="0"/>
    <x v="1"/>
    <x v="0"/>
    <x v="1"/>
    <x v="2"/>
    <n v="26"/>
    <x v="0"/>
  </r>
  <r>
    <d v="2025-02-26T00:00:00"/>
    <x v="3"/>
    <x v="2"/>
    <x v="2"/>
    <n v="370409"/>
    <x v="3"/>
    <x v="2"/>
    <x v="2"/>
    <x v="6"/>
    <x v="0"/>
    <x v="1"/>
    <x v="0"/>
    <x v="1"/>
    <x v="2"/>
    <n v="26"/>
    <x v="0"/>
  </r>
  <r>
    <d v="2025-02-26T00:00:00"/>
    <x v="2"/>
    <x v="1"/>
    <x v="0"/>
    <n v="711398849.21000004"/>
    <x v="2"/>
    <x v="1"/>
    <x v="0"/>
    <x v="7"/>
    <x v="0"/>
    <x v="1"/>
    <x v="0"/>
    <x v="1"/>
    <x v="2"/>
    <n v="26"/>
    <x v="0"/>
  </r>
  <r>
    <d v="2025-02-26T00:00:00"/>
    <x v="0"/>
    <x v="0"/>
    <x v="1"/>
    <n v="462380.64"/>
    <x v="0"/>
    <x v="0"/>
    <x v="1"/>
    <x v="3"/>
    <x v="0"/>
    <x v="1"/>
    <x v="0"/>
    <x v="1"/>
    <x v="2"/>
    <n v="26"/>
    <x v="0"/>
  </r>
  <r>
    <d v="2025-02-26T00:00:00"/>
    <x v="0"/>
    <x v="1"/>
    <x v="1"/>
    <n v="1826025.67"/>
    <x v="0"/>
    <x v="1"/>
    <x v="1"/>
    <x v="4"/>
    <x v="0"/>
    <x v="1"/>
    <x v="0"/>
    <x v="1"/>
    <x v="2"/>
    <n v="26"/>
    <x v="0"/>
  </r>
  <r>
    <d v="2025-02-26T00:00:00"/>
    <x v="3"/>
    <x v="3"/>
    <x v="0"/>
    <n v="2384309313.9200001"/>
    <x v="3"/>
    <x v="3"/>
    <x v="0"/>
    <x v="8"/>
    <x v="0"/>
    <x v="1"/>
    <x v="0"/>
    <x v="1"/>
    <x v="2"/>
    <n v="26"/>
    <x v="0"/>
  </r>
  <r>
    <d v="2025-02-26T00:00:00"/>
    <x v="1"/>
    <x v="0"/>
    <x v="1"/>
    <n v="677454796.70000005"/>
    <x v="1"/>
    <x v="0"/>
    <x v="1"/>
    <x v="10"/>
    <x v="0"/>
    <x v="1"/>
    <x v="0"/>
    <x v="1"/>
    <x v="2"/>
    <n v="26"/>
    <x v="0"/>
  </r>
  <r>
    <d v="2025-02-26T00:00:00"/>
    <x v="2"/>
    <x v="1"/>
    <x v="1"/>
    <n v="191868355.88999999"/>
    <x v="2"/>
    <x v="1"/>
    <x v="1"/>
    <x v="9"/>
    <x v="0"/>
    <x v="1"/>
    <x v="0"/>
    <x v="1"/>
    <x v="2"/>
    <n v="26"/>
    <x v="0"/>
  </r>
  <r>
    <d v="2025-02-26T00:00:00"/>
    <x v="1"/>
    <x v="0"/>
    <x v="0"/>
    <n v="99129837.670000002"/>
    <x v="1"/>
    <x v="0"/>
    <x v="0"/>
    <x v="11"/>
    <x v="0"/>
    <x v="1"/>
    <x v="0"/>
    <x v="1"/>
    <x v="2"/>
    <n v="26"/>
    <x v="0"/>
  </r>
  <r>
    <d v="2025-02-26T00:00:00"/>
    <x v="3"/>
    <x v="1"/>
    <x v="0"/>
    <n v="16560084.73"/>
    <x v="3"/>
    <x v="1"/>
    <x v="0"/>
    <x v="12"/>
    <x v="0"/>
    <x v="1"/>
    <x v="0"/>
    <x v="1"/>
    <x v="2"/>
    <n v="26"/>
    <x v="0"/>
  </r>
  <r>
    <d v="2025-02-26T00:00:00"/>
    <x v="3"/>
    <x v="2"/>
    <x v="0"/>
    <n v="870337526.34000003"/>
    <x v="3"/>
    <x v="2"/>
    <x v="0"/>
    <x v="13"/>
    <x v="0"/>
    <x v="1"/>
    <x v="0"/>
    <x v="1"/>
    <x v="2"/>
    <n v="26"/>
    <x v="0"/>
  </r>
  <r>
    <d v="2025-02-26T00:00:00"/>
    <x v="3"/>
    <x v="2"/>
    <x v="1"/>
    <n v="14534898969.26"/>
    <x v="3"/>
    <x v="2"/>
    <x v="1"/>
    <x v="14"/>
    <x v="0"/>
    <x v="1"/>
    <x v="0"/>
    <x v="1"/>
    <x v="2"/>
    <n v="26"/>
    <x v="0"/>
  </r>
  <r>
    <d v="2025-02-25T00:00:00"/>
    <x v="3"/>
    <x v="2"/>
    <x v="2"/>
    <n v="526540"/>
    <x v="3"/>
    <x v="2"/>
    <x v="2"/>
    <x v="3"/>
    <x v="0"/>
    <x v="1"/>
    <x v="0"/>
    <x v="1"/>
    <x v="2"/>
    <n v="25"/>
    <x v="0"/>
  </r>
  <r>
    <d v="2025-02-25T00:00:00"/>
    <x v="0"/>
    <x v="0"/>
    <x v="0"/>
    <n v="-442.77"/>
    <x v="0"/>
    <x v="0"/>
    <x v="0"/>
    <x v="0"/>
    <x v="0"/>
    <x v="1"/>
    <x v="0"/>
    <x v="1"/>
    <x v="2"/>
    <n v="25"/>
    <x v="1"/>
  </r>
  <r>
    <d v="2025-02-25T00:00:00"/>
    <x v="1"/>
    <x v="1"/>
    <x v="0"/>
    <n v="629225.92000000004"/>
    <x v="1"/>
    <x v="1"/>
    <x v="0"/>
    <x v="1"/>
    <x v="0"/>
    <x v="1"/>
    <x v="0"/>
    <x v="1"/>
    <x v="2"/>
    <n v="25"/>
    <x v="0"/>
  </r>
  <r>
    <d v="2025-02-25T00:00:00"/>
    <x v="0"/>
    <x v="1"/>
    <x v="0"/>
    <n v="33214781.16"/>
    <x v="0"/>
    <x v="1"/>
    <x v="0"/>
    <x v="2"/>
    <x v="0"/>
    <x v="1"/>
    <x v="0"/>
    <x v="1"/>
    <x v="2"/>
    <n v="25"/>
    <x v="0"/>
  </r>
  <r>
    <d v="2025-02-25T00:00:00"/>
    <x v="2"/>
    <x v="1"/>
    <x v="0"/>
    <n v="152977451.05000001"/>
    <x v="2"/>
    <x v="1"/>
    <x v="0"/>
    <x v="7"/>
    <x v="0"/>
    <x v="1"/>
    <x v="0"/>
    <x v="1"/>
    <x v="2"/>
    <n v="25"/>
    <x v="0"/>
  </r>
  <r>
    <d v="2025-02-25T00:00:00"/>
    <x v="3"/>
    <x v="3"/>
    <x v="1"/>
    <n v="483795.12"/>
    <x v="3"/>
    <x v="3"/>
    <x v="1"/>
    <x v="4"/>
    <x v="0"/>
    <x v="1"/>
    <x v="0"/>
    <x v="1"/>
    <x v="2"/>
    <n v="25"/>
    <x v="0"/>
  </r>
  <r>
    <d v="2025-02-25T00:00:00"/>
    <x v="0"/>
    <x v="1"/>
    <x v="1"/>
    <n v="15625916.949999999"/>
    <x v="0"/>
    <x v="1"/>
    <x v="1"/>
    <x v="5"/>
    <x v="0"/>
    <x v="1"/>
    <x v="0"/>
    <x v="1"/>
    <x v="2"/>
    <n v="25"/>
    <x v="0"/>
  </r>
  <r>
    <d v="2025-02-25T00:00:00"/>
    <x v="2"/>
    <x v="1"/>
    <x v="2"/>
    <n v="547768.43000000005"/>
    <x v="2"/>
    <x v="1"/>
    <x v="2"/>
    <x v="6"/>
    <x v="0"/>
    <x v="1"/>
    <x v="0"/>
    <x v="1"/>
    <x v="2"/>
    <n v="25"/>
    <x v="0"/>
  </r>
  <r>
    <d v="2025-02-25T00:00:00"/>
    <x v="2"/>
    <x v="1"/>
    <x v="1"/>
    <n v="100723050.43000001"/>
    <x v="2"/>
    <x v="1"/>
    <x v="1"/>
    <x v="9"/>
    <x v="0"/>
    <x v="1"/>
    <x v="0"/>
    <x v="1"/>
    <x v="2"/>
    <n v="25"/>
    <x v="0"/>
  </r>
  <r>
    <d v="2025-02-25T00:00:00"/>
    <x v="1"/>
    <x v="0"/>
    <x v="1"/>
    <n v="183416839.31"/>
    <x v="1"/>
    <x v="0"/>
    <x v="1"/>
    <x v="11"/>
    <x v="0"/>
    <x v="1"/>
    <x v="0"/>
    <x v="1"/>
    <x v="2"/>
    <n v="25"/>
    <x v="0"/>
  </r>
  <r>
    <d v="2025-02-25T00:00:00"/>
    <x v="3"/>
    <x v="3"/>
    <x v="0"/>
    <n v="2592377931.8499999"/>
    <x v="3"/>
    <x v="3"/>
    <x v="0"/>
    <x v="8"/>
    <x v="0"/>
    <x v="1"/>
    <x v="0"/>
    <x v="1"/>
    <x v="2"/>
    <n v="25"/>
    <x v="0"/>
  </r>
  <r>
    <d v="2025-02-25T00:00:00"/>
    <x v="1"/>
    <x v="0"/>
    <x v="0"/>
    <n v="87755787.969999999"/>
    <x v="1"/>
    <x v="0"/>
    <x v="0"/>
    <x v="10"/>
    <x v="0"/>
    <x v="1"/>
    <x v="0"/>
    <x v="1"/>
    <x v="2"/>
    <n v="25"/>
    <x v="0"/>
  </r>
  <r>
    <d v="2025-02-25T00:00:00"/>
    <x v="3"/>
    <x v="1"/>
    <x v="0"/>
    <n v="14332582.289999999"/>
    <x v="3"/>
    <x v="1"/>
    <x v="0"/>
    <x v="12"/>
    <x v="0"/>
    <x v="1"/>
    <x v="0"/>
    <x v="1"/>
    <x v="2"/>
    <n v="25"/>
    <x v="0"/>
  </r>
  <r>
    <d v="2025-02-25T00:00:00"/>
    <x v="3"/>
    <x v="2"/>
    <x v="0"/>
    <n v="6799545435.1000004"/>
    <x v="3"/>
    <x v="2"/>
    <x v="0"/>
    <x v="13"/>
    <x v="0"/>
    <x v="1"/>
    <x v="0"/>
    <x v="1"/>
    <x v="2"/>
    <n v="25"/>
    <x v="0"/>
  </r>
  <r>
    <d v="2025-02-25T00:00:00"/>
    <x v="3"/>
    <x v="2"/>
    <x v="1"/>
    <n v="4445087222.2399998"/>
    <x v="3"/>
    <x v="2"/>
    <x v="1"/>
    <x v="14"/>
    <x v="0"/>
    <x v="1"/>
    <x v="0"/>
    <x v="1"/>
    <x v="2"/>
    <n v="25"/>
    <x v="0"/>
  </r>
  <r>
    <d v="2025-02-24T00:00:00"/>
    <x v="2"/>
    <x v="1"/>
    <x v="2"/>
    <n v="39066.550000000003"/>
    <x v="2"/>
    <x v="1"/>
    <x v="2"/>
    <x v="4"/>
    <x v="0"/>
    <x v="1"/>
    <x v="0"/>
    <x v="1"/>
    <x v="2"/>
    <n v="24"/>
    <x v="0"/>
  </r>
  <r>
    <d v="2025-02-24T00:00:00"/>
    <x v="1"/>
    <x v="1"/>
    <x v="0"/>
    <n v="264007.59999999998"/>
    <x v="1"/>
    <x v="1"/>
    <x v="0"/>
    <x v="0"/>
    <x v="0"/>
    <x v="1"/>
    <x v="0"/>
    <x v="1"/>
    <x v="2"/>
    <n v="24"/>
    <x v="0"/>
  </r>
  <r>
    <d v="2025-02-24T00:00:00"/>
    <x v="0"/>
    <x v="1"/>
    <x v="0"/>
    <n v="14448896.18"/>
    <x v="0"/>
    <x v="1"/>
    <x v="0"/>
    <x v="1"/>
    <x v="0"/>
    <x v="1"/>
    <x v="0"/>
    <x v="1"/>
    <x v="2"/>
    <n v="24"/>
    <x v="0"/>
  </r>
  <r>
    <d v="2025-02-24T00:00:00"/>
    <x v="3"/>
    <x v="2"/>
    <x v="2"/>
    <n v="315056.44"/>
    <x v="3"/>
    <x v="2"/>
    <x v="2"/>
    <x v="5"/>
    <x v="0"/>
    <x v="1"/>
    <x v="0"/>
    <x v="1"/>
    <x v="2"/>
    <n v="24"/>
    <x v="0"/>
  </r>
  <r>
    <d v="2025-02-24T00:00:00"/>
    <x v="3"/>
    <x v="3"/>
    <x v="1"/>
    <n v="2797248.52"/>
    <x v="3"/>
    <x v="3"/>
    <x v="1"/>
    <x v="2"/>
    <x v="0"/>
    <x v="1"/>
    <x v="0"/>
    <x v="1"/>
    <x v="2"/>
    <n v="24"/>
    <x v="0"/>
  </r>
  <r>
    <d v="2025-02-24T00:00:00"/>
    <x v="0"/>
    <x v="1"/>
    <x v="1"/>
    <n v="-395696.48"/>
    <x v="0"/>
    <x v="1"/>
    <x v="1"/>
    <x v="3"/>
    <x v="0"/>
    <x v="1"/>
    <x v="0"/>
    <x v="1"/>
    <x v="2"/>
    <n v="24"/>
    <x v="1"/>
  </r>
  <r>
    <d v="2025-02-24T00:00:00"/>
    <x v="2"/>
    <x v="1"/>
    <x v="0"/>
    <n v="92612361.489999995"/>
    <x v="2"/>
    <x v="1"/>
    <x v="0"/>
    <x v="6"/>
    <x v="0"/>
    <x v="1"/>
    <x v="0"/>
    <x v="1"/>
    <x v="2"/>
    <n v="24"/>
    <x v="0"/>
  </r>
  <r>
    <d v="2025-02-24T00:00:00"/>
    <x v="3"/>
    <x v="3"/>
    <x v="0"/>
    <n v="1814758314.1900001"/>
    <x v="3"/>
    <x v="3"/>
    <x v="0"/>
    <x v="7"/>
    <x v="0"/>
    <x v="1"/>
    <x v="0"/>
    <x v="1"/>
    <x v="2"/>
    <n v="24"/>
    <x v="0"/>
  </r>
  <r>
    <d v="2025-02-24T00:00:00"/>
    <x v="2"/>
    <x v="1"/>
    <x v="1"/>
    <n v="206592623.80000001"/>
    <x v="2"/>
    <x v="1"/>
    <x v="1"/>
    <x v="8"/>
    <x v="0"/>
    <x v="1"/>
    <x v="0"/>
    <x v="1"/>
    <x v="2"/>
    <n v="24"/>
    <x v="0"/>
  </r>
  <r>
    <d v="2025-02-24T00:00:00"/>
    <x v="1"/>
    <x v="0"/>
    <x v="0"/>
    <n v="50369939.5"/>
    <x v="1"/>
    <x v="0"/>
    <x v="0"/>
    <x v="9"/>
    <x v="0"/>
    <x v="1"/>
    <x v="0"/>
    <x v="1"/>
    <x v="2"/>
    <n v="24"/>
    <x v="0"/>
  </r>
  <r>
    <d v="2025-02-24T00:00:00"/>
    <x v="1"/>
    <x v="0"/>
    <x v="1"/>
    <n v="126191173.75"/>
    <x v="1"/>
    <x v="0"/>
    <x v="1"/>
    <x v="10"/>
    <x v="0"/>
    <x v="1"/>
    <x v="0"/>
    <x v="1"/>
    <x v="2"/>
    <n v="24"/>
    <x v="0"/>
  </r>
  <r>
    <d v="2025-02-24T00:00:00"/>
    <x v="3"/>
    <x v="1"/>
    <x v="0"/>
    <n v="50906237"/>
    <x v="3"/>
    <x v="1"/>
    <x v="0"/>
    <x v="11"/>
    <x v="0"/>
    <x v="1"/>
    <x v="0"/>
    <x v="1"/>
    <x v="2"/>
    <n v="24"/>
    <x v="0"/>
  </r>
  <r>
    <d v="2025-02-24T00:00:00"/>
    <x v="3"/>
    <x v="2"/>
    <x v="0"/>
    <n v="665997637.25"/>
    <x v="3"/>
    <x v="2"/>
    <x v="0"/>
    <x v="12"/>
    <x v="0"/>
    <x v="1"/>
    <x v="0"/>
    <x v="1"/>
    <x v="2"/>
    <n v="24"/>
    <x v="0"/>
  </r>
  <r>
    <d v="2025-02-24T00:00:00"/>
    <x v="3"/>
    <x v="2"/>
    <x v="1"/>
    <n v="30060214427.310001"/>
    <x v="3"/>
    <x v="2"/>
    <x v="1"/>
    <x v="13"/>
    <x v="0"/>
    <x v="1"/>
    <x v="0"/>
    <x v="1"/>
    <x v="2"/>
    <n v="24"/>
    <x v="0"/>
  </r>
  <r>
    <d v="2025-02-21T00:00:00"/>
    <x v="0"/>
    <x v="1"/>
    <x v="0"/>
    <n v="6662881.9500000002"/>
    <x v="0"/>
    <x v="1"/>
    <x v="0"/>
    <x v="2"/>
    <x v="0"/>
    <x v="1"/>
    <x v="0"/>
    <x v="1"/>
    <x v="2"/>
    <n v="21"/>
    <x v="0"/>
  </r>
  <r>
    <d v="2025-02-21T00:00:00"/>
    <x v="1"/>
    <x v="1"/>
    <x v="0"/>
    <n v="918805.03"/>
    <x v="1"/>
    <x v="1"/>
    <x v="0"/>
    <x v="1"/>
    <x v="0"/>
    <x v="1"/>
    <x v="0"/>
    <x v="1"/>
    <x v="2"/>
    <n v="21"/>
    <x v="0"/>
  </r>
  <r>
    <d v="2025-02-21T00:00:00"/>
    <x v="0"/>
    <x v="0"/>
    <x v="0"/>
    <n v="80"/>
    <x v="0"/>
    <x v="0"/>
    <x v="0"/>
    <x v="0"/>
    <x v="0"/>
    <x v="1"/>
    <x v="0"/>
    <x v="1"/>
    <x v="2"/>
    <n v="21"/>
    <x v="0"/>
  </r>
  <r>
    <d v="2025-02-21T00:00:00"/>
    <x v="3"/>
    <x v="2"/>
    <x v="2"/>
    <n v="503530.84"/>
    <x v="3"/>
    <x v="2"/>
    <x v="2"/>
    <x v="6"/>
    <x v="0"/>
    <x v="1"/>
    <x v="0"/>
    <x v="1"/>
    <x v="2"/>
    <n v="21"/>
    <x v="0"/>
  </r>
  <r>
    <d v="2025-02-21T00:00:00"/>
    <x v="3"/>
    <x v="3"/>
    <x v="0"/>
    <n v="2016685873.1800001"/>
    <x v="3"/>
    <x v="3"/>
    <x v="0"/>
    <x v="7"/>
    <x v="0"/>
    <x v="1"/>
    <x v="0"/>
    <x v="1"/>
    <x v="2"/>
    <n v="21"/>
    <x v="0"/>
  </r>
  <r>
    <d v="2025-02-21T00:00:00"/>
    <x v="2"/>
    <x v="1"/>
    <x v="0"/>
    <n v="87847879.689999998"/>
    <x v="2"/>
    <x v="1"/>
    <x v="0"/>
    <x v="8"/>
    <x v="0"/>
    <x v="1"/>
    <x v="0"/>
    <x v="1"/>
    <x v="2"/>
    <n v="21"/>
    <x v="0"/>
  </r>
  <r>
    <d v="2025-02-21T00:00:00"/>
    <x v="3"/>
    <x v="3"/>
    <x v="1"/>
    <n v="10623.14"/>
    <x v="3"/>
    <x v="3"/>
    <x v="1"/>
    <x v="3"/>
    <x v="0"/>
    <x v="1"/>
    <x v="0"/>
    <x v="1"/>
    <x v="2"/>
    <n v="21"/>
    <x v="0"/>
  </r>
  <r>
    <d v="2025-02-21T00:00:00"/>
    <x v="0"/>
    <x v="1"/>
    <x v="1"/>
    <n v="20772847.25"/>
    <x v="0"/>
    <x v="1"/>
    <x v="1"/>
    <x v="4"/>
    <x v="0"/>
    <x v="1"/>
    <x v="0"/>
    <x v="1"/>
    <x v="2"/>
    <n v="21"/>
    <x v="0"/>
  </r>
  <r>
    <d v="2025-02-21T00:00:00"/>
    <x v="2"/>
    <x v="1"/>
    <x v="2"/>
    <n v="28336.34"/>
    <x v="2"/>
    <x v="1"/>
    <x v="2"/>
    <x v="5"/>
    <x v="0"/>
    <x v="1"/>
    <x v="0"/>
    <x v="1"/>
    <x v="2"/>
    <n v="21"/>
    <x v="0"/>
  </r>
  <r>
    <d v="2025-02-21T00:00:00"/>
    <x v="2"/>
    <x v="1"/>
    <x v="1"/>
    <n v="175943721.69999999"/>
    <x v="2"/>
    <x v="1"/>
    <x v="1"/>
    <x v="9"/>
    <x v="0"/>
    <x v="1"/>
    <x v="0"/>
    <x v="1"/>
    <x v="2"/>
    <n v="21"/>
    <x v="0"/>
  </r>
  <r>
    <d v="2025-02-21T00:00:00"/>
    <x v="1"/>
    <x v="0"/>
    <x v="0"/>
    <n v="83993671.939999998"/>
    <x v="1"/>
    <x v="0"/>
    <x v="0"/>
    <x v="10"/>
    <x v="0"/>
    <x v="1"/>
    <x v="0"/>
    <x v="1"/>
    <x v="2"/>
    <n v="21"/>
    <x v="0"/>
  </r>
  <r>
    <d v="2025-02-21T00:00:00"/>
    <x v="1"/>
    <x v="0"/>
    <x v="1"/>
    <n v="154256258.27000001"/>
    <x v="1"/>
    <x v="0"/>
    <x v="1"/>
    <x v="11"/>
    <x v="0"/>
    <x v="1"/>
    <x v="0"/>
    <x v="1"/>
    <x v="2"/>
    <n v="21"/>
    <x v="0"/>
  </r>
  <r>
    <d v="2025-02-21T00:00:00"/>
    <x v="3"/>
    <x v="1"/>
    <x v="0"/>
    <n v="14509417.91"/>
    <x v="3"/>
    <x v="1"/>
    <x v="0"/>
    <x v="12"/>
    <x v="0"/>
    <x v="1"/>
    <x v="0"/>
    <x v="1"/>
    <x v="2"/>
    <n v="21"/>
    <x v="0"/>
  </r>
  <r>
    <d v="2025-02-21T00:00:00"/>
    <x v="3"/>
    <x v="2"/>
    <x v="0"/>
    <n v="592221006.50999999"/>
    <x v="3"/>
    <x v="2"/>
    <x v="0"/>
    <x v="13"/>
    <x v="0"/>
    <x v="1"/>
    <x v="0"/>
    <x v="1"/>
    <x v="2"/>
    <n v="21"/>
    <x v="0"/>
  </r>
  <r>
    <d v="2025-02-21T00:00:00"/>
    <x v="3"/>
    <x v="2"/>
    <x v="1"/>
    <n v="10994116213.01"/>
    <x v="3"/>
    <x v="2"/>
    <x v="1"/>
    <x v="14"/>
    <x v="0"/>
    <x v="1"/>
    <x v="0"/>
    <x v="1"/>
    <x v="2"/>
    <n v="21"/>
    <x v="0"/>
  </r>
  <r>
    <d v="2025-02-20T00:00:00"/>
    <x v="1"/>
    <x v="1"/>
    <x v="0"/>
    <n v="163927.97"/>
    <x v="1"/>
    <x v="1"/>
    <x v="0"/>
    <x v="1"/>
    <x v="0"/>
    <x v="1"/>
    <x v="0"/>
    <x v="1"/>
    <x v="2"/>
    <n v="20"/>
    <x v="0"/>
  </r>
  <r>
    <d v="2025-02-20T00:00:00"/>
    <x v="0"/>
    <x v="0"/>
    <x v="0"/>
    <n v="2466.4699999999998"/>
    <x v="0"/>
    <x v="0"/>
    <x v="0"/>
    <x v="0"/>
    <x v="0"/>
    <x v="1"/>
    <x v="0"/>
    <x v="1"/>
    <x v="2"/>
    <n v="20"/>
    <x v="0"/>
  </r>
  <r>
    <d v="2025-02-20T00:00:00"/>
    <x v="0"/>
    <x v="1"/>
    <x v="0"/>
    <n v="11481802.789999999"/>
    <x v="0"/>
    <x v="1"/>
    <x v="0"/>
    <x v="2"/>
    <x v="0"/>
    <x v="1"/>
    <x v="0"/>
    <x v="1"/>
    <x v="2"/>
    <n v="20"/>
    <x v="0"/>
  </r>
  <r>
    <d v="2025-02-20T00:00:00"/>
    <x v="3"/>
    <x v="2"/>
    <x v="2"/>
    <n v="212482.21"/>
    <x v="3"/>
    <x v="2"/>
    <x v="2"/>
    <x v="5"/>
    <x v="0"/>
    <x v="1"/>
    <x v="0"/>
    <x v="1"/>
    <x v="2"/>
    <n v="20"/>
    <x v="0"/>
  </r>
  <r>
    <d v="2025-02-20T00:00:00"/>
    <x v="0"/>
    <x v="1"/>
    <x v="1"/>
    <n v="-740821.65"/>
    <x v="0"/>
    <x v="1"/>
    <x v="1"/>
    <x v="3"/>
    <x v="0"/>
    <x v="1"/>
    <x v="0"/>
    <x v="1"/>
    <x v="2"/>
    <n v="20"/>
    <x v="1"/>
  </r>
  <r>
    <d v="2025-02-20T00:00:00"/>
    <x v="2"/>
    <x v="1"/>
    <x v="0"/>
    <n v="58048841.93"/>
    <x v="2"/>
    <x v="1"/>
    <x v="0"/>
    <x v="6"/>
    <x v="0"/>
    <x v="1"/>
    <x v="0"/>
    <x v="1"/>
    <x v="2"/>
    <n v="20"/>
    <x v="0"/>
  </r>
  <r>
    <d v="2025-02-20T00:00:00"/>
    <x v="2"/>
    <x v="1"/>
    <x v="2"/>
    <n v="51560"/>
    <x v="2"/>
    <x v="1"/>
    <x v="2"/>
    <x v="4"/>
    <x v="0"/>
    <x v="1"/>
    <x v="0"/>
    <x v="1"/>
    <x v="2"/>
    <n v="20"/>
    <x v="0"/>
  </r>
  <r>
    <d v="2025-02-20T00:00:00"/>
    <x v="3"/>
    <x v="3"/>
    <x v="0"/>
    <n v="1911389448.9400001"/>
    <x v="3"/>
    <x v="3"/>
    <x v="0"/>
    <x v="7"/>
    <x v="0"/>
    <x v="1"/>
    <x v="0"/>
    <x v="1"/>
    <x v="2"/>
    <n v="20"/>
    <x v="0"/>
  </r>
  <r>
    <d v="2025-02-20T00:00:00"/>
    <x v="2"/>
    <x v="1"/>
    <x v="1"/>
    <n v="109802916.84999999"/>
    <x v="2"/>
    <x v="1"/>
    <x v="1"/>
    <x v="8"/>
    <x v="0"/>
    <x v="1"/>
    <x v="0"/>
    <x v="1"/>
    <x v="2"/>
    <n v="20"/>
    <x v="0"/>
  </r>
  <r>
    <d v="2025-02-20T00:00:00"/>
    <x v="1"/>
    <x v="0"/>
    <x v="1"/>
    <n v="879016378.44000006"/>
    <x v="1"/>
    <x v="0"/>
    <x v="1"/>
    <x v="9"/>
    <x v="0"/>
    <x v="1"/>
    <x v="0"/>
    <x v="1"/>
    <x v="2"/>
    <n v="20"/>
    <x v="0"/>
  </r>
  <r>
    <d v="2025-02-20T00:00:00"/>
    <x v="1"/>
    <x v="0"/>
    <x v="0"/>
    <n v="114351954.7"/>
    <x v="1"/>
    <x v="0"/>
    <x v="0"/>
    <x v="10"/>
    <x v="0"/>
    <x v="1"/>
    <x v="0"/>
    <x v="1"/>
    <x v="2"/>
    <n v="20"/>
    <x v="0"/>
  </r>
  <r>
    <d v="2025-02-20T00:00:00"/>
    <x v="3"/>
    <x v="1"/>
    <x v="0"/>
    <n v="14658287.42"/>
    <x v="3"/>
    <x v="1"/>
    <x v="0"/>
    <x v="11"/>
    <x v="0"/>
    <x v="1"/>
    <x v="0"/>
    <x v="1"/>
    <x v="2"/>
    <n v="20"/>
    <x v="0"/>
  </r>
  <r>
    <d v="2025-02-20T00:00:00"/>
    <x v="3"/>
    <x v="2"/>
    <x v="0"/>
    <n v="893505752.46000004"/>
    <x v="3"/>
    <x v="2"/>
    <x v="0"/>
    <x v="12"/>
    <x v="0"/>
    <x v="1"/>
    <x v="0"/>
    <x v="1"/>
    <x v="2"/>
    <n v="20"/>
    <x v="0"/>
  </r>
  <r>
    <d v="2025-02-20T00:00:00"/>
    <x v="3"/>
    <x v="2"/>
    <x v="1"/>
    <n v="18924925571.360001"/>
    <x v="3"/>
    <x v="2"/>
    <x v="1"/>
    <x v="13"/>
    <x v="0"/>
    <x v="1"/>
    <x v="0"/>
    <x v="1"/>
    <x v="2"/>
    <n v="20"/>
    <x v="0"/>
  </r>
  <r>
    <d v="2025-02-19T00:00:00"/>
    <x v="3"/>
    <x v="3"/>
    <x v="2"/>
    <n v="29"/>
    <x v="3"/>
    <x v="3"/>
    <x v="2"/>
    <x v="2"/>
    <x v="0"/>
    <x v="1"/>
    <x v="0"/>
    <x v="1"/>
    <x v="2"/>
    <n v="19"/>
    <x v="0"/>
  </r>
  <r>
    <d v="2025-02-19T00:00:00"/>
    <x v="1"/>
    <x v="1"/>
    <x v="0"/>
    <n v="-100010"/>
    <x v="1"/>
    <x v="1"/>
    <x v="0"/>
    <x v="5"/>
    <x v="0"/>
    <x v="1"/>
    <x v="0"/>
    <x v="1"/>
    <x v="2"/>
    <n v="19"/>
    <x v="1"/>
  </r>
  <r>
    <d v="2025-02-19T00:00:00"/>
    <x v="0"/>
    <x v="0"/>
    <x v="0"/>
    <n v="1251.94"/>
    <x v="0"/>
    <x v="0"/>
    <x v="0"/>
    <x v="0"/>
    <x v="0"/>
    <x v="1"/>
    <x v="0"/>
    <x v="1"/>
    <x v="2"/>
    <n v="19"/>
    <x v="0"/>
  </r>
  <r>
    <d v="2025-02-19T00:00:00"/>
    <x v="0"/>
    <x v="1"/>
    <x v="0"/>
    <n v="24804356.170000002"/>
    <x v="0"/>
    <x v="1"/>
    <x v="0"/>
    <x v="1"/>
    <x v="0"/>
    <x v="1"/>
    <x v="0"/>
    <x v="1"/>
    <x v="2"/>
    <n v="19"/>
    <x v="0"/>
  </r>
  <r>
    <d v="2025-02-19T00:00:00"/>
    <x v="3"/>
    <x v="2"/>
    <x v="2"/>
    <n v="756637.39"/>
    <x v="3"/>
    <x v="2"/>
    <x v="2"/>
    <x v="7"/>
    <x v="0"/>
    <x v="1"/>
    <x v="0"/>
    <x v="1"/>
    <x v="2"/>
    <n v="19"/>
    <x v="0"/>
  </r>
  <r>
    <d v="2025-02-19T00:00:00"/>
    <x v="3"/>
    <x v="3"/>
    <x v="1"/>
    <n v="0.02"/>
    <x v="3"/>
    <x v="3"/>
    <x v="1"/>
    <x v="3"/>
    <x v="0"/>
    <x v="1"/>
    <x v="0"/>
    <x v="1"/>
    <x v="2"/>
    <n v="19"/>
    <x v="0"/>
  </r>
  <r>
    <d v="2025-02-19T00:00:00"/>
    <x v="0"/>
    <x v="1"/>
    <x v="1"/>
    <n v="6989570.8099999996"/>
    <x v="0"/>
    <x v="1"/>
    <x v="1"/>
    <x v="4"/>
    <x v="0"/>
    <x v="1"/>
    <x v="0"/>
    <x v="1"/>
    <x v="2"/>
    <n v="19"/>
    <x v="0"/>
  </r>
  <r>
    <d v="2025-02-19T00:00:00"/>
    <x v="2"/>
    <x v="1"/>
    <x v="0"/>
    <n v="89037185.769999996"/>
    <x v="2"/>
    <x v="1"/>
    <x v="0"/>
    <x v="8"/>
    <x v="0"/>
    <x v="1"/>
    <x v="0"/>
    <x v="1"/>
    <x v="2"/>
    <n v="19"/>
    <x v="0"/>
  </r>
  <r>
    <d v="2025-02-19T00:00:00"/>
    <x v="2"/>
    <x v="1"/>
    <x v="1"/>
    <n v="113877144.09"/>
    <x v="2"/>
    <x v="1"/>
    <x v="1"/>
    <x v="9"/>
    <x v="0"/>
    <x v="1"/>
    <x v="0"/>
    <x v="1"/>
    <x v="2"/>
    <n v="19"/>
    <x v="0"/>
  </r>
  <r>
    <d v="2025-02-19T00:00:00"/>
    <x v="2"/>
    <x v="1"/>
    <x v="2"/>
    <n v="65373.03"/>
    <x v="2"/>
    <x v="1"/>
    <x v="2"/>
    <x v="6"/>
    <x v="0"/>
    <x v="1"/>
    <x v="0"/>
    <x v="1"/>
    <x v="2"/>
    <n v="19"/>
    <x v="0"/>
  </r>
  <r>
    <d v="2025-02-19T00:00:00"/>
    <x v="3"/>
    <x v="3"/>
    <x v="0"/>
    <n v="2116252695.29"/>
    <x v="3"/>
    <x v="3"/>
    <x v="0"/>
    <x v="10"/>
    <x v="0"/>
    <x v="1"/>
    <x v="0"/>
    <x v="1"/>
    <x v="2"/>
    <n v="19"/>
    <x v="0"/>
  </r>
  <r>
    <d v="2025-02-19T00:00:00"/>
    <x v="1"/>
    <x v="0"/>
    <x v="1"/>
    <n v="238275787.62"/>
    <x v="1"/>
    <x v="0"/>
    <x v="1"/>
    <x v="11"/>
    <x v="0"/>
    <x v="1"/>
    <x v="0"/>
    <x v="1"/>
    <x v="2"/>
    <n v="19"/>
    <x v="0"/>
  </r>
  <r>
    <d v="2025-02-19T00:00:00"/>
    <x v="1"/>
    <x v="0"/>
    <x v="0"/>
    <n v="114797492.45999999"/>
    <x v="1"/>
    <x v="0"/>
    <x v="0"/>
    <x v="12"/>
    <x v="0"/>
    <x v="1"/>
    <x v="0"/>
    <x v="1"/>
    <x v="2"/>
    <n v="19"/>
    <x v="0"/>
  </r>
  <r>
    <d v="2025-02-19T00:00:00"/>
    <x v="3"/>
    <x v="1"/>
    <x v="0"/>
    <n v="17680806.23"/>
    <x v="3"/>
    <x v="1"/>
    <x v="0"/>
    <x v="13"/>
    <x v="0"/>
    <x v="1"/>
    <x v="0"/>
    <x v="1"/>
    <x v="2"/>
    <n v="19"/>
    <x v="0"/>
  </r>
  <r>
    <d v="2025-02-19T00:00:00"/>
    <x v="3"/>
    <x v="2"/>
    <x v="0"/>
    <n v="884636442.45000005"/>
    <x v="3"/>
    <x v="2"/>
    <x v="0"/>
    <x v="14"/>
    <x v="0"/>
    <x v="1"/>
    <x v="0"/>
    <x v="1"/>
    <x v="2"/>
    <n v="19"/>
    <x v="0"/>
  </r>
  <r>
    <d v="2025-02-19T00:00:00"/>
    <x v="3"/>
    <x v="2"/>
    <x v="1"/>
    <n v="8871318063.3999996"/>
    <x v="3"/>
    <x v="2"/>
    <x v="1"/>
    <x v="15"/>
    <x v="0"/>
    <x v="1"/>
    <x v="0"/>
    <x v="1"/>
    <x v="2"/>
    <n v="19"/>
    <x v="0"/>
  </r>
  <r>
    <d v="2025-02-18T00:00:00"/>
    <x v="3"/>
    <x v="3"/>
    <x v="2"/>
    <n v="1593.65"/>
    <x v="3"/>
    <x v="3"/>
    <x v="2"/>
    <x v="2"/>
    <x v="0"/>
    <x v="1"/>
    <x v="0"/>
    <x v="1"/>
    <x v="2"/>
    <n v="18"/>
    <x v="0"/>
  </r>
  <r>
    <d v="2025-02-18T00:00:00"/>
    <x v="2"/>
    <x v="1"/>
    <x v="2"/>
    <n v="221041.38"/>
    <x v="2"/>
    <x v="1"/>
    <x v="2"/>
    <x v="3"/>
    <x v="0"/>
    <x v="1"/>
    <x v="0"/>
    <x v="1"/>
    <x v="2"/>
    <n v="18"/>
    <x v="0"/>
  </r>
  <r>
    <d v="2025-02-18T00:00:00"/>
    <x v="3"/>
    <x v="2"/>
    <x v="2"/>
    <n v="145232.62"/>
    <x v="3"/>
    <x v="2"/>
    <x v="2"/>
    <x v="7"/>
    <x v="0"/>
    <x v="1"/>
    <x v="0"/>
    <x v="1"/>
    <x v="2"/>
    <n v="18"/>
    <x v="0"/>
  </r>
  <r>
    <d v="2025-02-18T00:00:00"/>
    <x v="0"/>
    <x v="0"/>
    <x v="0"/>
    <n v="3275"/>
    <x v="0"/>
    <x v="0"/>
    <x v="0"/>
    <x v="0"/>
    <x v="0"/>
    <x v="1"/>
    <x v="0"/>
    <x v="1"/>
    <x v="2"/>
    <n v="18"/>
    <x v="0"/>
  </r>
  <r>
    <d v="2025-02-18T00:00:00"/>
    <x v="0"/>
    <x v="1"/>
    <x v="0"/>
    <n v="12209122.66"/>
    <x v="0"/>
    <x v="1"/>
    <x v="0"/>
    <x v="1"/>
    <x v="0"/>
    <x v="1"/>
    <x v="0"/>
    <x v="1"/>
    <x v="2"/>
    <n v="18"/>
    <x v="0"/>
  </r>
  <r>
    <d v="2025-02-18T00:00:00"/>
    <x v="2"/>
    <x v="1"/>
    <x v="0"/>
    <n v="106959256.18000001"/>
    <x v="2"/>
    <x v="1"/>
    <x v="0"/>
    <x v="8"/>
    <x v="0"/>
    <x v="1"/>
    <x v="0"/>
    <x v="1"/>
    <x v="2"/>
    <n v="18"/>
    <x v="0"/>
  </r>
  <r>
    <d v="2025-02-18T00:00:00"/>
    <x v="3"/>
    <x v="3"/>
    <x v="1"/>
    <n v="754744.35"/>
    <x v="3"/>
    <x v="3"/>
    <x v="1"/>
    <x v="4"/>
    <x v="0"/>
    <x v="1"/>
    <x v="0"/>
    <x v="1"/>
    <x v="2"/>
    <n v="18"/>
    <x v="0"/>
  </r>
  <r>
    <d v="2025-02-18T00:00:00"/>
    <x v="0"/>
    <x v="1"/>
    <x v="1"/>
    <n v="16240010.1"/>
    <x v="0"/>
    <x v="1"/>
    <x v="1"/>
    <x v="5"/>
    <x v="0"/>
    <x v="1"/>
    <x v="0"/>
    <x v="1"/>
    <x v="2"/>
    <n v="18"/>
    <x v="0"/>
  </r>
  <r>
    <d v="2025-02-18T00:00:00"/>
    <x v="1"/>
    <x v="1"/>
    <x v="0"/>
    <n v="738704.04"/>
    <x v="1"/>
    <x v="1"/>
    <x v="0"/>
    <x v="6"/>
    <x v="0"/>
    <x v="1"/>
    <x v="0"/>
    <x v="1"/>
    <x v="2"/>
    <n v="18"/>
    <x v="0"/>
  </r>
  <r>
    <d v="2025-02-18T00:00:00"/>
    <x v="3"/>
    <x v="3"/>
    <x v="0"/>
    <n v="2751468042.6500001"/>
    <x v="3"/>
    <x v="3"/>
    <x v="0"/>
    <x v="9"/>
    <x v="0"/>
    <x v="1"/>
    <x v="0"/>
    <x v="1"/>
    <x v="2"/>
    <n v="18"/>
    <x v="0"/>
  </r>
  <r>
    <d v="2025-02-18T00:00:00"/>
    <x v="2"/>
    <x v="1"/>
    <x v="1"/>
    <n v="157483933.72999999"/>
    <x v="2"/>
    <x v="1"/>
    <x v="1"/>
    <x v="10"/>
    <x v="0"/>
    <x v="1"/>
    <x v="0"/>
    <x v="1"/>
    <x v="2"/>
    <n v="18"/>
    <x v="0"/>
  </r>
  <r>
    <d v="2025-02-18T00:00:00"/>
    <x v="1"/>
    <x v="0"/>
    <x v="1"/>
    <n v="186511198.84"/>
    <x v="1"/>
    <x v="0"/>
    <x v="1"/>
    <x v="11"/>
    <x v="0"/>
    <x v="1"/>
    <x v="0"/>
    <x v="1"/>
    <x v="2"/>
    <n v="18"/>
    <x v="0"/>
  </r>
  <r>
    <d v="2025-02-18T00:00:00"/>
    <x v="1"/>
    <x v="0"/>
    <x v="0"/>
    <n v="66376585.619999997"/>
    <x v="1"/>
    <x v="0"/>
    <x v="0"/>
    <x v="12"/>
    <x v="0"/>
    <x v="1"/>
    <x v="0"/>
    <x v="1"/>
    <x v="2"/>
    <n v="18"/>
    <x v="0"/>
  </r>
  <r>
    <d v="2025-02-18T00:00:00"/>
    <x v="3"/>
    <x v="2"/>
    <x v="0"/>
    <n v="820132498.79999995"/>
    <x v="3"/>
    <x v="2"/>
    <x v="0"/>
    <x v="13"/>
    <x v="0"/>
    <x v="1"/>
    <x v="0"/>
    <x v="1"/>
    <x v="2"/>
    <n v="18"/>
    <x v="0"/>
  </r>
  <r>
    <d v="2025-02-18T00:00:00"/>
    <x v="3"/>
    <x v="1"/>
    <x v="0"/>
    <n v="63955603.189999998"/>
    <x v="3"/>
    <x v="1"/>
    <x v="0"/>
    <x v="14"/>
    <x v="0"/>
    <x v="1"/>
    <x v="0"/>
    <x v="1"/>
    <x v="2"/>
    <n v="18"/>
    <x v="0"/>
  </r>
  <r>
    <d v="2025-02-18T00:00:00"/>
    <x v="3"/>
    <x v="2"/>
    <x v="1"/>
    <n v="56112875686.669998"/>
    <x v="3"/>
    <x v="2"/>
    <x v="1"/>
    <x v="15"/>
    <x v="0"/>
    <x v="1"/>
    <x v="0"/>
    <x v="1"/>
    <x v="2"/>
    <n v="18"/>
    <x v="0"/>
  </r>
  <r>
    <d v="2025-02-14T00:00:00"/>
    <x v="0"/>
    <x v="0"/>
    <x v="0"/>
    <n v="35"/>
    <x v="0"/>
    <x v="0"/>
    <x v="0"/>
    <x v="0"/>
    <x v="0"/>
    <x v="1"/>
    <x v="0"/>
    <x v="1"/>
    <x v="2"/>
    <n v="14"/>
    <x v="0"/>
  </r>
  <r>
    <d v="2025-02-14T00:00:00"/>
    <x v="1"/>
    <x v="1"/>
    <x v="0"/>
    <n v="1347178.64"/>
    <x v="1"/>
    <x v="1"/>
    <x v="0"/>
    <x v="1"/>
    <x v="0"/>
    <x v="1"/>
    <x v="0"/>
    <x v="1"/>
    <x v="2"/>
    <n v="14"/>
    <x v="0"/>
  </r>
  <r>
    <d v="2025-02-14T00:00:00"/>
    <x v="0"/>
    <x v="1"/>
    <x v="0"/>
    <n v="7099150.8700000001"/>
    <x v="0"/>
    <x v="1"/>
    <x v="0"/>
    <x v="2"/>
    <x v="0"/>
    <x v="1"/>
    <x v="0"/>
    <x v="1"/>
    <x v="2"/>
    <n v="14"/>
    <x v="0"/>
  </r>
  <r>
    <d v="2025-02-14T00:00:00"/>
    <x v="3"/>
    <x v="2"/>
    <x v="2"/>
    <n v="165462.84"/>
    <x v="3"/>
    <x v="2"/>
    <x v="2"/>
    <x v="6"/>
    <x v="0"/>
    <x v="1"/>
    <x v="0"/>
    <x v="1"/>
    <x v="2"/>
    <n v="14"/>
    <x v="0"/>
  </r>
  <r>
    <d v="2025-02-14T00:00:00"/>
    <x v="2"/>
    <x v="1"/>
    <x v="0"/>
    <n v="80151312.739999995"/>
    <x v="2"/>
    <x v="1"/>
    <x v="0"/>
    <x v="8"/>
    <x v="0"/>
    <x v="1"/>
    <x v="0"/>
    <x v="1"/>
    <x v="2"/>
    <n v="14"/>
    <x v="0"/>
  </r>
  <r>
    <d v="2025-02-14T00:00:00"/>
    <x v="3"/>
    <x v="3"/>
    <x v="1"/>
    <n v="482427.17"/>
    <x v="3"/>
    <x v="3"/>
    <x v="1"/>
    <x v="3"/>
    <x v="0"/>
    <x v="1"/>
    <x v="0"/>
    <x v="1"/>
    <x v="2"/>
    <n v="14"/>
    <x v="0"/>
  </r>
  <r>
    <d v="2025-02-14T00:00:00"/>
    <x v="0"/>
    <x v="1"/>
    <x v="1"/>
    <n v="1776033.5"/>
    <x v="0"/>
    <x v="1"/>
    <x v="1"/>
    <x v="4"/>
    <x v="0"/>
    <x v="1"/>
    <x v="0"/>
    <x v="1"/>
    <x v="2"/>
    <n v="14"/>
    <x v="0"/>
  </r>
  <r>
    <d v="2025-02-14T00:00:00"/>
    <x v="2"/>
    <x v="1"/>
    <x v="2"/>
    <n v="23118.98"/>
    <x v="2"/>
    <x v="1"/>
    <x v="2"/>
    <x v="5"/>
    <x v="0"/>
    <x v="1"/>
    <x v="0"/>
    <x v="1"/>
    <x v="2"/>
    <n v="14"/>
    <x v="0"/>
  </r>
  <r>
    <d v="2025-02-14T00:00:00"/>
    <x v="1"/>
    <x v="0"/>
    <x v="0"/>
    <n v="67515858.510000005"/>
    <x v="1"/>
    <x v="0"/>
    <x v="0"/>
    <x v="10"/>
    <x v="0"/>
    <x v="1"/>
    <x v="0"/>
    <x v="1"/>
    <x v="2"/>
    <n v="14"/>
    <x v="0"/>
  </r>
  <r>
    <d v="2025-02-14T00:00:00"/>
    <x v="3"/>
    <x v="3"/>
    <x v="0"/>
    <n v="2712560653.0999999"/>
    <x v="3"/>
    <x v="3"/>
    <x v="0"/>
    <x v="7"/>
    <x v="0"/>
    <x v="1"/>
    <x v="0"/>
    <x v="1"/>
    <x v="2"/>
    <n v="14"/>
    <x v="0"/>
  </r>
  <r>
    <d v="2025-02-14T00:00:00"/>
    <x v="2"/>
    <x v="1"/>
    <x v="1"/>
    <n v="121470449.84"/>
    <x v="2"/>
    <x v="1"/>
    <x v="1"/>
    <x v="9"/>
    <x v="0"/>
    <x v="1"/>
    <x v="0"/>
    <x v="1"/>
    <x v="2"/>
    <n v="14"/>
    <x v="0"/>
  </r>
  <r>
    <d v="2025-02-14T00:00:00"/>
    <x v="1"/>
    <x v="0"/>
    <x v="1"/>
    <n v="254502283.53"/>
    <x v="1"/>
    <x v="0"/>
    <x v="1"/>
    <x v="11"/>
    <x v="0"/>
    <x v="1"/>
    <x v="0"/>
    <x v="1"/>
    <x v="2"/>
    <n v="14"/>
    <x v="0"/>
  </r>
  <r>
    <d v="2025-02-14T00:00:00"/>
    <x v="3"/>
    <x v="1"/>
    <x v="0"/>
    <n v="16410276.949999999"/>
    <x v="3"/>
    <x v="1"/>
    <x v="0"/>
    <x v="12"/>
    <x v="0"/>
    <x v="1"/>
    <x v="0"/>
    <x v="1"/>
    <x v="2"/>
    <n v="14"/>
    <x v="0"/>
  </r>
  <r>
    <d v="2025-02-14T00:00:00"/>
    <x v="3"/>
    <x v="2"/>
    <x v="1"/>
    <n v="15957713496.67"/>
    <x v="3"/>
    <x v="2"/>
    <x v="1"/>
    <x v="13"/>
    <x v="0"/>
    <x v="1"/>
    <x v="0"/>
    <x v="1"/>
    <x v="2"/>
    <n v="14"/>
    <x v="0"/>
  </r>
  <r>
    <d v="2025-02-14T00:00:00"/>
    <x v="3"/>
    <x v="2"/>
    <x v="0"/>
    <n v="799639666.76999998"/>
    <x v="3"/>
    <x v="2"/>
    <x v="0"/>
    <x v="14"/>
    <x v="0"/>
    <x v="1"/>
    <x v="0"/>
    <x v="1"/>
    <x v="2"/>
    <n v="14"/>
    <x v="0"/>
  </r>
  <r>
    <d v="2025-02-13T00:00:00"/>
    <x v="2"/>
    <x v="1"/>
    <x v="2"/>
    <n v="21737.55"/>
    <x v="2"/>
    <x v="1"/>
    <x v="2"/>
    <x v="3"/>
    <x v="0"/>
    <x v="1"/>
    <x v="0"/>
    <x v="1"/>
    <x v="2"/>
    <n v="13"/>
    <x v="0"/>
  </r>
  <r>
    <d v="2025-02-13T00:00:00"/>
    <x v="3"/>
    <x v="2"/>
    <x v="2"/>
    <n v="368248"/>
    <x v="3"/>
    <x v="2"/>
    <x v="2"/>
    <x v="6"/>
    <x v="0"/>
    <x v="1"/>
    <x v="0"/>
    <x v="1"/>
    <x v="2"/>
    <n v="13"/>
    <x v="0"/>
  </r>
  <r>
    <d v="2025-02-13T00:00:00"/>
    <x v="0"/>
    <x v="0"/>
    <x v="0"/>
    <n v="976.94"/>
    <x v="0"/>
    <x v="0"/>
    <x v="0"/>
    <x v="0"/>
    <x v="0"/>
    <x v="1"/>
    <x v="0"/>
    <x v="1"/>
    <x v="2"/>
    <n v="13"/>
    <x v="0"/>
  </r>
  <r>
    <d v="2025-02-13T00:00:00"/>
    <x v="0"/>
    <x v="1"/>
    <x v="0"/>
    <n v="16025806.52"/>
    <x v="0"/>
    <x v="1"/>
    <x v="0"/>
    <x v="1"/>
    <x v="0"/>
    <x v="1"/>
    <x v="0"/>
    <x v="1"/>
    <x v="2"/>
    <n v="13"/>
    <x v="0"/>
  </r>
  <r>
    <d v="2025-02-13T00:00:00"/>
    <x v="3"/>
    <x v="3"/>
    <x v="2"/>
    <n v="12"/>
    <x v="3"/>
    <x v="3"/>
    <x v="2"/>
    <x v="2"/>
    <x v="0"/>
    <x v="1"/>
    <x v="0"/>
    <x v="1"/>
    <x v="2"/>
    <n v="13"/>
    <x v="0"/>
  </r>
  <r>
    <d v="2025-02-13T00:00:00"/>
    <x v="2"/>
    <x v="1"/>
    <x v="0"/>
    <n v="65815148.280000001"/>
    <x v="2"/>
    <x v="1"/>
    <x v="0"/>
    <x v="7"/>
    <x v="0"/>
    <x v="1"/>
    <x v="0"/>
    <x v="1"/>
    <x v="2"/>
    <n v="13"/>
    <x v="0"/>
  </r>
  <r>
    <d v="2025-02-13T00:00:00"/>
    <x v="0"/>
    <x v="1"/>
    <x v="1"/>
    <n v="6900223.2000000002"/>
    <x v="0"/>
    <x v="1"/>
    <x v="1"/>
    <x v="4"/>
    <x v="0"/>
    <x v="1"/>
    <x v="0"/>
    <x v="1"/>
    <x v="2"/>
    <n v="13"/>
    <x v="0"/>
  </r>
  <r>
    <d v="2025-02-13T00:00:00"/>
    <x v="1"/>
    <x v="1"/>
    <x v="0"/>
    <n v="179949.59"/>
    <x v="1"/>
    <x v="1"/>
    <x v="0"/>
    <x v="5"/>
    <x v="0"/>
    <x v="1"/>
    <x v="0"/>
    <x v="1"/>
    <x v="2"/>
    <n v="13"/>
    <x v="0"/>
  </r>
  <r>
    <d v="2025-02-13T00:00:00"/>
    <x v="3"/>
    <x v="3"/>
    <x v="0"/>
    <n v="1789702991.78"/>
    <x v="3"/>
    <x v="3"/>
    <x v="0"/>
    <x v="8"/>
    <x v="0"/>
    <x v="1"/>
    <x v="0"/>
    <x v="1"/>
    <x v="2"/>
    <n v="13"/>
    <x v="0"/>
  </r>
  <r>
    <d v="2025-02-13T00:00:00"/>
    <x v="2"/>
    <x v="1"/>
    <x v="1"/>
    <n v="77941570.670000002"/>
    <x v="2"/>
    <x v="1"/>
    <x v="1"/>
    <x v="9"/>
    <x v="0"/>
    <x v="1"/>
    <x v="0"/>
    <x v="1"/>
    <x v="2"/>
    <n v="13"/>
    <x v="0"/>
  </r>
  <r>
    <d v="2025-02-13T00:00:00"/>
    <x v="1"/>
    <x v="0"/>
    <x v="0"/>
    <n v="74674290.719999999"/>
    <x v="1"/>
    <x v="0"/>
    <x v="0"/>
    <x v="10"/>
    <x v="0"/>
    <x v="1"/>
    <x v="0"/>
    <x v="1"/>
    <x v="2"/>
    <n v="13"/>
    <x v="0"/>
  </r>
  <r>
    <d v="2025-02-13T00:00:00"/>
    <x v="1"/>
    <x v="0"/>
    <x v="1"/>
    <n v="284858747.27999997"/>
    <x v="1"/>
    <x v="0"/>
    <x v="1"/>
    <x v="11"/>
    <x v="0"/>
    <x v="1"/>
    <x v="0"/>
    <x v="1"/>
    <x v="2"/>
    <n v="13"/>
    <x v="0"/>
  </r>
  <r>
    <d v="2025-02-13T00:00:00"/>
    <x v="3"/>
    <x v="1"/>
    <x v="0"/>
    <n v="13533591.859999999"/>
    <x v="3"/>
    <x v="1"/>
    <x v="0"/>
    <x v="12"/>
    <x v="0"/>
    <x v="1"/>
    <x v="0"/>
    <x v="1"/>
    <x v="2"/>
    <n v="13"/>
    <x v="0"/>
  </r>
  <r>
    <d v="2025-02-13T00:00:00"/>
    <x v="3"/>
    <x v="2"/>
    <x v="1"/>
    <n v="5137739386.3999996"/>
    <x v="3"/>
    <x v="2"/>
    <x v="1"/>
    <x v="13"/>
    <x v="0"/>
    <x v="1"/>
    <x v="0"/>
    <x v="1"/>
    <x v="2"/>
    <n v="13"/>
    <x v="0"/>
  </r>
  <r>
    <d v="2025-02-13T00:00:00"/>
    <x v="3"/>
    <x v="2"/>
    <x v="0"/>
    <n v="596939185.48000002"/>
    <x v="3"/>
    <x v="2"/>
    <x v="0"/>
    <x v="14"/>
    <x v="0"/>
    <x v="1"/>
    <x v="0"/>
    <x v="1"/>
    <x v="2"/>
    <n v="13"/>
    <x v="0"/>
  </r>
  <r>
    <d v="2025-02-12T00:00:00"/>
    <x v="2"/>
    <x v="1"/>
    <x v="2"/>
    <n v="24205"/>
    <x v="2"/>
    <x v="1"/>
    <x v="2"/>
    <x v="2"/>
    <x v="0"/>
    <x v="1"/>
    <x v="0"/>
    <x v="1"/>
    <x v="2"/>
    <n v="12"/>
    <x v="0"/>
  </r>
  <r>
    <d v="2025-02-12T00:00:00"/>
    <x v="3"/>
    <x v="3"/>
    <x v="1"/>
    <n v="52234.3"/>
    <x v="3"/>
    <x v="3"/>
    <x v="1"/>
    <x v="3"/>
    <x v="0"/>
    <x v="1"/>
    <x v="0"/>
    <x v="1"/>
    <x v="2"/>
    <n v="12"/>
    <x v="0"/>
  </r>
  <r>
    <d v="2025-02-12T00:00:00"/>
    <x v="0"/>
    <x v="1"/>
    <x v="1"/>
    <n v="1147615.0900000001"/>
    <x v="0"/>
    <x v="1"/>
    <x v="1"/>
    <x v="4"/>
    <x v="0"/>
    <x v="1"/>
    <x v="0"/>
    <x v="1"/>
    <x v="2"/>
    <n v="12"/>
    <x v="0"/>
  </r>
  <r>
    <d v="2025-02-12T00:00:00"/>
    <x v="3"/>
    <x v="2"/>
    <x v="2"/>
    <n v="188686"/>
    <x v="3"/>
    <x v="2"/>
    <x v="2"/>
    <x v="6"/>
    <x v="0"/>
    <x v="1"/>
    <x v="0"/>
    <x v="1"/>
    <x v="2"/>
    <n v="12"/>
    <x v="0"/>
  </r>
  <r>
    <d v="2025-02-12T00:00:00"/>
    <x v="0"/>
    <x v="0"/>
    <x v="0"/>
    <n v="-10747.18"/>
    <x v="0"/>
    <x v="0"/>
    <x v="0"/>
    <x v="0"/>
    <x v="0"/>
    <x v="1"/>
    <x v="0"/>
    <x v="1"/>
    <x v="2"/>
    <n v="12"/>
    <x v="1"/>
  </r>
  <r>
    <d v="2025-02-12T00:00:00"/>
    <x v="0"/>
    <x v="1"/>
    <x v="0"/>
    <n v="5277386.8899999997"/>
    <x v="0"/>
    <x v="1"/>
    <x v="0"/>
    <x v="1"/>
    <x v="0"/>
    <x v="1"/>
    <x v="0"/>
    <x v="1"/>
    <x v="2"/>
    <n v="12"/>
    <x v="0"/>
  </r>
  <r>
    <d v="2025-02-12T00:00:00"/>
    <x v="2"/>
    <x v="1"/>
    <x v="0"/>
    <n v="80940018.969999999"/>
    <x v="2"/>
    <x v="1"/>
    <x v="0"/>
    <x v="7"/>
    <x v="0"/>
    <x v="1"/>
    <x v="0"/>
    <x v="1"/>
    <x v="2"/>
    <n v="12"/>
    <x v="0"/>
  </r>
  <r>
    <d v="2025-02-12T00:00:00"/>
    <x v="3"/>
    <x v="3"/>
    <x v="0"/>
    <n v="1572991648.99"/>
    <x v="3"/>
    <x v="3"/>
    <x v="0"/>
    <x v="8"/>
    <x v="0"/>
    <x v="1"/>
    <x v="0"/>
    <x v="1"/>
    <x v="2"/>
    <n v="12"/>
    <x v="0"/>
  </r>
  <r>
    <d v="2025-02-12T00:00:00"/>
    <x v="1"/>
    <x v="1"/>
    <x v="0"/>
    <n v="906519.55"/>
    <x v="1"/>
    <x v="1"/>
    <x v="0"/>
    <x v="5"/>
    <x v="0"/>
    <x v="1"/>
    <x v="0"/>
    <x v="1"/>
    <x v="2"/>
    <n v="12"/>
    <x v="0"/>
  </r>
  <r>
    <d v="2025-02-12T00:00:00"/>
    <x v="2"/>
    <x v="1"/>
    <x v="1"/>
    <n v="216432854.40000001"/>
    <x v="2"/>
    <x v="1"/>
    <x v="1"/>
    <x v="9"/>
    <x v="0"/>
    <x v="1"/>
    <x v="0"/>
    <x v="1"/>
    <x v="2"/>
    <n v="12"/>
    <x v="0"/>
  </r>
  <r>
    <d v="2025-02-12T00:00:00"/>
    <x v="1"/>
    <x v="0"/>
    <x v="0"/>
    <n v="126885736.72"/>
    <x v="1"/>
    <x v="0"/>
    <x v="0"/>
    <x v="10"/>
    <x v="0"/>
    <x v="1"/>
    <x v="0"/>
    <x v="1"/>
    <x v="2"/>
    <n v="12"/>
    <x v="0"/>
  </r>
  <r>
    <d v="2025-02-12T00:00:00"/>
    <x v="1"/>
    <x v="0"/>
    <x v="1"/>
    <n v="904793452.87"/>
    <x v="1"/>
    <x v="0"/>
    <x v="1"/>
    <x v="11"/>
    <x v="0"/>
    <x v="1"/>
    <x v="0"/>
    <x v="1"/>
    <x v="2"/>
    <n v="12"/>
    <x v="0"/>
  </r>
  <r>
    <d v="2025-02-12T00:00:00"/>
    <x v="3"/>
    <x v="1"/>
    <x v="0"/>
    <n v="15116826.470000001"/>
    <x v="3"/>
    <x v="1"/>
    <x v="0"/>
    <x v="12"/>
    <x v="0"/>
    <x v="1"/>
    <x v="0"/>
    <x v="1"/>
    <x v="2"/>
    <n v="12"/>
    <x v="0"/>
  </r>
  <r>
    <d v="2025-02-12T00:00:00"/>
    <x v="3"/>
    <x v="2"/>
    <x v="1"/>
    <n v="12218245545.940001"/>
    <x v="3"/>
    <x v="2"/>
    <x v="1"/>
    <x v="13"/>
    <x v="0"/>
    <x v="1"/>
    <x v="0"/>
    <x v="1"/>
    <x v="2"/>
    <n v="12"/>
    <x v="0"/>
  </r>
  <r>
    <d v="2025-02-12T00:00:00"/>
    <x v="3"/>
    <x v="2"/>
    <x v="0"/>
    <n v="534104096.45999998"/>
    <x v="3"/>
    <x v="2"/>
    <x v="0"/>
    <x v="14"/>
    <x v="0"/>
    <x v="1"/>
    <x v="0"/>
    <x v="1"/>
    <x v="2"/>
    <n v="12"/>
    <x v="0"/>
  </r>
  <r>
    <d v="2025-02-11T00:00:00"/>
    <x v="0"/>
    <x v="1"/>
    <x v="0"/>
    <n v="4173385.47"/>
    <x v="0"/>
    <x v="1"/>
    <x v="0"/>
    <x v="0"/>
    <x v="0"/>
    <x v="1"/>
    <x v="0"/>
    <x v="1"/>
    <x v="2"/>
    <n v="11"/>
    <x v="0"/>
  </r>
  <r>
    <d v="2025-02-11T00:00:00"/>
    <x v="2"/>
    <x v="1"/>
    <x v="0"/>
    <n v="103122168.22"/>
    <x v="2"/>
    <x v="1"/>
    <x v="0"/>
    <x v="6"/>
    <x v="0"/>
    <x v="1"/>
    <x v="0"/>
    <x v="1"/>
    <x v="2"/>
    <n v="11"/>
    <x v="0"/>
  </r>
  <r>
    <d v="2025-02-11T00:00:00"/>
    <x v="3"/>
    <x v="3"/>
    <x v="0"/>
    <n v="999007482.75999999"/>
    <x v="3"/>
    <x v="3"/>
    <x v="0"/>
    <x v="7"/>
    <x v="0"/>
    <x v="1"/>
    <x v="0"/>
    <x v="1"/>
    <x v="2"/>
    <n v="11"/>
    <x v="0"/>
  </r>
  <r>
    <d v="2025-02-11T00:00:00"/>
    <x v="0"/>
    <x v="1"/>
    <x v="1"/>
    <n v="12677710.82"/>
    <x v="0"/>
    <x v="1"/>
    <x v="1"/>
    <x v="1"/>
    <x v="0"/>
    <x v="1"/>
    <x v="0"/>
    <x v="1"/>
    <x v="2"/>
    <n v="11"/>
    <x v="0"/>
  </r>
  <r>
    <d v="2025-02-11T00:00:00"/>
    <x v="1"/>
    <x v="1"/>
    <x v="0"/>
    <n v="407133.65"/>
    <x v="1"/>
    <x v="1"/>
    <x v="0"/>
    <x v="2"/>
    <x v="0"/>
    <x v="1"/>
    <x v="0"/>
    <x v="1"/>
    <x v="2"/>
    <n v="11"/>
    <x v="0"/>
  </r>
  <r>
    <d v="2025-02-11T00:00:00"/>
    <x v="3"/>
    <x v="3"/>
    <x v="2"/>
    <n v="-100"/>
    <x v="3"/>
    <x v="3"/>
    <x v="2"/>
    <x v="3"/>
    <x v="0"/>
    <x v="1"/>
    <x v="0"/>
    <x v="1"/>
    <x v="2"/>
    <n v="11"/>
    <x v="1"/>
  </r>
  <r>
    <d v="2025-02-11T00:00:00"/>
    <x v="2"/>
    <x v="1"/>
    <x v="2"/>
    <n v="23390.86"/>
    <x v="2"/>
    <x v="1"/>
    <x v="2"/>
    <x v="4"/>
    <x v="0"/>
    <x v="1"/>
    <x v="0"/>
    <x v="1"/>
    <x v="2"/>
    <n v="11"/>
    <x v="0"/>
  </r>
  <r>
    <d v="2025-02-11T00:00:00"/>
    <x v="3"/>
    <x v="2"/>
    <x v="2"/>
    <n v="670423"/>
    <x v="3"/>
    <x v="2"/>
    <x v="2"/>
    <x v="5"/>
    <x v="0"/>
    <x v="1"/>
    <x v="0"/>
    <x v="1"/>
    <x v="2"/>
    <n v="11"/>
    <x v="0"/>
  </r>
  <r>
    <d v="2025-02-11T00:00:00"/>
    <x v="1"/>
    <x v="0"/>
    <x v="0"/>
    <n v="92117492.780000001"/>
    <x v="1"/>
    <x v="0"/>
    <x v="0"/>
    <x v="9"/>
    <x v="0"/>
    <x v="1"/>
    <x v="0"/>
    <x v="1"/>
    <x v="2"/>
    <n v="11"/>
    <x v="0"/>
  </r>
  <r>
    <d v="2025-02-11T00:00:00"/>
    <x v="2"/>
    <x v="1"/>
    <x v="1"/>
    <n v="107144832.54000001"/>
    <x v="2"/>
    <x v="1"/>
    <x v="1"/>
    <x v="8"/>
    <x v="0"/>
    <x v="1"/>
    <x v="0"/>
    <x v="1"/>
    <x v="2"/>
    <n v="11"/>
    <x v="0"/>
  </r>
  <r>
    <d v="2025-02-11T00:00:00"/>
    <x v="1"/>
    <x v="0"/>
    <x v="1"/>
    <n v="843968080.49000001"/>
    <x v="1"/>
    <x v="0"/>
    <x v="1"/>
    <x v="10"/>
    <x v="0"/>
    <x v="1"/>
    <x v="0"/>
    <x v="1"/>
    <x v="2"/>
    <n v="11"/>
    <x v="0"/>
  </r>
  <r>
    <d v="2025-02-11T00:00:00"/>
    <x v="3"/>
    <x v="1"/>
    <x v="0"/>
    <n v="14255086.109999999"/>
    <x v="3"/>
    <x v="1"/>
    <x v="0"/>
    <x v="11"/>
    <x v="0"/>
    <x v="1"/>
    <x v="0"/>
    <x v="1"/>
    <x v="2"/>
    <n v="11"/>
    <x v="0"/>
  </r>
  <r>
    <d v="2025-02-11T00:00:00"/>
    <x v="3"/>
    <x v="2"/>
    <x v="0"/>
    <n v="698210707.29999995"/>
    <x v="3"/>
    <x v="2"/>
    <x v="0"/>
    <x v="12"/>
    <x v="0"/>
    <x v="1"/>
    <x v="0"/>
    <x v="1"/>
    <x v="2"/>
    <n v="11"/>
    <x v="0"/>
  </r>
  <r>
    <d v="2025-02-11T00:00:00"/>
    <x v="3"/>
    <x v="2"/>
    <x v="1"/>
    <n v="5841858205.7700005"/>
    <x v="3"/>
    <x v="2"/>
    <x v="1"/>
    <x v="13"/>
    <x v="0"/>
    <x v="1"/>
    <x v="0"/>
    <x v="1"/>
    <x v="2"/>
    <n v="11"/>
    <x v="0"/>
  </r>
  <r>
    <d v="2025-02-10T00:00:00"/>
    <x v="2"/>
    <x v="1"/>
    <x v="2"/>
    <n v="5053.04"/>
    <x v="2"/>
    <x v="1"/>
    <x v="2"/>
    <x v="3"/>
    <x v="0"/>
    <x v="1"/>
    <x v="0"/>
    <x v="1"/>
    <x v="2"/>
    <n v="10"/>
    <x v="0"/>
  </r>
  <r>
    <d v="2025-02-10T00:00:00"/>
    <x v="1"/>
    <x v="1"/>
    <x v="0"/>
    <n v="1074594.83"/>
    <x v="1"/>
    <x v="1"/>
    <x v="0"/>
    <x v="0"/>
    <x v="0"/>
    <x v="1"/>
    <x v="0"/>
    <x v="1"/>
    <x v="2"/>
    <n v="10"/>
    <x v="0"/>
  </r>
  <r>
    <d v="2025-02-10T00:00:00"/>
    <x v="0"/>
    <x v="1"/>
    <x v="0"/>
    <n v="15690606.32"/>
    <x v="0"/>
    <x v="1"/>
    <x v="0"/>
    <x v="1"/>
    <x v="0"/>
    <x v="1"/>
    <x v="0"/>
    <x v="1"/>
    <x v="2"/>
    <n v="10"/>
    <x v="0"/>
  </r>
  <r>
    <d v="2025-02-10T00:00:00"/>
    <x v="3"/>
    <x v="2"/>
    <x v="2"/>
    <n v="16178.64"/>
    <x v="3"/>
    <x v="2"/>
    <x v="2"/>
    <x v="6"/>
    <x v="0"/>
    <x v="1"/>
    <x v="0"/>
    <x v="1"/>
    <x v="2"/>
    <n v="10"/>
    <x v="0"/>
  </r>
  <r>
    <d v="2025-02-10T00:00:00"/>
    <x v="3"/>
    <x v="3"/>
    <x v="2"/>
    <n v="75"/>
    <x v="3"/>
    <x v="3"/>
    <x v="2"/>
    <x v="2"/>
    <x v="0"/>
    <x v="1"/>
    <x v="0"/>
    <x v="1"/>
    <x v="2"/>
    <n v="10"/>
    <x v="0"/>
  </r>
  <r>
    <d v="2025-02-10T00:00:00"/>
    <x v="2"/>
    <x v="1"/>
    <x v="0"/>
    <n v="74845032.680000007"/>
    <x v="2"/>
    <x v="1"/>
    <x v="0"/>
    <x v="7"/>
    <x v="0"/>
    <x v="1"/>
    <x v="0"/>
    <x v="1"/>
    <x v="2"/>
    <n v="10"/>
    <x v="0"/>
  </r>
  <r>
    <d v="2025-02-10T00:00:00"/>
    <x v="3"/>
    <x v="3"/>
    <x v="1"/>
    <n v="47828.01"/>
    <x v="3"/>
    <x v="3"/>
    <x v="1"/>
    <x v="4"/>
    <x v="0"/>
    <x v="1"/>
    <x v="0"/>
    <x v="1"/>
    <x v="2"/>
    <n v="10"/>
    <x v="0"/>
  </r>
  <r>
    <d v="2025-02-10T00:00:00"/>
    <x v="0"/>
    <x v="1"/>
    <x v="1"/>
    <n v="2208600.0699999998"/>
    <x v="0"/>
    <x v="1"/>
    <x v="1"/>
    <x v="5"/>
    <x v="0"/>
    <x v="1"/>
    <x v="0"/>
    <x v="1"/>
    <x v="2"/>
    <n v="10"/>
    <x v="0"/>
  </r>
  <r>
    <d v="2025-02-10T00:00:00"/>
    <x v="3"/>
    <x v="3"/>
    <x v="0"/>
    <n v="1202630625.0599999"/>
    <x v="3"/>
    <x v="3"/>
    <x v="0"/>
    <x v="8"/>
    <x v="0"/>
    <x v="1"/>
    <x v="0"/>
    <x v="1"/>
    <x v="2"/>
    <n v="10"/>
    <x v="0"/>
  </r>
  <r>
    <d v="2025-02-10T00:00:00"/>
    <x v="2"/>
    <x v="1"/>
    <x v="1"/>
    <n v="142691946.21000001"/>
    <x v="2"/>
    <x v="1"/>
    <x v="1"/>
    <x v="9"/>
    <x v="0"/>
    <x v="1"/>
    <x v="0"/>
    <x v="1"/>
    <x v="2"/>
    <n v="10"/>
    <x v="0"/>
  </r>
  <r>
    <d v="2025-02-10T00:00:00"/>
    <x v="1"/>
    <x v="0"/>
    <x v="0"/>
    <n v="66867817.409999996"/>
    <x v="1"/>
    <x v="0"/>
    <x v="0"/>
    <x v="10"/>
    <x v="0"/>
    <x v="1"/>
    <x v="0"/>
    <x v="1"/>
    <x v="2"/>
    <n v="10"/>
    <x v="0"/>
  </r>
  <r>
    <d v="2025-02-10T00:00:00"/>
    <x v="1"/>
    <x v="0"/>
    <x v="1"/>
    <n v="573415581.70000005"/>
    <x v="1"/>
    <x v="0"/>
    <x v="1"/>
    <x v="11"/>
    <x v="0"/>
    <x v="1"/>
    <x v="0"/>
    <x v="1"/>
    <x v="2"/>
    <n v="10"/>
    <x v="0"/>
  </r>
  <r>
    <d v="2025-02-10T00:00:00"/>
    <x v="3"/>
    <x v="2"/>
    <x v="0"/>
    <n v="892290110.80999994"/>
    <x v="3"/>
    <x v="2"/>
    <x v="0"/>
    <x v="12"/>
    <x v="0"/>
    <x v="1"/>
    <x v="0"/>
    <x v="1"/>
    <x v="2"/>
    <n v="10"/>
    <x v="0"/>
  </r>
  <r>
    <d v="2025-02-10T00:00:00"/>
    <x v="3"/>
    <x v="2"/>
    <x v="1"/>
    <n v="26462115946.790001"/>
    <x v="3"/>
    <x v="2"/>
    <x v="1"/>
    <x v="13"/>
    <x v="0"/>
    <x v="1"/>
    <x v="0"/>
    <x v="1"/>
    <x v="2"/>
    <n v="10"/>
    <x v="0"/>
  </r>
  <r>
    <d v="2025-02-10T00:00:00"/>
    <x v="3"/>
    <x v="1"/>
    <x v="0"/>
    <n v="54817879.759999998"/>
    <x v="3"/>
    <x v="1"/>
    <x v="0"/>
    <x v="14"/>
    <x v="0"/>
    <x v="1"/>
    <x v="0"/>
    <x v="1"/>
    <x v="2"/>
    <n v="10"/>
    <x v="0"/>
  </r>
  <r>
    <d v="2025-02-07T00:00:00"/>
    <x v="3"/>
    <x v="3"/>
    <x v="2"/>
    <n v="15"/>
    <x v="3"/>
    <x v="3"/>
    <x v="2"/>
    <x v="3"/>
    <x v="0"/>
    <x v="1"/>
    <x v="0"/>
    <x v="1"/>
    <x v="2"/>
    <n v="7"/>
    <x v="0"/>
  </r>
  <r>
    <d v="2025-02-07T00:00:00"/>
    <x v="2"/>
    <x v="1"/>
    <x v="2"/>
    <n v="26025.32"/>
    <x v="2"/>
    <x v="1"/>
    <x v="2"/>
    <x v="4"/>
    <x v="0"/>
    <x v="1"/>
    <x v="0"/>
    <x v="1"/>
    <x v="2"/>
    <n v="7"/>
    <x v="0"/>
  </r>
  <r>
    <d v="2025-02-07T00:00:00"/>
    <x v="0"/>
    <x v="0"/>
    <x v="0"/>
    <n v="74.52"/>
    <x v="0"/>
    <x v="0"/>
    <x v="0"/>
    <x v="0"/>
    <x v="0"/>
    <x v="1"/>
    <x v="0"/>
    <x v="1"/>
    <x v="2"/>
    <n v="7"/>
    <x v="0"/>
  </r>
  <r>
    <d v="2025-02-07T00:00:00"/>
    <x v="1"/>
    <x v="1"/>
    <x v="0"/>
    <n v="112342.42"/>
    <x v="1"/>
    <x v="1"/>
    <x v="0"/>
    <x v="1"/>
    <x v="0"/>
    <x v="1"/>
    <x v="0"/>
    <x v="1"/>
    <x v="2"/>
    <n v="7"/>
    <x v="0"/>
  </r>
  <r>
    <d v="2025-02-07T00:00:00"/>
    <x v="0"/>
    <x v="1"/>
    <x v="0"/>
    <n v="9540428.3300000001"/>
    <x v="0"/>
    <x v="1"/>
    <x v="0"/>
    <x v="2"/>
    <x v="0"/>
    <x v="1"/>
    <x v="0"/>
    <x v="1"/>
    <x v="2"/>
    <n v="7"/>
    <x v="0"/>
  </r>
  <r>
    <d v="2025-02-07T00:00:00"/>
    <x v="3"/>
    <x v="3"/>
    <x v="1"/>
    <n v="210265.16"/>
    <x v="3"/>
    <x v="3"/>
    <x v="1"/>
    <x v="5"/>
    <x v="0"/>
    <x v="1"/>
    <x v="0"/>
    <x v="1"/>
    <x v="2"/>
    <n v="7"/>
    <x v="0"/>
  </r>
  <r>
    <d v="2025-02-07T00:00:00"/>
    <x v="0"/>
    <x v="1"/>
    <x v="1"/>
    <n v="13194955.390000001"/>
    <x v="0"/>
    <x v="1"/>
    <x v="1"/>
    <x v="6"/>
    <x v="0"/>
    <x v="1"/>
    <x v="0"/>
    <x v="1"/>
    <x v="2"/>
    <n v="7"/>
    <x v="0"/>
  </r>
  <r>
    <d v="2025-02-07T00:00:00"/>
    <x v="2"/>
    <x v="1"/>
    <x v="0"/>
    <n v="90460096.040000007"/>
    <x v="2"/>
    <x v="1"/>
    <x v="0"/>
    <x v="8"/>
    <x v="0"/>
    <x v="1"/>
    <x v="0"/>
    <x v="1"/>
    <x v="2"/>
    <n v="7"/>
    <x v="0"/>
  </r>
  <r>
    <d v="2025-02-07T00:00:00"/>
    <x v="3"/>
    <x v="3"/>
    <x v="0"/>
    <n v="2010183635.5"/>
    <x v="3"/>
    <x v="3"/>
    <x v="0"/>
    <x v="9"/>
    <x v="0"/>
    <x v="1"/>
    <x v="0"/>
    <x v="1"/>
    <x v="2"/>
    <n v="7"/>
    <x v="0"/>
  </r>
  <r>
    <d v="2025-02-07T00:00:00"/>
    <x v="2"/>
    <x v="1"/>
    <x v="1"/>
    <n v="356157559.74000001"/>
    <x v="2"/>
    <x v="1"/>
    <x v="1"/>
    <x v="10"/>
    <x v="0"/>
    <x v="1"/>
    <x v="0"/>
    <x v="1"/>
    <x v="2"/>
    <n v="7"/>
    <x v="0"/>
  </r>
  <r>
    <d v="2025-02-07T00:00:00"/>
    <x v="3"/>
    <x v="2"/>
    <x v="2"/>
    <n v="346671"/>
    <x v="3"/>
    <x v="2"/>
    <x v="2"/>
    <x v="7"/>
    <x v="0"/>
    <x v="1"/>
    <x v="0"/>
    <x v="1"/>
    <x v="2"/>
    <n v="7"/>
    <x v="0"/>
  </r>
  <r>
    <d v="2025-02-07T00:00:00"/>
    <x v="1"/>
    <x v="0"/>
    <x v="0"/>
    <n v="70697881.760000005"/>
    <x v="1"/>
    <x v="0"/>
    <x v="0"/>
    <x v="11"/>
    <x v="0"/>
    <x v="1"/>
    <x v="0"/>
    <x v="1"/>
    <x v="2"/>
    <n v="7"/>
    <x v="0"/>
  </r>
  <r>
    <d v="2025-02-07T00:00:00"/>
    <x v="1"/>
    <x v="0"/>
    <x v="1"/>
    <n v="429973443.19"/>
    <x v="1"/>
    <x v="0"/>
    <x v="1"/>
    <x v="12"/>
    <x v="0"/>
    <x v="1"/>
    <x v="0"/>
    <x v="1"/>
    <x v="2"/>
    <n v="7"/>
    <x v="0"/>
  </r>
  <r>
    <d v="2025-02-07T00:00:00"/>
    <x v="3"/>
    <x v="1"/>
    <x v="0"/>
    <n v="15511721.109999999"/>
    <x v="3"/>
    <x v="1"/>
    <x v="0"/>
    <x v="13"/>
    <x v="0"/>
    <x v="1"/>
    <x v="0"/>
    <x v="1"/>
    <x v="2"/>
    <n v="7"/>
    <x v="0"/>
  </r>
  <r>
    <d v="2025-02-07T00:00:00"/>
    <x v="3"/>
    <x v="2"/>
    <x v="0"/>
    <n v="933241011.00999999"/>
    <x v="3"/>
    <x v="2"/>
    <x v="0"/>
    <x v="14"/>
    <x v="0"/>
    <x v="1"/>
    <x v="0"/>
    <x v="1"/>
    <x v="2"/>
    <n v="7"/>
    <x v="0"/>
  </r>
  <r>
    <d v="2025-02-07T00:00:00"/>
    <x v="3"/>
    <x v="2"/>
    <x v="1"/>
    <n v="8964328583.5300007"/>
    <x v="3"/>
    <x v="2"/>
    <x v="1"/>
    <x v="15"/>
    <x v="0"/>
    <x v="1"/>
    <x v="0"/>
    <x v="1"/>
    <x v="2"/>
    <n v="7"/>
    <x v="0"/>
  </r>
  <r>
    <d v="2025-02-06T00:00:00"/>
    <x v="2"/>
    <x v="1"/>
    <x v="2"/>
    <n v="44988.66"/>
    <x v="2"/>
    <x v="1"/>
    <x v="2"/>
    <x v="2"/>
    <x v="0"/>
    <x v="1"/>
    <x v="0"/>
    <x v="1"/>
    <x v="2"/>
    <n v="6"/>
    <x v="0"/>
  </r>
  <r>
    <d v="2025-02-06T00:00:00"/>
    <x v="0"/>
    <x v="0"/>
    <x v="0"/>
    <n v="10777.18"/>
    <x v="0"/>
    <x v="0"/>
    <x v="0"/>
    <x v="0"/>
    <x v="0"/>
    <x v="1"/>
    <x v="0"/>
    <x v="1"/>
    <x v="2"/>
    <n v="6"/>
    <x v="0"/>
  </r>
  <r>
    <d v="2025-02-06T00:00:00"/>
    <x v="0"/>
    <x v="1"/>
    <x v="0"/>
    <n v="21599630.879999999"/>
    <x v="0"/>
    <x v="1"/>
    <x v="0"/>
    <x v="1"/>
    <x v="0"/>
    <x v="1"/>
    <x v="0"/>
    <x v="1"/>
    <x v="2"/>
    <n v="6"/>
    <x v="0"/>
  </r>
  <r>
    <d v="2025-02-06T00:00:00"/>
    <x v="3"/>
    <x v="2"/>
    <x v="2"/>
    <n v="434313.19"/>
    <x v="3"/>
    <x v="2"/>
    <x v="2"/>
    <x v="5"/>
    <x v="0"/>
    <x v="1"/>
    <x v="0"/>
    <x v="1"/>
    <x v="2"/>
    <n v="6"/>
    <x v="0"/>
  </r>
  <r>
    <d v="2025-02-06T00:00:00"/>
    <x v="0"/>
    <x v="1"/>
    <x v="1"/>
    <n v="1543398.77"/>
    <x v="0"/>
    <x v="1"/>
    <x v="1"/>
    <x v="3"/>
    <x v="0"/>
    <x v="1"/>
    <x v="0"/>
    <x v="1"/>
    <x v="2"/>
    <n v="6"/>
    <x v="0"/>
  </r>
  <r>
    <d v="2025-02-06T00:00:00"/>
    <x v="2"/>
    <x v="1"/>
    <x v="0"/>
    <n v="80036483.099999994"/>
    <x v="2"/>
    <x v="1"/>
    <x v="0"/>
    <x v="6"/>
    <x v="0"/>
    <x v="1"/>
    <x v="0"/>
    <x v="1"/>
    <x v="2"/>
    <n v="6"/>
    <x v="0"/>
  </r>
  <r>
    <d v="2025-02-06T00:00:00"/>
    <x v="3"/>
    <x v="3"/>
    <x v="0"/>
    <n v="1191100884.3399999"/>
    <x v="3"/>
    <x v="3"/>
    <x v="0"/>
    <x v="7"/>
    <x v="0"/>
    <x v="1"/>
    <x v="0"/>
    <x v="1"/>
    <x v="2"/>
    <n v="6"/>
    <x v="0"/>
  </r>
  <r>
    <d v="2025-02-06T00:00:00"/>
    <x v="1"/>
    <x v="1"/>
    <x v="0"/>
    <n v="570543.73"/>
    <x v="1"/>
    <x v="1"/>
    <x v="0"/>
    <x v="4"/>
    <x v="0"/>
    <x v="1"/>
    <x v="0"/>
    <x v="1"/>
    <x v="2"/>
    <n v="6"/>
    <x v="0"/>
  </r>
  <r>
    <d v="2025-02-06T00:00:00"/>
    <x v="2"/>
    <x v="1"/>
    <x v="1"/>
    <n v="179966992.62"/>
    <x v="2"/>
    <x v="1"/>
    <x v="1"/>
    <x v="8"/>
    <x v="0"/>
    <x v="1"/>
    <x v="0"/>
    <x v="1"/>
    <x v="2"/>
    <n v="6"/>
    <x v="0"/>
  </r>
  <r>
    <d v="2025-02-06T00:00:00"/>
    <x v="1"/>
    <x v="0"/>
    <x v="0"/>
    <n v="71657235.859999999"/>
    <x v="1"/>
    <x v="0"/>
    <x v="0"/>
    <x v="9"/>
    <x v="0"/>
    <x v="1"/>
    <x v="0"/>
    <x v="1"/>
    <x v="2"/>
    <n v="6"/>
    <x v="0"/>
  </r>
  <r>
    <d v="2025-02-06T00:00:00"/>
    <x v="1"/>
    <x v="0"/>
    <x v="1"/>
    <n v="460794380.50999999"/>
    <x v="1"/>
    <x v="0"/>
    <x v="1"/>
    <x v="10"/>
    <x v="0"/>
    <x v="1"/>
    <x v="0"/>
    <x v="1"/>
    <x v="2"/>
    <n v="6"/>
    <x v="0"/>
  </r>
  <r>
    <d v="2025-02-06T00:00:00"/>
    <x v="3"/>
    <x v="1"/>
    <x v="0"/>
    <n v="15861989.949999999"/>
    <x v="3"/>
    <x v="1"/>
    <x v="0"/>
    <x v="11"/>
    <x v="0"/>
    <x v="1"/>
    <x v="0"/>
    <x v="1"/>
    <x v="2"/>
    <n v="6"/>
    <x v="0"/>
  </r>
  <r>
    <d v="2025-02-06T00:00:00"/>
    <x v="3"/>
    <x v="2"/>
    <x v="0"/>
    <n v="674505549.52999997"/>
    <x v="3"/>
    <x v="2"/>
    <x v="0"/>
    <x v="12"/>
    <x v="0"/>
    <x v="1"/>
    <x v="0"/>
    <x v="1"/>
    <x v="2"/>
    <n v="6"/>
    <x v="0"/>
  </r>
  <r>
    <d v="2025-02-06T00:00:00"/>
    <x v="3"/>
    <x v="2"/>
    <x v="1"/>
    <n v="5784046810"/>
    <x v="3"/>
    <x v="2"/>
    <x v="1"/>
    <x v="13"/>
    <x v="0"/>
    <x v="1"/>
    <x v="0"/>
    <x v="1"/>
    <x v="2"/>
    <n v="6"/>
    <x v="0"/>
  </r>
  <r>
    <d v="2025-02-05T00:00:00"/>
    <x v="0"/>
    <x v="0"/>
    <x v="0"/>
    <n v="336.88"/>
    <x v="0"/>
    <x v="0"/>
    <x v="0"/>
    <x v="0"/>
    <x v="0"/>
    <x v="1"/>
    <x v="0"/>
    <x v="1"/>
    <x v="2"/>
    <n v="5"/>
    <x v="0"/>
  </r>
  <r>
    <d v="2025-02-05T00:00:00"/>
    <x v="1"/>
    <x v="1"/>
    <x v="0"/>
    <n v="537988.98"/>
    <x v="1"/>
    <x v="1"/>
    <x v="0"/>
    <x v="1"/>
    <x v="0"/>
    <x v="1"/>
    <x v="0"/>
    <x v="1"/>
    <x v="2"/>
    <n v="5"/>
    <x v="0"/>
  </r>
  <r>
    <d v="2025-02-05T00:00:00"/>
    <x v="0"/>
    <x v="1"/>
    <x v="0"/>
    <n v="15324324.15"/>
    <x v="0"/>
    <x v="1"/>
    <x v="0"/>
    <x v="2"/>
    <x v="0"/>
    <x v="1"/>
    <x v="0"/>
    <x v="1"/>
    <x v="2"/>
    <n v="5"/>
    <x v="0"/>
  </r>
  <r>
    <d v="2025-02-05T00:00:00"/>
    <x v="3"/>
    <x v="2"/>
    <x v="2"/>
    <n v="202769.99"/>
    <x v="3"/>
    <x v="2"/>
    <x v="2"/>
    <x v="5"/>
    <x v="0"/>
    <x v="1"/>
    <x v="0"/>
    <x v="1"/>
    <x v="2"/>
    <n v="5"/>
    <x v="0"/>
  </r>
  <r>
    <d v="2025-02-05T00:00:00"/>
    <x v="2"/>
    <x v="1"/>
    <x v="0"/>
    <n v="108133997.02"/>
    <x v="2"/>
    <x v="1"/>
    <x v="0"/>
    <x v="6"/>
    <x v="0"/>
    <x v="1"/>
    <x v="0"/>
    <x v="1"/>
    <x v="2"/>
    <n v="5"/>
    <x v="0"/>
  </r>
  <r>
    <d v="2025-02-05T00:00:00"/>
    <x v="0"/>
    <x v="1"/>
    <x v="1"/>
    <n v="752597.89"/>
    <x v="0"/>
    <x v="1"/>
    <x v="1"/>
    <x v="3"/>
    <x v="0"/>
    <x v="1"/>
    <x v="0"/>
    <x v="1"/>
    <x v="2"/>
    <n v="5"/>
    <x v="0"/>
  </r>
  <r>
    <d v="2025-02-05T00:00:00"/>
    <x v="2"/>
    <x v="1"/>
    <x v="2"/>
    <n v="23212.1"/>
    <x v="2"/>
    <x v="1"/>
    <x v="2"/>
    <x v="4"/>
    <x v="0"/>
    <x v="1"/>
    <x v="0"/>
    <x v="1"/>
    <x v="2"/>
    <n v="5"/>
    <x v="0"/>
  </r>
  <r>
    <d v="2025-02-05T00:00:00"/>
    <x v="3"/>
    <x v="3"/>
    <x v="0"/>
    <n v="1844389314.1500001"/>
    <x v="3"/>
    <x v="3"/>
    <x v="0"/>
    <x v="7"/>
    <x v="0"/>
    <x v="1"/>
    <x v="0"/>
    <x v="1"/>
    <x v="2"/>
    <n v="5"/>
    <x v="0"/>
  </r>
  <r>
    <d v="2025-02-05T00:00:00"/>
    <x v="2"/>
    <x v="1"/>
    <x v="1"/>
    <n v="207600723.12"/>
    <x v="2"/>
    <x v="1"/>
    <x v="1"/>
    <x v="8"/>
    <x v="0"/>
    <x v="1"/>
    <x v="0"/>
    <x v="1"/>
    <x v="2"/>
    <n v="5"/>
    <x v="0"/>
  </r>
  <r>
    <d v="2025-02-05T00:00:00"/>
    <x v="1"/>
    <x v="0"/>
    <x v="0"/>
    <n v="115713304"/>
    <x v="1"/>
    <x v="0"/>
    <x v="0"/>
    <x v="9"/>
    <x v="0"/>
    <x v="1"/>
    <x v="0"/>
    <x v="1"/>
    <x v="2"/>
    <n v="5"/>
    <x v="0"/>
  </r>
  <r>
    <d v="2025-02-05T00:00:00"/>
    <x v="1"/>
    <x v="0"/>
    <x v="1"/>
    <n v="1210979041.6500001"/>
    <x v="1"/>
    <x v="0"/>
    <x v="1"/>
    <x v="10"/>
    <x v="0"/>
    <x v="1"/>
    <x v="0"/>
    <x v="1"/>
    <x v="2"/>
    <n v="5"/>
    <x v="0"/>
  </r>
  <r>
    <d v="2025-02-05T00:00:00"/>
    <x v="3"/>
    <x v="1"/>
    <x v="0"/>
    <n v="16806829.93"/>
    <x v="3"/>
    <x v="1"/>
    <x v="0"/>
    <x v="11"/>
    <x v="0"/>
    <x v="1"/>
    <x v="0"/>
    <x v="1"/>
    <x v="2"/>
    <n v="5"/>
    <x v="0"/>
  </r>
  <r>
    <d v="2025-02-05T00:00:00"/>
    <x v="3"/>
    <x v="2"/>
    <x v="0"/>
    <n v="647020052.82000005"/>
    <x v="3"/>
    <x v="2"/>
    <x v="0"/>
    <x v="12"/>
    <x v="0"/>
    <x v="1"/>
    <x v="0"/>
    <x v="1"/>
    <x v="2"/>
    <n v="5"/>
    <x v="0"/>
  </r>
  <r>
    <d v="2025-02-05T00:00:00"/>
    <x v="3"/>
    <x v="2"/>
    <x v="1"/>
    <n v="13634574683.32"/>
    <x v="3"/>
    <x v="2"/>
    <x v="1"/>
    <x v="13"/>
    <x v="0"/>
    <x v="1"/>
    <x v="0"/>
    <x v="1"/>
    <x v="2"/>
    <n v="5"/>
    <x v="0"/>
  </r>
  <r>
    <d v="2025-02-04T00:00:00"/>
    <x v="3"/>
    <x v="3"/>
    <x v="2"/>
    <n v="109"/>
    <x v="3"/>
    <x v="3"/>
    <x v="2"/>
    <x v="2"/>
    <x v="0"/>
    <x v="1"/>
    <x v="0"/>
    <x v="1"/>
    <x v="2"/>
    <n v="4"/>
    <x v="0"/>
  </r>
  <r>
    <d v="2025-02-04T00:00:00"/>
    <x v="2"/>
    <x v="1"/>
    <x v="2"/>
    <n v="34045.01"/>
    <x v="2"/>
    <x v="1"/>
    <x v="2"/>
    <x v="3"/>
    <x v="0"/>
    <x v="1"/>
    <x v="0"/>
    <x v="1"/>
    <x v="2"/>
    <n v="4"/>
    <x v="0"/>
  </r>
  <r>
    <d v="2025-02-04T00:00:00"/>
    <x v="0"/>
    <x v="0"/>
    <x v="0"/>
    <n v="1165"/>
    <x v="0"/>
    <x v="0"/>
    <x v="0"/>
    <x v="0"/>
    <x v="0"/>
    <x v="1"/>
    <x v="0"/>
    <x v="1"/>
    <x v="2"/>
    <n v="4"/>
    <x v="0"/>
  </r>
  <r>
    <d v="2025-02-04T00:00:00"/>
    <x v="0"/>
    <x v="1"/>
    <x v="0"/>
    <n v="8174130.7800000003"/>
    <x v="0"/>
    <x v="1"/>
    <x v="0"/>
    <x v="1"/>
    <x v="0"/>
    <x v="1"/>
    <x v="0"/>
    <x v="1"/>
    <x v="2"/>
    <n v="4"/>
    <x v="0"/>
  </r>
  <r>
    <d v="2025-02-04T00:00:00"/>
    <x v="3"/>
    <x v="2"/>
    <x v="2"/>
    <n v="218302"/>
    <x v="3"/>
    <x v="2"/>
    <x v="2"/>
    <x v="6"/>
    <x v="0"/>
    <x v="1"/>
    <x v="0"/>
    <x v="1"/>
    <x v="2"/>
    <n v="4"/>
    <x v="0"/>
  </r>
  <r>
    <d v="2025-02-04T00:00:00"/>
    <x v="2"/>
    <x v="1"/>
    <x v="0"/>
    <n v="186504743.78999999"/>
    <x v="2"/>
    <x v="1"/>
    <x v="0"/>
    <x v="7"/>
    <x v="0"/>
    <x v="1"/>
    <x v="0"/>
    <x v="1"/>
    <x v="2"/>
    <n v="4"/>
    <x v="0"/>
  </r>
  <r>
    <d v="2025-02-04T00:00:00"/>
    <x v="0"/>
    <x v="1"/>
    <x v="1"/>
    <n v="15568016.24"/>
    <x v="0"/>
    <x v="1"/>
    <x v="1"/>
    <x v="4"/>
    <x v="0"/>
    <x v="1"/>
    <x v="0"/>
    <x v="1"/>
    <x v="2"/>
    <n v="4"/>
    <x v="0"/>
  </r>
  <r>
    <d v="2025-02-04T00:00:00"/>
    <x v="1"/>
    <x v="1"/>
    <x v="0"/>
    <n v="1262716.47"/>
    <x v="1"/>
    <x v="1"/>
    <x v="0"/>
    <x v="5"/>
    <x v="0"/>
    <x v="1"/>
    <x v="0"/>
    <x v="1"/>
    <x v="2"/>
    <n v="4"/>
    <x v="0"/>
  </r>
  <r>
    <d v="2025-02-04T00:00:00"/>
    <x v="3"/>
    <x v="3"/>
    <x v="0"/>
    <n v="6638836417.6300001"/>
    <x v="3"/>
    <x v="3"/>
    <x v="0"/>
    <x v="8"/>
    <x v="0"/>
    <x v="1"/>
    <x v="0"/>
    <x v="1"/>
    <x v="2"/>
    <n v="4"/>
    <x v="0"/>
  </r>
  <r>
    <d v="2025-02-04T00:00:00"/>
    <x v="2"/>
    <x v="1"/>
    <x v="1"/>
    <n v="188076893.65000001"/>
    <x v="2"/>
    <x v="1"/>
    <x v="1"/>
    <x v="9"/>
    <x v="0"/>
    <x v="1"/>
    <x v="0"/>
    <x v="1"/>
    <x v="2"/>
    <n v="4"/>
    <x v="0"/>
  </r>
  <r>
    <d v="2025-02-04T00:00:00"/>
    <x v="1"/>
    <x v="0"/>
    <x v="0"/>
    <n v="94449751.099999994"/>
    <x v="1"/>
    <x v="0"/>
    <x v="0"/>
    <x v="10"/>
    <x v="0"/>
    <x v="1"/>
    <x v="0"/>
    <x v="1"/>
    <x v="2"/>
    <n v="4"/>
    <x v="0"/>
  </r>
  <r>
    <d v="2025-02-04T00:00:00"/>
    <x v="1"/>
    <x v="0"/>
    <x v="1"/>
    <n v="652269482.27999997"/>
    <x v="1"/>
    <x v="0"/>
    <x v="1"/>
    <x v="11"/>
    <x v="0"/>
    <x v="1"/>
    <x v="0"/>
    <x v="1"/>
    <x v="2"/>
    <n v="4"/>
    <x v="0"/>
  </r>
  <r>
    <d v="2025-02-04T00:00:00"/>
    <x v="3"/>
    <x v="1"/>
    <x v="0"/>
    <n v="15779586.949999999"/>
    <x v="3"/>
    <x v="1"/>
    <x v="0"/>
    <x v="12"/>
    <x v="0"/>
    <x v="1"/>
    <x v="0"/>
    <x v="1"/>
    <x v="2"/>
    <n v="4"/>
    <x v="0"/>
  </r>
  <r>
    <d v="2025-02-04T00:00:00"/>
    <x v="3"/>
    <x v="2"/>
    <x v="0"/>
    <n v="778797298.20000005"/>
    <x v="3"/>
    <x v="2"/>
    <x v="0"/>
    <x v="13"/>
    <x v="0"/>
    <x v="1"/>
    <x v="0"/>
    <x v="1"/>
    <x v="2"/>
    <n v="4"/>
    <x v="0"/>
  </r>
  <r>
    <d v="2025-02-04T00:00:00"/>
    <x v="3"/>
    <x v="2"/>
    <x v="1"/>
    <n v="7095506033.8100004"/>
    <x v="3"/>
    <x v="2"/>
    <x v="1"/>
    <x v="14"/>
    <x v="0"/>
    <x v="1"/>
    <x v="0"/>
    <x v="1"/>
    <x v="2"/>
    <n v="4"/>
    <x v="0"/>
  </r>
  <r>
    <d v="2025-02-03T00:00:00"/>
    <x v="0"/>
    <x v="1"/>
    <x v="0"/>
    <n v="15842878.1"/>
    <x v="0"/>
    <x v="1"/>
    <x v="0"/>
    <x v="2"/>
    <x v="0"/>
    <x v="1"/>
    <x v="0"/>
    <x v="1"/>
    <x v="2"/>
    <n v="3"/>
    <x v="0"/>
  </r>
  <r>
    <d v="2025-02-03T00:00:00"/>
    <x v="2"/>
    <x v="1"/>
    <x v="2"/>
    <n v="544973.96"/>
    <x v="2"/>
    <x v="1"/>
    <x v="2"/>
    <x v="4"/>
    <x v="0"/>
    <x v="1"/>
    <x v="0"/>
    <x v="1"/>
    <x v="2"/>
    <n v="3"/>
    <x v="0"/>
  </r>
  <r>
    <d v="2025-02-03T00:00:00"/>
    <x v="1"/>
    <x v="1"/>
    <x v="0"/>
    <n v="189781.04"/>
    <x v="1"/>
    <x v="1"/>
    <x v="0"/>
    <x v="1"/>
    <x v="0"/>
    <x v="1"/>
    <x v="0"/>
    <x v="1"/>
    <x v="2"/>
    <n v="3"/>
    <x v="0"/>
  </r>
  <r>
    <d v="2025-02-03T00:00:00"/>
    <x v="0"/>
    <x v="0"/>
    <x v="0"/>
    <n v="355"/>
    <x v="0"/>
    <x v="0"/>
    <x v="0"/>
    <x v="0"/>
    <x v="0"/>
    <x v="1"/>
    <x v="0"/>
    <x v="1"/>
    <x v="2"/>
    <n v="3"/>
    <x v="0"/>
  </r>
  <r>
    <d v="2025-02-03T00:00:00"/>
    <x v="3"/>
    <x v="2"/>
    <x v="2"/>
    <n v="432563.28"/>
    <x v="3"/>
    <x v="2"/>
    <x v="2"/>
    <x v="7"/>
    <x v="0"/>
    <x v="1"/>
    <x v="0"/>
    <x v="1"/>
    <x v="2"/>
    <n v="3"/>
    <x v="0"/>
  </r>
  <r>
    <d v="2025-02-03T00:00:00"/>
    <x v="3"/>
    <x v="3"/>
    <x v="2"/>
    <n v="1316.2"/>
    <x v="3"/>
    <x v="3"/>
    <x v="2"/>
    <x v="3"/>
    <x v="0"/>
    <x v="1"/>
    <x v="0"/>
    <x v="1"/>
    <x v="2"/>
    <n v="3"/>
    <x v="0"/>
  </r>
  <r>
    <d v="2025-02-03T00:00:00"/>
    <x v="3"/>
    <x v="3"/>
    <x v="1"/>
    <n v="5522.45"/>
    <x v="3"/>
    <x v="3"/>
    <x v="1"/>
    <x v="5"/>
    <x v="0"/>
    <x v="1"/>
    <x v="0"/>
    <x v="1"/>
    <x v="2"/>
    <n v="3"/>
    <x v="0"/>
  </r>
  <r>
    <d v="2025-02-03T00:00:00"/>
    <x v="0"/>
    <x v="1"/>
    <x v="1"/>
    <n v="3151185.84"/>
    <x v="0"/>
    <x v="1"/>
    <x v="1"/>
    <x v="6"/>
    <x v="0"/>
    <x v="1"/>
    <x v="0"/>
    <x v="1"/>
    <x v="2"/>
    <n v="3"/>
    <x v="0"/>
  </r>
  <r>
    <d v="2025-02-03T00:00:00"/>
    <x v="3"/>
    <x v="3"/>
    <x v="0"/>
    <n v="3996270297.0500002"/>
    <x v="3"/>
    <x v="3"/>
    <x v="0"/>
    <x v="8"/>
    <x v="0"/>
    <x v="1"/>
    <x v="0"/>
    <x v="1"/>
    <x v="2"/>
    <n v="3"/>
    <x v="0"/>
  </r>
  <r>
    <d v="2025-02-03T00:00:00"/>
    <x v="2"/>
    <x v="1"/>
    <x v="1"/>
    <n v="204876085"/>
    <x v="2"/>
    <x v="1"/>
    <x v="1"/>
    <x v="10"/>
    <x v="0"/>
    <x v="1"/>
    <x v="0"/>
    <x v="1"/>
    <x v="2"/>
    <n v="3"/>
    <x v="0"/>
  </r>
  <r>
    <d v="2025-02-03T00:00:00"/>
    <x v="2"/>
    <x v="1"/>
    <x v="0"/>
    <n v="91280110.790000007"/>
    <x v="2"/>
    <x v="1"/>
    <x v="0"/>
    <x v="9"/>
    <x v="0"/>
    <x v="1"/>
    <x v="0"/>
    <x v="1"/>
    <x v="2"/>
    <n v="3"/>
    <x v="0"/>
  </r>
  <r>
    <d v="2025-02-03T00:00:00"/>
    <x v="1"/>
    <x v="0"/>
    <x v="0"/>
    <n v="73684226.670000002"/>
    <x v="1"/>
    <x v="0"/>
    <x v="0"/>
    <x v="11"/>
    <x v="0"/>
    <x v="1"/>
    <x v="0"/>
    <x v="1"/>
    <x v="2"/>
    <n v="3"/>
    <x v="0"/>
  </r>
  <r>
    <d v="2025-02-03T00:00:00"/>
    <x v="1"/>
    <x v="0"/>
    <x v="1"/>
    <n v="497049271.43000001"/>
    <x v="1"/>
    <x v="0"/>
    <x v="1"/>
    <x v="12"/>
    <x v="0"/>
    <x v="1"/>
    <x v="0"/>
    <x v="1"/>
    <x v="2"/>
    <n v="3"/>
    <x v="0"/>
  </r>
  <r>
    <d v="2025-02-03T00:00:00"/>
    <x v="3"/>
    <x v="2"/>
    <x v="0"/>
    <n v="1467035113.1500001"/>
    <x v="3"/>
    <x v="2"/>
    <x v="0"/>
    <x v="13"/>
    <x v="0"/>
    <x v="1"/>
    <x v="0"/>
    <x v="1"/>
    <x v="2"/>
    <n v="3"/>
    <x v="0"/>
  </r>
  <r>
    <d v="2025-02-03T00:00:00"/>
    <x v="3"/>
    <x v="1"/>
    <x v="0"/>
    <n v="59240769.619999997"/>
    <x v="3"/>
    <x v="1"/>
    <x v="0"/>
    <x v="14"/>
    <x v="0"/>
    <x v="1"/>
    <x v="0"/>
    <x v="1"/>
    <x v="2"/>
    <n v="3"/>
    <x v="0"/>
  </r>
  <r>
    <d v="2025-02-03T00:00:00"/>
    <x v="3"/>
    <x v="2"/>
    <x v="1"/>
    <n v="63176579640.870003"/>
    <x v="3"/>
    <x v="2"/>
    <x v="1"/>
    <x v="15"/>
    <x v="0"/>
    <x v="1"/>
    <x v="0"/>
    <x v="1"/>
    <x v="2"/>
    <n v="3"/>
    <x v="0"/>
  </r>
  <r>
    <d v="2025-01-31T00:00:00"/>
    <x v="2"/>
    <x v="1"/>
    <x v="2"/>
    <n v="73381.350000000006"/>
    <x v="2"/>
    <x v="1"/>
    <x v="2"/>
    <x v="2"/>
    <x v="0"/>
    <x v="1"/>
    <x v="0"/>
    <x v="1"/>
    <x v="3"/>
    <n v="31"/>
    <x v="0"/>
  </r>
  <r>
    <d v="2025-01-31T00:00:00"/>
    <x v="0"/>
    <x v="1"/>
    <x v="0"/>
    <n v="6528481.8799999999"/>
    <x v="0"/>
    <x v="1"/>
    <x v="0"/>
    <x v="0"/>
    <x v="0"/>
    <x v="1"/>
    <x v="0"/>
    <x v="1"/>
    <x v="3"/>
    <n v="31"/>
    <x v="0"/>
  </r>
  <r>
    <d v="2025-01-31T00:00:00"/>
    <x v="3"/>
    <x v="2"/>
    <x v="2"/>
    <n v="824632"/>
    <x v="3"/>
    <x v="2"/>
    <x v="2"/>
    <x v="6"/>
    <x v="0"/>
    <x v="1"/>
    <x v="0"/>
    <x v="1"/>
    <x v="3"/>
    <n v="31"/>
    <x v="0"/>
  </r>
  <r>
    <d v="2025-01-31T00:00:00"/>
    <x v="3"/>
    <x v="3"/>
    <x v="2"/>
    <n v="50"/>
    <x v="3"/>
    <x v="3"/>
    <x v="2"/>
    <x v="1"/>
    <x v="0"/>
    <x v="1"/>
    <x v="0"/>
    <x v="1"/>
    <x v="3"/>
    <n v="31"/>
    <x v="0"/>
  </r>
  <r>
    <d v="2025-01-31T00:00:00"/>
    <x v="3"/>
    <x v="3"/>
    <x v="1"/>
    <n v="1586721.11"/>
    <x v="3"/>
    <x v="3"/>
    <x v="1"/>
    <x v="3"/>
    <x v="0"/>
    <x v="1"/>
    <x v="0"/>
    <x v="1"/>
    <x v="3"/>
    <n v="31"/>
    <x v="0"/>
  </r>
  <r>
    <d v="2025-01-31T00:00:00"/>
    <x v="0"/>
    <x v="1"/>
    <x v="1"/>
    <n v="4548087.9800000004"/>
    <x v="0"/>
    <x v="1"/>
    <x v="1"/>
    <x v="4"/>
    <x v="0"/>
    <x v="1"/>
    <x v="0"/>
    <x v="1"/>
    <x v="3"/>
    <n v="31"/>
    <x v="0"/>
  </r>
  <r>
    <d v="2025-01-31T00:00:00"/>
    <x v="2"/>
    <x v="1"/>
    <x v="0"/>
    <n v="123892946.51000001"/>
    <x v="2"/>
    <x v="1"/>
    <x v="0"/>
    <x v="7"/>
    <x v="0"/>
    <x v="1"/>
    <x v="0"/>
    <x v="1"/>
    <x v="3"/>
    <n v="31"/>
    <x v="0"/>
  </r>
  <r>
    <d v="2025-01-31T00:00:00"/>
    <x v="1"/>
    <x v="1"/>
    <x v="0"/>
    <n v="521345.41"/>
    <x v="1"/>
    <x v="1"/>
    <x v="0"/>
    <x v="5"/>
    <x v="0"/>
    <x v="1"/>
    <x v="0"/>
    <x v="1"/>
    <x v="3"/>
    <n v="31"/>
    <x v="0"/>
  </r>
  <r>
    <d v="2025-01-31T00:00:00"/>
    <x v="3"/>
    <x v="3"/>
    <x v="0"/>
    <n v="3651189088.3000002"/>
    <x v="3"/>
    <x v="3"/>
    <x v="0"/>
    <x v="8"/>
    <x v="0"/>
    <x v="1"/>
    <x v="0"/>
    <x v="1"/>
    <x v="3"/>
    <n v="31"/>
    <x v="0"/>
  </r>
  <r>
    <d v="2025-01-31T00:00:00"/>
    <x v="2"/>
    <x v="1"/>
    <x v="1"/>
    <n v="105506750.2"/>
    <x v="2"/>
    <x v="1"/>
    <x v="1"/>
    <x v="9"/>
    <x v="0"/>
    <x v="1"/>
    <x v="0"/>
    <x v="1"/>
    <x v="3"/>
    <n v="31"/>
    <x v="0"/>
  </r>
  <r>
    <d v="2025-01-31T00:00:00"/>
    <x v="1"/>
    <x v="0"/>
    <x v="0"/>
    <n v="56425493.789999999"/>
    <x v="1"/>
    <x v="0"/>
    <x v="0"/>
    <x v="10"/>
    <x v="0"/>
    <x v="1"/>
    <x v="0"/>
    <x v="1"/>
    <x v="3"/>
    <n v="31"/>
    <x v="0"/>
  </r>
  <r>
    <d v="2025-01-31T00:00:00"/>
    <x v="1"/>
    <x v="0"/>
    <x v="1"/>
    <n v="1713628946"/>
    <x v="1"/>
    <x v="0"/>
    <x v="1"/>
    <x v="11"/>
    <x v="0"/>
    <x v="1"/>
    <x v="0"/>
    <x v="1"/>
    <x v="3"/>
    <n v="31"/>
    <x v="0"/>
  </r>
  <r>
    <d v="2025-01-31T00:00:00"/>
    <x v="3"/>
    <x v="1"/>
    <x v="0"/>
    <n v="17024158.16"/>
    <x v="3"/>
    <x v="1"/>
    <x v="0"/>
    <x v="12"/>
    <x v="0"/>
    <x v="1"/>
    <x v="0"/>
    <x v="1"/>
    <x v="3"/>
    <n v="31"/>
    <x v="0"/>
  </r>
  <r>
    <d v="2025-01-31T00:00:00"/>
    <x v="3"/>
    <x v="2"/>
    <x v="0"/>
    <n v="1079189026.3199999"/>
    <x v="3"/>
    <x v="2"/>
    <x v="0"/>
    <x v="13"/>
    <x v="0"/>
    <x v="1"/>
    <x v="0"/>
    <x v="1"/>
    <x v="3"/>
    <n v="31"/>
    <x v="0"/>
  </r>
  <r>
    <d v="2025-01-31T00:00:00"/>
    <x v="3"/>
    <x v="2"/>
    <x v="1"/>
    <n v="22101773573.02"/>
    <x v="3"/>
    <x v="2"/>
    <x v="1"/>
    <x v="14"/>
    <x v="0"/>
    <x v="1"/>
    <x v="0"/>
    <x v="1"/>
    <x v="3"/>
    <n v="31"/>
    <x v="0"/>
  </r>
  <r>
    <d v="2025-01-30T00:00:00"/>
    <x v="3"/>
    <x v="2"/>
    <x v="2"/>
    <n v="278255"/>
    <x v="3"/>
    <x v="2"/>
    <x v="2"/>
    <x v="6"/>
    <x v="0"/>
    <x v="1"/>
    <x v="0"/>
    <x v="1"/>
    <x v="3"/>
    <n v="30"/>
    <x v="0"/>
  </r>
  <r>
    <d v="2025-01-30T00:00:00"/>
    <x v="0"/>
    <x v="0"/>
    <x v="0"/>
    <n v="25"/>
    <x v="0"/>
    <x v="0"/>
    <x v="0"/>
    <x v="0"/>
    <x v="0"/>
    <x v="1"/>
    <x v="0"/>
    <x v="1"/>
    <x v="3"/>
    <n v="30"/>
    <x v="0"/>
  </r>
  <r>
    <d v="2025-01-30T00:00:00"/>
    <x v="0"/>
    <x v="1"/>
    <x v="0"/>
    <n v="11245022.1"/>
    <x v="0"/>
    <x v="1"/>
    <x v="0"/>
    <x v="1"/>
    <x v="0"/>
    <x v="1"/>
    <x v="0"/>
    <x v="1"/>
    <x v="3"/>
    <n v="30"/>
    <x v="0"/>
  </r>
  <r>
    <d v="2025-01-30T00:00:00"/>
    <x v="2"/>
    <x v="1"/>
    <x v="2"/>
    <n v="131070"/>
    <x v="2"/>
    <x v="1"/>
    <x v="2"/>
    <x v="2"/>
    <x v="0"/>
    <x v="1"/>
    <x v="0"/>
    <x v="1"/>
    <x v="3"/>
    <n v="30"/>
    <x v="0"/>
  </r>
  <r>
    <d v="2025-01-30T00:00:00"/>
    <x v="2"/>
    <x v="1"/>
    <x v="0"/>
    <n v="125908327.31"/>
    <x v="2"/>
    <x v="1"/>
    <x v="0"/>
    <x v="7"/>
    <x v="0"/>
    <x v="1"/>
    <x v="0"/>
    <x v="1"/>
    <x v="3"/>
    <n v="30"/>
    <x v="0"/>
  </r>
  <r>
    <d v="2025-01-30T00:00:00"/>
    <x v="3"/>
    <x v="3"/>
    <x v="1"/>
    <n v="124918.39999999999"/>
    <x v="3"/>
    <x v="3"/>
    <x v="1"/>
    <x v="3"/>
    <x v="0"/>
    <x v="1"/>
    <x v="0"/>
    <x v="1"/>
    <x v="3"/>
    <n v="30"/>
    <x v="0"/>
  </r>
  <r>
    <d v="2025-01-30T00:00:00"/>
    <x v="0"/>
    <x v="1"/>
    <x v="1"/>
    <n v="4646706.6900000004"/>
    <x v="0"/>
    <x v="1"/>
    <x v="1"/>
    <x v="4"/>
    <x v="0"/>
    <x v="1"/>
    <x v="0"/>
    <x v="1"/>
    <x v="3"/>
    <n v="30"/>
    <x v="0"/>
  </r>
  <r>
    <d v="2025-01-30T00:00:00"/>
    <x v="1"/>
    <x v="1"/>
    <x v="0"/>
    <n v="348937.96"/>
    <x v="1"/>
    <x v="1"/>
    <x v="0"/>
    <x v="5"/>
    <x v="0"/>
    <x v="1"/>
    <x v="0"/>
    <x v="1"/>
    <x v="3"/>
    <n v="30"/>
    <x v="0"/>
  </r>
  <r>
    <d v="2025-01-30T00:00:00"/>
    <x v="3"/>
    <x v="3"/>
    <x v="0"/>
    <n v="2042142382.28"/>
    <x v="3"/>
    <x v="3"/>
    <x v="0"/>
    <x v="8"/>
    <x v="0"/>
    <x v="1"/>
    <x v="0"/>
    <x v="1"/>
    <x v="3"/>
    <n v="30"/>
    <x v="0"/>
  </r>
  <r>
    <d v="2025-01-30T00:00:00"/>
    <x v="2"/>
    <x v="1"/>
    <x v="1"/>
    <n v="272403303.10000002"/>
    <x v="2"/>
    <x v="1"/>
    <x v="1"/>
    <x v="9"/>
    <x v="0"/>
    <x v="1"/>
    <x v="0"/>
    <x v="1"/>
    <x v="3"/>
    <n v="30"/>
    <x v="0"/>
  </r>
  <r>
    <d v="2025-01-30T00:00:00"/>
    <x v="1"/>
    <x v="0"/>
    <x v="0"/>
    <n v="71191018.390000001"/>
    <x v="1"/>
    <x v="0"/>
    <x v="0"/>
    <x v="10"/>
    <x v="0"/>
    <x v="1"/>
    <x v="0"/>
    <x v="1"/>
    <x v="3"/>
    <n v="30"/>
    <x v="0"/>
  </r>
  <r>
    <d v="2025-01-30T00:00:00"/>
    <x v="1"/>
    <x v="0"/>
    <x v="1"/>
    <n v="2815244288.2199998"/>
    <x v="1"/>
    <x v="0"/>
    <x v="1"/>
    <x v="11"/>
    <x v="0"/>
    <x v="1"/>
    <x v="0"/>
    <x v="1"/>
    <x v="3"/>
    <n v="30"/>
    <x v="0"/>
  </r>
  <r>
    <d v="2025-01-30T00:00:00"/>
    <x v="3"/>
    <x v="1"/>
    <x v="0"/>
    <n v="16485715.130000001"/>
    <x v="3"/>
    <x v="1"/>
    <x v="0"/>
    <x v="12"/>
    <x v="0"/>
    <x v="1"/>
    <x v="0"/>
    <x v="1"/>
    <x v="3"/>
    <n v="30"/>
    <x v="0"/>
  </r>
  <r>
    <d v="2025-01-30T00:00:00"/>
    <x v="3"/>
    <x v="2"/>
    <x v="0"/>
    <n v="763615847.13"/>
    <x v="3"/>
    <x v="2"/>
    <x v="0"/>
    <x v="13"/>
    <x v="0"/>
    <x v="1"/>
    <x v="0"/>
    <x v="1"/>
    <x v="3"/>
    <n v="30"/>
    <x v="0"/>
  </r>
  <r>
    <d v="2025-01-30T00:00:00"/>
    <x v="3"/>
    <x v="2"/>
    <x v="1"/>
    <n v="6446524901.3900003"/>
    <x v="3"/>
    <x v="2"/>
    <x v="1"/>
    <x v="14"/>
    <x v="0"/>
    <x v="1"/>
    <x v="0"/>
    <x v="1"/>
    <x v="3"/>
    <n v="30"/>
    <x v="0"/>
  </r>
  <r>
    <d v="2025-01-29T00:00:00"/>
    <x v="0"/>
    <x v="1"/>
    <x v="0"/>
    <n v="9992850.0899999999"/>
    <x v="0"/>
    <x v="1"/>
    <x v="0"/>
    <x v="0"/>
    <x v="0"/>
    <x v="1"/>
    <x v="0"/>
    <x v="1"/>
    <x v="3"/>
    <n v="29"/>
    <x v="0"/>
  </r>
  <r>
    <d v="2025-01-29T00:00:00"/>
    <x v="3"/>
    <x v="2"/>
    <x v="2"/>
    <n v="280587"/>
    <x v="3"/>
    <x v="2"/>
    <x v="2"/>
    <x v="5"/>
    <x v="0"/>
    <x v="1"/>
    <x v="0"/>
    <x v="1"/>
    <x v="3"/>
    <n v="29"/>
    <x v="0"/>
  </r>
  <r>
    <d v="2025-01-29T00:00:00"/>
    <x v="3"/>
    <x v="3"/>
    <x v="1"/>
    <n v="128094.68"/>
    <x v="3"/>
    <x v="3"/>
    <x v="1"/>
    <x v="1"/>
    <x v="0"/>
    <x v="1"/>
    <x v="0"/>
    <x v="1"/>
    <x v="3"/>
    <n v="29"/>
    <x v="0"/>
  </r>
  <r>
    <d v="2025-01-29T00:00:00"/>
    <x v="0"/>
    <x v="1"/>
    <x v="1"/>
    <n v="4165640.87"/>
    <x v="0"/>
    <x v="1"/>
    <x v="1"/>
    <x v="2"/>
    <x v="0"/>
    <x v="1"/>
    <x v="0"/>
    <x v="1"/>
    <x v="3"/>
    <n v="29"/>
    <x v="0"/>
  </r>
  <r>
    <d v="2025-01-29T00:00:00"/>
    <x v="1"/>
    <x v="1"/>
    <x v="0"/>
    <n v="612573.79"/>
    <x v="1"/>
    <x v="1"/>
    <x v="0"/>
    <x v="3"/>
    <x v="0"/>
    <x v="1"/>
    <x v="0"/>
    <x v="1"/>
    <x v="3"/>
    <n v="29"/>
    <x v="0"/>
  </r>
  <r>
    <d v="2025-01-29T00:00:00"/>
    <x v="2"/>
    <x v="1"/>
    <x v="0"/>
    <n v="141263536.47999999"/>
    <x v="2"/>
    <x v="1"/>
    <x v="0"/>
    <x v="6"/>
    <x v="0"/>
    <x v="1"/>
    <x v="0"/>
    <x v="1"/>
    <x v="3"/>
    <n v="29"/>
    <x v="0"/>
  </r>
  <r>
    <d v="2025-01-29T00:00:00"/>
    <x v="3"/>
    <x v="3"/>
    <x v="0"/>
    <n v="1692229612.26"/>
    <x v="3"/>
    <x v="3"/>
    <x v="0"/>
    <x v="7"/>
    <x v="0"/>
    <x v="1"/>
    <x v="0"/>
    <x v="1"/>
    <x v="3"/>
    <n v="29"/>
    <x v="0"/>
  </r>
  <r>
    <d v="2025-01-29T00:00:00"/>
    <x v="2"/>
    <x v="1"/>
    <x v="2"/>
    <n v="85270.17"/>
    <x v="2"/>
    <x v="1"/>
    <x v="2"/>
    <x v="4"/>
    <x v="0"/>
    <x v="1"/>
    <x v="0"/>
    <x v="1"/>
    <x v="3"/>
    <n v="29"/>
    <x v="0"/>
  </r>
  <r>
    <d v="2025-01-29T00:00:00"/>
    <x v="2"/>
    <x v="1"/>
    <x v="1"/>
    <n v="85654524.060000002"/>
    <x v="2"/>
    <x v="1"/>
    <x v="1"/>
    <x v="8"/>
    <x v="0"/>
    <x v="1"/>
    <x v="0"/>
    <x v="1"/>
    <x v="3"/>
    <n v="29"/>
    <x v="0"/>
  </r>
  <r>
    <d v="2025-01-29T00:00:00"/>
    <x v="1"/>
    <x v="0"/>
    <x v="0"/>
    <n v="103456875.75"/>
    <x v="1"/>
    <x v="0"/>
    <x v="0"/>
    <x v="9"/>
    <x v="0"/>
    <x v="1"/>
    <x v="0"/>
    <x v="1"/>
    <x v="3"/>
    <n v="29"/>
    <x v="0"/>
  </r>
  <r>
    <d v="2025-01-29T00:00:00"/>
    <x v="1"/>
    <x v="0"/>
    <x v="1"/>
    <n v="4748581919.9899998"/>
    <x v="1"/>
    <x v="0"/>
    <x v="1"/>
    <x v="10"/>
    <x v="0"/>
    <x v="1"/>
    <x v="0"/>
    <x v="1"/>
    <x v="3"/>
    <n v="29"/>
    <x v="0"/>
  </r>
  <r>
    <d v="2025-01-29T00:00:00"/>
    <x v="3"/>
    <x v="1"/>
    <x v="0"/>
    <n v="15822458.09"/>
    <x v="3"/>
    <x v="1"/>
    <x v="0"/>
    <x v="11"/>
    <x v="0"/>
    <x v="1"/>
    <x v="0"/>
    <x v="1"/>
    <x v="3"/>
    <n v="29"/>
    <x v="0"/>
  </r>
  <r>
    <d v="2025-01-29T00:00:00"/>
    <x v="3"/>
    <x v="2"/>
    <x v="0"/>
    <n v="679141282.54999995"/>
    <x v="3"/>
    <x v="2"/>
    <x v="0"/>
    <x v="12"/>
    <x v="0"/>
    <x v="1"/>
    <x v="0"/>
    <x v="1"/>
    <x v="3"/>
    <n v="29"/>
    <x v="0"/>
  </r>
  <r>
    <d v="2025-01-29T00:00:00"/>
    <x v="3"/>
    <x v="2"/>
    <x v="1"/>
    <n v="15192092832.75"/>
    <x v="3"/>
    <x v="2"/>
    <x v="1"/>
    <x v="13"/>
    <x v="0"/>
    <x v="1"/>
    <x v="0"/>
    <x v="1"/>
    <x v="3"/>
    <n v="29"/>
    <x v="0"/>
  </r>
  <r>
    <d v="2025-01-28T00:00:00"/>
    <x v="0"/>
    <x v="1"/>
    <x v="1"/>
    <n v="10420374.83"/>
    <x v="0"/>
    <x v="1"/>
    <x v="1"/>
    <x v="5"/>
    <x v="0"/>
    <x v="1"/>
    <x v="0"/>
    <x v="1"/>
    <x v="3"/>
    <n v="28"/>
    <x v="0"/>
  </r>
  <r>
    <d v="2025-01-28T00:00:00"/>
    <x v="0"/>
    <x v="0"/>
    <x v="0"/>
    <n v="317.37"/>
    <x v="0"/>
    <x v="0"/>
    <x v="0"/>
    <x v="0"/>
    <x v="0"/>
    <x v="1"/>
    <x v="0"/>
    <x v="1"/>
    <x v="3"/>
    <n v="28"/>
    <x v="0"/>
  </r>
  <r>
    <d v="2025-01-28T00:00:00"/>
    <x v="1"/>
    <x v="1"/>
    <x v="0"/>
    <n v="249401.57"/>
    <x v="1"/>
    <x v="1"/>
    <x v="0"/>
    <x v="1"/>
    <x v="0"/>
    <x v="1"/>
    <x v="0"/>
    <x v="1"/>
    <x v="3"/>
    <n v="28"/>
    <x v="0"/>
  </r>
  <r>
    <d v="2025-01-28T00:00:00"/>
    <x v="0"/>
    <x v="1"/>
    <x v="0"/>
    <n v="18139851.440000001"/>
    <x v="0"/>
    <x v="1"/>
    <x v="0"/>
    <x v="2"/>
    <x v="0"/>
    <x v="1"/>
    <x v="0"/>
    <x v="1"/>
    <x v="3"/>
    <n v="28"/>
    <x v="0"/>
  </r>
  <r>
    <d v="2025-01-28T00:00:00"/>
    <x v="3"/>
    <x v="2"/>
    <x v="2"/>
    <n v="338915"/>
    <x v="3"/>
    <x v="2"/>
    <x v="2"/>
    <x v="6"/>
    <x v="0"/>
    <x v="1"/>
    <x v="0"/>
    <x v="1"/>
    <x v="3"/>
    <n v="28"/>
    <x v="0"/>
  </r>
  <r>
    <d v="2025-01-28T00:00:00"/>
    <x v="2"/>
    <x v="1"/>
    <x v="2"/>
    <n v="46128.79"/>
    <x v="2"/>
    <x v="1"/>
    <x v="2"/>
    <x v="3"/>
    <x v="0"/>
    <x v="1"/>
    <x v="0"/>
    <x v="1"/>
    <x v="3"/>
    <n v="28"/>
    <x v="0"/>
  </r>
  <r>
    <d v="2025-01-28T00:00:00"/>
    <x v="2"/>
    <x v="1"/>
    <x v="0"/>
    <n v="98632591.829999998"/>
    <x v="2"/>
    <x v="1"/>
    <x v="0"/>
    <x v="7"/>
    <x v="0"/>
    <x v="1"/>
    <x v="0"/>
    <x v="1"/>
    <x v="3"/>
    <n v="28"/>
    <x v="0"/>
  </r>
  <r>
    <d v="2025-01-28T00:00:00"/>
    <x v="3"/>
    <x v="3"/>
    <x v="1"/>
    <n v="51902.66"/>
    <x v="3"/>
    <x v="3"/>
    <x v="1"/>
    <x v="4"/>
    <x v="0"/>
    <x v="1"/>
    <x v="0"/>
    <x v="1"/>
    <x v="3"/>
    <n v="28"/>
    <x v="0"/>
  </r>
  <r>
    <d v="2025-01-28T00:00:00"/>
    <x v="2"/>
    <x v="1"/>
    <x v="1"/>
    <n v="333665165.56999999"/>
    <x v="2"/>
    <x v="1"/>
    <x v="1"/>
    <x v="9"/>
    <x v="0"/>
    <x v="1"/>
    <x v="0"/>
    <x v="1"/>
    <x v="3"/>
    <n v="28"/>
    <x v="0"/>
  </r>
  <r>
    <d v="2025-01-28T00:00:00"/>
    <x v="3"/>
    <x v="3"/>
    <x v="0"/>
    <n v="1954484414.3499999"/>
    <x v="3"/>
    <x v="3"/>
    <x v="0"/>
    <x v="8"/>
    <x v="0"/>
    <x v="1"/>
    <x v="0"/>
    <x v="1"/>
    <x v="3"/>
    <n v="28"/>
    <x v="0"/>
  </r>
  <r>
    <d v="2025-01-28T00:00:00"/>
    <x v="1"/>
    <x v="0"/>
    <x v="0"/>
    <n v="100586858.36"/>
    <x v="1"/>
    <x v="0"/>
    <x v="0"/>
    <x v="10"/>
    <x v="0"/>
    <x v="1"/>
    <x v="0"/>
    <x v="1"/>
    <x v="3"/>
    <n v="28"/>
    <x v="0"/>
  </r>
  <r>
    <d v="2025-01-28T00:00:00"/>
    <x v="1"/>
    <x v="0"/>
    <x v="1"/>
    <n v="2882731330.52"/>
    <x v="1"/>
    <x v="0"/>
    <x v="1"/>
    <x v="11"/>
    <x v="0"/>
    <x v="1"/>
    <x v="0"/>
    <x v="1"/>
    <x v="3"/>
    <n v="28"/>
    <x v="0"/>
  </r>
  <r>
    <d v="2025-01-28T00:00:00"/>
    <x v="3"/>
    <x v="1"/>
    <x v="0"/>
    <n v="14243344.539999999"/>
    <x v="3"/>
    <x v="1"/>
    <x v="0"/>
    <x v="12"/>
    <x v="0"/>
    <x v="1"/>
    <x v="0"/>
    <x v="1"/>
    <x v="3"/>
    <n v="28"/>
    <x v="0"/>
  </r>
  <r>
    <d v="2025-01-28T00:00:00"/>
    <x v="3"/>
    <x v="2"/>
    <x v="0"/>
    <n v="856828347.73000002"/>
    <x v="3"/>
    <x v="2"/>
    <x v="0"/>
    <x v="13"/>
    <x v="0"/>
    <x v="1"/>
    <x v="0"/>
    <x v="1"/>
    <x v="3"/>
    <n v="28"/>
    <x v="0"/>
  </r>
  <r>
    <d v="2025-01-28T00:00:00"/>
    <x v="3"/>
    <x v="2"/>
    <x v="1"/>
    <n v="4023093560.5"/>
    <x v="3"/>
    <x v="2"/>
    <x v="1"/>
    <x v="14"/>
    <x v="0"/>
    <x v="1"/>
    <x v="0"/>
    <x v="1"/>
    <x v="3"/>
    <n v="28"/>
    <x v="0"/>
  </r>
  <r>
    <d v="2025-01-27T00:00:00"/>
    <x v="0"/>
    <x v="0"/>
    <x v="0"/>
    <n v="9110.5"/>
    <x v="0"/>
    <x v="0"/>
    <x v="0"/>
    <x v="0"/>
    <x v="0"/>
    <x v="1"/>
    <x v="0"/>
    <x v="1"/>
    <x v="3"/>
    <n v="27"/>
    <x v="0"/>
  </r>
  <r>
    <d v="2025-01-27T00:00:00"/>
    <x v="1"/>
    <x v="1"/>
    <x v="0"/>
    <n v="448816.95"/>
    <x v="1"/>
    <x v="1"/>
    <x v="0"/>
    <x v="1"/>
    <x v="0"/>
    <x v="1"/>
    <x v="0"/>
    <x v="1"/>
    <x v="3"/>
    <n v="27"/>
    <x v="0"/>
  </r>
  <r>
    <d v="2025-01-27T00:00:00"/>
    <x v="0"/>
    <x v="1"/>
    <x v="0"/>
    <n v="20919854.91"/>
    <x v="0"/>
    <x v="1"/>
    <x v="0"/>
    <x v="2"/>
    <x v="0"/>
    <x v="1"/>
    <x v="0"/>
    <x v="1"/>
    <x v="3"/>
    <n v="27"/>
    <x v="0"/>
  </r>
  <r>
    <d v="2025-01-27T00:00:00"/>
    <x v="3"/>
    <x v="2"/>
    <x v="2"/>
    <n v="348369.08"/>
    <x v="3"/>
    <x v="2"/>
    <x v="2"/>
    <x v="6"/>
    <x v="0"/>
    <x v="1"/>
    <x v="0"/>
    <x v="1"/>
    <x v="3"/>
    <n v="27"/>
    <x v="0"/>
  </r>
  <r>
    <d v="2025-01-27T00:00:00"/>
    <x v="3"/>
    <x v="3"/>
    <x v="2"/>
    <n v="20"/>
    <x v="3"/>
    <x v="3"/>
    <x v="2"/>
    <x v="3"/>
    <x v="0"/>
    <x v="1"/>
    <x v="0"/>
    <x v="1"/>
    <x v="3"/>
    <n v="27"/>
    <x v="0"/>
  </r>
  <r>
    <d v="2025-01-27T00:00:00"/>
    <x v="2"/>
    <x v="1"/>
    <x v="0"/>
    <n v="71393471.909999996"/>
    <x v="2"/>
    <x v="1"/>
    <x v="0"/>
    <x v="7"/>
    <x v="0"/>
    <x v="1"/>
    <x v="0"/>
    <x v="1"/>
    <x v="3"/>
    <n v="27"/>
    <x v="0"/>
  </r>
  <r>
    <d v="2025-01-27T00:00:00"/>
    <x v="0"/>
    <x v="1"/>
    <x v="1"/>
    <n v="10302883.779999999"/>
    <x v="0"/>
    <x v="1"/>
    <x v="1"/>
    <x v="4"/>
    <x v="0"/>
    <x v="1"/>
    <x v="0"/>
    <x v="1"/>
    <x v="3"/>
    <n v="27"/>
    <x v="0"/>
  </r>
  <r>
    <d v="2025-01-27T00:00:00"/>
    <x v="3"/>
    <x v="3"/>
    <x v="0"/>
    <n v="1745711954.73"/>
    <x v="3"/>
    <x v="3"/>
    <x v="0"/>
    <x v="8"/>
    <x v="0"/>
    <x v="1"/>
    <x v="0"/>
    <x v="1"/>
    <x v="3"/>
    <n v="27"/>
    <x v="0"/>
  </r>
  <r>
    <d v="2025-01-27T00:00:00"/>
    <x v="2"/>
    <x v="1"/>
    <x v="2"/>
    <n v="12379.05"/>
    <x v="2"/>
    <x v="1"/>
    <x v="2"/>
    <x v="5"/>
    <x v="0"/>
    <x v="1"/>
    <x v="0"/>
    <x v="1"/>
    <x v="3"/>
    <n v="27"/>
    <x v="0"/>
  </r>
  <r>
    <d v="2025-01-27T00:00:00"/>
    <x v="2"/>
    <x v="1"/>
    <x v="1"/>
    <n v="353392177.29000002"/>
    <x v="2"/>
    <x v="1"/>
    <x v="1"/>
    <x v="9"/>
    <x v="0"/>
    <x v="1"/>
    <x v="0"/>
    <x v="1"/>
    <x v="3"/>
    <n v="27"/>
    <x v="0"/>
  </r>
  <r>
    <d v="2025-01-27T00:00:00"/>
    <x v="1"/>
    <x v="0"/>
    <x v="0"/>
    <n v="81683743.579999998"/>
    <x v="1"/>
    <x v="0"/>
    <x v="0"/>
    <x v="10"/>
    <x v="0"/>
    <x v="1"/>
    <x v="0"/>
    <x v="1"/>
    <x v="3"/>
    <n v="27"/>
    <x v="0"/>
  </r>
  <r>
    <d v="2025-01-27T00:00:00"/>
    <x v="1"/>
    <x v="0"/>
    <x v="1"/>
    <n v="5116866524.46"/>
    <x v="1"/>
    <x v="0"/>
    <x v="1"/>
    <x v="11"/>
    <x v="0"/>
    <x v="1"/>
    <x v="0"/>
    <x v="1"/>
    <x v="3"/>
    <n v="27"/>
    <x v="0"/>
  </r>
  <r>
    <d v="2025-01-27T00:00:00"/>
    <x v="3"/>
    <x v="1"/>
    <x v="0"/>
    <n v="51471101.380000003"/>
    <x v="3"/>
    <x v="1"/>
    <x v="0"/>
    <x v="12"/>
    <x v="0"/>
    <x v="1"/>
    <x v="0"/>
    <x v="1"/>
    <x v="3"/>
    <n v="27"/>
    <x v="0"/>
  </r>
  <r>
    <d v="2025-01-27T00:00:00"/>
    <x v="3"/>
    <x v="2"/>
    <x v="0"/>
    <n v="6364646720.1199999"/>
    <x v="3"/>
    <x v="2"/>
    <x v="0"/>
    <x v="13"/>
    <x v="0"/>
    <x v="1"/>
    <x v="0"/>
    <x v="1"/>
    <x v="3"/>
    <n v="27"/>
    <x v="0"/>
  </r>
  <r>
    <d v="2025-01-27T00:00:00"/>
    <x v="3"/>
    <x v="2"/>
    <x v="1"/>
    <n v="27005797770.490002"/>
    <x v="3"/>
    <x v="2"/>
    <x v="1"/>
    <x v="14"/>
    <x v="0"/>
    <x v="1"/>
    <x v="0"/>
    <x v="1"/>
    <x v="3"/>
    <n v="27"/>
    <x v="0"/>
  </r>
  <r>
    <d v="2025-01-24T00:00:00"/>
    <x v="0"/>
    <x v="0"/>
    <x v="0"/>
    <n v="309.05"/>
    <x v="0"/>
    <x v="0"/>
    <x v="0"/>
    <x v="0"/>
    <x v="0"/>
    <x v="1"/>
    <x v="0"/>
    <x v="1"/>
    <x v="3"/>
    <n v="24"/>
    <x v="0"/>
  </r>
  <r>
    <d v="2025-01-24T00:00:00"/>
    <x v="0"/>
    <x v="1"/>
    <x v="0"/>
    <n v="42994496.460000001"/>
    <x v="0"/>
    <x v="1"/>
    <x v="0"/>
    <x v="1"/>
    <x v="0"/>
    <x v="1"/>
    <x v="0"/>
    <x v="1"/>
    <x v="3"/>
    <n v="24"/>
    <x v="0"/>
  </r>
  <r>
    <d v="2025-01-24T00:00:00"/>
    <x v="3"/>
    <x v="2"/>
    <x v="2"/>
    <n v="234359.36"/>
    <x v="3"/>
    <x v="2"/>
    <x v="2"/>
    <x v="5"/>
    <x v="0"/>
    <x v="1"/>
    <x v="0"/>
    <x v="1"/>
    <x v="3"/>
    <n v="24"/>
    <x v="0"/>
  </r>
  <r>
    <d v="2025-01-24T00:00:00"/>
    <x v="2"/>
    <x v="1"/>
    <x v="2"/>
    <n v="58578.5"/>
    <x v="2"/>
    <x v="1"/>
    <x v="2"/>
    <x v="2"/>
    <x v="0"/>
    <x v="1"/>
    <x v="0"/>
    <x v="1"/>
    <x v="3"/>
    <n v="24"/>
    <x v="0"/>
  </r>
  <r>
    <d v="2025-01-24T00:00:00"/>
    <x v="2"/>
    <x v="1"/>
    <x v="0"/>
    <n v="92634923.230000004"/>
    <x v="2"/>
    <x v="1"/>
    <x v="0"/>
    <x v="6"/>
    <x v="0"/>
    <x v="1"/>
    <x v="0"/>
    <x v="1"/>
    <x v="3"/>
    <n v="24"/>
    <x v="0"/>
  </r>
  <r>
    <d v="2025-01-24T00:00:00"/>
    <x v="0"/>
    <x v="1"/>
    <x v="1"/>
    <n v="5299601.2300000004"/>
    <x v="0"/>
    <x v="1"/>
    <x v="1"/>
    <x v="3"/>
    <x v="0"/>
    <x v="1"/>
    <x v="0"/>
    <x v="1"/>
    <x v="3"/>
    <n v="24"/>
    <x v="0"/>
  </r>
  <r>
    <d v="2025-01-24T00:00:00"/>
    <x v="1"/>
    <x v="1"/>
    <x v="0"/>
    <n v="127604.24"/>
    <x v="1"/>
    <x v="1"/>
    <x v="0"/>
    <x v="4"/>
    <x v="0"/>
    <x v="1"/>
    <x v="0"/>
    <x v="1"/>
    <x v="3"/>
    <n v="24"/>
    <x v="0"/>
  </r>
  <r>
    <d v="2025-01-24T00:00:00"/>
    <x v="2"/>
    <x v="1"/>
    <x v="1"/>
    <n v="151950419.25999999"/>
    <x v="2"/>
    <x v="1"/>
    <x v="1"/>
    <x v="8"/>
    <x v="0"/>
    <x v="1"/>
    <x v="0"/>
    <x v="1"/>
    <x v="3"/>
    <n v="24"/>
    <x v="0"/>
  </r>
  <r>
    <d v="2025-01-24T00:00:00"/>
    <x v="3"/>
    <x v="3"/>
    <x v="0"/>
    <n v="1634147614.4000001"/>
    <x v="3"/>
    <x v="3"/>
    <x v="0"/>
    <x v="7"/>
    <x v="0"/>
    <x v="1"/>
    <x v="0"/>
    <x v="1"/>
    <x v="3"/>
    <n v="24"/>
    <x v="0"/>
  </r>
  <r>
    <d v="2025-01-24T00:00:00"/>
    <x v="1"/>
    <x v="0"/>
    <x v="0"/>
    <n v="92185344.219999999"/>
    <x v="1"/>
    <x v="0"/>
    <x v="0"/>
    <x v="9"/>
    <x v="0"/>
    <x v="1"/>
    <x v="0"/>
    <x v="1"/>
    <x v="3"/>
    <n v="24"/>
    <x v="0"/>
  </r>
  <r>
    <d v="2025-01-24T00:00:00"/>
    <x v="1"/>
    <x v="0"/>
    <x v="1"/>
    <n v="11912605495.209999"/>
    <x v="1"/>
    <x v="0"/>
    <x v="1"/>
    <x v="10"/>
    <x v="0"/>
    <x v="1"/>
    <x v="0"/>
    <x v="1"/>
    <x v="3"/>
    <n v="24"/>
    <x v="0"/>
  </r>
  <r>
    <d v="2025-01-24T00:00:00"/>
    <x v="3"/>
    <x v="1"/>
    <x v="0"/>
    <n v="14582553.92"/>
    <x v="3"/>
    <x v="1"/>
    <x v="0"/>
    <x v="11"/>
    <x v="0"/>
    <x v="1"/>
    <x v="0"/>
    <x v="1"/>
    <x v="3"/>
    <n v="24"/>
    <x v="0"/>
  </r>
  <r>
    <d v="2025-01-24T00:00:00"/>
    <x v="3"/>
    <x v="2"/>
    <x v="1"/>
    <n v="9529712391.1399994"/>
    <x v="3"/>
    <x v="2"/>
    <x v="1"/>
    <x v="12"/>
    <x v="0"/>
    <x v="1"/>
    <x v="0"/>
    <x v="1"/>
    <x v="3"/>
    <n v="24"/>
    <x v="0"/>
  </r>
  <r>
    <d v="2025-01-24T00:00:00"/>
    <x v="3"/>
    <x v="2"/>
    <x v="0"/>
    <n v="509338152.49000001"/>
    <x v="3"/>
    <x v="2"/>
    <x v="0"/>
    <x v="13"/>
    <x v="0"/>
    <x v="1"/>
    <x v="0"/>
    <x v="1"/>
    <x v="3"/>
    <n v="24"/>
    <x v="0"/>
  </r>
  <r>
    <d v="2025-01-23T00:00:00"/>
    <x v="0"/>
    <x v="1"/>
    <x v="0"/>
    <n v="10316154.98"/>
    <x v="0"/>
    <x v="1"/>
    <x v="0"/>
    <x v="0"/>
    <x v="0"/>
    <x v="1"/>
    <x v="0"/>
    <x v="1"/>
    <x v="3"/>
    <n v="23"/>
    <x v="0"/>
  </r>
  <r>
    <d v="2025-01-23T00:00:00"/>
    <x v="3"/>
    <x v="2"/>
    <x v="2"/>
    <n v="542226"/>
    <x v="3"/>
    <x v="2"/>
    <x v="2"/>
    <x v="5"/>
    <x v="0"/>
    <x v="1"/>
    <x v="0"/>
    <x v="1"/>
    <x v="3"/>
    <n v="23"/>
    <x v="0"/>
  </r>
  <r>
    <d v="2025-01-23T00:00:00"/>
    <x v="2"/>
    <x v="1"/>
    <x v="2"/>
    <n v="45384.04"/>
    <x v="2"/>
    <x v="1"/>
    <x v="2"/>
    <x v="1"/>
    <x v="0"/>
    <x v="1"/>
    <x v="0"/>
    <x v="1"/>
    <x v="3"/>
    <n v="23"/>
    <x v="0"/>
  </r>
  <r>
    <d v="2025-01-23T00:00:00"/>
    <x v="2"/>
    <x v="1"/>
    <x v="0"/>
    <n v="83107465.950000003"/>
    <x v="2"/>
    <x v="1"/>
    <x v="0"/>
    <x v="6"/>
    <x v="0"/>
    <x v="1"/>
    <x v="0"/>
    <x v="1"/>
    <x v="3"/>
    <n v="23"/>
    <x v="0"/>
  </r>
  <r>
    <d v="2025-01-23T00:00:00"/>
    <x v="3"/>
    <x v="3"/>
    <x v="1"/>
    <n v="899897.34"/>
    <x v="3"/>
    <x v="3"/>
    <x v="1"/>
    <x v="2"/>
    <x v="0"/>
    <x v="1"/>
    <x v="0"/>
    <x v="1"/>
    <x v="3"/>
    <n v="23"/>
    <x v="0"/>
  </r>
  <r>
    <d v="2025-01-23T00:00:00"/>
    <x v="0"/>
    <x v="1"/>
    <x v="1"/>
    <n v="5093285.43"/>
    <x v="0"/>
    <x v="1"/>
    <x v="1"/>
    <x v="3"/>
    <x v="0"/>
    <x v="1"/>
    <x v="0"/>
    <x v="1"/>
    <x v="3"/>
    <n v="23"/>
    <x v="0"/>
  </r>
  <r>
    <d v="2025-01-23T00:00:00"/>
    <x v="1"/>
    <x v="1"/>
    <x v="0"/>
    <n v="353335.63"/>
    <x v="1"/>
    <x v="1"/>
    <x v="0"/>
    <x v="4"/>
    <x v="0"/>
    <x v="1"/>
    <x v="0"/>
    <x v="1"/>
    <x v="3"/>
    <n v="23"/>
    <x v="0"/>
  </r>
  <r>
    <d v="2025-01-23T00:00:00"/>
    <x v="1"/>
    <x v="0"/>
    <x v="0"/>
    <n v="135132619.97"/>
    <x v="1"/>
    <x v="0"/>
    <x v="0"/>
    <x v="9"/>
    <x v="0"/>
    <x v="1"/>
    <x v="0"/>
    <x v="1"/>
    <x v="3"/>
    <n v="23"/>
    <x v="0"/>
  </r>
  <r>
    <d v="2025-01-23T00:00:00"/>
    <x v="3"/>
    <x v="3"/>
    <x v="0"/>
    <n v="2438440867.4299998"/>
    <x v="3"/>
    <x v="3"/>
    <x v="0"/>
    <x v="7"/>
    <x v="0"/>
    <x v="1"/>
    <x v="0"/>
    <x v="1"/>
    <x v="3"/>
    <n v="23"/>
    <x v="0"/>
  </r>
  <r>
    <d v="2025-01-23T00:00:00"/>
    <x v="2"/>
    <x v="1"/>
    <x v="1"/>
    <n v="202133128"/>
    <x v="2"/>
    <x v="1"/>
    <x v="1"/>
    <x v="8"/>
    <x v="0"/>
    <x v="1"/>
    <x v="0"/>
    <x v="1"/>
    <x v="3"/>
    <n v="23"/>
    <x v="0"/>
  </r>
  <r>
    <d v="2025-01-23T00:00:00"/>
    <x v="1"/>
    <x v="0"/>
    <x v="1"/>
    <n v="13136109040.57"/>
    <x v="1"/>
    <x v="0"/>
    <x v="1"/>
    <x v="10"/>
    <x v="0"/>
    <x v="1"/>
    <x v="0"/>
    <x v="1"/>
    <x v="3"/>
    <n v="23"/>
    <x v="0"/>
  </r>
  <r>
    <d v="2025-01-23T00:00:00"/>
    <x v="3"/>
    <x v="1"/>
    <x v="0"/>
    <n v="13074736.65"/>
    <x v="3"/>
    <x v="1"/>
    <x v="0"/>
    <x v="11"/>
    <x v="0"/>
    <x v="1"/>
    <x v="0"/>
    <x v="1"/>
    <x v="3"/>
    <n v="23"/>
    <x v="0"/>
  </r>
  <r>
    <d v="2025-01-23T00:00:00"/>
    <x v="3"/>
    <x v="2"/>
    <x v="0"/>
    <n v="515088053.10000002"/>
    <x v="3"/>
    <x v="2"/>
    <x v="0"/>
    <x v="12"/>
    <x v="0"/>
    <x v="1"/>
    <x v="0"/>
    <x v="1"/>
    <x v="3"/>
    <n v="23"/>
    <x v="0"/>
  </r>
  <r>
    <d v="2025-01-23T00:00:00"/>
    <x v="3"/>
    <x v="2"/>
    <x v="1"/>
    <n v="17571719792.009998"/>
    <x v="3"/>
    <x v="2"/>
    <x v="1"/>
    <x v="13"/>
    <x v="0"/>
    <x v="1"/>
    <x v="0"/>
    <x v="1"/>
    <x v="3"/>
    <n v="23"/>
    <x v="0"/>
  </r>
  <r>
    <d v="2025-01-22T00:00:00"/>
    <x v="0"/>
    <x v="1"/>
    <x v="1"/>
    <n v="24897106.640000001"/>
    <x v="0"/>
    <x v="1"/>
    <x v="1"/>
    <x v="4"/>
    <x v="0"/>
    <x v="1"/>
    <x v="0"/>
    <x v="1"/>
    <x v="3"/>
    <n v="22"/>
    <x v="0"/>
  </r>
  <r>
    <d v="2025-01-22T00:00:00"/>
    <x v="0"/>
    <x v="0"/>
    <x v="0"/>
    <n v="635"/>
    <x v="0"/>
    <x v="0"/>
    <x v="0"/>
    <x v="0"/>
    <x v="0"/>
    <x v="1"/>
    <x v="0"/>
    <x v="1"/>
    <x v="3"/>
    <n v="22"/>
    <x v="0"/>
  </r>
  <r>
    <d v="2025-01-22T00:00:00"/>
    <x v="0"/>
    <x v="1"/>
    <x v="0"/>
    <n v="14205368.529999999"/>
    <x v="0"/>
    <x v="1"/>
    <x v="0"/>
    <x v="1"/>
    <x v="0"/>
    <x v="1"/>
    <x v="0"/>
    <x v="1"/>
    <x v="3"/>
    <n v="22"/>
    <x v="0"/>
  </r>
  <r>
    <d v="2025-01-22T00:00:00"/>
    <x v="3"/>
    <x v="2"/>
    <x v="2"/>
    <n v="457736.2"/>
    <x v="3"/>
    <x v="2"/>
    <x v="2"/>
    <x v="6"/>
    <x v="0"/>
    <x v="1"/>
    <x v="0"/>
    <x v="1"/>
    <x v="3"/>
    <n v="22"/>
    <x v="0"/>
  </r>
  <r>
    <d v="2025-01-22T00:00:00"/>
    <x v="2"/>
    <x v="1"/>
    <x v="2"/>
    <n v="36220.800000000003"/>
    <x v="2"/>
    <x v="1"/>
    <x v="2"/>
    <x v="2"/>
    <x v="0"/>
    <x v="1"/>
    <x v="0"/>
    <x v="1"/>
    <x v="3"/>
    <n v="22"/>
    <x v="0"/>
  </r>
  <r>
    <d v="2025-01-22T00:00:00"/>
    <x v="3"/>
    <x v="3"/>
    <x v="1"/>
    <n v="599458.56999999995"/>
    <x v="3"/>
    <x v="3"/>
    <x v="1"/>
    <x v="3"/>
    <x v="0"/>
    <x v="1"/>
    <x v="0"/>
    <x v="1"/>
    <x v="3"/>
    <n v="22"/>
    <x v="0"/>
  </r>
  <r>
    <d v="2025-01-22T00:00:00"/>
    <x v="2"/>
    <x v="1"/>
    <x v="0"/>
    <n v="96210014.769999996"/>
    <x v="2"/>
    <x v="1"/>
    <x v="0"/>
    <x v="7"/>
    <x v="0"/>
    <x v="1"/>
    <x v="0"/>
    <x v="1"/>
    <x v="3"/>
    <n v="22"/>
    <x v="0"/>
  </r>
  <r>
    <d v="2025-01-22T00:00:00"/>
    <x v="1"/>
    <x v="1"/>
    <x v="0"/>
    <n v="306980.40000000002"/>
    <x v="1"/>
    <x v="1"/>
    <x v="0"/>
    <x v="5"/>
    <x v="0"/>
    <x v="1"/>
    <x v="0"/>
    <x v="1"/>
    <x v="3"/>
    <n v="22"/>
    <x v="0"/>
  </r>
  <r>
    <d v="2025-01-22T00:00:00"/>
    <x v="3"/>
    <x v="3"/>
    <x v="0"/>
    <n v="1583338550.03"/>
    <x v="3"/>
    <x v="3"/>
    <x v="0"/>
    <x v="8"/>
    <x v="0"/>
    <x v="1"/>
    <x v="0"/>
    <x v="1"/>
    <x v="3"/>
    <n v="22"/>
    <x v="0"/>
  </r>
  <r>
    <d v="2025-01-22T00:00:00"/>
    <x v="2"/>
    <x v="1"/>
    <x v="1"/>
    <n v="136369856.84"/>
    <x v="2"/>
    <x v="1"/>
    <x v="1"/>
    <x v="9"/>
    <x v="0"/>
    <x v="1"/>
    <x v="0"/>
    <x v="1"/>
    <x v="3"/>
    <n v="22"/>
    <x v="0"/>
  </r>
  <r>
    <d v="2025-01-22T00:00:00"/>
    <x v="1"/>
    <x v="0"/>
    <x v="0"/>
    <n v="89406085.150000006"/>
    <x v="1"/>
    <x v="0"/>
    <x v="0"/>
    <x v="10"/>
    <x v="0"/>
    <x v="1"/>
    <x v="0"/>
    <x v="1"/>
    <x v="3"/>
    <n v="22"/>
    <x v="0"/>
  </r>
  <r>
    <d v="2025-01-22T00:00:00"/>
    <x v="1"/>
    <x v="0"/>
    <x v="1"/>
    <n v="4717517168.9799995"/>
    <x v="1"/>
    <x v="0"/>
    <x v="1"/>
    <x v="11"/>
    <x v="0"/>
    <x v="1"/>
    <x v="0"/>
    <x v="1"/>
    <x v="3"/>
    <n v="22"/>
    <x v="0"/>
  </r>
  <r>
    <d v="2025-01-22T00:00:00"/>
    <x v="3"/>
    <x v="1"/>
    <x v="0"/>
    <n v="14713155.93"/>
    <x v="3"/>
    <x v="1"/>
    <x v="0"/>
    <x v="12"/>
    <x v="0"/>
    <x v="1"/>
    <x v="0"/>
    <x v="1"/>
    <x v="3"/>
    <n v="22"/>
    <x v="0"/>
  </r>
  <r>
    <d v="2025-01-22T00:00:00"/>
    <x v="3"/>
    <x v="2"/>
    <x v="0"/>
    <n v="794730726.34000003"/>
    <x v="3"/>
    <x v="2"/>
    <x v="0"/>
    <x v="13"/>
    <x v="0"/>
    <x v="1"/>
    <x v="0"/>
    <x v="1"/>
    <x v="3"/>
    <n v="22"/>
    <x v="0"/>
  </r>
  <r>
    <d v="2025-01-22T00:00:00"/>
    <x v="3"/>
    <x v="2"/>
    <x v="1"/>
    <n v="8829478960.1900005"/>
    <x v="3"/>
    <x v="2"/>
    <x v="1"/>
    <x v="14"/>
    <x v="0"/>
    <x v="1"/>
    <x v="0"/>
    <x v="1"/>
    <x v="3"/>
    <n v="22"/>
    <x v="0"/>
  </r>
  <r>
    <d v="2025-01-21T00:00:00"/>
    <x v="0"/>
    <x v="1"/>
    <x v="1"/>
    <n v="3245674.62"/>
    <x v="0"/>
    <x v="1"/>
    <x v="1"/>
    <x v="3"/>
    <x v="0"/>
    <x v="1"/>
    <x v="0"/>
    <x v="1"/>
    <x v="3"/>
    <n v="21"/>
    <x v="0"/>
  </r>
  <r>
    <d v="2025-01-21T00:00:00"/>
    <x v="1"/>
    <x v="1"/>
    <x v="0"/>
    <n v="554679.27"/>
    <x v="1"/>
    <x v="1"/>
    <x v="0"/>
    <x v="0"/>
    <x v="0"/>
    <x v="1"/>
    <x v="0"/>
    <x v="1"/>
    <x v="3"/>
    <n v="21"/>
    <x v="0"/>
  </r>
  <r>
    <d v="2025-01-21T00:00:00"/>
    <x v="0"/>
    <x v="1"/>
    <x v="0"/>
    <n v="16463810.130000001"/>
    <x v="0"/>
    <x v="1"/>
    <x v="0"/>
    <x v="1"/>
    <x v="0"/>
    <x v="1"/>
    <x v="0"/>
    <x v="1"/>
    <x v="3"/>
    <n v="21"/>
    <x v="0"/>
  </r>
  <r>
    <d v="2025-01-21T00:00:00"/>
    <x v="3"/>
    <x v="2"/>
    <x v="2"/>
    <n v="742520.71"/>
    <x v="3"/>
    <x v="2"/>
    <x v="2"/>
    <x v="5"/>
    <x v="0"/>
    <x v="1"/>
    <x v="0"/>
    <x v="1"/>
    <x v="3"/>
    <n v="21"/>
    <x v="0"/>
  </r>
  <r>
    <d v="2025-01-21T00:00:00"/>
    <x v="3"/>
    <x v="3"/>
    <x v="2"/>
    <n v="275.38"/>
    <x v="3"/>
    <x v="3"/>
    <x v="2"/>
    <x v="2"/>
    <x v="0"/>
    <x v="1"/>
    <x v="0"/>
    <x v="1"/>
    <x v="3"/>
    <n v="21"/>
    <x v="0"/>
  </r>
  <r>
    <d v="2025-01-21T00:00:00"/>
    <x v="2"/>
    <x v="1"/>
    <x v="0"/>
    <n v="92045232.390000001"/>
    <x v="2"/>
    <x v="1"/>
    <x v="0"/>
    <x v="6"/>
    <x v="0"/>
    <x v="1"/>
    <x v="0"/>
    <x v="1"/>
    <x v="3"/>
    <n v="21"/>
    <x v="0"/>
  </r>
  <r>
    <d v="2025-01-21T00:00:00"/>
    <x v="3"/>
    <x v="3"/>
    <x v="0"/>
    <n v="1119923192.0699999"/>
    <x v="3"/>
    <x v="3"/>
    <x v="0"/>
    <x v="7"/>
    <x v="0"/>
    <x v="1"/>
    <x v="0"/>
    <x v="1"/>
    <x v="3"/>
    <n v="21"/>
    <x v="0"/>
  </r>
  <r>
    <d v="2025-01-21T00:00:00"/>
    <x v="2"/>
    <x v="1"/>
    <x v="2"/>
    <n v="31387.32"/>
    <x v="2"/>
    <x v="1"/>
    <x v="2"/>
    <x v="4"/>
    <x v="0"/>
    <x v="1"/>
    <x v="0"/>
    <x v="1"/>
    <x v="3"/>
    <n v="21"/>
    <x v="0"/>
  </r>
  <r>
    <d v="2025-01-21T00:00:00"/>
    <x v="2"/>
    <x v="1"/>
    <x v="1"/>
    <n v="186624373.77000001"/>
    <x v="2"/>
    <x v="1"/>
    <x v="1"/>
    <x v="8"/>
    <x v="0"/>
    <x v="1"/>
    <x v="0"/>
    <x v="1"/>
    <x v="3"/>
    <n v="21"/>
    <x v="0"/>
  </r>
  <r>
    <d v="2025-01-21T00:00:00"/>
    <x v="1"/>
    <x v="0"/>
    <x v="0"/>
    <n v="68783441.319999993"/>
    <x v="1"/>
    <x v="0"/>
    <x v="0"/>
    <x v="9"/>
    <x v="0"/>
    <x v="1"/>
    <x v="0"/>
    <x v="1"/>
    <x v="3"/>
    <n v="21"/>
    <x v="0"/>
  </r>
  <r>
    <d v="2025-01-21T00:00:00"/>
    <x v="1"/>
    <x v="0"/>
    <x v="1"/>
    <n v="2630536510.1199999"/>
    <x v="1"/>
    <x v="0"/>
    <x v="1"/>
    <x v="10"/>
    <x v="0"/>
    <x v="1"/>
    <x v="0"/>
    <x v="1"/>
    <x v="3"/>
    <n v="21"/>
    <x v="0"/>
  </r>
  <r>
    <d v="2025-01-21T00:00:00"/>
    <x v="3"/>
    <x v="2"/>
    <x v="0"/>
    <n v="1143257875.9200001"/>
    <x v="3"/>
    <x v="2"/>
    <x v="0"/>
    <x v="11"/>
    <x v="0"/>
    <x v="1"/>
    <x v="0"/>
    <x v="1"/>
    <x v="3"/>
    <n v="21"/>
    <x v="0"/>
  </r>
  <r>
    <d v="2025-01-21T00:00:00"/>
    <x v="3"/>
    <x v="1"/>
    <x v="0"/>
    <n v="64764232.799999997"/>
    <x v="3"/>
    <x v="1"/>
    <x v="0"/>
    <x v="12"/>
    <x v="0"/>
    <x v="1"/>
    <x v="0"/>
    <x v="1"/>
    <x v="3"/>
    <n v="21"/>
    <x v="0"/>
  </r>
  <r>
    <d v="2025-01-21T00:00:00"/>
    <x v="3"/>
    <x v="2"/>
    <x v="1"/>
    <n v="29066045885.939999"/>
    <x v="3"/>
    <x v="2"/>
    <x v="1"/>
    <x v="13"/>
    <x v="0"/>
    <x v="1"/>
    <x v="0"/>
    <x v="1"/>
    <x v="3"/>
    <n v="21"/>
    <x v="0"/>
  </r>
  <r>
    <d v="2025-01-17T00:00:00"/>
    <x v="1"/>
    <x v="1"/>
    <x v="0"/>
    <n v="322999.01"/>
    <x v="1"/>
    <x v="1"/>
    <x v="0"/>
    <x v="5"/>
    <x v="0"/>
    <x v="1"/>
    <x v="0"/>
    <x v="1"/>
    <x v="3"/>
    <n v="17"/>
    <x v="0"/>
  </r>
  <r>
    <d v="2025-01-17T00:00:00"/>
    <x v="0"/>
    <x v="0"/>
    <x v="0"/>
    <n v="219.92"/>
    <x v="0"/>
    <x v="0"/>
    <x v="0"/>
    <x v="0"/>
    <x v="0"/>
    <x v="1"/>
    <x v="0"/>
    <x v="1"/>
    <x v="3"/>
    <n v="17"/>
    <x v="0"/>
  </r>
  <r>
    <d v="2025-01-17T00:00:00"/>
    <x v="0"/>
    <x v="1"/>
    <x v="0"/>
    <n v="13984764.83"/>
    <x v="0"/>
    <x v="1"/>
    <x v="0"/>
    <x v="1"/>
    <x v="0"/>
    <x v="1"/>
    <x v="0"/>
    <x v="1"/>
    <x v="3"/>
    <n v="17"/>
    <x v="0"/>
  </r>
  <r>
    <d v="2025-01-17T00:00:00"/>
    <x v="2"/>
    <x v="1"/>
    <x v="2"/>
    <n v="42435.6"/>
    <x v="2"/>
    <x v="1"/>
    <x v="2"/>
    <x v="7"/>
    <x v="0"/>
    <x v="1"/>
    <x v="0"/>
    <x v="1"/>
    <x v="3"/>
    <n v="17"/>
    <x v="0"/>
  </r>
  <r>
    <d v="2025-01-17T00:00:00"/>
    <x v="3"/>
    <x v="3"/>
    <x v="2"/>
    <n v="15.6"/>
    <x v="3"/>
    <x v="3"/>
    <x v="2"/>
    <x v="2"/>
    <x v="0"/>
    <x v="1"/>
    <x v="0"/>
    <x v="1"/>
    <x v="3"/>
    <n v="17"/>
    <x v="0"/>
  </r>
  <r>
    <d v="2025-01-17T00:00:00"/>
    <x v="3"/>
    <x v="3"/>
    <x v="1"/>
    <n v="521312.78"/>
    <x v="3"/>
    <x v="3"/>
    <x v="1"/>
    <x v="3"/>
    <x v="0"/>
    <x v="1"/>
    <x v="0"/>
    <x v="1"/>
    <x v="3"/>
    <n v="17"/>
    <x v="0"/>
  </r>
  <r>
    <d v="2025-01-17T00:00:00"/>
    <x v="0"/>
    <x v="1"/>
    <x v="1"/>
    <n v="8717899.8800000008"/>
    <x v="0"/>
    <x v="1"/>
    <x v="1"/>
    <x v="4"/>
    <x v="0"/>
    <x v="1"/>
    <x v="0"/>
    <x v="1"/>
    <x v="3"/>
    <n v="17"/>
    <x v="0"/>
  </r>
  <r>
    <d v="2025-01-17T00:00:00"/>
    <x v="2"/>
    <x v="1"/>
    <x v="1"/>
    <n v="490993973.14999998"/>
    <x v="2"/>
    <x v="1"/>
    <x v="1"/>
    <x v="10"/>
    <x v="0"/>
    <x v="1"/>
    <x v="0"/>
    <x v="1"/>
    <x v="3"/>
    <n v="17"/>
    <x v="0"/>
  </r>
  <r>
    <d v="2025-01-17T00:00:00"/>
    <x v="3"/>
    <x v="2"/>
    <x v="2"/>
    <n v="589148"/>
    <x v="3"/>
    <x v="2"/>
    <x v="2"/>
    <x v="6"/>
    <x v="0"/>
    <x v="1"/>
    <x v="0"/>
    <x v="1"/>
    <x v="3"/>
    <n v="17"/>
    <x v="0"/>
  </r>
  <r>
    <d v="2025-01-17T00:00:00"/>
    <x v="3"/>
    <x v="3"/>
    <x v="0"/>
    <n v="1904067167.9400001"/>
    <x v="3"/>
    <x v="3"/>
    <x v="0"/>
    <x v="8"/>
    <x v="0"/>
    <x v="1"/>
    <x v="0"/>
    <x v="1"/>
    <x v="3"/>
    <n v="17"/>
    <x v="0"/>
  </r>
  <r>
    <d v="2025-01-17T00:00:00"/>
    <x v="1"/>
    <x v="0"/>
    <x v="1"/>
    <n v="1632992434.3800001"/>
    <x v="1"/>
    <x v="0"/>
    <x v="1"/>
    <x v="12"/>
    <x v="0"/>
    <x v="1"/>
    <x v="0"/>
    <x v="1"/>
    <x v="3"/>
    <n v="17"/>
    <x v="0"/>
  </r>
  <r>
    <d v="2025-01-17T00:00:00"/>
    <x v="2"/>
    <x v="1"/>
    <x v="0"/>
    <n v="96522785.370000005"/>
    <x v="2"/>
    <x v="1"/>
    <x v="0"/>
    <x v="9"/>
    <x v="0"/>
    <x v="1"/>
    <x v="0"/>
    <x v="1"/>
    <x v="3"/>
    <n v="17"/>
    <x v="0"/>
  </r>
  <r>
    <d v="2025-01-17T00:00:00"/>
    <x v="1"/>
    <x v="0"/>
    <x v="0"/>
    <n v="58821396.890000001"/>
    <x v="1"/>
    <x v="0"/>
    <x v="0"/>
    <x v="11"/>
    <x v="0"/>
    <x v="1"/>
    <x v="0"/>
    <x v="1"/>
    <x v="3"/>
    <n v="17"/>
    <x v="0"/>
  </r>
  <r>
    <d v="2025-01-17T00:00:00"/>
    <x v="3"/>
    <x v="1"/>
    <x v="0"/>
    <n v="16865207.739999998"/>
    <x v="3"/>
    <x v="1"/>
    <x v="0"/>
    <x v="13"/>
    <x v="0"/>
    <x v="1"/>
    <x v="0"/>
    <x v="1"/>
    <x v="3"/>
    <n v="17"/>
    <x v="0"/>
  </r>
  <r>
    <d v="2025-01-17T00:00:00"/>
    <x v="3"/>
    <x v="2"/>
    <x v="1"/>
    <n v="12348127165.780001"/>
    <x v="3"/>
    <x v="2"/>
    <x v="1"/>
    <x v="14"/>
    <x v="0"/>
    <x v="1"/>
    <x v="0"/>
    <x v="1"/>
    <x v="3"/>
    <n v="17"/>
    <x v="0"/>
  </r>
  <r>
    <d v="2025-01-17T00:00:00"/>
    <x v="3"/>
    <x v="2"/>
    <x v="0"/>
    <n v="472591621.56999999"/>
    <x v="3"/>
    <x v="2"/>
    <x v="0"/>
    <x v="15"/>
    <x v="0"/>
    <x v="1"/>
    <x v="0"/>
    <x v="1"/>
    <x v="3"/>
    <n v="17"/>
    <x v="0"/>
  </r>
  <r>
    <d v="2025-01-16T00:00:00"/>
    <x v="1"/>
    <x v="1"/>
    <x v="0"/>
    <n v="447557.78"/>
    <x v="1"/>
    <x v="1"/>
    <x v="0"/>
    <x v="4"/>
    <x v="0"/>
    <x v="1"/>
    <x v="0"/>
    <x v="1"/>
    <x v="3"/>
    <n v="16"/>
    <x v="0"/>
  </r>
  <r>
    <d v="2025-01-16T00:00:00"/>
    <x v="0"/>
    <x v="1"/>
    <x v="0"/>
    <n v="10556985.74"/>
    <x v="0"/>
    <x v="1"/>
    <x v="0"/>
    <x v="0"/>
    <x v="0"/>
    <x v="1"/>
    <x v="0"/>
    <x v="1"/>
    <x v="3"/>
    <n v="16"/>
    <x v="0"/>
  </r>
  <r>
    <d v="2025-01-16T00:00:00"/>
    <x v="2"/>
    <x v="1"/>
    <x v="2"/>
    <n v="71745.22"/>
    <x v="2"/>
    <x v="1"/>
    <x v="2"/>
    <x v="1"/>
    <x v="0"/>
    <x v="1"/>
    <x v="0"/>
    <x v="1"/>
    <x v="3"/>
    <n v="16"/>
    <x v="0"/>
  </r>
  <r>
    <d v="2025-01-16T00:00:00"/>
    <x v="3"/>
    <x v="3"/>
    <x v="1"/>
    <n v="1035224"/>
    <x v="3"/>
    <x v="3"/>
    <x v="1"/>
    <x v="2"/>
    <x v="0"/>
    <x v="1"/>
    <x v="0"/>
    <x v="1"/>
    <x v="3"/>
    <n v="16"/>
    <x v="0"/>
  </r>
  <r>
    <d v="2025-01-16T00:00:00"/>
    <x v="0"/>
    <x v="1"/>
    <x v="1"/>
    <n v="20177059.530000001"/>
    <x v="0"/>
    <x v="1"/>
    <x v="1"/>
    <x v="3"/>
    <x v="0"/>
    <x v="1"/>
    <x v="0"/>
    <x v="1"/>
    <x v="3"/>
    <n v="16"/>
    <x v="0"/>
  </r>
  <r>
    <d v="2025-01-16T00:00:00"/>
    <x v="2"/>
    <x v="1"/>
    <x v="0"/>
    <n v="90186881.269999996"/>
    <x v="2"/>
    <x v="1"/>
    <x v="0"/>
    <x v="6"/>
    <x v="0"/>
    <x v="1"/>
    <x v="0"/>
    <x v="1"/>
    <x v="3"/>
    <n v="16"/>
    <x v="0"/>
  </r>
  <r>
    <d v="2025-01-16T00:00:00"/>
    <x v="3"/>
    <x v="2"/>
    <x v="2"/>
    <n v="504184"/>
    <x v="3"/>
    <x v="2"/>
    <x v="2"/>
    <x v="5"/>
    <x v="0"/>
    <x v="1"/>
    <x v="0"/>
    <x v="1"/>
    <x v="3"/>
    <n v="16"/>
    <x v="0"/>
  </r>
  <r>
    <d v="2025-01-16T00:00:00"/>
    <x v="3"/>
    <x v="3"/>
    <x v="0"/>
    <n v="1389241763.4200001"/>
    <x v="3"/>
    <x v="3"/>
    <x v="0"/>
    <x v="7"/>
    <x v="0"/>
    <x v="1"/>
    <x v="0"/>
    <x v="1"/>
    <x v="3"/>
    <n v="16"/>
    <x v="0"/>
  </r>
  <r>
    <d v="2025-01-16T00:00:00"/>
    <x v="1"/>
    <x v="0"/>
    <x v="0"/>
    <n v="54092388.5"/>
    <x v="1"/>
    <x v="0"/>
    <x v="0"/>
    <x v="9"/>
    <x v="0"/>
    <x v="1"/>
    <x v="0"/>
    <x v="1"/>
    <x v="3"/>
    <n v="16"/>
    <x v="0"/>
  </r>
  <r>
    <d v="2025-01-16T00:00:00"/>
    <x v="2"/>
    <x v="1"/>
    <x v="1"/>
    <n v="104330161.26000001"/>
    <x v="2"/>
    <x v="1"/>
    <x v="1"/>
    <x v="8"/>
    <x v="0"/>
    <x v="1"/>
    <x v="0"/>
    <x v="1"/>
    <x v="3"/>
    <n v="16"/>
    <x v="0"/>
  </r>
  <r>
    <d v="2025-01-16T00:00:00"/>
    <x v="1"/>
    <x v="0"/>
    <x v="1"/>
    <n v="2123801569.49"/>
    <x v="1"/>
    <x v="0"/>
    <x v="1"/>
    <x v="10"/>
    <x v="0"/>
    <x v="1"/>
    <x v="0"/>
    <x v="1"/>
    <x v="3"/>
    <n v="16"/>
    <x v="0"/>
  </r>
  <r>
    <d v="2025-01-16T00:00:00"/>
    <x v="3"/>
    <x v="1"/>
    <x v="0"/>
    <n v="17354991.079999998"/>
    <x v="3"/>
    <x v="1"/>
    <x v="0"/>
    <x v="11"/>
    <x v="0"/>
    <x v="1"/>
    <x v="0"/>
    <x v="1"/>
    <x v="3"/>
    <n v="16"/>
    <x v="0"/>
  </r>
  <r>
    <d v="2025-01-16T00:00:00"/>
    <x v="3"/>
    <x v="2"/>
    <x v="0"/>
    <n v="499561098.27999997"/>
    <x v="3"/>
    <x v="2"/>
    <x v="0"/>
    <x v="12"/>
    <x v="0"/>
    <x v="1"/>
    <x v="0"/>
    <x v="1"/>
    <x v="3"/>
    <n v="16"/>
    <x v="0"/>
  </r>
  <r>
    <d v="2025-01-16T00:00:00"/>
    <x v="3"/>
    <x v="2"/>
    <x v="1"/>
    <n v="29066192427.950001"/>
    <x v="3"/>
    <x v="2"/>
    <x v="1"/>
    <x v="13"/>
    <x v="0"/>
    <x v="1"/>
    <x v="0"/>
    <x v="1"/>
    <x v="3"/>
    <n v="16"/>
    <x v="0"/>
  </r>
  <r>
    <d v="2025-01-15T00:00:00"/>
    <x v="0"/>
    <x v="1"/>
    <x v="0"/>
    <n v="11084743.880000001"/>
    <x v="0"/>
    <x v="1"/>
    <x v="0"/>
    <x v="0"/>
    <x v="0"/>
    <x v="1"/>
    <x v="0"/>
    <x v="1"/>
    <x v="3"/>
    <n v="15"/>
    <x v="0"/>
  </r>
  <r>
    <d v="2025-01-15T00:00:00"/>
    <x v="1"/>
    <x v="1"/>
    <x v="0"/>
    <n v="184008.1"/>
    <x v="1"/>
    <x v="1"/>
    <x v="0"/>
    <x v="5"/>
    <x v="0"/>
    <x v="1"/>
    <x v="0"/>
    <x v="1"/>
    <x v="3"/>
    <n v="15"/>
    <x v="0"/>
  </r>
  <r>
    <d v="2025-01-15T00:00:00"/>
    <x v="3"/>
    <x v="2"/>
    <x v="2"/>
    <n v="260341"/>
    <x v="3"/>
    <x v="2"/>
    <x v="2"/>
    <x v="6"/>
    <x v="0"/>
    <x v="1"/>
    <x v="0"/>
    <x v="1"/>
    <x v="3"/>
    <n v="15"/>
    <x v="0"/>
  </r>
  <r>
    <d v="2025-01-15T00:00:00"/>
    <x v="3"/>
    <x v="3"/>
    <x v="2"/>
    <n v="1017044.72"/>
    <x v="3"/>
    <x v="3"/>
    <x v="2"/>
    <x v="1"/>
    <x v="0"/>
    <x v="1"/>
    <x v="0"/>
    <x v="1"/>
    <x v="3"/>
    <n v="15"/>
    <x v="0"/>
  </r>
  <r>
    <d v="2025-01-15T00:00:00"/>
    <x v="2"/>
    <x v="1"/>
    <x v="2"/>
    <n v="34667.910000000003"/>
    <x v="2"/>
    <x v="1"/>
    <x v="2"/>
    <x v="2"/>
    <x v="0"/>
    <x v="1"/>
    <x v="0"/>
    <x v="1"/>
    <x v="3"/>
    <n v="15"/>
    <x v="0"/>
  </r>
  <r>
    <d v="2025-01-15T00:00:00"/>
    <x v="2"/>
    <x v="1"/>
    <x v="0"/>
    <n v="88891899.709999993"/>
    <x v="2"/>
    <x v="1"/>
    <x v="0"/>
    <x v="7"/>
    <x v="0"/>
    <x v="1"/>
    <x v="0"/>
    <x v="1"/>
    <x v="3"/>
    <n v="15"/>
    <x v="0"/>
  </r>
  <r>
    <d v="2025-01-15T00:00:00"/>
    <x v="3"/>
    <x v="3"/>
    <x v="1"/>
    <n v="1569.08"/>
    <x v="3"/>
    <x v="3"/>
    <x v="1"/>
    <x v="3"/>
    <x v="0"/>
    <x v="1"/>
    <x v="0"/>
    <x v="1"/>
    <x v="3"/>
    <n v="15"/>
    <x v="0"/>
  </r>
  <r>
    <d v="2025-01-15T00:00:00"/>
    <x v="0"/>
    <x v="1"/>
    <x v="1"/>
    <n v="12715977.59"/>
    <x v="0"/>
    <x v="1"/>
    <x v="1"/>
    <x v="4"/>
    <x v="0"/>
    <x v="1"/>
    <x v="0"/>
    <x v="1"/>
    <x v="3"/>
    <n v="15"/>
    <x v="0"/>
  </r>
  <r>
    <d v="2025-01-15T00:00:00"/>
    <x v="3"/>
    <x v="3"/>
    <x v="0"/>
    <n v="2855031319.4099998"/>
    <x v="3"/>
    <x v="3"/>
    <x v="0"/>
    <x v="8"/>
    <x v="0"/>
    <x v="1"/>
    <x v="0"/>
    <x v="1"/>
    <x v="3"/>
    <n v="15"/>
    <x v="0"/>
  </r>
  <r>
    <d v="2025-01-15T00:00:00"/>
    <x v="2"/>
    <x v="1"/>
    <x v="1"/>
    <n v="429818388.13999999"/>
    <x v="2"/>
    <x v="1"/>
    <x v="1"/>
    <x v="9"/>
    <x v="0"/>
    <x v="1"/>
    <x v="0"/>
    <x v="1"/>
    <x v="3"/>
    <n v="15"/>
    <x v="0"/>
  </r>
  <r>
    <d v="2025-01-15T00:00:00"/>
    <x v="1"/>
    <x v="0"/>
    <x v="1"/>
    <n v="3428188755.3499999"/>
    <x v="1"/>
    <x v="0"/>
    <x v="1"/>
    <x v="10"/>
    <x v="0"/>
    <x v="1"/>
    <x v="0"/>
    <x v="1"/>
    <x v="3"/>
    <n v="15"/>
    <x v="0"/>
  </r>
  <r>
    <d v="2025-01-15T00:00:00"/>
    <x v="1"/>
    <x v="0"/>
    <x v="0"/>
    <n v="91850106.950000003"/>
    <x v="1"/>
    <x v="0"/>
    <x v="0"/>
    <x v="11"/>
    <x v="0"/>
    <x v="1"/>
    <x v="0"/>
    <x v="1"/>
    <x v="3"/>
    <n v="15"/>
    <x v="0"/>
  </r>
  <r>
    <d v="2025-01-15T00:00:00"/>
    <x v="3"/>
    <x v="1"/>
    <x v="0"/>
    <n v="17849313.82"/>
    <x v="3"/>
    <x v="1"/>
    <x v="0"/>
    <x v="12"/>
    <x v="0"/>
    <x v="1"/>
    <x v="0"/>
    <x v="1"/>
    <x v="3"/>
    <n v="15"/>
    <x v="0"/>
  </r>
  <r>
    <d v="2025-01-15T00:00:00"/>
    <x v="3"/>
    <x v="2"/>
    <x v="0"/>
    <n v="691052998.83000004"/>
    <x v="3"/>
    <x v="2"/>
    <x v="0"/>
    <x v="13"/>
    <x v="0"/>
    <x v="1"/>
    <x v="0"/>
    <x v="1"/>
    <x v="3"/>
    <n v="15"/>
    <x v="0"/>
  </r>
  <r>
    <d v="2025-01-15T00:00:00"/>
    <x v="3"/>
    <x v="2"/>
    <x v="1"/>
    <n v="58748460645.349998"/>
    <x v="3"/>
    <x v="2"/>
    <x v="1"/>
    <x v="14"/>
    <x v="0"/>
    <x v="1"/>
    <x v="0"/>
    <x v="1"/>
    <x v="3"/>
    <n v="15"/>
    <x v="0"/>
  </r>
  <r>
    <d v="2025-01-14T00:00:00"/>
    <x v="3"/>
    <x v="2"/>
    <x v="2"/>
    <n v="259182"/>
    <x v="3"/>
    <x v="2"/>
    <x v="2"/>
    <x v="6"/>
    <x v="0"/>
    <x v="1"/>
    <x v="0"/>
    <x v="1"/>
    <x v="3"/>
    <n v="14"/>
    <x v="0"/>
  </r>
  <r>
    <d v="2025-01-14T00:00:00"/>
    <x v="0"/>
    <x v="0"/>
    <x v="0"/>
    <n v="35"/>
    <x v="0"/>
    <x v="0"/>
    <x v="0"/>
    <x v="0"/>
    <x v="0"/>
    <x v="1"/>
    <x v="0"/>
    <x v="1"/>
    <x v="3"/>
    <n v="14"/>
    <x v="0"/>
  </r>
  <r>
    <d v="2025-01-14T00:00:00"/>
    <x v="1"/>
    <x v="1"/>
    <x v="0"/>
    <n v="753227.61"/>
    <x v="1"/>
    <x v="1"/>
    <x v="0"/>
    <x v="1"/>
    <x v="0"/>
    <x v="1"/>
    <x v="0"/>
    <x v="1"/>
    <x v="3"/>
    <n v="14"/>
    <x v="0"/>
  </r>
  <r>
    <d v="2025-01-14T00:00:00"/>
    <x v="0"/>
    <x v="1"/>
    <x v="0"/>
    <n v="13743679.41"/>
    <x v="0"/>
    <x v="1"/>
    <x v="0"/>
    <x v="2"/>
    <x v="0"/>
    <x v="1"/>
    <x v="0"/>
    <x v="1"/>
    <x v="3"/>
    <n v="14"/>
    <x v="0"/>
  </r>
  <r>
    <d v="2025-01-14T00:00:00"/>
    <x v="2"/>
    <x v="1"/>
    <x v="0"/>
    <n v="101186237.64"/>
    <x v="2"/>
    <x v="1"/>
    <x v="0"/>
    <x v="7"/>
    <x v="0"/>
    <x v="1"/>
    <x v="0"/>
    <x v="1"/>
    <x v="3"/>
    <n v="14"/>
    <x v="0"/>
  </r>
  <r>
    <d v="2025-01-14T00:00:00"/>
    <x v="2"/>
    <x v="1"/>
    <x v="2"/>
    <n v="29015"/>
    <x v="2"/>
    <x v="1"/>
    <x v="2"/>
    <x v="3"/>
    <x v="0"/>
    <x v="1"/>
    <x v="0"/>
    <x v="1"/>
    <x v="3"/>
    <n v="14"/>
    <x v="0"/>
  </r>
  <r>
    <d v="2025-01-14T00:00:00"/>
    <x v="3"/>
    <x v="3"/>
    <x v="1"/>
    <n v="4774439.1900000004"/>
    <x v="3"/>
    <x v="3"/>
    <x v="1"/>
    <x v="4"/>
    <x v="0"/>
    <x v="1"/>
    <x v="0"/>
    <x v="1"/>
    <x v="3"/>
    <n v="14"/>
    <x v="0"/>
  </r>
  <r>
    <d v="2025-01-14T00:00:00"/>
    <x v="0"/>
    <x v="1"/>
    <x v="1"/>
    <n v="20888649.309999999"/>
    <x v="0"/>
    <x v="1"/>
    <x v="1"/>
    <x v="5"/>
    <x v="0"/>
    <x v="1"/>
    <x v="0"/>
    <x v="1"/>
    <x v="3"/>
    <n v="14"/>
    <x v="0"/>
  </r>
  <r>
    <d v="2025-01-14T00:00:00"/>
    <x v="2"/>
    <x v="1"/>
    <x v="1"/>
    <n v="284610879.29000002"/>
    <x v="2"/>
    <x v="1"/>
    <x v="1"/>
    <x v="8"/>
    <x v="0"/>
    <x v="1"/>
    <x v="0"/>
    <x v="1"/>
    <x v="3"/>
    <n v="14"/>
    <x v="0"/>
  </r>
  <r>
    <d v="2025-01-14T00:00:00"/>
    <x v="3"/>
    <x v="3"/>
    <x v="0"/>
    <n v="2599973007.25"/>
    <x v="3"/>
    <x v="3"/>
    <x v="0"/>
    <x v="9"/>
    <x v="0"/>
    <x v="1"/>
    <x v="0"/>
    <x v="1"/>
    <x v="3"/>
    <n v="14"/>
    <x v="0"/>
  </r>
  <r>
    <d v="2025-01-14T00:00:00"/>
    <x v="1"/>
    <x v="0"/>
    <x v="0"/>
    <n v="73358380.5"/>
    <x v="1"/>
    <x v="0"/>
    <x v="0"/>
    <x v="10"/>
    <x v="0"/>
    <x v="1"/>
    <x v="0"/>
    <x v="1"/>
    <x v="3"/>
    <n v="14"/>
    <x v="0"/>
  </r>
  <r>
    <d v="2025-01-14T00:00:00"/>
    <x v="1"/>
    <x v="0"/>
    <x v="1"/>
    <n v="1496169425.46"/>
    <x v="1"/>
    <x v="0"/>
    <x v="1"/>
    <x v="11"/>
    <x v="0"/>
    <x v="1"/>
    <x v="0"/>
    <x v="1"/>
    <x v="3"/>
    <n v="14"/>
    <x v="0"/>
  </r>
  <r>
    <d v="2025-01-14T00:00:00"/>
    <x v="3"/>
    <x v="1"/>
    <x v="0"/>
    <n v="15536426.75"/>
    <x v="3"/>
    <x v="1"/>
    <x v="0"/>
    <x v="12"/>
    <x v="0"/>
    <x v="1"/>
    <x v="0"/>
    <x v="1"/>
    <x v="3"/>
    <n v="14"/>
    <x v="0"/>
  </r>
  <r>
    <d v="2025-01-14T00:00:00"/>
    <x v="3"/>
    <x v="2"/>
    <x v="1"/>
    <n v="20203262239.75"/>
    <x v="3"/>
    <x v="2"/>
    <x v="1"/>
    <x v="13"/>
    <x v="0"/>
    <x v="1"/>
    <x v="0"/>
    <x v="1"/>
    <x v="3"/>
    <n v="14"/>
    <x v="0"/>
  </r>
  <r>
    <d v="2025-01-14T00:00:00"/>
    <x v="3"/>
    <x v="2"/>
    <x v="0"/>
    <n v="993500391.82000005"/>
    <x v="3"/>
    <x v="2"/>
    <x v="0"/>
    <x v="14"/>
    <x v="0"/>
    <x v="1"/>
    <x v="0"/>
    <x v="1"/>
    <x v="3"/>
    <n v="14"/>
    <x v="0"/>
  </r>
  <r>
    <d v="2025-01-13T00:00:00"/>
    <x v="0"/>
    <x v="1"/>
    <x v="1"/>
    <n v="3910690.19"/>
    <x v="0"/>
    <x v="1"/>
    <x v="1"/>
    <x v="3"/>
    <x v="0"/>
    <x v="1"/>
    <x v="0"/>
    <x v="1"/>
    <x v="3"/>
    <n v="13"/>
    <x v="0"/>
  </r>
  <r>
    <d v="2025-01-13T00:00:00"/>
    <x v="0"/>
    <x v="1"/>
    <x v="0"/>
    <n v="30463617.510000002"/>
    <x v="0"/>
    <x v="1"/>
    <x v="0"/>
    <x v="1"/>
    <x v="0"/>
    <x v="1"/>
    <x v="0"/>
    <x v="1"/>
    <x v="3"/>
    <n v="13"/>
    <x v="0"/>
  </r>
  <r>
    <d v="2025-01-13T00:00:00"/>
    <x v="0"/>
    <x v="0"/>
    <x v="0"/>
    <n v="100"/>
    <x v="0"/>
    <x v="0"/>
    <x v="0"/>
    <x v="0"/>
    <x v="0"/>
    <x v="1"/>
    <x v="0"/>
    <x v="1"/>
    <x v="3"/>
    <n v="13"/>
    <x v="0"/>
  </r>
  <r>
    <d v="2025-01-13T00:00:00"/>
    <x v="3"/>
    <x v="2"/>
    <x v="2"/>
    <n v="475815.53"/>
    <x v="3"/>
    <x v="2"/>
    <x v="2"/>
    <x v="5"/>
    <x v="0"/>
    <x v="1"/>
    <x v="0"/>
    <x v="1"/>
    <x v="3"/>
    <n v="13"/>
    <x v="0"/>
  </r>
  <r>
    <d v="2025-01-13T00:00:00"/>
    <x v="2"/>
    <x v="1"/>
    <x v="2"/>
    <n v="31920"/>
    <x v="2"/>
    <x v="1"/>
    <x v="2"/>
    <x v="2"/>
    <x v="0"/>
    <x v="1"/>
    <x v="0"/>
    <x v="1"/>
    <x v="3"/>
    <n v="13"/>
    <x v="0"/>
  </r>
  <r>
    <d v="2025-01-13T00:00:00"/>
    <x v="2"/>
    <x v="1"/>
    <x v="0"/>
    <n v="62674353.740000002"/>
    <x v="2"/>
    <x v="1"/>
    <x v="0"/>
    <x v="6"/>
    <x v="0"/>
    <x v="1"/>
    <x v="0"/>
    <x v="1"/>
    <x v="3"/>
    <n v="13"/>
    <x v="0"/>
  </r>
  <r>
    <d v="2025-01-13T00:00:00"/>
    <x v="1"/>
    <x v="1"/>
    <x v="0"/>
    <n v="523450.29"/>
    <x v="1"/>
    <x v="1"/>
    <x v="0"/>
    <x v="4"/>
    <x v="0"/>
    <x v="1"/>
    <x v="0"/>
    <x v="1"/>
    <x v="3"/>
    <n v="13"/>
    <x v="0"/>
  </r>
  <r>
    <d v="2025-01-13T00:00:00"/>
    <x v="3"/>
    <x v="3"/>
    <x v="0"/>
    <n v="1983035365.6199999"/>
    <x v="3"/>
    <x v="3"/>
    <x v="0"/>
    <x v="7"/>
    <x v="0"/>
    <x v="1"/>
    <x v="0"/>
    <x v="1"/>
    <x v="3"/>
    <n v="13"/>
    <x v="0"/>
  </r>
  <r>
    <d v="2025-01-13T00:00:00"/>
    <x v="1"/>
    <x v="0"/>
    <x v="0"/>
    <n v="54489181.979999997"/>
    <x v="1"/>
    <x v="0"/>
    <x v="0"/>
    <x v="9"/>
    <x v="0"/>
    <x v="1"/>
    <x v="0"/>
    <x v="1"/>
    <x v="3"/>
    <n v="13"/>
    <x v="0"/>
  </r>
  <r>
    <d v="2025-01-13T00:00:00"/>
    <x v="1"/>
    <x v="0"/>
    <x v="1"/>
    <n v="846322452.52999997"/>
    <x v="1"/>
    <x v="0"/>
    <x v="1"/>
    <x v="10"/>
    <x v="0"/>
    <x v="1"/>
    <x v="0"/>
    <x v="1"/>
    <x v="3"/>
    <n v="13"/>
    <x v="0"/>
  </r>
  <r>
    <d v="2025-01-13T00:00:00"/>
    <x v="2"/>
    <x v="1"/>
    <x v="1"/>
    <n v="159455049.13999999"/>
    <x v="2"/>
    <x v="1"/>
    <x v="1"/>
    <x v="8"/>
    <x v="0"/>
    <x v="1"/>
    <x v="0"/>
    <x v="1"/>
    <x v="3"/>
    <n v="13"/>
    <x v="0"/>
  </r>
  <r>
    <d v="2025-01-13T00:00:00"/>
    <x v="3"/>
    <x v="1"/>
    <x v="0"/>
    <n v="48519601.299999997"/>
    <x v="3"/>
    <x v="1"/>
    <x v="0"/>
    <x v="11"/>
    <x v="0"/>
    <x v="1"/>
    <x v="0"/>
    <x v="1"/>
    <x v="3"/>
    <n v="13"/>
    <x v="0"/>
  </r>
  <r>
    <d v="2025-01-13T00:00:00"/>
    <x v="3"/>
    <x v="2"/>
    <x v="0"/>
    <n v="660262980.16999996"/>
    <x v="3"/>
    <x v="2"/>
    <x v="0"/>
    <x v="12"/>
    <x v="0"/>
    <x v="1"/>
    <x v="0"/>
    <x v="1"/>
    <x v="3"/>
    <n v="13"/>
    <x v="0"/>
  </r>
  <r>
    <d v="2025-01-13T00:00:00"/>
    <x v="3"/>
    <x v="2"/>
    <x v="1"/>
    <n v="33702134367.59"/>
    <x v="3"/>
    <x v="2"/>
    <x v="1"/>
    <x v="13"/>
    <x v="0"/>
    <x v="1"/>
    <x v="0"/>
    <x v="1"/>
    <x v="3"/>
    <n v="13"/>
    <x v="0"/>
  </r>
  <r>
    <d v="2025-01-10T00:00:00"/>
    <x v="0"/>
    <x v="1"/>
    <x v="0"/>
    <n v="14310017.24"/>
    <x v="0"/>
    <x v="1"/>
    <x v="0"/>
    <x v="0"/>
    <x v="0"/>
    <x v="1"/>
    <x v="0"/>
    <x v="1"/>
    <x v="3"/>
    <n v="10"/>
    <x v="0"/>
  </r>
  <r>
    <d v="2025-01-10T00:00:00"/>
    <x v="3"/>
    <x v="3"/>
    <x v="0"/>
    <n v="2000621204.1500001"/>
    <x v="3"/>
    <x v="3"/>
    <x v="0"/>
    <x v="4"/>
    <x v="0"/>
    <x v="1"/>
    <x v="0"/>
    <x v="1"/>
    <x v="3"/>
    <n v="10"/>
    <x v="0"/>
  </r>
  <r>
    <d v="2025-01-10T00:00:00"/>
    <x v="3"/>
    <x v="2"/>
    <x v="2"/>
    <n v="432359"/>
    <x v="3"/>
    <x v="2"/>
    <x v="2"/>
    <x v="5"/>
    <x v="0"/>
    <x v="1"/>
    <x v="0"/>
    <x v="1"/>
    <x v="3"/>
    <n v="10"/>
    <x v="0"/>
  </r>
  <r>
    <d v="2025-01-10T00:00:00"/>
    <x v="2"/>
    <x v="1"/>
    <x v="0"/>
    <n v="27657335.809999999"/>
    <x v="2"/>
    <x v="1"/>
    <x v="0"/>
    <x v="6"/>
    <x v="0"/>
    <x v="1"/>
    <x v="0"/>
    <x v="1"/>
    <x v="3"/>
    <n v="10"/>
    <x v="0"/>
  </r>
  <r>
    <d v="2025-01-10T00:00:00"/>
    <x v="3"/>
    <x v="3"/>
    <x v="1"/>
    <n v="2129302.4700000002"/>
    <x v="3"/>
    <x v="3"/>
    <x v="1"/>
    <x v="1"/>
    <x v="0"/>
    <x v="1"/>
    <x v="0"/>
    <x v="1"/>
    <x v="3"/>
    <n v="10"/>
    <x v="0"/>
  </r>
  <r>
    <d v="2025-01-10T00:00:00"/>
    <x v="0"/>
    <x v="1"/>
    <x v="1"/>
    <n v="14423101.060000001"/>
    <x v="0"/>
    <x v="1"/>
    <x v="1"/>
    <x v="2"/>
    <x v="0"/>
    <x v="1"/>
    <x v="0"/>
    <x v="1"/>
    <x v="3"/>
    <n v="10"/>
    <x v="0"/>
  </r>
  <r>
    <d v="2025-01-10T00:00:00"/>
    <x v="1"/>
    <x v="1"/>
    <x v="0"/>
    <n v="48173.22"/>
    <x v="1"/>
    <x v="1"/>
    <x v="0"/>
    <x v="3"/>
    <x v="0"/>
    <x v="1"/>
    <x v="0"/>
    <x v="1"/>
    <x v="3"/>
    <n v="10"/>
    <x v="0"/>
  </r>
  <r>
    <d v="2025-01-10T00:00:00"/>
    <x v="2"/>
    <x v="1"/>
    <x v="1"/>
    <n v="-2211349.09"/>
    <x v="2"/>
    <x v="1"/>
    <x v="1"/>
    <x v="7"/>
    <x v="0"/>
    <x v="1"/>
    <x v="0"/>
    <x v="1"/>
    <x v="3"/>
    <n v="10"/>
    <x v="1"/>
  </r>
  <r>
    <d v="2025-01-10T00:00:00"/>
    <x v="1"/>
    <x v="0"/>
    <x v="1"/>
    <n v="467006213.07999998"/>
    <x v="1"/>
    <x v="0"/>
    <x v="1"/>
    <x v="8"/>
    <x v="0"/>
    <x v="1"/>
    <x v="0"/>
    <x v="1"/>
    <x v="3"/>
    <n v="10"/>
    <x v="0"/>
  </r>
  <r>
    <d v="2025-01-10T00:00:00"/>
    <x v="1"/>
    <x v="0"/>
    <x v="0"/>
    <n v="19244608.510000002"/>
    <x v="1"/>
    <x v="0"/>
    <x v="0"/>
    <x v="9"/>
    <x v="0"/>
    <x v="1"/>
    <x v="0"/>
    <x v="1"/>
    <x v="3"/>
    <n v="10"/>
    <x v="0"/>
  </r>
  <r>
    <d v="2025-01-10T00:00:00"/>
    <x v="3"/>
    <x v="1"/>
    <x v="0"/>
    <n v="13576389.619999999"/>
    <x v="3"/>
    <x v="1"/>
    <x v="0"/>
    <x v="10"/>
    <x v="0"/>
    <x v="1"/>
    <x v="0"/>
    <x v="1"/>
    <x v="3"/>
    <n v="10"/>
    <x v="0"/>
  </r>
  <r>
    <d v="2025-01-10T00:00:00"/>
    <x v="3"/>
    <x v="2"/>
    <x v="0"/>
    <n v="570972859.45000005"/>
    <x v="3"/>
    <x v="2"/>
    <x v="0"/>
    <x v="11"/>
    <x v="0"/>
    <x v="1"/>
    <x v="0"/>
    <x v="1"/>
    <x v="3"/>
    <n v="10"/>
    <x v="0"/>
  </r>
  <r>
    <d v="2025-01-10T00:00:00"/>
    <x v="3"/>
    <x v="2"/>
    <x v="1"/>
    <n v="12748601175.379999"/>
    <x v="3"/>
    <x v="2"/>
    <x v="1"/>
    <x v="12"/>
    <x v="0"/>
    <x v="1"/>
    <x v="0"/>
    <x v="1"/>
    <x v="3"/>
    <n v="10"/>
    <x v="0"/>
  </r>
  <r>
    <d v="2025-01-09T00:00:00"/>
    <x v="1"/>
    <x v="1"/>
    <x v="0"/>
    <n v="750274.25"/>
    <x v="1"/>
    <x v="1"/>
    <x v="0"/>
    <x v="3"/>
    <x v="0"/>
    <x v="1"/>
    <x v="0"/>
    <x v="1"/>
    <x v="3"/>
    <n v="9"/>
    <x v="0"/>
  </r>
  <r>
    <d v="2025-01-09T00:00:00"/>
    <x v="0"/>
    <x v="1"/>
    <x v="0"/>
    <n v="9491342.8200000003"/>
    <x v="0"/>
    <x v="1"/>
    <x v="0"/>
    <x v="0"/>
    <x v="0"/>
    <x v="1"/>
    <x v="0"/>
    <x v="1"/>
    <x v="3"/>
    <n v="9"/>
    <x v="0"/>
  </r>
  <r>
    <d v="2025-01-09T00:00:00"/>
    <x v="3"/>
    <x v="2"/>
    <x v="2"/>
    <n v="641842"/>
    <x v="3"/>
    <x v="2"/>
    <x v="2"/>
    <x v="5"/>
    <x v="0"/>
    <x v="1"/>
    <x v="0"/>
    <x v="1"/>
    <x v="3"/>
    <n v="9"/>
    <x v="0"/>
  </r>
  <r>
    <d v="2025-01-09T00:00:00"/>
    <x v="3"/>
    <x v="3"/>
    <x v="2"/>
    <n v="354.67"/>
    <x v="3"/>
    <x v="3"/>
    <x v="2"/>
    <x v="1"/>
    <x v="0"/>
    <x v="1"/>
    <x v="0"/>
    <x v="1"/>
    <x v="3"/>
    <n v="9"/>
    <x v="0"/>
  </r>
  <r>
    <d v="2025-01-09T00:00:00"/>
    <x v="2"/>
    <x v="1"/>
    <x v="0"/>
    <n v="74692004.099999994"/>
    <x v="2"/>
    <x v="1"/>
    <x v="0"/>
    <x v="6"/>
    <x v="0"/>
    <x v="1"/>
    <x v="0"/>
    <x v="1"/>
    <x v="3"/>
    <n v="9"/>
    <x v="0"/>
  </r>
  <r>
    <d v="2025-01-09T00:00:00"/>
    <x v="0"/>
    <x v="1"/>
    <x v="1"/>
    <n v="2164108.41"/>
    <x v="0"/>
    <x v="1"/>
    <x v="1"/>
    <x v="2"/>
    <x v="0"/>
    <x v="1"/>
    <x v="0"/>
    <x v="1"/>
    <x v="3"/>
    <n v="9"/>
    <x v="0"/>
  </r>
  <r>
    <d v="2025-01-09T00:00:00"/>
    <x v="2"/>
    <x v="1"/>
    <x v="2"/>
    <n v="41354.910000000003"/>
    <x v="2"/>
    <x v="1"/>
    <x v="2"/>
    <x v="4"/>
    <x v="0"/>
    <x v="1"/>
    <x v="0"/>
    <x v="1"/>
    <x v="3"/>
    <n v="9"/>
    <x v="0"/>
  </r>
  <r>
    <d v="2025-01-09T00:00:00"/>
    <x v="1"/>
    <x v="0"/>
    <x v="0"/>
    <n v="54091166.950000003"/>
    <x v="1"/>
    <x v="0"/>
    <x v="0"/>
    <x v="9"/>
    <x v="0"/>
    <x v="1"/>
    <x v="0"/>
    <x v="1"/>
    <x v="3"/>
    <n v="9"/>
    <x v="0"/>
  </r>
  <r>
    <d v="2025-01-09T00:00:00"/>
    <x v="1"/>
    <x v="0"/>
    <x v="1"/>
    <n v="1305289363.5699999"/>
    <x v="1"/>
    <x v="0"/>
    <x v="1"/>
    <x v="10"/>
    <x v="0"/>
    <x v="1"/>
    <x v="0"/>
    <x v="1"/>
    <x v="3"/>
    <n v="9"/>
    <x v="0"/>
  </r>
  <r>
    <d v="2025-01-09T00:00:00"/>
    <x v="3"/>
    <x v="3"/>
    <x v="0"/>
    <n v="677987096.15999997"/>
    <x v="3"/>
    <x v="3"/>
    <x v="0"/>
    <x v="7"/>
    <x v="0"/>
    <x v="1"/>
    <x v="0"/>
    <x v="1"/>
    <x v="3"/>
    <n v="9"/>
    <x v="0"/>
  </r>
  <r>
    <d v="2025-01-09T00:00:00"/>
    <x v="2"/>
    <x v="1"/>
    <x v="1"/>
    <n v="110307650.25"/>
    <x v="2"/>
    <x v="1"/>
    <x v="1"/>
    <x v="8"/>
    <x v="0"/>
    <x v="1"/>
    <x v="0"/>
    <x v="1"/>
    <x v="3"/>
    <n v="9"/>
    <x v="0"/>
  </r>
  <r>
    <d v="2025-01-09T00:00:00"/>
    <x v="3"/>
    <x v="1"/>
    <x v="0"/>
    <n v="16469177.939999999"/>
    <x v="3"/>
    <x v="1"/>
    <x v="0"/>
    <x v="11"/>
    <x v="0"/>
    <x v="1"/>
    <x v="0"/>
    <x v="1"/>
    <x v="3"/>
    <n v="9"/>
    <x v="0"/>
  </r>
  <r>
    <d v="2025-01-09T00:00:00"/>
    <x v="3"/>
    <x v="2"/>
    <x v="0"/>
    <n v="874059848.98000002"/>
    <x v="3"/>
    <x v="2"/>
    <x v="0"/>
    <x v="12"/>
    <x v="0"/>
    <x v="1"/>
    <x v="0"/>
    <x v="1"/>
    <x v="3"/>
    <n v="9"/>
    <x v="0"/>
  </r>
  <r>
    <d v="2025-01-09T00:00:00"/>
    <x v="3"/>
    <x v="2"/>
    <x v="1"/>
    <n v="5745447567.9799995"/>
    <x v="3"/>
    <x v="2"/>
    <x v="1"/>
    <x v="13"/>
    <x v="0"/>
    <x v="1"/>
    <x v="0"/>
    <x v="1"/>
    <x v="3"/>
    <n v="9"/>
    <x v="0"/>
  </r>
  <r>
    <d v="2025-01-08T00:00:00"/>
    <x v="0"/>
    <x v="0"/>
    <x v="0"/>
    <n v="520"/>
    <x v="0"/>
    <x v="0"/>
    <x v="0"/>
    <x v="0"/>
    <x v="0"/>
    <x v="1"/>
    <x v="0"/>
    <x v="1"/>
    <x v="3"/>
    <n v="8"/>
    <x v="0"/>
  </r>
  <r>
    <d v="2025-01-08T00:00:00"/>
    <x v="0"/>
    <x v="1"/>
    <x v="0"/>
    <n v="7552541.1900000004"/>
    <x v="0"/>
    <x v="1"/>
    <x v="0"/>
    <x v="1"/>
    <x v="0"/>
    <x v="1"/>
    <x v="0"/>
    <x v="1"/>
    <x v="3"/>
    <n v="8"/>
    <x v="0"/>
  </r>
  <r>
    <d v="2025-01-08T00:00:00"/>
    <x v="3"/>
    <x v="2"/>
    <x v="2"/>
    <n v="366253.85"/>
    <x v="3"/>
    <x v="2"/>
    <x v="2"/>
    <x v="6"/>
    <x v="0"/>
    <x v="1"/>
    <x v="0"/>
    <x v="1"/>
    <x v="3"/>
    <n v="8"/>
    <x v="0"/>
  </r>
  <r>
    <d v="2025-01-08T00:00:00"/>
    <x v="3"/>
    <x v="3"/>
    <x v="2"/>
    <n v="258.20999999999998"/>
    <x v="3"/>
    <x v="3"/>
    <x v="2"/>
    <x v="2"/>
    <x v="0"/>
    <x v="1"/>
    <x v="0"/>
    <x v="1"/>
    <x v="3"/>
    <n v="8"/>
    <x v="0"/>
  </r>
  <r>
    <d v="2025-01-08T00:00:00"/>
    <x v="2"/>
    <x v="1"/>
    <x v="0"/>
    <n v="92051575.769999996"/>
    <x v="2"/>
    <x v="1"/>
    <x v="0"/>
    <x v="7"/>
    <x v="0"/>
    <x v="1"/>
    <x v="0"/>
    <x v="1"/>
    <x v="3"/>
    <n v="8"/>
    <x v="0"/>
  </r>
  <r>
    <d v="2025-01-08T00:00:00"/>
    <x v="2"/>
    <x v="1"/>
    <x v="2"/>
    <n v="1010"/>
    <x v="2"/>
    <x v="1"/>
    <x v="2"/>
    <x v="3"/>
    <x v="0"/>
    <x v="1"/>
    <x v="0"/>
    <x v="1"/>
    <x v="3"/>
    <n v="8"/>
    <x v="0"/>
  </r>
  <r>
    <d v="2025-01-08T00:00:00"/>
    <x v="0"/>
    <x v="1"/>
    <x v="1"/>
    <n v="229221.59"/>
    <x v="0"/>
    <x v="1"/>
    <x v="1"/>
    <x v="4"/>
    <x v="0"/>
    <x v="1"/>
    <x v="0"/>
    <x v="1"/>
    <x v="3"/>
    <n v="8"/>
    <x v="0"/>
  </r>
  <r>
    <d v="2025-01-08T00:00:00"/>
    <x v="1"/>
    <x v="1"/>
    <x v="0"/>
    <n v="112159.9"/>
    <x v="1"/>
    <x v="1"/>
    <x v="0"/>
    <x v="5"/>
    <x v="0"/>
    <x v="1"/>
    <x v="0"/>
    <x v="1"/>
    <x v="3"/>
    <n v="8"/>
    <x v="0"/>
  </r>
  <r>
    <d v="2025-01-08T00:00:00"/>
    <x v="2"/>
    <x v="1"/>
    <x v="1"/>
    <n v="94342132.379999995"/>
    <x v="2"/>
    <x v="1"/>
    <x v="1"/>
    <x v="9"/>
    <x v="0"/>
    <x v="1"/>
    <x v="0"/>
    <x v="1"/>
    <x v="3"/>
    <n v="8"/>
    <x v="0"/>
  </r>
  <r>
    <d v="2025-01-08T00:00:00"/>
    <x v="1"/>
    <x v="0"/>
    <x v="1"/>
    <n v="904559779.49000001"/>
    <x v="1"/>
    <x v="0"/>
    <x v="1"/>
    <x v="10"/>
    <x v="0"/>
    <x v="1"/>
    <x v="0"/>
    <x v="1"/>
    <x v="3"/>
    <n v="8"/>
    <x v="0"/>
  </r>
  <r>
    <d v="2025-01-08T00:00:00"/>
    <x v="3"/>
    <x v="3"/>
    <x v="0"/>
    <n v="1990168524.8599999"/>
    <x v="3"/>
    <x v="3"/>
    <x v="0"/>
    <x v="8"/>
    <x v="0"/>
    <x v="1"/>
    <x v="0"/>
    <x v="1"/>
    <x v="3"/>
    <n v="8"/>
    <x v="0"/>
  </r>
  <r>
    <d v="2025-01-08T00:00:00"/>
    <x v="1"/>
    <x v="0"/>
    <x v="0"/>
    <n v="69353369.939999998"/>
    <x v="1"/>
    <x v="0"/>
    <x v="0"/>
    <x v="11"/>
    <x v="0"/>
    <x v="1"/>
    <x v="0"/>
    <x v="1"/>
    <x v="3"/>
    <n v="8"/>
    <x v="0"/>
  </r>
  <r>
    <d v="2025-01-08T00:00:00"/>
    <x v="3"/>
    <x v="1"/>
    <x v="0"/>
    <n v="15798927.390000001"/>
    <x v="3"/>
    <x v="1"/>
    <x v="0"/>
    <x v="12"/>
    <x v="0"/>
    <x v="1"/>
    <x v="0"/>
    <x v="1"/>
    <x v="3"/>
    <n v="8"/>
    <x v="0"/>
  </r>
  <r>
    <d v="2025-01-08T00:00:00"/>
    <x v="3"/>
    <x v="2"/>
    <x v="1"/>
    <n v="12729029647.469999"/>
    <x v="3"/>
    <x v="2"/>
    <x v="1"/>
    <x v="13"/>
    <x v="0"/>
    <x v="1"/>
    <x v="0"/>
    <x v="1"/>
    <x v="3"/>
    <n v="8"/>
    <x v="0"/>
  </r>
  <r>
    <d v="2025-01-08T00:00:00"/>
    <x v="3"/>
    <x v="2"/>
    <x v="0"/>
    <n v="591596989.10000002"/>
    <x v="3"/>
    <x v="2"/>
    <x v="0"/>
    <x v="14"/>
    <x v="0"/>
    <x v="1"/>
    <x v="0"/>
    <x v="1"/>
    <x v="3"/>
    <n v="8"/>
    <x v="0"/>
  </r>
  <r>
    <d v="2025-01-07T00:00:00"/>
    <x v="0"/>
    <x v="0"/>
    <x v="0"/>
    <n v="338.95"/>
    <x v="0"/>
    <x v="0"/>
    <x v="0"/>
    <x v="0"/>
    <x v="0"/>
    <x v="1"/>
    <x v="0"/>
    <x v="1"/>
    <x v="3"/>
    <n v="7"/>
    <x v="0"/>
  </r>
  <r>
    <d v="2025-01-07T00:00:00"/>
    <x v="1"/>
    <x v="1"/>
    <x v="0"/>
    <n v="229148.69"/>
    <x v="1"/>
    <x v="1"/>
    <x v="0"/>
    <x v="1"/>
    <x v="0"/>
    <x v="1"/>
    <x v="0"/>
    <x v="1"/>
    <x v="3"/>
    <n v="7"/>
    <x v="0"/>
  </r>
  <r>
    <d v="2025-01-07T00:00:00"/>
    <x v="0"/>
    <x v="1"/>
    <x v="0"/>
    <n v="7717905.5300000003"/>
    <x v="0"/>
    <x v="1"/>
    <x v="0"/>
    <x v="2"/>
    <x v="0"/>
    <x v="1"/>
    <x v="0"/>
    <x v="1"/>
    <x v="3"/>
    <n v="7"/>
    <x v="0"/>
  </r>
  <r>
    <d v="2025-01-07T00:00:00"/>
    <x v="3"/>
    <x v="2"/>
    <x v="2"/>
    <n v="588799.05000000005"/>
    <x v="3"/>
    <x v="2"/>
    <x v="2"/>
    <x v="7"/>
    <x v="0"/>
    <x v="1"/>
    <x v="0"/>
    <x v="1"/>
    <x v="3"/>
    <n v="7"/>
    <x v="0"/>
  </r>
  <r>
    <d v="2025-01-07T00:00:00"/>
    <x v="3"/>
    <x v="3"/>
    <x v="2"/>
    <n v="60"/>
    <x v="3"/>
    <x v="3"/>
    <x v="2"/>
    <x v="3"/>
    <x v="0"/>
    <x v="1"/>
    <x v="0"/>
    <x v="1"/>
    <x v="3"/>
    <n v="7"/>
    <x v="0"/>
  </r>
  <r>
    <d v="2025-01-07T00:00:00"/>
    <x v="2"/>
    <x v="1"/>
    <x v="2"/>
    <n v="20710"/>
    <x v="2"/>
    <x v="1"/>
    <x v="2"/>
    <x v="4"/>
    <x v="0"/>
    <x v="1"/>
    <x v="0"/>
    <x v="1"/>
    <x v="3"/>
    <n v="7"/>
    <x v="0"/>
  </r>
  <r>
    <d v="2025-01-07T00:00:00"/>
    <x v="2"/>
    <x v="1"/>
    <x v="0"/>
    <n v="77180890.769999996"/>
    <x v="2"/>
    <x v="1"/>
    <x v="0"/>
    <x v="8"/>
    <x v="0"/>
    <x v="1"/>
    <x v="0"/>
    <x v="1"/>
    <x v="3"/>
    <n v="7"/>
    <x v="0"/>
  </r>
  <r>
    <d v="2025-01-07T00:00:00"/>
    <x v="3"/>
    <x v="3"/>
    <x v="1"/>
    <n v="85120.38"/>
    <x v="3"/>
    <x v="3"/>
    <x v="1"/>
    <x v="5"/>
    <x v="0"/>
    <x v="1"/>
    <x v="0"/>
    <x v="1"/>
    <x v="3"/>
    <n v="7"/>
    <x v="0"/>
  </r>
  <r>
    <d v="2025-01-07T00:00:00"/>
    <x v="0"/>
    <x v="1"/>
    <x v="1"/>
    <n v="11645448.99"/>
    <x v="0"/>
    <x v="1"/>
    <x v="1"/>
    <x v="6"/>
    <x v="0"/>
    <x v="1"/>
    <x v="0"/>
    <x v="1"/>
    <x v="3"/>
    <n v="7"/>
    <x v="0"/>
  </r>
  <r>
    <d v="2025-01-07T00:00:00"/>
    <x v="2"/>
    <x v="1"/>
    <x v="1"/>
    <n v="103893795.27"/>
    <x v="2"/>
    <x v="1"/>
    <x v="1"/>
    <x v="10"/>
    <x v="0"/>
    <x v="1"/>
    <x v="0"/>
    <x v="1"/>
    <x v="3"/>
    <n v="7"/>
    <x v="0"/>
  </r>
  <r>
    <d v="2025-01-07T00:00:00"/>
    <x v="1"/>
    <x v="0"/>
    <x v="0"/>
    <n v="48319233.109999999"/>
    <x v="1"/>
    <x v="0"/>
    <x v="0"/>
    <x v="11"/>
    <x v="0"/>
    <x v="1"/>
    <x v="0"/>
    <x v="1"/>
    <x v="3"/>
    <n v="7"/>
    <x v="0"/>
  </r>
  <r>
    <d v="2025-01-07T00:00:00"/>
    <x v="3"/>
    <x v="3"/>
    <x v="0"/>
    <n v="1166816777.6700001"/>
    <x v="3"/>
    <x v="3"/>
    <x v="0"/>
    <x v="9"/>
    <x v="0"/>
    <x v="1"/>
    <x v="0"/>
    <x v="1"/>
    <x v="3"/>
    <n v="7"/>
    <x v="0"/>
  </r>
  <r>
    <d v="2025-01-07T00:00:00"/>
    <x v="1"/>
    <x v="0"/>
    <x v="1"/>
    <n v="743159841.99000001"/>
    <x v="1"/>
    <x v="0"/>
    <x v="1"/>
    <x v="12"/>
    <x v="0"/>
    <x v="1"/>
    <x v="0"/>
    <x v="1"/>
    <x v="3"/>
    <n v="7"/>
    <x v="0"/>
  </r>
  <r>
    <d v="2025-01-07T00:00:00"/>
    <x v="3"/>
    <x v="1"/>
    <x v="0"/>
    <n v="13938442.810000001"/>
    <x v="3"/>
    <x v="1"/>
    <x v="0"/>
    <x v="13"/>
    <x v="0"/>
    <x v="1"/>
    <x v="0"/>
    <x v="1"/>
    <x v="3"/>
    <n v="7"/>
    <x v="0"/>
  </r>
  <r>
    <d v="2025-01-07T00:00:00"/>
    <x v="3"/>
    <x v="2"/>
    <x v="1"/>
    <n v="5560254494.6000004"/>
    <x v="3"/>
    <x v="2"/>
    <x v="1"/>
    <x v="14"/>
    <x v="0"/>
    <x v="1"/>
    <x v="0"/>
    <x v="1"/>
    <x v="3"/>
    <n v="7"/>
    <x v="0"/>
  </r>
  <r>
    <d v="2025-01-07T00:00:00"/>
    <x v="3"/>
    <x v="2"/>
    <x v="0"/>
    <n v="1176004190.3900001"/>
    <x v="3"/>
    <x v="2"/>
    <x v="0"/>
    <x v="15"/>
    <x v="0"/>
    <x v="1"/>
    <x v="0"/>
    <x v="1"/>
    <x v="3"/>
    <n v="7"/>
    <x v="0"/>
  </r>
  <r>
    <d v="2025-01-06T00:00:00"/>
    <x v="0"/>
    <x v="1"/>
    <x v="0"/>
    <n v="12674859.58"/>
    <x v="0"/>
    <x v="1"/>
    <x v="0"/>
    <x v="0"/>
    <x v="0"/>
    <x v="1"/>
    <x v="0"/>
    <x v="1"/>
    <x v="3"/>
    <n v="6"/>
    <x v="0"/>
  </r>
  <r>
    <d v="2025-01-06T00:00:00"/>
    <x v="3"/>
    <x v="3"/>
    <x v="2"/>
    <n v="782.91"/>
    <x v="3"/>
    <x v="3"/>
    <x v="2"/>
    <x v="1"/>
    <x v="0"/>
    <x v="1"/>
    <x v="0"/>
    <x v="1"/>
    <x v="3"/>
    <n v="6"/>
    <x v="0"/>
  </r>
  <r>
    <d v="2025-01-06T00:00:00"/>
    <x v="3"/>
    <x v="3"/>
    <x v="0"/>
    <n v="3243790312.3800001"/>
    <x v="3"/>
    <x v="3"/>
    <x v="0"/>
    <x v="5"/>
    <x v="0"/>
    <x v="1"/>
    <x v="0"/>
    <x v="1"/>
    <x v="3"/>
    <n v="6"/>
    <x v="0"/>
  </r>
  <r>
    <d v="2025-01-06T00:00:00"/>
    <x v="3"/>
    <x v="2"/>
    <x v="2"/>
    <n v="533876.23"/>
    <x v="3"/>
    <x v="2"/>
    <x v="2"/>
    <x v="6"/>
    <x v="0"/>
    <x v="1"/>
    <x v="0"/>
    <x v="1"/>
    <x v="3"/>
    <n v="6"/>
    <x v="0"/>
  </r>
  <r>
    <d v="2025-01-06T00:00:00"/>
    <x v="0"/>
    <x v="1"/>
    <x v="1"/>
    <n v="25670472.170000002"/>
    <x v="0"/>
    <x v="1"/>
    <x v="1"/>
    <x v="2"/>
    <x v="0"/>
    <x v="1"/>
    <x v="0"/>
    <x v="1"/>
    <x v="3"/>
    <n v="6"/>
    <x v="0"/>
  </r>
  <r>
    <d v="2025-01-06T00:00:00"/>
    <x v="2"/>
    <x v="1"/>
    <x v="0"/>
    <n v="128470872.52"/>
    <x v="2"/>
    <x v="1"/>
    <x v="0"/>
    <x v="7"/>
    <x v="0"/>
    <x v="1"/>
    <x v="0"/>
    <x v="1"/>
    <x v="3"/>
    <n v="6"/>
    <x v="0"/>
  </r>
  <r>
    <d v="2025-01-06T00:00:00"/>
    <x v="2"/>
    <x v="1"/>
    <x v="2"/>
    <n v="2998.68"/>
    <x v="2"/>
    <x v="1"/>
    <x v="2"/>
    <x v="3"/>
    <x v="0"/>
    <x v="1"/>
    <x v="0"/>
    <x v="1"/>
    <x v="3"/>
    <n v="6"/>
    <x v="0"/>
  </r>
  <r>
    <d v="2025-01-06T00:00:00"/>
    <x v="1"/>
    <x v="1"/>
    <x v="0"/>
    <n v="415401.65"/>
    <x v="1"/>
    <x v="1"/>
    <x v="0"/>
    <x v="4"/>
    <x v="0"/>
    <x v="1"/>
    <x v="0"/>
    <x v="1"/>
    <x v="3"/>
    <n v="6"/>
    <x v="0"/>
  </r>
  <r>
    <d v="2025-01-06T00:00:00"/>
    <x v="2"/>
    <x v="1"/>
    <x v="1"/>
    <n v="198706181.53"/>
    <x v="2"/>
    <x v="1"/>
    <x v="1"/>
    <x v="8"/>
    <x v="0"/>
    <x v="1"/>
    <x v="0"/>
    <x v="1"/>
    <x v="3"/>
    <n v="6"/>
    <x v="0"/>
  </r>
  <r>
    <d v="2025-01-06T00:00:00"/>
    <x v="1"/>
    <x v="0"/>
    <x v="1"/>
    <n v="920033543.37"/>
    <x v="1"/>
    <x v="0"/>
    <x v="1"/>
    <x v="9"/>
    <x v="0"/>
    <x v="1"/>
    <x v="0"/>
    <x v="1"/>
    <x v="3"/>
    <n v="6"/>
    <x v="0"/>
  </r>
  <r>
    <d v="2025-01-06T00:00:00"/>
    <x v="1"/>
    <x v="0"/>
    <x v="0"/>
    <n v="56712700.530000001"/>
    <x v="1"/>
    <x v="0"/>
    <x v="0"/>
    <x v="10"/>
    <x v="0"/>
    <x v="1"/>
    <x v="0"/>
    <x v="1"/>
    <x v="3"/>
    <n v="6"/>
    <x v="0"/>
  </r>
  <r>
    <d v="2025-01-06T00:00:00"/>
    <x v="3"/>
    <x v="1"/>
    <x v="0"/>
    <n v="55248461.329999998"/>
    <x v="3"/>
    <x v="1"/>
    <x v="0"/>
    <x v="11"/>
    <x v="0"/>
    <x v="1"/>
    <x v="0"/>
    <x v="1"/>
    <x v="3"/>
    <n v="6"/>
    <x v="0"/>
  </r>
  <r>
    <d v="2025-01-06T00:00:00"/>
    <x v="3"/>
    <x v="2"/>
    <x v="1"/>
    <n v="33125901378.41"/>
    <x v="3"/>
    <x v="2"/>
    <x v="1"/>
    <x v="12"/>
    <x v="0"/>
    <x v="1"/>
    <x v="0"/>
    <x v="1"/>
    <x v="3"/>
    <n v="6"/>
    <x v="0"/>
  </r>
  <r>
    <d v="2025-01-06T00:00:00"/>
    <x v="3"/>
    <x v="2"/>
    <x v="0"/>
    <n v="709481639.00999999"/>
    <x v="3"/>
    <x v="2"/>
    <x v="0"/>
    <x v="13"/>
    <x v="0"/>
    <x v="1"/>
    <x v="0"/>
    <x v="1"/>
    <x v="3"/>
    <n v="6"/>
    <x v="0"/>
  </r>
  <r>
    <d v="2025-01-03T00:00:00"/>
    <x v="1"/>
    <x v="1"/>
    <x v="0"/>
    <n v="209446.47"/>
    <x v="1"/>
    <x v="1"/>
    <x v="0"/>
    <x v="1"/>
    <x v="0"/>
    <x v="1"/>
    <x v="0"/>
    <x v="1"/>
    <x v="3"/>
    <n v="3"/>
    <x v="0"/>
  </r>
  <r>
    <d v="2025-01-03T00:00:00"/>
    <x v="0"/>
    <x v="0"/>
    <x v="0"/>
    <n v="634"/>
    <x v="0"/>
    <x v="0"/>
    <x v="0"/>
    <x v="0"/>
    <x v="0"/>
    <x v="1"/>
    <x v="0"/>
    <x v="1"/>
    <x v="3"/>
    <n v="3"/>
    <x v="0"/>
  </r>
  <r>
    <d v="2025-01-03T00:00:00"/>
    <x v="0"/>
    <x v="1"/>
    <x v="0"/>
    <n v="8157950.7800000003"/>
    <x v="0"/>
    <x v="1"/>
    <x v="0"/>
    <x v="2"/>
    <x v="0"/>
    <x v="1"/>
    <x v="0"/>
    <x v="1"/>
    <x v="3"/>
    <n v="3"/>
    <x v="0"/>
  </r>
  <r>
    <d v="2025-01-03T00:00:00"/>
    <x v="3"/>
    <x v="2"/>
    <x v="2"/>
    <n v="645027"/>
    <x v="3"/>
    <x v="2"/>
    <x v="2"/>
    <x v="5"/>
    <x v="0"/>
    <x v="1"/>
    <x v="0"/>
    <x v="1"/>
    <x v="3"/>
    <n v="3"/>
    <x v="0"/>
  </r>
  <r>
    <d v="2025-01-03T00:00:00"/>
    <x v="0"/>
    <x v="1"/>
    <x v="1"/>
    <n v="3874335.7"/>
    <x v="0"/>
    <x v="1"/>
    <x v="1"/>
    <x v="3"/>
    <x v="0"/>
    <x v="1"/>
    <x v="0"/>
    <x v="1"/>
    <x v="3"/>
    <n v="3"/>
    <x v="0"/>
  </r>
  <r>
    <d v="2025-01-03T00:00:00"/>
    <x v="2"/>
    <x v="1"/>
    <x v="0"/>
    <n v="133416737.58"/>
    <x v="2"/>
    <x v="1"/>
    <x v="0"/>
    <x v="6"/>
    <x v="0"/>
    <x v="1"/>
    <x v="0"/>
    <x v="1"/>
    <x v="3"/>
    <n v="3"/>
    <x v="0"/>
  </r>
  <r>
    <d v="2025-01-03T00:00:00"/>
    <x v="2"/>
    <x v="1"/>
    <x v="2"/>
    <n v="51031.09"/>
    <x v="2"/>
    <x v="1"/>
    <x v="2"/>
    <x v="4"/>
    <x v="0"/>
    <x v="1"/>
    <x v="0"/>
    <x v="1"/>
    <x v="3"/>
    <n v="3"/>
    <x v="0"/>
  </r>
  <r>
    <d v="2025-01-03T00:00:00"/>
    <x v="3"/>
    <x v="3"/>
    <x v="0"/>
    <n v="1962859250.1600001"/>
    <x v="3"/>
    <x v="3"/>
    <x v="0"/>
    <x v="7"/>
    <x v="0"/>
    <x v="1"/>
    <x v="0"/>
    <x v="1"/>
    <x v="3"/>
    <n v="3"/>
    <x v="0"/>
  </r>
  <r>
    <d v="2025-01-03T00:00:00"/>
    <x v="2"/>
    <x v="1"/>
    <x v="1"/>
    <n v="276705251.30000001"/>
    <x v="2"/>
    <x v="1"/>
    <x v="1"/>
    <x v="8"/>
    <x v="0"/>
    <x v="1"/>
    <x v="0"/>
    <x v="1"/>
    <x v="3"/>
    <n v="3"/>
    <x v="0"/>
  </r>
  <r>
    <d v="2025-01-03T00:00:00"/>
    <x v="1"/>
    <x v="0"/>
    <x v="1"/>
    <n v="345814123.24000001"/>
    <x v="1"/>
    <x v="0"/>
    <x v="1"/>
    <x v="9"/>
    <x v="0"/>
    <x v="1"/>
    <x v="0"/>
    <x v="1"/>
    <x v="3"/>
    <n v="3"/>
    <x v="0"/>
  </r>
  <r>
    <d v="2025-01-03T00:00:00"/>
    <x v="1"/>
    <x v="0"/>
    <x v="0"/>
    <n v="58125702.619999997"/>
    <x v="1"/>
    <x v="0"/>
    <x v="0"/>
    <x v="10"/>
    <x v="0"/>
    <x v="1"/>
    <x v="0"/>
    <x v="1"/>
    <x v="3"/>
    <n v="3"/>
    <x v="0"/>
  </r>
  <r>
    <d v="2025-01-03T00:00:00"/>
    <x v="3"/>
    <x v="1"/>
    <x v="0"/>
    <n v="17250318.629999999"/>
    <x v="3"/>
    <x v="1"/>
    <x v="0"/>
    <x v="11"/>
    <x v="0"/>
    <x v="1"/>
    <x v="0"/>
    <x v="1"/>
    <x v="3"/>
    <n v="3"/>
    <x v="0"/>
  </r>
  <r>
    <d v="2025-01-03T00:00:00"/>
    <x v="3"/>
    <x v="2"/>
    <x v="0"/>
    <n v="660160297.80999994"/>
    <x v="3"/>
    <x v="2"/>
    <x v="0"/>
    <x v="12"/>
    <x v="0"/>
    <x v="1"/>
    <x v="0"/>
    <x v="1"/>
    <x v="3"/>
    <n v="3"/>
    <x v="0"/>
  </r>
  <r>
    <d v="2025-01-03T00:00:00"/>
    <x v="3"/>
    <x v="2"/>
    <x v="1"/>
    <n v="18499846066.599998"/>
    <x v="3"/>
    <x v="2"/>
    <x v="1"/>
    <x v="13"/>
    <x v="0"/>
    <x v="1"/>
    <x v="0"/>
    <x v="1"/>
    <x v="3"/>
    <n v="3"/>
    <x v="0"/>
  </r>
  <r>
    <d v="2025-01-02T00:00:00"/>
    <x v="2"/>
    <x v="1"/>
    <x v="2"/>
    <n v="27365.67"/>
    <x v="2"/>
    <x v="1"/>
    <x v="2"/>
    <x v="4"/>
    <x v="0"/>
    <x v="1"/>
    <x v="0"/>
    <x v="1"/>
    <x v="3"/>
    <n v="2"/>
    <x v="0"/>
  </r>
  <r>
    <d v="2025-01-02T00:00:00"/>
    <x v="1"/>
    <x v="1"/>
    <x v="0"/>
    <n v="48970.16"/>
    <x v="1"/>
    <x v="1"/>
    <x v="0"/>
    <x v="0"/>
    <x v="0"/>
    <x v="1"/>
    <x v="0"/>
    <x v="1"/>
    <x v="3"/>
    <n v="2"/>
    <x v="0"/>
  </r>
  <r>
    <d v="2025-01-02T00:00:00"/>
    <x v="0"/>
    <x v="1"/>
    <x v="0"/>
    <n v="5717345.1699999999"/>
    <x v="0"/>
    <x v="1"/>
    <x v="0"/>
    <x v="1"/>
    <x v="0"/>
    <x v="1"/>
    <x v="0"/>
    <x v="1"/>
    <x v="3"/>
    <n v="2"/>
    <x v="0"/>
  </r>
  <r>
    <d v="2025-01-02T00:00:00"/>
    <x v="3"/>
    <x v="2"/>
    <x v="2"/>
    <n v="739107.89"/>
    <x v="3"/>
    <x v="2"/>
    <x v="2"/>
    <x v="5"/>
    <x v="0"/>
    <x v="1"/>
    <x v="0"/>
    <x v="1"/>
    <x v="3"/>
    <n v="2"/>
    <x v="0"/>
  </r>
  <r>
    <d v="2025-01-02T00:00:00"/>
    <x v="2"/>
    <x v="1"/>
    <x v="0"/>
    <n v="81773576.510000005"/>
    <x v="2"/>
    <x v="1"/>
    <x v="0"/>
    <x v="6"/>
    <x v="0"/>
    <x v="1"/>
    <x v="0"/>
    <x v="1"/>
    <x v="3"/>
    <n v="2"/>
    <x v="0"/>
  </r>
  <r>
    <d v="2025-01-02T00:00:00"/>
    <x v="0"/>
    <x v="1"/>
    <x v="1"/>
    <n v="5341586.41"/>
    <x v="0"/>
    <x v="1"/>
    <x v="1"/>
    <x v="3"/>
    <x v="0"/>
    <x v="1"/>
    <x v="0"/>
    <x v="1"/>
    <x v="3"/>
    <n v="2"/>
    <x v="0"/>
  </r>
  <r>
    <d v="2025-01-02T00:00:00"/>
    <x v="3"/>
    <x v="3"/>
    <x v="1"/>
    <n v="2764255.52"/>
    <x v="3"/>
    <x v="3"/>
    <x v="1"/>
    <x v="2"/>
    <x v="0"/>
    <x v="1"/>
    <x v="0"/>
    <x v="1"/>
    <x v="3"/>
    <n v="2"/>
    <x v="0"/>
  </r>
  <r>
    <d v="2025-01-02T00:00:00"/>
    <x v="3"/>
    <x v="3"/>
    <x v="0"/>
    <n v="2388280012.5900002"/>
    <x v="3"/>
    <x v="3"/>
    <x v="0"/>
    <x v="7"/>
    <x v="0"/>
    <x v="1"/>
    <x v="0"/>
    <x v="1"/>
    <x v="3"/>
    <n v="2"/>
    <x v="0"/>
  </r>
  <r>
    <d v="2025-01-02T00:00:00"/>
    <x v="2"/>
    <x v="1"/>
    <x v="1"/>
    <n v="193368988.18000001"/>
    <x v="2"/>
    <x v="1"/>
    <x v="1"/>
    <x v="8"/>
    <x v="0"/>
    <x v="1"/>
    <x v="0"/>
    <x v="1"/>
    <x v="3"/>
    <n v="2"/>
    <x v="0"/>
  </r>
  <r>
    <d v="2025-01-02T00:00:00"/>
    <x v="1"/>
    <x v="0"/>
    <x v="1"/>
    <n v="1164352730.8099999"/>
    <x v="1"/>
    <x v="0"/>
    <x v="1"/>
    <x v="9"/>
    <x v="0"/>
    <x v="1"/>
    <x v="0"/>
    <x v="1"/>
    <x v="3"/>
    <n v="2"/>
    <x v="0"/>
  </r>
  <r>
    <d v="2025-01-02T00:00:00"/>
    <x v="1"/>
    <x v="0"/>
    <x v="0"/>
    <n v="83680719.069999993"/>
    <x v="1"/>
    <x v="0"/>
    <x v="0"/>
    <x v="10"/>
    <x v="0"/>
    <x v="1"/>
    <x v="0"/>
    <x v="1"/>
    <x v="3"/>
    <n v="2"/>
    <x v="0"/>
  </r>
  <r>
    <d v="2025-01-02T00:00:00"/>
    <x v="3"/>
    <x v="1"/>
    <x v="0"/>
    <n v="23593973.16"/>
    <x v="3"/>
    <x v="1"/>
    <x v="0"/>
    <x v="11"/>
    <x v="0"/>
    <x v="1"/>
    <x v="0"/>
    <x v="1"/>
    <x v="3"/>
    <n v="2"/>
    <x v="0"/>
  </r>
  <r>
    <d v="2025-01-02T00:00:00"/>
    <x v="3"/>
    <x v="2"/>
    <x v="0"/>
    <n v="1121078880.47"/>
    <x v="3"/>
    <x v="2"/>
    <x v="0"/>
    <x v="12"/>
    <x v="0"/>
    <x v="1"/>
    <x v="0"/>
    <x v="1"/>
    <x v="3"/>
    <n v="2"/>
    <x v="0"/>
  </r>
  <r>
    <d v="2025-01-02T00:00:00"/>
    <x v="3"/>
    <x v="2"/>
    <x v="1"/>
    <n v="53712781581.330002"/>
    <x v="3"/>
    <x v="2"/>
    <x v="1"/>
    <x v="13"/>
    <x v="0"/>
    <x v="1"/>
    <x v="0"/>
    <x v="1"/>
    <x v="3"/>
    <n v="2"/>
    <x v="0"/>
  </r>
  <r>
    <d v="2024-12-31T00:00:00"/>
    <x v="0"/>
    <x v="0"/>
    <x v="0"/>
    <n v="350"/>
    <x v="0"/>
    <x v="0"/>
    <x v="0"/>
    <x v="0"/>
    <x v="0"/>
    <x v="2"/>
    <x v="1"/>
    <x v="2"/>
    <x v="4"/>
    <n v="31"/>
    <x v="0"/>
  </r>
  <r>
    <d v="2024-12-31T00:00:00"/>
    <x v="1"/>
    <x v="1"/>
    <x v="0"/>
    <n v="307873.78999999998"/>
    <x v="1"/>
    <x v="1"/>
    <x v="0"/>
    <x v="1"/>
    <x v="0"/>
    <x v="2"/>
    <x v="1"/>
    <x v="2"/>
    <x v="4"/>
    <n v="31"/>
    <x v="0"/>
  </r>
  <r>
    <d v="2024-12-31T00:00:00"/>
    <x v="0"/>
    <x v="1"/>
    <x v="0"/>
    <n v="15981699.449999999"/>
    <x v="0"/>
    <x v="1"/>
    <x v="0"/>
    <x v="2"/>
    <x v="0"/>
    <x v="2"/>
    <x v="1"/>
    <x v="2"/>
    <x v="4"/>
    <n v="31"/>
    <x v="0"/>
  </r>
  <r>
    <d v="2024-12-31T00:00:00"/>
    <x v="3"/>
    <x v="2"/>
    <x v="2"/>
    <n v="1353171.15"/>
    <x v="3"/>
    <x v="2"/>
    <x v="2"/>
    <x v="5"/>
    <x v="0"/>
    <x v="2"/>
    <x v="1"/>
    <x v="2"/>
    <x v="4"/>
    <n v="31"/>
    <x v="0"/>
  </r>
  <r>
    <d v="2024-12-31T00:00:00"/>
    <x v="2"/>
    <x v="1"/>
    <x v="2"/>
    <n v="65233"/>
    <x v="2"/>
    <x v="1"/>
    <x v="2"/>
    <x v="3"/>
    <x v="0"/>
    <x v="2"/>
    <x v="1"/>
    <x v="2"/>
    <x v="4"/>
    <n v="31"/>
    <x v="0"/>
  </r>
  <r>
    <d v="2024-12-31T00:00:00"/>
    <x v="2"/>
    <x v="1"/>
    <x v="0"/>
    <n v="126889139.54000001"/>
    <x v="2"/>
    <x v="1"/>
    <x v="0"/>
    <x v="6"/>
    <x v="0"/>
    <x v="2"/>
    <x v="1"/>
    <x v="2"/>
    <x v="4"/>
    <n v="31"/>
    <x v="0"/>
  </r>
  <r>
    <d v="2024-12-31T00:00:00"/>
    <x v="0"/>
    <x v="1"/>
    <x v="1"/>
    <n v="864936.03"/>
    <x v="0"/>
    <x v="1"/>
    <x v="1"/>
    <x v="4"/>
    <x v="0"/>
    <x v="2"/>
    <x v="1"/>
    <x v="2"/>
    <x v="4"/>
    <n v="31"/>
    <x v="0"/>
  </r>
  <r>
    <d v="2024-12-31T00:00:00"/>
    <x v="3"/>
    <x v="3"/>
    <x v="0"/>
    <n v="4469819382.2700005"/>
    <x v="3"/>
    <x v="3"/>
    <x v="0"/>
    <x v="7"/>
    <x v="0"/>
    <x v="2"/>
    <x v="1"/>
    <x v="2"/>
    <x v="4"/>
    <n v="31"/>
    <x v="0"/>
  </r>
  <r>
    <d v="2024-12-31T00:00:00"/>
    <x v="1"/>
    <x v="0"/>
    <x v="0"/>
    <n v="81473095.959999993"/>
    <x v="1"/>
    <x v="0"/>
    <x v="0"/>
    <x v="10"/>
    <x v="0"/>
    <x v="2"/>
    <x v="1"/>
    <x v="2"/>
    <x v="4"/>
    <n v="31"/>
    <x v="0"/>
  </r>
  <r>
    <d v="2024-12-31T00:00:00"/>
    <x v="2"/>
    <x v="1"/>
    <x v="1"/>
    <n v="297035317.79000002"/>
    <x v="2"/>
    <x v="1"/>
    <x v="1"/>
    <x v="8"/>
    <x v="0"/>
    <x v="2"/>
    <x v="1"/>
    <x v="2"/>
    <x v="4"/>
    <n v="31"/>
    <x v="0"/>
  </r>
  <r>
    <d v="2024-12-31T00:00:00"/>
    <x v="3"/>
    <x v="2"/>
    <x v="1"/>
    <n v="5791678441.96"/>
    <x v="3"/>
    <x v="2"/>
    <x v="1"/>
    <x v="9"/>
    <x v="0"/>
    <x v="2"/>
    <x v="1"/>
    <x v="2"/>
    <x v="4"/>
    <n v="31"/>
    <x v="0"/>
  </r>
  <r>
    <d v="2024-12-31T00:00:00"/>
    <x v="1"/>
    <x v="0"/>
    <x v="1"/>
    <n v="671882456.73000002"/>
    <x v="1"/>
    <x v="0"/>
    <x v="1"/>
    <x v="11"/>
    <x v="0"/>
    <x v="2"/>
    <x v="1"/>
    <x v="2"/>
    <x v="4"/>
    <n v="31"/>
    <x v="0"/>
  </r>
  <r>
    <d v="2024-12-31T00:00:00"/>
    <x v="3"/>
    <x v="1"/>
    <x v="0"/>
    <n v="18572376.16"/>
    <x v="3"/>
    <x v="1"/>
    <x v="0"/>
    <x v="12"/>
    <x v="0"/>
    <x v="2"/>
    <x v="1"/>
    <x v="2"/>
    <x v="4"/>
    <n v="31"/>
    <x v="0"/>
  </r>
  <r>
    <d v="2024-12-31T00:00:00"/>
    <x v="3"/>
    <x v="2"/>
    <x v="0"/>
    <n v="1237138778.1600001"/>
    <x v="3"/>
    <x v="2"/>
    <x v="0"/>
    <x v="13"/>
    <x v="0"/>
    <x v="2"/>
    <x v="1"/>
    <x v="2"/>
    <x v="4"/>
    <n v="31"/>
    <x v="0"/>
  </r>
  <r>
    <d v="2024-12-30T00:00:00"/>
    <x v="0"/>
    <x v="0"/>
    <x v="0"/>
    <n v="211.84"/>
    <x v="0"/>
    <x v="0"/>
    <x v="0"/>
    <x v="0"/>
    <x v="0"/>
    <x v="2"/>
    <x v="1"/>
    <x v="2"/>
    <x v="4"/>
    <n v="30"/>
    <x v="0"/>
  </r>
  <r>
    <d v="2024-12-30T00:00:00"/>
    <x v="1"/>
    <x v="1"/>
    <x v="0"/>
    <n v="19973.12"/>
    <x v="1"/>
    <x v="1"/>
    <x v="0"/>
    <x v="1"/>
    <x v="0"/>
    <x v="2"/>
    <x v="1"/>
    <x v="2"/>
    <x v="4"/>
    <n v="30"/>
    <x v="0"/>
  </r>
  <r>
    <d v="2024-12-30T00:00:00"/>
    <x v="0"/>
    <x v="1"/>
    <x v="0"/>
    <n v="10964253.949999999"/>
    <x v="0"/>
    <x v="1"/>
    <x v="0"/>
    <x v="2"/>
    <x v="0"/>
    <x v="2"/>
    <x v="1"/>
    <x v="2"/>
    <x v="4"/>
    <n v="30"/>
    <x v="0"/>
  </r>
  <r>
    <d v="2024-12-30T00:00:00"/>
    <x v="3"/>
    <x v="2"/>
    <x v="2"/>
    <n v="822414.8"/>
    <x v="3"/>
    <x v="2"/>
    <x v="2"/>
    <x v="6"/>
    <x v="0"/>
    <x v="2"/>
    <x v="1"/>
    <x v="2"/>
    <x v="4"/>
    <n v="30"/>
    <x v="0"/>
  </r>
  <r>
    <d v="2024-12-30T00:00:00"/>
    <x v="2"/>
    <x v="1"/>
    <x v="0"/>
    <n v="118456451.55"/>
    <x v="2"/>
    <x v="1"/>
    <x v="0"/>
    <x v="7"/>
    <x v="0"/>
    <x v="2"/>
    <x v="1"/>
    <x v="2"/>
    <x v="4"/>
    <n v="30"/>
    <x v="0"/>
  </r>
  <r>
    <d v="2024-12-30T00:00:00"/>
    <x v="3"/>
    <x v="3"/>
    <x v="1"/>
    <n v="2341201.73"/>
    <x v="3"/>
    <x v="3"/>
    <x v="1"/>
    <x v="3"/>
    <x v="0"/>
    <x v="2"/>
    <x v="1"/>
    <x v="2"/>
    <x v="4"/>
    <n v="30"/>
    <x v="0"/>
  </r>
  <r>
    <d v="2024-12-30T00:00:00"/>
    <x v="0"/>
    <x v="1"/>
    <x v="1"/>
    <n v="14247547.02"/>
    <x v="0"/>
    <x v="1"/>
    <x v="1"/>
    <x v="4"/>
    <x v="0"/>
    <x v="2"/>
    <x v="1"/>
    <x v="2"/>
    <x v="4"/>
    <n v="30"/>
    <x v="0"/>
  </r>
  <r>
    <d v="2024-12-30T00:00:00"/>
    <x v="3"/>
    <x v="3"/>
    <x v="0"/>
    <n v="1783224157.1900001"/>
    <x v="3"/>
    <x v="3"/>
    <x v="0"/>
    <x v="8"/>
    <x v="0"/>
    <x v="2"/>
    <x v="1"/>
    <x v="2"/>
    <x v="4"/>
    <n v="30"/>
    <x v="0"/>
  </r>
  <r>
    <d v="2024-12-30T00:00:00"/>
    <x v="2"/>
    <x v="1"/>
    <x v="2"/>
    <n v="49125.69"/>
    <x v="2"/>
    <x v="1"/>
    <x v="2"/>
    <x v="5"/>
    <x v="0"/>
    <x v="2"/>
    <x v="1"/>
    <x v="2"/>
    <x v="4"/>
    <n v="30"/>
    <x v="0"/>
  </r>
  <r>
    <d v="2024-12-30T00:00:00"/>
    <x v="2"/>
    <x v="1"/>
    <x v="1"/>
    <n v="105060358.15000001"/>
    <x v="2"/>
    <x v="1"/>
    <x v="1"/>
    <x v="9"/>
    <x v="0"/>
    <x v="2"/>
    <x v="1"/>
    <x v="2"/>
    <x v="4"/>
    <n v="30"/>
    <x v="0"/>
  </r>
  <r>
    <d v="2024-12-30T00:00:00"/>
    <x v="1"/>
    <x v="0"/>
    <x v="0"/>
    <n v="74667293.620000005"/>
    <x v="1"/>
    <x v="0"/>
    <x v="0"/>
    <x v="10"/>
    <x v="0"/>
    <x v="2"/>
    <x v="1"/>
    <x v="2"/>
    <x v="4"/>
    <n v="30"/>
    <x v="0"/>
  </r>
  <r>
    <d v="2024-12-30T00:00:00"/>
    <x v="1"/>
    <x v="0"/>
    <x v="1"/>
    <n v="834944900.34000003"/>
    <x v="1"/>
    <x v="0"/>
    <x v="1"/>
    <x v="11"/>
    <x v="0"/>
    <x v="2"/>
    <x v="1"/>
    <x v="2"/>
    <x v="4"/>
    <n v="30"/>
    <x v="0"/>
  </r>
  <r>
    <d v="2024-12-30T00:00:00"/>
    <x v="3"/>
    <x v="1"/>
    <x v="0"/>
    <n v="46344020.93"/>
    <x v="3"/>
    <x v="1"/>
    <x v="0"/>
    <x v="12"/>
    <x v="0"/>
    <x v="2"/>
    <x v="1"/>
    <x v="2"/>
    <x v="4"/>
    <n v="30"/>
    <x v="0"/>
  </r>
  <r>
    <d v="2024-12-30T00:00:00"/>
    <x v="3"/>
    <x v="2"/>
    <x v="0"/>
    <n v="886614335.70000005"/>
    <x v="3"/>
    <x v="2"/>
    <x v="0"/>
    <x v="13"/>
    <x v="0"/>
    <x v="2"/>
    <x v="1"/>
    <x v="2"/>
    <x v="4"/>
    <n v="30"/>
    <x v="0"/>
  </r>
  <r>
    <d v="2024-12-30T00:00:00"/>
    <x v="3"/>
    <x v="2"/>
    <x v="1"/>
    <n v="33229526224.32"/>
    <x v="3"/>
    <x v="2"/>
    <x v="1"/>
    <x v="14"/>
    <x v="0"/>
    <x v="2"/>
    <x v="1"/>
    <x v="2"/>
    <x v="4"/>
    <n v="30"/>
    <x v="0"/>
  </r>
  <r>
    <d v="2024-12-27T00:00:00"/>
    <x v="1"/>
    <x v="1"/>
    <x v="0"/>
    <n v="390156.41"/>
    <x v="1"/>
    <x v="1"/>
    <x v="0"/>
    <x v="0"/>
    <x v="0"/>
    <x v="2"/>
    <x v="1"/>
    <x v="2"/>
    <x v="4"/>
    <n v="27"/>
    <x v="0"/>
  </r>
  <r>
    <d v="2024-12-27T00:00:00"/>
    <x v="0"/>
    <x v="1"/>
    <x v="0"/>
    <n v="8559333.5899999999"/>
    <x v="0"/>
    <x v="1"/>
    <x v="0"/>
    <x v="1"/>
    <x v="0"/>
    <x v="2"/>
    <x v="1"/>
    <x v="2"/>
    <x v="4"/>
    <n v="27"/>
    <x v="0"/>
  </r>
  <r>
    <d v="2024-12-27T00:00:00"/>
    <x v="3"/>
    <x v="3"/>
    <x v="0"/>
    <n v="1714078489.1300001"/>
    <x v="3"/>
    <x v="3"/>
    <x v="0"/>
    <x v="5"/>
    <x v="0"/>
    <x v="2"/>
    <x v="1"/>
    <x v="2"/>
    <x v="4"/>
    <n v="27"/>
    <x v="0"/>
  </r>
  <r>
    <d v="2024-12-27T00:00:00"/>
    <x v="2"/>
    <x v="1"/>
    <x v="2"/>
    <n v="308710.89"/>
    <x v="2"/>
    <x v="1"/>
    <x v="2"/>
    <x v="2"/>
    <x v="0"/>
    <x v="2"/>
    <x v="1"/>
    <x v="2"/>
    <x v="4"/>
    <n v="27"/>
    <x v="0"/>
  </r>
  <r>
    <d v="2024-12-27T00:00:00"/>
    <x v="0"/>
    <x v="1"/>
    <x v="1"/>
    <n v="227101.25"/>
    <x v="0"/>
    <x v="1"/>
    <x v="1"/>
    <x v="3"/>
    <x v="0"/>
    <x v="2"/>
    <x v="1"/>
    <x v="2"/>
    <x v="4"/>
    <n v="27"/>
    <x v="0"/>
  </r>
  <r>
    <d v="2024-12-27T00:00:00"/>
    <x v="2"/>
    <x v="1"/>
    <x v="1"/>
    <n v="151993602.15000001"/>
    <x v="2"/>
    <x v="1"/>
    <x v="1"/>
    <x v="7"/>
    <x v="0"/>
    <x v="2"/>
    <x v="1"/>
    <x v="2"/>
    <x v="4"/>
    <n v="27"/>
    <x v="0"/>
  </r>
  <r>
    <d v="2024-12-27T00:00:00"/>
    <x v="3"/>
    <x v="2"/>
    <x v="2"/>
    <n v="521997.59"/>
    <x v="3"/>
    <x v="2"/>
    <x v="2"/>
    <x v="4"/>
    <x v="0"/>
    <x v="2"/>
    <x v="1"/>
    <x v="2"/>
    <x v="4"/>
    <n v="27"/>
    <x v="0"/>
  </r>
  <r>
    <d v="2024-12-27T00:00:00"/>
    <x v="1"/>
    <x v="0"/>
    <x v="0"/>
    <n v="72299596.790000007"/>
    <x v="1"/>
    <x v="0"/>
    <x v="0"/>
    <x v="8"/>
    <x v="0"/>
    <x v="2"/>
    <x v="1"/>
    <x v="2"/>
    <x v="4"/>
    <n v="27"/>
    <x v="0"/>
  </r>
  <r>
    <d v="2024-12-27T00:00:00"/>
    <x v="1"/>
    <x v="0"/>
    <x v="1"/>
    <n v="851285783.42999995"/>
    <x v="1"/>
    <x v="0"/>
    <x v="1"/>
    <x v="9"/>
    <x v="0"/>
    <x v="2"/>
    <x v="1"/>
    <x v="2"/>
    <x v="4"/>
    <n v="27"/>
    <x v="0"/>
  </r>
  <r>
    <d v="2024-12-27T00:00:00"/>
    <x v="2"/>
    <x v="1"/>
    <x v="0"/>
    <n v="83354711.030000001"/>
    <x v="2"/>
    <x v="1"/>
    <x v="0"/>
    <x v="6"/>
    <x v="0"/>
    <x v="2"/>
    <x v="1"/>
    <x v="2"/>
    <x v="4"/>
    <n v="27"/>
    <x v="0"/>
  </r>
  <r>
    <d v="2024-12-27T00:00:00"/>
    <x v="3"/>
    <x v="1"/>
    <x v="0"/>
    <n v="10872893.560000001"/>
    <x v="3"/>
    <x v="1"/>
    <x v="0"/>
    <x v="10"/>
    <x v="0"/>
    <x v="2"/>
    <x v="1"/>
    <x v="2"/>
    <x v="4"/>
    <n v="27"/>
    <x v="0"/>
  </r>
  <r>
    <d v="2024-12-27T00:00:00"/>
    <x v="3"/>
    <x v="2"/>
    <x v="0"/>
    <n v="641959386"/>
    <x v="3"/>
    <x v="2"/>
    <x v="0"/>
    <x v="11"/>
    <x v="0"/>
    <x v="2"/>
    <x v="1"/>
    <x v="2"/>
    <x v="4"/>
    <n v="27"/>
    <x v="0"/>
  </r>
  <r>
    <d v="2024-12-27T00:00:00"/>
    <x v="3"/>
    <x v="2"/>
    <x v="1"/>
    <n v="18266230923.91"/>
    <x v="3"/>
    <x v="2"/>
    <x v="1"/>
    <x v="12"/>
    <x v="0"/>
    <x v="2"/>
    <x v="1"/>
    <x v="2"/>
    <x v="4"/>
    <n v="27"/>
    <x v="0"/>
  </r>
  <r>
    <d v="2024-12-26T00:00:00"/>
    <x v="0"/>
    <x v="1"/>
    <x v="0"/>
    <n v="33447276.030000001"/>
    <x v="0"/>
    <x v="1"/>
    <x v="0"/>
    <x v="1"/>
    <x v="0"/>
    <x v="2"/>
    <x v="1"/>
    <x v="2"/>
    <x v="4"/>
    <n v="26"/>
    <x v="0"/>
  </r>
  <r>
    <d v="2024-12-26T00:00:00"/>
    <x v="0"/>
    <x v="0"/>
    <x v="0"/>
    <n v="299.94"/>
    <x v="0"/>
    <x v="0"/>
    <x v="0"/>
    <x v="0"/>
    <x v="0"/>
    <x v="2"/>
    <x v="1"/>
    <x v="2"/>
    <x v="4"/>
    <n v="26"/>
    <x v="0"/>
  </r>
  <r>
    <d v="2024-12-26T00:00:00"/>
    <x v="3"/>
    <x v="2"/>
    <x v="2"/>
    <n v="226996"/>
    <x v="3"/>
    <x v="2"/>
    <x v="2"/>
    <x v="5"/>
    <x v="0"/>
    <x v="2"/>
    <x v="1"/>
    <x v="2"/>
    <x v="4"/>
    <n v="26"/>
    <x v="0"/>
  </r>
  <r>
    <d v="2024-12-26T00:00:00"/>
    <x v="3"/>
    <x v="3"/>
    <x v="0"/>
    <n v="1000081903.51"/>
    <x v="3"/>
    <x v="3"/>
    <x v="0"/>
    <x v="6"/>
    <x v="0"/>
    <x v="2"/>
    <x v="1"/>
    <x v="2"/>
    <x v="4"/>
    <n v="26"/>
    <x v="0"/>
  </r>
  <r>
    <d v="2024-12-26T00:00:00"/>
    <x v="0"/>
    <x v="1"/>
    <x v="1"/>
    <n v="401634.44"/>
    <x v="0"/>
    <x v="1"/>
    <x v="1"/>
    <x v="2"/>
    <x v="0"/>
    <x v="2"/>
    <x v="1"/>
    <x v="2"/>
    <x v="4"/>
    <n v="26"/>
    <x v="0"/>
  </r>
  <r>
    <d v="2024-12-26T00:00:00"/>
    <x v="1"/>
    <x v="1"/>
    <x v="0"/>
    <n v="-132"/>
    <x v="1"/>
    <x v="1"/>
    <x v="0"/>
    <x v="3"/>
    <x v="0"/>
    <x v="2"/>
    <x v="1"/>
    <x v="2"/>
    <x v="4"/>
    <n v="26"/>
    <x v="1"/>
  </r>
  <r>
    <d v="2024-12-26T00:00:00"/>
    <x v="2"/>
    <x v="1"/>
    <x v="0"/>
    <n v="20800612.460000001"/>
    <x v="2"/>
    <x v="1"/>
    <x v="0"/>
    <x v="7"/>
    <x v="0"/>
    <x v="2"/>
    <x v="1"/>
    <x v="2"/>
    <x v="4"/>
    <n v="26"/>
    <x v="0"/>
  </r>
  <r>
    <d v="2024-12-26T00:00:00"/>
    <x v="2"/>
    <x v="1"/>
    <x v="1"/>
    <n v="-1437958.11"/>
    <x v="2"/>
    <x v="1"/>
    <x v="1"/>
    <x v="8"/>
    <x v="0"/>
    <x v="2"/>
    <x v="1"/>
    <x v="2"/>
    <x v="4"/>
    <n v="26"/>
    <x v="1"/>
  </r>
  <r>
    <d v="2024-12-26T00:00:00"/>
    <x v="2"/>
    <x v="1"/>
    <x v="2"/>
    <n v="-370"/>
    <x v="2"/>
    <x v="1"/>
    <x v="2"/>
    <x v="4"/>
    <x v="0"/>
    <x v="2"/>
    <x v="1"/>
    <x v="2"/>
    <x v="4"/>
    <n v="26"/>
    <x v="1"/>
  </r>
  <r>
    <d v="2024-12-26T00:00:00"/>
    <x v="1"/>
    <x v="0"/>
    <x v="1"/>
    <n v="1053361511.27"/>
    <x v="1"/>
    <x v="0"/>
    <x v="1"/>
    <x v="9"/>
    <x v="0"/>
    <x v="2"/>
    <x v="1"/>
    <x v="2"/>
    <x v="4"/>
    <n v="26"/>
    <x v="0"/>
  </r>
  <r>
    <d v="2024-12-26T00:00:00"/>
    <x v="1"/>
    <x v="0"/>
    <x v="0"/>
    <n v="151884904.25"/>
    <x v="1"/>
    <x v="0"/>
    <x v="0"/>
    <x v="10"/>
    <x v="0"/>
    <x v="2"/>
    <x v="1"/>
    <x v="2"/>
    <x v="4"/>
    <n v="26"/>
    <x v="0"/>
  </r>
  <r>
    <d v="2024-12-26T00:00:00"/>
    <x v="3"/>
    <x v="1"/>
    <x v="0"/>
    <n v="17133606.390000001"/>
    <x v="3"/>
    <x v="1"/>
    <x v="0"/>
    <x v="11"/>
    <x v="0"/>
    <x v="2"/>
    <x v="1"/>
    <x v="2"/>
    <x v="4"/>
    <n v="26"/>
    <x v="0"/>
  </r>
  <r>
    <d v="2024-12-26T00:00:00"/>
    <x v="3"/>
    <x v="2"/>
    <x v="0"/>
    <n v="475429254.31999999"/>
    <x v="3"/>
    <x v="2"/>
    <x v="0"/>
    <x v="12"/>
    <x v="0"/>
    <x v="2"/>
    <x v="1"/>
    <x v="2"/>
    <x v="4"/>
    <n v="26"/>
    <x v="0"/>
  </r>
  <r>
    <d v="2024-12-26T00:00:00"/>
    <x v="3"/>
    <x v="2"/>
    <x v="1"/>
    <n v="16647222146.049999"/>
    <x v="3"/>
    <x v="2"/>
    <x v="1"/>
    <x v="13"/>
    <x v="0"/>
    <x v="2"/>
    <x v="1"/>
    <x v="2"/>
    <x v="4"/>
    <n v="26"/>
    <x v="0"/>
  </r>
  <r>
    <d v="2024-12-24T00:00:00"/>
    <x v="1"/>
    <x v="1"/>
    <x v="0"/>
    <n v="625125.74"/>
    <x v="1"/>
    <x v="1"/>
    <x v="0"/>
    <x v="0"/>
    <x v="0"/>
    <x v="2"/>
    <x v="1"/>
    <x v="2"/>
    <x v="4"/>
    <n v="24"/>
    <x v="0"/>
  </r>
  <r>
    <d v="2024-12-24T00:00:00"/>
    <x v="0"/>
    <x v="1"/>
    <x v="0"/>
    <n v="3347822.19"/>
    <x v="0"/>
    <x v="1"/>
    <x v="0"/>
    <x v="1"/>
    <x v="0"/>
    <x v="2"/>
    <x v="1"/>
    <x v="2"/>
    <x v="4"/>
    <n v="24"/>
    <x v="0"/>
  </r>
  <r>
    <d v="2024-12-24T00:00:00"/>
    <x v="3"/>
    <x v="2"/>
    <x v="2"/>
    <n v="736109.67"/>
    <x v="3"/>
    <x v="2"/>
    <x v="2"/>
    <x v="5"/>
    <x v="0"/>
    <x v="2"/>
    <x v="1"/>
    <x v="2"/>
    <x v="4"/>
    <n v="24"/>
    <x v="0"/>
  </r>
  <r>
    <d v="2024-12-24T00:00:00"/>
    <x v="3"/>
    <x v="3"/>
    <x v="2"/>
    <n v="2367.29"/>
    <x v="3"/>
    <x v="3"/>
    <x v="2"/>
    <x v="2"/>
    <x v="0"/>
    <x v="2"/>
    <x v="1"/>
    <x v="2"/>
    <x v="4"/>
    <n v="24"/>
    <x v="0"/>
  </r>
  <r>
    <d v="2024-12-24T00:00:00"/>
    <x v="2"/>
    <x v="1"/>
    <x v="2"/>
    <n v="160963.06"/>
    <x v="2"/>
    <x v="1"/>
    <x v="2"/>
    <x v="3"/>
    <x v="0"/>
    <x v="2"/>
    <x v="1"/>
    <x v="2"/>
    <x v="4"/>
    <n v="24"/>
    <x v="0"/>
  </r>
  <r>
    <d v="2024-12-24T00:00:00"/>
    <x v="0"/>
    <x v="1"/>
    <x v="1"/>
    <n v="4028386.11"/>
    <x v="0"/>
    <x v="1"/>
    <x v="1"/>
    <x v="4"/>
    <x v="0"/>
    <x v="2"/>
    <x v="1"/>
    <x v="2"/>
    <x v="4"/>
    <n v="24"/>
    <x v="0"/>
  </r>
  <r>
    <d v="2024-12-24T00:00:00"/>
    <x v="3"/>
    <x v="3"/>
    <x v="0"/>
    <n v="1747245740.03"/>
    <x v="3"/>
    <x v="3"/>
    <x v="0"/>
    <x v="6"/>
    <x v="0"/>
    <x v="2"/>
    <x v="1"/>
    <x v="2"/>
    <x v="4"/>
    <n v="24"/>
    <x v="0"/>
  </r>
  <r>
    <d v="2024-12-24T00:00:00"/>
    <x v="2"/>
    <x v="1"/>
    <x v="0"/>
    <n v="91713839.219999999"/>
    <x v="2"/>
    <x v="1"/>
    <x v="0"/>
    <x v="7"/>
    <x v="0"/>
    <x v="2"/>
    <x v="1"/>
    <x v="2"/>
    <x v="4"/>
    <n v="24"/>
    <x v="0"/>
  </r>
  <r>
    <d v="2024-12-24T00:00:00"/>
    <x v="2"/>
    <x v="1"/>
    <x v="1"/>
    <n v="150149950.49000001"/>
    <x v="2"/>
    <x v="1"/>
    <x v="1"/>
    <x v="8"/>
    <x v="0"/>
    <x v="2"/>
    <x v="1"/>
    <x v="2"/>
    <x v="4"/>
    <n v="24"/>
    <x v="0"/>
  </r>
  <r>
    <d v="2024-12-24T00:00:00"/>
    <x v="1"/>
    <x v="0"/>
    <x v="1"/>
    <n v="461913342.5"/>
    <x v="1"/>
    <x v="0"/>
    <x v="1"/>
    <x v="9"/>
    <x v="0"/>
    <x v="2"/>
    <x v="1"/>
    <x v="2"/>
    <x v="4"/>
    <n v="24"/>
    <x v="0"/>
  </r>
  <r>
    <d v="2024-12-24T00:00:00"/>
    <x v="1"/>
    <x v="0"/>
    <x v="0"/>
    <n v="69746131.579999998"/>
    <x v="1"/>
    <x v="0"/>
    <x v="0"/>
    <x v="10"/>
    <x v="0"/>
    <x v="2"/>
    <x v="1"/>
    <x v="2"/>
    <x v="4"/>
    <n v="24"/>
    <x v="0"/>
  </r>
  <r>
    <d v="2024-12-24T00:00:00"/>
    <x v="3"/>
    <x v="1"/>
    <x v="0"/>
    <n v="22538547.710000001"/>
    <x v="3"/>
    <x v="1"/>
    <x v="0"/>
    <x v="11"/>
    <x v="0"/>
    <x v="2"/>
    <x v="1"/>
    <x v="2"/>
    <x v="4"/>
    <n v="24"/>
    <x v="0"/>
  </r>
  <r>
    <d v="2024-12-24T00:00:00"/>
    <x v="3"/>
    <x v="2"/>
    <x v="0"/>
    <n v="739489024.14999998"/>
    <x v="3"/>
    <x v="2"/>
    <x v="0"/>
    <x v="12"/>
    <x v="0"/>
    <x v="2"/>
    <x v="1"/>
    <x v="2"/>
    <x v="4"/>
    <n v="24"/>
    <x v="0"/>
  </r>
  <r>
    <d v="2024-12-24T00:00:00"/>
    <x v="3"/>
    <x v="2"/>
    <x v="1"/>
    <n v="8821237508.2099991"/>
    <x v="3"/>
    <x v="2"/>
    <x v="1"/>
    <x v="13"/>
    <x v="0"/>
    <x v="2"/>
    <x v="1"/>
    <x v="2"/>
    <x v="4"/>
    <n v="24"/>
    <x v="0"/>
  </r>
  <r>
    <d v="2024-12-23T00:00:00"/>
    <x v="0"/>
    <x v="0"/>
    <x v="0"/>
    <n v="850"/>
    <x v="0"/>
    <x v="0"/>
    <x v="0"/>
    <x v="0"/>
    <x v="0"/>
    <x v="2"/>
    <x v="1"/>
    <x v="2"/>
    <x v="4"/>
    <n v="23"/>
    <x v="0"/>
  </r>
  <r>
    <d v="2024-12-23T00:00:00"/>
    <x v="1"/>
    <x v="1"/>
    <x v="0"/>
    <n v="218106.99"/>
    <x v="1"/>
    <x v="1"/>
    <x v="0"/>
    <x v="1"/>
    <x v="0"/>
    <x v="2"/>
    <x v="1"/>
    <x v="2"/>
    <x v="4"/>
    <n v="23"/>
    <x v="0"/>
  </r>
  <r>
    <d v="2024-12-23T00:00:00"/>
    <x v="0"/>
    <x v="1"/>
    <x v="0"/>
    <n v="14929351.199999999"/>
    <x v="0"/>
    <x v="1"/>
    <x v="0"/>
    <x v="2"/>
    <x v="0"/>
    <x v="2"/>
    <x v="1"/>
    <x v="2"/>
    <x v="4"/>
    <n v="23"/>
    <x v="0"/>
  </r>
  <r>
    <d v="2024-12-23T00:00:00"/>
    <x v="3"/>
    <x v="2"/>
    <x v="2"/>
    <n v="1073304.01"/>
    <x v="3"/>
    <x v="2"/>
    <x v="2"/>
    <x v="7"/>
    <x v="0"/>
    <x v="2"/>
    <x v="1"/>
    <x v="2"/>
    <x v="4"/>
    <n v="23"/>
    <x v="0"/>
  </r>
  <r>
    <d v="2024-12-23T00:00:00"/>
    <x v="3"/>
    <x v="3"/>
    <x v="2"/>
    <n v="301.17"/>
    <x v="3"/>
    <x v="3"/>
    <x v="2"/>
    <x v="3"/>
    <x v="0"/>
    <x v="2"/>
    <x v="1"/>
    <x v="2"/>
    <x v="4"/>
    <n v="23"/>
    <x v="0"/>
  </r>
  <r>
    <d v="2024-12-23T00:00:00"/>
    <x v="2"/>
    <x v="1"/>
    <x v="0"/>
    <n v="115733255.02"/>
    <x v="2"/>
    <x v="1"/>
    <x v="0"/>
    <x v="8"/>
    <x v="0"/>
    <x v="2"/>
    <x v="1"/>
    <x v="2"/>
    <x v="4"/>
    <n v="23"/>
    <x v="0"/>
  </r>
  <r>
    <d v="2024-12-23T00:00:00"/>
    <x v="3"/>
    <x v="3"/>
    <x v="0"/>
    <n v="3011951014.8299999"/>
    <x v="3"/>
    <x v="3"/>
    <x v="0"/>
    <x v="9"/>
    <x v="0"/>
    <x v="2"/>
    <x v="1"/>
    <x v="2"/>
    <x v="4"/>
    <n v="23"/>
    <x v="0"/>
  </r>
  <r>
    <d v="2024-12-23T00:00:00"/>
    <x v="0"/>
    <x v="1"/>
    <x v="1"/>
    <n v="18173717.120000001"/>
    <x v="0"/>
    <x v="1"/>
    <x v="1"/>
    <x v="5"/>
    <x v="0"/>
    <x v="2"/>
    <x v="1"/>
    <x v="2"/>
    <x v="4"/>
    <n v="23"/>
    <x v="0"/>
  </r>
  <r>
    <d v="2024-12-23T00:00:00"/>
    <x v="3"/>
    <x v="3"/>
    <x v="1"/>
    <n v="2786511"/>
    <x v="3"/>
    <x v="3"/>
    <x v="1"/>
    <x v="4"/>
    <x v="0"/>
    <x v="2"/>
    <x v="1"/>
    <x v="2"/>
    <x v="4"/>
    <n v="23"/>
    <x v="0"/>
  </r>
  <r>
    <d v="2024-12-23T00:00:00"/>
    <x v="2"/>
    <x v="1"/>
    <x v="2"/>
    <n v="188680.23"/>
    <x v="2"/>
    <x v="1"/>
    <x v="2"/>
    <x v="6"/>
    <x v="0"/>
    <x v="2"/>
    <x v="1"/>
    <x v="2"/>
    <x v="4"/>
    <n v="23"/>
    <x v="0"/>
  </r>
  <r>
    <d v="2024-12-23T00:00:00"/>
    <x v="2"/>
    <x v="1"/>
    <x v="1"/>
    <n v="149778494.19"/>
    <x v="2"/>
    <x v="1"/>
    <x v="1"/>
    <x v="10"/>
    <x v="0"/>
    <x v="2"/>
    <x v="1"/>
    <x v="2"/>
    <x v="4"/>
    <n v="23"/>
    <x v="0"/>
  </r>
  <r>
    <d v="2024-12-23T00:00:00"/>
    <x v="1"/>
    <x v="0"/>
    <x v="0"/>
    <n v="72390963.939999998"/>
    <x v="1"/>
    <x v="0"/>
    <x v="0"/>
    <x v="11"/>
    <x v="0"/>
    <x v="2"/>
    <x v="1"/>
    <x v="2"/>
    <x v="4"/>
    <n v="23"/>
    <x v="0"/>
  </r>
  <r>
    <d v="2024-12-23T00:00:00"/>
    <x v="1"/>
    <x v="0"/>
    <x v="1"/>
    <n v="270832476.98000002"/>
    <x v="1"/>
    <x v="0"/>
    <x v="1"/>
    <x v="12"/>
    <x v="0"/>
    <x v="2"/>
    <x v="1"/>
    <x v="2"/>
    <x v="4"/>
    <n v="23"/>
    <x v="0"/>
  </r>
  <r>
    <d v="2024-12-23T00:00:00"/>
    <x v="3"/>
    <x v="1"/>
    <x v="0"/>
    <n v="59602498.710000001"/>
    <x v="3"/>
    <x v="1"/>
    <x v="0"/>
    <x v="13"/>
    <x v="0"/>
    <x v="2"/>
    <x v="1"/>
    <x v="2"/>
    <x v="4"/>
    <n v="23"/>
    <x v="0"/>
  </r>
  <r>
    <d v="2024-12-23T00:00:00"/>
    <x v="3"/>
    <x v="2"/>
    <x v="0"/>
    <n v="6047014279.0699997"/>
    <x v="3"/>
    <x v="2"/>
    <x v="0"/>
    <x v="14"/>
    <x v="0"/>
    <x v="2"/>
    <x v="1"/>
    <x v="2"/>
    <x v="4"/>
    <n v="23"/>
    <x v="0"/>
  </r>
  <r>
    <d v="2024-12-23T00:00:00"/>
    <x v="3"/>
    <x v="2"/>
    <x v="1"/>
    <n v="36157867764.75"/>
    <x v="3"/>
    <x v="2"/>
    <x v="1"/>
    <x v="15"/>
    <x v="0"/>
    <x v="2"/>
    <x v="1"/>
    <x v="2"/>
    <x v="4"/>
    <n v="23"/>
    <x v="0"/>
  </r>
  <r>
    <d v="2024-12-20T00:00:00"/>
    <x v="1"/>
    <x v="1"/>
    <x v="0"/>
    <n v="1635754.24"/>
    <x v="1"/>
    <x v="1"/>
    <x v="0"/>
    <x v="0"/>
    <x v="0"/>
    <x v="2"/>
    <x v="1"/>
    <x v="2"/>
    <x v="4"/>
    <n v="20"/>
    <x v="0"/>
  </r>
  <r>
    <d v="2024-12-20T00:00:00"/>
    <x v="0"/>
    <x v="1"/>
    <x v="0"/>
    <n v="31174476.02"/>
    <x v="0"/>
    <x v="1"/>
    <x v="0"/>
    <x v="1"/>
    <x v="0"/>
    <x v="2"/>
    <x v="1"/>
    <x v="2"/>
    <x v="4"/>
    <n v="20"/>
    <x v="0"/>
  </r>
  <r>
    <d v="2024-12-20T00:00:00"/>
    <x v="3"/>
    <x v="2"/>
    <x v="2"/>
    <n v="2993568"/>
    <x v="3"/>
    <x v="2"/>
    <x v="2"/>
    <x v="4"/>
    <x v="0"/>
    <x v="2"/>
    <x v="1"/>
    <x v="2"/>
    <x v="4"/>
    <n v="20"/>
    <x v="0"/>
  </r>
  <r>
    <d v="2024-12-20T00:00:00"/>
    <x v="2"/>
    <x v="1"/>
    <x v="2"/>
    <n v="48855.57"/>
    <x v="2"/>
    <x v="1"/>
    <x v="2"/>
    <x v="2"/>
    <x v="0"/>
    <x v="2"/>
    <x v="1"/>
    <x v="2"/>
    <x v="4"/>
    <n v="20"/>
    <x v="0"/>
  </r>
  <r>
    <d v="2024-12-20T00:00:00"/>
    <x v="0"/>
    <x v="1"/>
    <x v="1"/>
    <n v="3379222.7"/>
    <x v="0"/>
    <x v="1"/>
    <x v="1"/>
    <x v="3"/>
    <x v="0"/>
    <x v="2"/>
    <x v="1"/>
    <x v="2"/>
    <x v="4"/>
    <n v="20"/>
    <x v="0"/>
  </r>
  <r>
    <d v="2024-12-20T00:00:00"/>
    <x v="2"/>
    <x v="1"/>
    <x v="0"/>
    <n v="128704497.95999999"/>
    <x v="2"/>
    <x v="1"/>
    <x v="0"/>
    <x v="5"/>
    <x v="0"/>
    <x v="2"/>
    <x v="1"/>
    <x v="2"/>
    <x v="4"/>
    <n v="20"/>
    <x v="0"/>
  </r>
  <r>
    <d v="2024-12-20T00:00:00"/>
    <x v="1"/>
    <x v="0"/>
    <x v="1"/>
    <n v="316748487.23000002"/>
    <x v="1"/>
    <x v="0"/>
    <x v="1"/>
    <x v="8"/>
    <x v="0"/>
    <x v="2"/>
    <x v="1"/>
    <x v="2"/>
    <x v="4"/>
    <n v="20"/>
    <x v="0"/>
  </r>
  <r>
    <d v="2024-12-20T00:00:00"/>
    <x v="1"/>
    <x v="0"/>
    <x v="0"/>
    <n v="53342056.979999997"/>
    <x v="1"/>
    <x v="0"/>
    <x v="0"/>
    <x v="9"/>
    <x v="0"/>
    <x v="2"/>
    <x v="1"/>
    <x v="2"/>
    <x v="4"/>
    <n v="20"/>
    <x v="0"/>
  </r>
  <r>
    <d v="2024-12-20T00:00:00"/>
    <x v="2"/>
    <x v="1"/>
    <x v="1"/>
    <n v="160704635.58000001"/>
    <x v="2"/>
    <x v="1"/>
    <x v="1"/>
    <x v="6"/>
    <x v="0"/>
    <x v="2"/>
    <x v="1"/>
    <x v="2"/>
    <x v="4"/>
    <n v="20"/>
    <x v="0"/>
  </r>
  <r>
    <d v="2024-12-20T00:00:00"/>
    <x v="3"/>
    <x v="3"/>
    <x v="0"/>
    <n v="1835288445.6300001"/>
    <x v="3"/>
    <x v="3"/>
    <x v="0"/>
    <x v="7"/>
    <x v="0"/>
    <x v="2"/>
    <x v="1"/>
    <x v="2"/>
    <x v="4"/>
    <n v="20"/>
    <x v="0"/>
  </r>
  <r>
    <d v="2024-12-20T00:00:00"/>
    <x v="3"/>
    <x v="1"/>
    <x v="0"/>
    <n v="17630237.329999998"/>
    <x v="3"/>
    <x v="1"/>
    <x v="0"/>
    <x v="10"/>
    <x v="0"/>
    <x v="2"/>
    <x v="1"/>
    <x v="2"/>
    <x v="4"/>
    <n v="20"/>
    <x v="0"/>
  </r>
  <r>
    <d v="2024-12-20T00:00:00"/>
    <x v="3"/>
    <x v="2"/>
    <x v="0"/>
    <n v="955976463.71000004"/>
    <x v="3"/>
    <x v="2"/>
    <x v="0"/>
    <x v="11"/>
    <x v="0"/>
    <x v="2"/>
    <x v="1"/>
    <x v="2"/>
    <x v="4"/>
    <n v="20"/>
    <x v="0"/>
  </r>
  <r>
    <d v="2024-12-20T00:00:00"/>
    <x v="3"/>
    <x v="2"/>
    <x v="1"/>
    <n v="16199898028.02"/>
    <x v="3"/>
    <x v="2"/>
    <x v="1"/>
    <x v="12"/>
    <x v="0"/>
    <x v="2"/>
    <x v="1"/>
    <x v="2"/>
    <x v="4"/>
    <n v="20"/>
    <x v="0"/>
  </r>
  <r>
    <d v="2024-12-19T00:00:00"/>
    <x v="0"/>
    <x v="1"/>
    <x v="0"/>
    <n v="16446357.630000001"/>
    <x v="0"/>
    <x v="1"/>
    <x v="0"/>
    <x v="1"/>
    <x v="0"/>
    <x v="2"/>
    <x v="1"/>
    <x v="2"/>
    <x v="4"/>
    <n v="19"/>
    <x v="0"/>
  </r>
  <r>
    <d v="2024-12-19T00:00:00"/>
    <x v="1"/>
    <x v="1"/>
    <x v="0"/>
    <n v="913466.22"/>
    <x v="1"/>
    <x v="1"/>
    <x v="0"/>
    <x v="0"/>
    <x v="0"/>
    <x v="2"/>
    <x v="1"/>
    <x v="2"/>
    <x v="4"/>
    <n v="19"/>
    <x v="0"/>
  </r>
  <r>
    <d v="2024-12-19T00:00:00"/>
    <x v="2"/>
    <x v="1"/>
    <x v="2"/>
    <n v="22310.400000000001"/>
    <x v="2"/>
    <x v="1"/>
    <x v="2"/>
    <x v="4"/>
    <x v="0"/>
    <x v="2"/>
    <x v="1"/>
    <x v="2"/>
    <x v="4"/>
    <n v="19"/>
    <x v="0"/>
  </r>
  <r>
    <d v="2024-12-19T00:00:00"/>
    <x v="3"/>
    <x v="2"/>
    <x v="2"/>
    <n v="1534877.01"/>
    <x v="3"/>
    <x v="2"/>
    <x v="2"/>
    <x v="5"/>
    <x v="0"/>
    <x v="2"/>
    <x v="1"/>
    <x v="2"/>
    <x v="4"/>
    <n v="19"/>
    <x v="0"/>
  </r>
  <r>
    <d v="2024-12-19T00:00:00"/>
    <x v="3"/>
    <x v="3"/>
    <x v="0"/>
    <n v="1417198558.6800001"/>
    <x v="3"/>
    <x v="3"/>
    <x v="0"/>
    <x v="6"/>
    <x v="0"/>
    <x v="2"/>
    <x v="1"/>
    <x v="2"/>
    <x v="4"/>
    <n v="19"/>
    <x v="0"/>
  </r>
  <r>
    <d v="2024-12-19T00:00:00"/>
    <x v="3"/>
    <x v="3"/>
    <x v="1"/>
    <n v="1030957.15"/>
    <x v="3"/>
    <x v="3"/>
    <x v="1"/>
    <x v="2"/>
    <x v="0"/>
    <x v="2"/>
    <x v="1"/>
    <x v="2"/>
    <x v="4"/>
    <n v="19"/>
    <x v="0"/>
  </r>
  <r>
    <d v="2024-12-19T00:00:00"/>
    <x v="0"/>
    <x v="1"/>
    <x v="1"/>
    <n v="11230252.67"/>
    <x v="0"/>
    <x v="1"/>
    <x v="1"/>
    <x v="3"/>
    <x v="0"/>
    <x v="2"/>
    <x v="1"/>
    <x v="2"/>
    <x v="4"/>
    <n v="19"/>
    <x v="0"/>
  </r>
  <r>
    <d v="2024-12-19T00:00:00"/>
    <x v="2"/>
    <x v="1"/>
    <x v="0"/>
    <n v="88899159.599999994"/>
    <x v="2"/>
    <x v="1"/>
    <x v="0"/>
    <x v="7"/>
    <x v="0"/>
    <x v="2"/>
    <x v="1"/>
    <x v="2"/>
    <x v="4"/>
    <n v="19"/>
    <x v="0"/>
  </r>
  <r>
    <d v="2024-12-19T00:00:00"/>
    <x v="1"/>
    <x v="0"/>
    <x v="1"/>
    <n v="341637224.56999999"/>
    <x v="1"/>
    <x v="0"/>
    <x v="1"/>
    <x v="9"/>
    <x v="0"/>
    <x v="2"/>
    <x v="1"/>
    <x v="2"/>
    <x v="4"/>
    <n v="19"/>
    <x v="0"/>
  </r>
  <r>
    <d v="2024-12-19T00:00:00"/>
    <x v="1"/>
    <x v="0"/>
    <x v="0"/>
    <n v="79312450.370000005"/>
    <x v="1"/>
    <x v="0"/>
    <x v="0"/>
    <x v="10"/>
    <x v="0"/>
    <x v="2"/>
    <x v="1"/>
    <x v="2"/>
    <x v="4"/>
    <n v="19"/>
    <x v="0"/>
  </r>
  <r>
    <d v="2024-12-19T00:00:00"/>
    <x v="2"/>
    <x v="1"/>
    <x v="1"/>
    <n v="220886301.46000001"/>
    <x v="2"/>
    <x v="1"/>
    <x v="1"/>
    <x v="8"/>
    <x v="0"/>
    <x v="2"/>
    <x v="1"/>
    <x v="2"/>
    <x v="4"/>
    <n v="19"/>
    <x v="0"/>
  </r>
  <r>
    <d v="2024-12-19T00:00:00"/>
    <x v="3"/>
    <x v="1"/>
    <x v="0"/>
    <n v="16905630.039999999"/>
    <x v="3"/>
    <x v="1"/>
    <x v="0"/>
    <x v="11"/>
    <x v="0"/>
    <x v="2"/>
    <x v="1"/>
    <x v="2"/>
    <x v="4"/>
    <n v="19"/>
    <x v="0"/>
  </r>
  <r>
    <d v="2024-12-19T00:00:00"/>
    <x v="3"/>
    <x v="2"/>
    <x v="1"/>
    <n v="7188024907.0100002"/>
    <x v="3"/>
    <x v="2"/>
    <x v="1"/>
    <x v="12"/>
    <x v="0"/>
    <x v="2"/>
    <x v="1"/>
    <x v="2"/>
    <x v="4"/>
    <n v="19"/>
    <x v="0"/>
  </r>
  <r>
    <d v="2024-12-19T00:00:00"/>
    <x v="3"/>
    <x v="2"/>
    <x v="0"/>
    <n v="606486463.94000006"/>
    <x v="3"/>
    <x v="2"/>
    <x v="0"/>
    <x v="13"/>
    <x v="0"/>
    <x v="2"/>
    <x v="1"/>
    <x v="2"/>
    <x v="4"/>
    <n v="19"/>
    <x v="0"/>
  </r>
  <r>
    <d v="2024-12-18T00:00:00"/>
    <x v="3"/>
    <x v="3"/>
    <x v="1"/>
    <n v="5691713.0800000001"/>
    <x v="3"/>
    <x v="3"/>
    <x v="1"/>
    <x v="1"/>
    <x v="0"/>
    <x v="2"/>
    <x v="1"/>
    <x v="2"/>
    <x v="4"/>
    <n v="18"/>
    <x v="0"/>
  </r>
  <r>
    <d v="2024-12-18T00:00:00"/>
    <x v="0"/>
    <x v="1"/>
    <x v="0"/>
    <n v="7335530.1500000004"/>
    <x v="0"/>
    <x v="1"/>
    <x v="0"/>
    <x v="0"/>
    <x v="0"/>
    <x v="2"/>
    <x v="1"/>
    <x v="2"/>
    <x v="4"/>
    <n v="18"/>
    <x v="0"/>
  </r>
  <r>
    <d v="2024-12-18T00:00:00"/>
    <x v="3"/>
    <x v="2"/>
    <x v="2"/>
    <n v="568452"/>
    <x v="3"/>
    <x v="2"/>
    <x v="2"/>
    <x v="5"/>
    <x v="0"/>
    <x v="2"/>
    <x v="1"/>
    <x v="2"/>
    <x v="4"/>
    <n v="18"/>
    <x v="0"/>
  </r>
  <r>
    <d v="2024-12-18T00:00:00"/>
    <x v="2"/>
    <x v="1"/>
    <x v="0"/>
    <n v="96491761.739999995"/>
    <x v="2"/>
    <x v="1"/>
    <x v="0"/>
    <x v="6"/>
    <x v="0"/>
    <x v="2"/>
    <x v="1"/>
    <x v="2"/>
    <x v="4"/>
    <n v="18"/>
    <x v="0"/>
  </r>
  <r>
    <d v="2024-12-18T00:00:00"/>
    <x v="3"/>
    <x v="3"/>
    <x v="0"/>
    <n v="1868578922.4100001"/>
    <x v="3"/>
    <x v="3"/>
    <x v="0"/>
    <x v="7"/>
    <x v="0"/>
    <x v="2"/>
    <x v="1"/>
    <x v="2"/>
    <x v="4"/>
    <n v="18"/>
    <x v="0"/>
  </r>
  <r>
    <d v="2024-12-18T00:00:00"/>
    <x v="0"/>
    <x v="1"/>
    <x v="1"/>
    <n v="9880394.5800000001"/>
    <x v="0"/>
    <x v="1"/>
    <x v="1"/>
    <x v="2"/>
    <x v="0"/>
    <x v="2"/>
    <x v="1"/>
    <x v="2"/>
    <x v="4"/>
    <n v="18"/>
    <x v="0"/>
  </r>
  <r>
    <d v="2024-12-18T00:00:00"/>
    <x v="1"/>
    <x v="1"/>
    <x v="0"/>
    <n v="806805.07"/>
    <x v="1"/>
    <x v="1"/>
    <x v="0"/>
    <x v="3"/>
    <x v="0"/>
    <x v="2"/>
    <x v="1"/>
    <x v="2"/>
    <x v="4"/>
    <n v="18"/>
    <x v="0"/>
  </r>
  <r>
    <d v="2024-12-18T00:00:00"/>
    <x v="2"/>
    <x v="1"/>
    <x v="2"/>
    <n v="147028.71"/>
    <x v="2"/>
    <x v="1"/>
    <x v="2"/>
    <x v="4"/>
    <x v="0"/>
    <x v="2"/>
    <x v="1"/>
    <x v="2"/>
    <x v="4"/>
    <n v="18"/>
    <x v="0"/>
  </r>
  <r>
    <d v="2024-12-18T00:00:00"/>
    <x v="2"/>
    <x v="1"/>
    <x v="1"/>
    <n v="290330253.81"/>
    <x v="2"/>
    <x v="1"/>
    <x v="1"/>
    <x v="8"/>
    <x v="0"/>
    <x v="2"/>
    <x v="1"/>
    <x v="2"/>
    <x v="4"/>
    <n v="18"/>
    <x v="0"/>
  </r>
  <r>
    <d v="2024-12-18T00:00:00"/>
    <x v="1"/>
    <x v="0"/>
    <x v="1"/>
    <n v="855941424.72000003"/>
    <x v="1"/>
    <x v="0"/>
    <x v="1"/>
    <x v="9"/>
    <x v="0"/>
    <x v="2"/>
    <x v="1"/>
    <x v="2"/>
    <x v="4"/>
    <n v="18"/>
    <x v="0"/>
  </r>
  <r>
    <d v="2024-12-18T00:00:00"/>
    <x v="1"/>
    <x v="0"/>
    <x v="0"/>
    <n v="95125984.310000002"/>
    <x v="1"/>
    <x v="0"/>
    <x v="0"/>
    <x v="10"/>
    <x v="0"/>
    <x v="2"/>
    <x v="1"/>
    <x v="2"/>
    <x v="4"/>
    <n v="18"/>
    <x v="0"/>
  </r>
  <r>
    <d v="2024-12-18T00:00:00"/>
    <x v="3"/>
    <x v="1"/>
    <x v="0"/>
    <n v="17579714.129999999"/>
    <x v="3"/>
    <x v="1"/>
    <x v="0"/>
    <x v="11"/>
    <x v="0"/>
    <x v="2"/>
    <x v="1"/>
    <x v="2"/>
    <x v="4"/>
    <n v="18"/>
    <x v="0"/>
  </r>
  <r>
    <d v="2024-12-18T00:00:00"/>
    <x v="3"/>
    <x v="2"/>
    <x v="0"/>
    <n v="466765505.88999999"/>
    <x v="3"/>
    <x v="2"/>
    <x v="0"/>
    <x v="12"/>
    <x v="0"/>
    <x v="2"/>
    <x v="1"/>
    <x v="2"/>
    <x v="4"/>
    <n v="18"/>
    <x v="0"/>
  </r>
  <r>
    <d v="2024-12-18T00:00:00"/>
    <x v="3"/>
    <x v="2"/>
    <x v="1"/>
    <n v="16773295251.389999"/>
    <x v="3"/>
    <x v="2"/>
    <x v="1"/>
    <x v="13"/>
    <x v="0"/>
    <x v="2"/>
    <x v="1"/>
    <x v="2"/>
    <x v="4"/>
    <n v="18"/>
    <x v="0"/>
  </r>
  <r>
    <d v="2024-12-17T00:00:00"/>
    <x v="1"/>
    <x v="1"/>
    <x v="0"/>
    <n v="87709.119999999995"/>
    <x v="1"/>
    <x v="1"/>
    <x v="0"/>
    <x v="0"/>
    <x v="0"/>
    <x v="2"/>
    <x v="1"/>
    <x v="2"/>
    <x v="4"/>
    <n v="17"/>
    <x v="0"/>
  </r>
  <r>
    <d v="2024-12-17T00:00:00"/>
    <x v="0"/>
    <x v="1"/>
    <x v="0"/>
    <n v="17905570.34"/>
    <x v="0"/>
    <x v="1"/>
    <x v="0"/>
    <x v="1"/>
    <x v="0"/>
    <x v="2"/>
    <x v="1"/>
    <x v="2"/>
    <x v="4"/>
    <n v="17"/>
    <x v="0"/>
  </r>
  <r>
    <d v="2024-12-17T00:00:00"/>
    <x v="3"/>
    <x v="2"/>
    <x v="2"/>
    <n v="528514"/>
    <x v="3"/>
    <x v="2"/>
    <x v="2"/>
    <x v="5"/>
    <x v="0"/>
    <x v="2"/>
    <x v="1"/>
    <x v="2"/>
    <x v="4"/>
    <n v="17"/>
    <x v="0"/>
  </r>
  <r>
    <d v="2024-12-17T00:00:00"/>
    <x v="2"/>
    <x v="1"/>
    <x v="2"/>
    <n v="45992.01"/>
    <x v="2"/>
    <x v="1"/>
    <x v="2"/>
    <x v="2"/>
    <x v="0"/>
    <x v="2"/>
    <x v="1"/>
    <x v="2"/>
    <x v="4"/>
    <n v="17"/>
    <x v="0"/>
  </r>
  <r>
    <d v="2024-12-17T00:00:00"/>
    <x v="2"/>
    <x v="1"/>
    <x v="0"/>
    <n v="91560159.450000003"/>
    <x v="2"/>
    <x v="1"/>
    <x v="0"/>
    <x v="6"/>
    <x v="0"/>
    <x v="2"/>
    <x v="1"/>
    <x v="2"/>
    <x v="4"/>
    <n v="17"/>
    <x v="0"/>
  </r>
  <r>
    <d v="2024-12-17T00:00:00"/>
    <x v="3"/>
    <x v="3"/>
    <x v="1"/>
    <n v="5558.22"/>
    <x v="3"/>
    <x v="3"/>
    <x v="1"/>
    <x v="3"/>
    <x v="0"/>
    <x v="2"/>
    <x v="1"/>
    <x v="2"/>
    <x v="4"/>
    <n v="17"/>
    <x v="0"/>
  </r>
  <r>
    <d v="2024-12-17T00:00:00"/>
    <x v="0"/>
    <x v="1"/>
    <x v="1"/>
    <n v="8923607.7799999993"/>
    <x v="0"/>
    <x v="1"/>
    <x v="1"/>
    <x v="4"/>
    <x v="0"/>
    <x v="2"/>
    <x v="1"/>
    <x v="2"/>
    <x v="4"/>
    <n v="17"/>
    <x v="0"/>
  </r>
  <r>
    <d v="2024-12-17T00:00:00"/>
    <x v="3"/>
    <x v="3"/>
    <x v="0"/>
    <n v="1172119641.55"/>
    <x v="3"/>
    <x v="3"/>
    <x v="0"/>
    <x v="7"/>
    <x v="0"/>
    <x v="2"/>
    <x v="1"/>
    <x v="2"/>
    <x v="4"/>
    <n v="17"/>
    <x v="0"/>
  </r>
  <r>
    <d v="2024-12-17T00:00:00"/>
    <x v="2"/>
    <x v="1"/>
    <x v="1"/>
    <n v="126275172.19"/>
    <x v="2"/>
    <x v="1"/>
    <x v="1"/>
    <x v="8"/>
    <x v="0"/>
    <x v="2"/>
    <x v="1"/>
    <x v="2"/>
    <x v="4"/>
    <n v="17"/>
    <x v="0"/>
  </r>
  <r>
    <d v="2024-12-17T00:00:00"/>
    <x v="1"/>
    <x v="0"/>
    <x v="1"/>
    <n v="291970358.10000002"/>
    <x v="1"/>
    <x v="0"/>
    <x v="1"/>
    <x v="9"/>
    <x v="0"/>
    <x v="2"/>
    <x v="1"/>
    <x v="2"/>
    <x v="4"/>
    <n v="17"/>
    <x v="0"/>
  </r>
  <r>
    <d v="2024-12-17T00:00:00"/>
    <x v="1"/>
    <x v="0"/>
    <x v="0"/>
    <n v="94468640.920000002"/>
    <x v="1"/>
    <x v="0"/>
    <x v="0"/>
    <x v="10"/>
    <x v="0"/>
    <x v="2"/>
    <x v="1"/>
    <x v="2"/>
    <x v="4"/>
    <n v="17"/>
    <x v="0"/>
  </r>
  <r>
    <d v="2024-12-17T00:00:00"/>
    <x v="3"/>
    <x v="1"/>
    <x v="0"/>
    <n v="15030778"/>
    <x v="3"/>
    <x v="1"/>
    <x v="0"/>
    <x v="11"/>
    <x v="0"/>
    <x v="2"/>
    <x v="1"/>
    <x v="2"/>
    <x v="4"/>
    <n v="17"/>
    <x v="0"/>
  </r>
  <r>
    <d v="2024-12-17T00:00:00"/>
    <x v="3"/>
    <x v="2"/>
    <x v="0"/>
    <n v="672454472.74000001"/>
    <x v="3"/>
    <x v="2"/>
    <x v="0"/>
    <x v="12"/>
    <x v="0"/>
    <x v="2"/>
    <x v="1"/>
    <x v="2"/>
    <x v="4"/>
    <n v="17"/>
    <x v="0"/>
  </r>
  <r>
    <d v="2024-12-17T00:00:00"/>
    <x v="3"/>
    <x v="2"/>
    <x v="1"/>
    <n v="9898089090.2800007"/>
    <x v="3"/>
    <x v="2"/>
    <x v="1"/>
    <x v="13"/>
    <x v="0"/>
    <x v="2"/>
    <x v="1"/>
    <x v="2"/>
    <x v="4"/>
    <n v="17"/>
    <x v="0"/>
  </r>
  <r>
    <d v="2024-12-16T00:00:00"/>
    <x v="0"/>
    <x v="0"/>
    <x v="0"/>
    <n v="2796.91"/>
    <x v="0"/>
    <x v="0"/>
    <x v="0"/>
    <x v="0"/>
    <x v="0"/>
    <x v="2"/>
    <x v="1"/>
    <x v="2"/>
    <x v="4"/>
    <n v="16"/>
    <x v="0"/>
  </r>
  <r>
    <d v="2024-12-16T00:00:00"/>
    <x v="0"/>
    <x v="1"/>
    <x v="0"/>
    <n v="13089706.380000001"/>
    <x v="0"/>
    <x v="1"/>
    <x v="0"/>
    <x v="1"/>
    <x v="0"/>
    <x v="2"/>
    <x v="1"/>
    <x v="2"/>
    <x v="4"/>
    <n v="16"/>
    <x v="0"/>
  </r>
  <r>
    <d v="2024-12-16T00:00:00"/>
    <x v="2"/>
    <x v="1"/>
    <x v="2"/>
    <n v="29356.44"/>
    <x v="2"/>
    <x v="1"/>
    <x v="2"/>
    <x v="2"/>
    <x v="0"/>
    <x v="2"/>
    <x v="1"/>
    <x v="2"/>
    <x v="4"/>
    <n v="16"/>
    <x v="0"/>
  </r>
  <r>
    <d v="2024-12-16T00:00:00"/>
    <x v="3"/>
    <x v="2"/>
    <x v="2"/>
    <n v="726948"/>
    <x v="3"/>
    <x v="2"/>
    <x v="2"/>
    <x v="7"/>
    <x v="0"/>
    <x v="2"/>
    <x v="1"/>
    <x v="2"/>
    <x v="4"/>
    <n v="16"/>
    <x v="0"/>
  </r>
  <r>
    <d v="2024-12-16T00:00:00"/>
    <x v="3"/>
    <x v="3"/>
    <x v="1"/>
    <n v="36245.69"/>
    <x v="3"/>
    <x v="3"/>
    <x v="1"/>
    <x v="3"/>
    <x v="0"/>
    <x v="2"/>
    <x v="1"/>
    <x v="2"/>
    <x v="4"/>
    <n v="16"/>
    <x v="0"/>
  </r>
  <r>
    <d v="2024-12-16T00:00:00"/>
    <x v="0"/>
    <x v="1"/>
    <x v="1"/>
    <n v="4236065.4400000004"/>
    <x v="0"/>
    <x v="1"/>
    <x v="1"/>
    <x v="4"/>
    <x v="0"/>
    <x v="2"/>
    <x v="1"/>
    <x v="2"/>
    <x v="4"/>
    <n v="16"/>
    <x v="0"/>
  </r>
  <r>
    <d v="2024-12-16T00:00:00"/>
    <x v="1"/>
    <x v="1"/>
    <x v="0"/>
    <n v="2007915.44"/>
    <x v="1"/>
    <x v="1"/>
    <x v="0"/>
    <x v="5"/>
    <x v="0"/>
    <x v="2"/>
    <x v="1"/>
    <x v="2"/>
    <x v="4"/>
    <n v="16"/>
    <x v="0"/>
  </r>
  <r>
    <d v="2024-12-16T00:00:00"/>
    <x v="2"/>
    <x v="1"/>
    <x v="0"/>
    <n v="78027073.599999994"/>
    <x v="2"/>
    <x v="1"/>
    <x v="0"/>
    <x v="8"/>
    <x v="0"/>
    <x v="2"/>
    <x v="1"/>
    <x v="2"/>
    <x v="4"/>
    <n v="16"/>
    <x v="0"/>
  </r>
  <r>
    <d v="2024-12-16T00:00:00"/>
    <x v="2"/>
    <x v="1"/>
    <x v="1"/>
    <n v="100031933.34999999"/>
    <x v="2"/>
    <x v="1"/>
    <x v="1"/>
    <x v="9"/>
    <x v="0"/>
    <x v="2"/>
    <x v="1"/>
    <x v="2"/>
    <x v="4"/>
    <n v="16"/>
    <x v="0"/>
  </r>
  <r>
    <d v="2024-12-16T00:00:00"/>
    <x v="1"/>
    <x v="0"/>
    <x v="1"/>
    <n v="165771948.31"/>
    <x v="1"/>
    <x v="0"/>
    <x v="1"/>
    <x v="10"/>
    <x v="0"/>
    <x v="2"/>
    <x v="1"/>
    <x v="2"/>
    <x v="4"/>
    <n v="16"/>
    <x v="0"/>
  </r>
  <r>
    <d v="2024-12-16T00:00:00"/>
    <x v="1"/>
    <x v="0"/>
    <x v="0"/>
    <n v="54228831.280000001"/>
    <x v="1"/>
    <x v="0"/>
    <x v="0"/>
    <x v="11"/>
    <x v="0"/>
    <x v="2"/>
    <x v="1"/>
    <x v="2"/>
    <x v="4"/>
    <n v="16"/>
    <x v="0"/>
  </r>
  <r>
    <d v="2024-12-16T00:00:00"/>
    <x v="3"/>
    <x v="3"/>
    <x v="0"/>
    <n v="1981103268.3699999"/>
    <x v="3"/>
    <x v="3"/>
    <x v="0"/>
    <x v="6"/>
    <x v="0"/>
    <x v="2"/>
    <x v="1"/>
    <x v="2"/>
    <x v="4"/>
    <n v="16"/>
    <x v="0"/>
  </r>
  <r>
    <d v="2024-12-16T00:00:00"/>
    <x v="3"/>
    <x v="1"/>
    <x v="0"/>
    <n v="52644761.560000002"/>
    <x v="3"/>
    <x v="1"/>
    <x v="0"/>
    <x v="12"/>
    <x v="0"/>
    <x v="2"/>
    <x v="1"/>
    <x v="2"/>
    <x v="4"/>
    <n v="16"/>
    <x v="0"/>
  </r>
  <r>
    <d v="2024-12-16T00:00:00"/>
    <x v="3"/>
    <x v="2"/>
    <x v="0"/>
    <n v="750531451.95000005"/>
    <x v="3"/>
    <x v="2"/>
    <x v="0"/>
    <x v="13"/>
    <x v="0"/>
    <x v="2"/>
    <x v="1"/>
    <x v="2"/>
    <x v="4"/>
    <n v="16"/>
    <x v="0"/>
  </r>
  <r>
    <d v="2024-12-16T00:00:00"/>
    <x v="3"/>
    <x v="2"/>
    <x v="1"/>
    <n v="96698567882.610001"/>
    <x v="3"/>
    <x v="2"/>
    <x v="1"/>
    <x v="14"/>
    <x v="0"/>
    <x v="2"/>
    <x v="1"/>
    <x v="2"/>
    <x v="4"/>
    <n v="16"/>
    <x v="0"/>
  </r>
  <r>
    <d v="2024-12-13T00:00:00"/>
    <x v="2"/>
    <x v="1"/>
    <x v="2"/>
    <n v="33969.760000000002"/>
    <x v="2"/>
    <x v="1"/>
    <x v="2"/>
    <x v="5"/>
    <x v="0"/>
    <x v="2"/>
    <x v="1"/>
    <x v="2"/>
    <x v="4"/>
    <n v="13"/>
    <x v="0"/>
  </r>
  <r>
    <d v="2024-12-13T00:00:00"/>
    <x v="0"/>
    <x v="1"/>
    <x v="0"/>
    <n v="7472341.2199999997"/>
    <x v="0"/>
    <x v="1"/>
    <x v="0"/>
    <x v="0"/>
    <x v="0"/>
    <x v="2"/>
    <x v="1"/>
    <x v="2"/>
    <x v="4"/>
    <n v="13"/>
    <x v="0"/>
  </r>
  <r>
    <d v="2024-12-13T00:00:00"/>
    <x v="3"/>
    <x v="2"/>
    <x v="2"/>
    <n v="521155.57"/>
    <x v="3"/>
    <x v="2"/>
    <x v="2"/>
    <x v="6"/>
    <x v="0"/>
    <x v="2"/>
    <x v="1"/>
    <x v="2"/>
    <x v="4"/>
    <n v="13"/>
    <x v="0"/>
  </r>
  <r>
    <d v="2024-12-13T00:00:00"/>
    <x v="3"/>
    <x v="3"/>
    <x v="2"/>
    <n v="30"/>
    <x v="3"/>
    <x v="3"/>
    <x v="2"/>
    <x v="1"/>
    <x v="0"/>
    <x v="2"/>
    <x v="1"/>
    <x v="2"/>
    <x v="4"/>
    <n v="13"/>
    <x v="0"/>
  </r>
  <r>
    <d v="2024-12-13T00:00:00"/>
    <x v="3"/>
    <x v="3"/>
    <x v="1"/>
    <n v="738209.54"/>
    <x v="3"/>
    <x v="3"/>
    <x v="1"/>
    <x v="2"/>
    <x v="0"/>
    <x v="2"/>
    <x v="1"/>
    <x v="2"/>
    <x v="4"/>
    <n v="13"/>
    <x v="0"/>
  </r>
  <r>
    <d v="2024-12-13T00:00:00"/>
    <x v="0"/>
    <x v="1"/>
    <x v="1"/>
    <n v="5522513.0999999996"/>
    <x v="0"/>
    <x v="1"/>
    <x v="1"/>
    <x v="3"/>
    <x v="0"/>
    <x v="2"/>
    <x v="1"/>
    <x v="2"/>
    <x v="4"/>
    <n v="13"/>
    <x v="0"/>
  </r>
  <r>
    <d v="2024-12-13T00:00:00"/>
    <x v="1"/>
    <x v="1"/>
    <x v="0"/>
    <n v="216319.66"/>
    <x v="1"/>
    <x v="1"/>
    <x v="0"/>
    <x v="4"/>
    <x v="0"/>
    <x v="2"/>
    <x v="1"/>
    <x v="2"/>
    <x v="4"/>
    <n v="13"/>
    <x v="0"/>
  </r>
  <r>
    <d v="2024-12-13T00:00:00"/>
    <x v="2"/>
    <x v="1"/>
    <x v="0"/>
    <n v="95525917.700000003"/>
    <x v="2"/>
    <x v="1"/>
    <x v="0"/>
    <x v="7"/>
    <x v="0"/>
    <x v="2"/>
    <x v="1"/>
    <x v="2"/>
    <x v="4"/>
    <n v="13"/>
    <x v="0"/>
  </r>
  <r>
    <d v="2024-12-13T00:00:00"/>
    <x v="3"/>
    <x v="3"/>
    <x v="0"/>
    <n v="1568341917.8599999"/>
    <x v="3"/>
    <x v="3"/>
    <x v="0"/>
    <x v="8"/>
    <x v="0"/>
    <x v="2"/>
    <x v="1"/>
    <x v="2"/>
    <x v="4"/>
    <n v="13"/>
    <x v="0"/>
  </r>
  <r>
    <d v="2024-12-13T00:00:00"/>
    <x v="2"/>
    <x v="1"/>
    <x v="1"/>
    <n v="78013265.609999999"/>
    <x v="2"/>
    <x v="1"/>
    <x v="1"/>
    <x v="9"/>
    <x v="0"/>
    <x v="2"/>
    <x v="1"/>
    <x v="2"/>
    <x v="4"/>
    <n v="13"/>
    <x v="0"/>
  </r>
  <r>
    <d v="2024-12-13T00:00:00"/>
    <x v="1"/>
    <x v="0"/>
    <x v="1"/>
    <n v="219776997.19999999"/>
    <x v="1"/>
    <x v="0"/>
    <x v="1"/>
    <x v="10"/>
    <x v="0"/>
    <x v="2"/>
    <x v="1"/>
    <x v="2"/>
    <x v="4"/>
    <n v="13"/>
    <x v="0"/>
  </r>
  <r>
    <d v="2024-12-13T00:00:00"/>
    <x v="1"/>
    <x v="0"/>
    <x v="0"/>
    <n v="43534065.490000002"/>
    <x v="1"/>
    <x v="0"/>
    <x v="0"/>
    <x v="11"/>
    <x v="0"/>
    <x v="2"/>
    <x v="1"/>
    <x v="2"/>
    <x v="4"/>
    <n v="13"/>
    <x v="0"/>
  </r>
  <r>
    <d v="2024-12-13T00:00:00"/>
    <x v="3"/>
    <x v="2"/>
    <x v="1"/>
    <n v="36544272280.269997"/>
    <x v="3"/>
    <x v="2"/>
    <x v="1"/>
    <x v="12"/>
    <x v="0"/>
    <x v="2"/>
    <x v="1"/>
    <x v="2"/>
    <x v="4"/>
    <n v="13"/>
    <x v="0"/>
  </r>
  <r>
    <d v="2024-12-13T00:00:00"/>
    <x v="3"/>
    <x v="1"/>
    <x v="0"/>
    <n v="16787322.25"/>
    <x v="3"/>
    <x v="1"/>
    <x v="0"/>
    <x v="13"/>
    <x v="0"/>
    <x v="2"/>
    <x v="1"/>
    <x v="2"/>
    <x v="4"/>
    <n v="13"/>
    <x v="0"/>
  </r>
  <r>
    <d v="2024-12-13T00:00:00"/>
    <x v="3"/>
    <x v="2"/>
    <x v="0"/>
    <n v="753172045.52999997"/>
    <x v="3"/>
    <x v="2"/>
    <x v="0"/>
    <x v="14"/>
    <x v="0"/>
    <x v="2"/>
    <x v="1"/>
    <x v="2"/>
    <x v="4"/>
    <n v="13"/>
    <x v="0"/>
  </r>
  <r>
    <d v="2024-12-12T00:00:00"/>
    <x v="1"/>
    <x v="1"/>
    <x v="0"/>
    <n v="1436304.88"/>
    <x v="1"/>
    <x v="1"/>
    <x v="0"/>
    <x v="0"/>
    <x v="0"/>
    <x v="2"/>
    <x v="1"/>
    <x v="2"/>
    <x v="4"/>
    <n v="12"/>
    <x v="0"/>
  </r>
  <r>
    <d v="2024-12-12T00:00:00"/>
    <x v="3"/>
    <x v="2"/>
    <x v="2"/>
    <n v="483218.05"/>
    <x v="3"/>
    <x v="2"/>
    <x v="2"/>
    <x v="5"/>
    <x v="0"/>
    <x v="2"/>
    <x v="1"/>
    <x v="2"/>
    <x v="4"/>
    <n v="12"/>
    <x v="0"/>
  </r>
  <r>
    <d v="2024-12-12T00:00:00"/>
    <x v="0"/>
    <x v="1"/>
    <x v="0"/>
    <n v="14861598.720000001"/>
    <x v="0"/>
    <x v="1"/>
    <x v="0"/>
    <x v="1"/>
    <x v="0"/>
    <x v="2"/>
    <x v="1"/>
    <x v="2"/>
    <x v="4"/>
    <n v="12"/>
    <x v="0"/>
  </r>
  <r>
    <d v="2024-12-12T00:00:00"/>
    <x v="3"/>
    <x v="3"/>
    <x v="2"/>
    <n v="131"/>
    <x v="3"/>
    <x v="3"/>
    <x v="2"/>
    <x v="2"/>
    <x v="0"/>
    <x v="2"/>
    <x v="1"/>
    <x v="2"/>
    <x v="4"/>
    <n v="12"/>
    <x v="0"/>
  </r>
  <r>
    <d v="2024-12-12T00:00:00"/>
    <x v="2"/>
    <x v="1"/>
    <x v="2"/>
    <n v="37813.01"/>
    <x v="2"/>
    <x v="1"/>
    <x v="2"/>
    <x v="3"/>
    <x v="0"/>
    <x v="2"/>
    <x v="1"/>
    <x v="2"/>
    <x v="4"/>
    <n v="12"/>
    <x v="0"/>
  </r>
  <r>
    <d v="2024-12-12T00:00:00"/>
    <x v="0"/>
    <x v="1"/>
    <x v="1"/>
    <n v="3234345.88"/>
    <x v="0"/>
    <x v="1"/>
    <x v="1"/>
    <x v="4"/>
    <x v="0"/>
    <x v="2"/>
    <x v="1"/>
    <x v="2"/>
    <x v="4"/>
    <n v="12"/>
    <x v="0"/>
  </r>
  <r>
    <d v="2024-12-12T00:00:00"/>
    <x v="2"/>
    <x v="1"/>
    <x v="0"/>
    <n v="89162371.989999995"/>
    <x v="2"/>
    <x v="1"/>
    <x v="0"/>
    <x v="6"/>
    <x v="0"/>
    <x v="2"/>
    <x v="1"/>
    <x v="2"/>
    <x v="4"/>
    <n v="12"/>
    <x v="0"/>
  </r>
  <r>
    <d v="2024-12-12T00:00:00"/>
    <x v="2"/>
    <x v="1"/>
    <x v="1"/>
    <n v="95245987.700000003"/>
    <x v="2"/>
    <x v="1"/>
    <x v="1"/>
    <x v="8"/>
    <x v="0"/>
    <x v="2"/>
    <x v="1"/>
    <x v="2"/>
    <x v="4"/>
    <n v="12"/>
    <x v="0"/>
  </r>
  <r>
    <d v="2024-12-12T00:00:00"/>
    <x v="1"/>
    <x v="0"/>
    <x v="1"/>
    <n v="185914223.08000001"/>
    <x v="1"/>
    <x v="0"/>
    <x v="1"/>
    <x v="9"/>
    <x v="0"/>
    <x v="2"/>
    <x v="1"/>
    <x v="2"/>
    <x v="4"/>
    <n v="12"/>
    <x v="0"/>
  </r>
  <r>
    <d v="2024-12-12T00:00:00"/>
    <x v="1"/>
    <x v="0"/>
    <x v="0"/>
    <n v="54479046.770000003"/>
    <x v="1"/>
    <x v="0"/>
    <x v="0"/>
    <x v="10"/>
    <x v="0"/>
    <x v="2"/>
    <x v="1"/>
    <x v="2"/>
    <x v="4"/>
    <n v="12"/>
    <x v="0"/>
  </r>
  <r>
    <d v="2024-12-12T00:00:00"/>
    <x v="3"/>
    <x v="3"/>
    <x v="0"/>
    <n v="1923782991.25"/>
    <x v="3"/>
    <x v="3"/>
    <x v="0"/>
    <x v="7"/>
    <x v="0"/>
    <x v="2"/>
    <x v="1"/>
    <x v="2"/>
    <x v="4"/>
    <n v="12"/>
    <x v="0"/>
  </r>
  <r>
    <d v="2024-12-12T00:00:00"/>
    <x v="3"/>
    <x v="1"/>
    <x v="0"/>
    <n v="15427914.199999999"/>
    <x v="3"/>
    <x v="1"/>
    <x v="0"/>
    <x v="11"/>
    <x v="0"/>
    <x v="2"/>
    <x v="1"/>
    <x v="2"/>
    <x v="4"/>
    <n v="12"/>
    <x v="0"/>
  </r>
  <r>
    <d v="2024-12-12T00:00:00"/>
    <x v="3"/>
    <x v="2"/>
    <x v="1"/>
    <n v="13386133343.17"/>
    <x v="3"/>
    <x v="2"/>
    <x v="1"/>
    <x v="12"/>
    <x v="0"/>
    <x v="2"/>
    <x v="1"/>
    <x v="2"/>
    <x v="4"/>
    <n v="12"/>
    <x v="0"/>
  </r>
  <r>
    <d v="2024-12-12T00:00:00"/>
    <x v="3"/>
    <x v="2"/>
    <x v="0"/>
    <n v="571029361.17999995"/>
    <x v="3"/>
    <x v="2"/>
    <x v="0"/>
    <x v="13"/>
    <x v="0"/>
    <x v="2"/>
    <x v="1"/>
    <x v="2"/>
    <x v="4"/>
    <n v="12"/>
    <x v="0"/>
  </r>
  <r>
    <d v="2024-12-11T00:00:00"/>
    <x v="1"/>
    <x v="1"/>
    <x v="0"/>
    <n v="68344.33"/>
    <x v="1"/>
    <x v="1"/>
    <x v="0"/>
    <x v="0"/>
    <x v="0"/>
    <x v="2"/>
    <x v="1"/>
    <x v="2"/>
    <x v="4"/>
    <n v="11"/>
    <x v="0"/>
  </r>
  <r>
    <d v="2024-12-11T00:00:00"/>
    <x v="0"/>
    <x v="1"/>
    <x v="0"/>
    <n v="6742329.9199999999"/>
    <x v="0"/>
    <x v="1"/>
    <x v="0"/>
    <x v="1"/>
    <x v="0"/>
    <x v="2"/>
    <x v="1"/>
    <x v="2"/>
    <x v="4"/>
    <n v="11"/>
    <x v="0"/>
  </r>
  <r>
    <d v="2024-12-11T00:00:00"/>
    <x v="3"/>
    <x v="2"/>
    <x v="2"/>
    <n v="709358"/>
    <x v="3"/>
    <x v="2"/>
    <x v="2"/>
    <x v="6"/>
    <x v="0"/>
    <x v="2"/>
    <x v="1"/>
    <x v="2"/>
    <x v="4"/>
    <n v="11"/>
    <x v="0"/>
  </r>
  <r>
    <d v="2024-12-11T00:00:00"/>
    <x v="2"/>
    <x v="1"/>
    <x v="2"/>
    <n v="98805.31"/>
    <x v="2"/>
    <x v="1"/>
    <x v="2"/>
    <x v="3"/>
    <x v="0"/>
    <x v="2"/>
    <x v="1"/>
    <x v="2"/>
    <x v="4"/>
    <n v="11"/>
    <x v="0"/>
  </r>
  <r>
    <d v="2024-12-11T00:00:00"/>
    <x v="3"/>
    <x v="3"/>
    <x v="2"/>
    <n v="52"/>
    <x v="3"/>
    <x v="3"/>
    <x v="2"/>
    <x v="2"/>
    <x v="0"/>
    <x v="2"/>
    <x v="1"/>
    <x v="2"/>
    <x v="4"/>
    <n v="11"/>
    <x v="0"/>
  </r>
  <r>
    <d v="2024-12-11T00:00:00"/>
    <x v="2"/>
    <x v="1"/>
    <x v="0"/>
    <n v="104077802.91"/>
    <x v="2"/>
    <x v="1"/>
    <x v="0"/>
    <x v="7"/>
    <x v="0"/>
    <x v="2"/>
    <x v="1"/>
    <x v="2"/>
    <x v="4"/>
    <n v="11"/>
    <x v="0"/>
  </r>
  <r>
    <d v="2024-12-11T00:00:00"/>
    <x v="3"/>
    <x v="3"/>
    <x v="1"/>
    <n v="270301.01"/>
    <x v="3"/>
    <x v="3"/>
    <x v="1"/>
    <x v="4"/>
    <x v="0"/>
    <x v="2"/>
    <x v="1"/>
    <x v="2"/>
    <x v="4"/>
    <n v="11"/>
    <x v="0"/>
  </r>
  <r>
    <d v="2024-12-11T00:00:00"/>
    <x v="0"/>
    <x v="1"/>
    <x v="1"/>
    <n v="5537754.7699999996"/>
    <x v="0"/>
    <x v="1"/>
    <x v="1"/>
    <x v="5"/>
    <x v="0"/>
    <x v="2"/>
    <x v="1"/>
    <x v="2"/>
    <x v="4"/>
    <n v="11"/>
    <x v="0"/>
  </r>
  <r>
    <d v="2024-12-11T00:00:00"/>
    <x v="2"/>
    <x v="1"/>
    <x v="1"/>
    <n v="109032370.81"/>
    <x v="2"/>
    <x v="1"/>
    <x v="1"/>
    <x v="9"/>
    <x v="0"/>
    <x v="2"/>
    <x v="1"/>
    <x v="2"/>
    <x v="4"/>
    <n v="11"/>
    <x v="0"/>
  </r>
  <r>
    <d v="2024-12-11T00:00:00"/>
    <x v="1"/>
    <x v="0"/>
    <x v="1"/>
    <n v="723428148.57000005"/>
    <x v="1"/>
    <x v="0"/>
    <x v="1"/>
    <x v="10"/>
    <x v="0"/>
    <x v="2"/>
    <x v="1"/>
    <x v="2"/>
    <x v="4"/>
    <n v="11"/>
    <x v="0"/>
  </r>
  <r>
    <d v="2024-12-11T00:00:00"/>
    <x v="3"/>
    <x v="3"/>
    <x v="0"/>
    <n v="1339929699.5999999"/>
    <x v="3"/>
    <x v="3"/>
    <x v="0"/>
    <x v="8"/>
    <x v="0"/>
    <x v="2"/>
    <x v="1"/>
    <x v="2"/>
    <x v="4"/>
    <n v="11"/>
    <x v="0"/>
  </r>
  <r>
    <d v="2024-12-11T00:00:00"/>
    <x v="1"/>
    <x v="0"/>
    <x v="0"/>
    <n v="91083867.450000003"/>
    <x v="1"/>
    <x v="0"/>
    <x v="0"/>
    <x v="11"/>
    <x v="0"/>
    <x v="2"/>
    <x v="1"/>
    <x v="2"/>
    <x v="4"/>
    <n v="11"/>
    <x v="0"/>
  </r>
  <r>
    <d v="2024-12-11T00:00:00"/>
    <x v="3"/>
    <x v="1"/>
    <x v="0"/>
    <n v="16718828.74"/>
    <x v="3"/>
    <x v="1"/>
    <x v="0"/>
    <x v="12"/>
    <x v="0"/>
    <x v="2"/>
    <x v="1"/>
    <x v="2"/>
    <x v="4"/>
    <n v="11"/>
    <x v="0"/>
  </r>
  <r>
    <d v="2024-12-11T00:00:00"/>
    <x v="3"/>
    <x v="2"/>
    <x v="1"/>
    <n v="16236864439.799999"/>
    <x v="3"/>
    <x v="2"/>
    <x v="1"/>
    <x v="13"/>
    <x v="0"/>
    <x v="2"/>
    <x v="1"/>
    <x v="2"/>
    <x v="4"/>
    <n v="11"/>
    <x v="0"/>
  </r>
  <r>
    <d v="2024-12-11T00:00:00"/>
    <x v="3"/>
    <x v="2"/>
    <x v="0"/>
    <n v="554516124.33000004"/>
    <x v="3"/>
    <x v="2"/>
    <x v="0"/>
    <x v="14"/>
    <x v="0"/>
    <x v="2"/>
    <x v="1"/>
    <x v="2"/>
    <x v="4"/>
    <n v="11"/>
    <x v="0"/>
  </r>
  <r>
    <d v="2024-12-10T00:00:00"/>
    <x v="0"/>
    <x v="0"/>
    <x v="0"/>
    <n v="360"/>
    <x v="0"/>
    <x v="0"/>
    <x v="0"/>
    <x v="0"/>
    <x v="0"/>
    <x v="2"/>
    <x v="1"/>
    <x v="2"/>
    <x v="4"/>
    <n v="10"/>
    <x v="0"/>
  </r>
  <r>
    <d v="2024-12-10T00:00:00"/>
    <x v="1"/>
    <x v="1"/>
    <x v="0"/>
    <n v="4013789.58"/>
    <x v="1"/>
    <x v="1"/>
    <x v="0"/>
    <x v="1"/>
    <x v="0"/>
    <x v="2"/>
    <x v="1"/>
    <x v="2"/>
    <x v="4"/>
    <n v="10"/>
    <x v="0"/>
  </r>
  <r>
    <d v="2024-12-10T00:00:00"/>
    <x v="0"/>
    <x v="1"/>
    <x v="0"/>
    <n v="6621929.9199999999"/>
    <x v="0"/>
    <x v="1"/>
    <x v="0"/>
    <x v="2"/>
    <x v="0"/>
    <x v="2"/>
    <x v="1"/>
    <x v="2"/>
    <x v="4"/>
    <n v="10"/>
    <x v="0"/>
  </r>
  <r>
    <d v="2024-12-10T00:00:00"/>
    <x v="3"/>
    <x v="2"/>
    <x v="2"/>
    <n v="676525"/>
    <x v="3"/>
    <x v="2"/>
    <x v="2"/>
    <x v="8"/>
    <x v="0"/>
    <x v="2"/>
    <x v="1"/>
    <x v="2"/>
    <x v="4"/>
    <n v="10"/>
    <x v="0"/>
  </r>
  <r>
    <d v="2024-12-10T00:00:00"/>
    <x v="3"/>
    <x v="3"/>
    <x v="2"/>
    <n v="94"/>
    <x v="3"/>
    <x v="3"/>
    <x v="2"/>
    <x v="3"/>
    <x v="0"/>
    <x v="2"/>
    <x v="1"/>
    <x v="2"/>
    <x v="4"/>
    <n v="10"/>
    <x v="0"/>
  </r>
  <r>
    <d v="2024-12-10T00:00:00"/>
    <x v="2"/>
    <x v="1"/>
    <x v="2"/>
    <n v="83614.22"/>
    <x v="2"/>
    <x v="1"/>
    <x v="2"/>
    <x v="4"/>
    <x v="0"/>
    <x v="2"/>
    <x v="1"/>
    <x v="2"/>
    <x v="4"/>
    <n v="10"/>
    <x v="0"/>
  </r>
  <r>
    <d v="2024-12-10T00:00:00"/>
    <x v="2"/>
    <x v="1"/>
    <x v="0"/>
    <n v="84606515.489999995"/>
    <x v="2"/>
    <x v="1"/>
    <x v="0"/>
    <x v="9"/>
    <x v="0"/>
    <x v="2"/>
    <x v="1"/>
    <x v="2"/>
    <x v="4"/>
    <n v="10"/>
    <x v="0"/>
  </r>
  <r>
    <d v="2024-12-10T00:00:00"/>
    <x v="0"/>
    <x v="0"/>
    <x v="1"/>
    <n v="-300"/>
    <x v="0"/>
    <x v="0"/>
    <x v="1"/>
    <x v="5"/>
    <x v="0"/>
    <x v="2"/>
    <x v="1"/>
    <x v="2"/>
    <x v="4"/>
    <n v="10"/>
    <x v="1"/>
  </r>
  <r>
    <d v="2024-12-10T00:00:00"/>
    <x v="3"/>
    <x v="3"/>
    <x v="1"/>
    <n v="39118.15"/>
    <x v="3"/>
    <x v="3"/>
    <x v="1"/>
    <x v="6"/>
    <x v="0"/>
    <x v="2"/>
    <x v="1"/>
    <x v="2"/>
    <x v="4"/>
    <n v="10"/>
    <x v="0"/>
  </r>
  <r>
    <d v="2024-12-10T00:00:00"/>
    <x v="0"/>
    <x v="1"/>
    <x v="1"/>
    <n v="10000905.59"/>
    <x v="0"/>
    <x v="1"/>
    <x v="1"/>
    <x v="7"/>
    <x v="0"/>
    <x v="2"/>
    <x v="1"/>
    <x v="2"/>
    <x v="4"/>
    <n v="10"/>
    <x v="0"/>
  </r>
  <r>
    <d v="2024-12-10T00:00:00"/>
    <x v="1"/>
    <x v="0"/>
    <x v="1"/>
    <n v="192749045.94999999"/>
    <x v="1"/>
    <x v="0"/>
    <x v="1"/>
    <x v="11"/>
    <x v="0"/>
    <x v="2"/>
    <x v="1"/>
    <x v="2"/>
    <x v="4"/>
    <n v="10"/>
    <x v="0"/>
  </r>
  <r>
    <d v="2024-12-10T00:00:00"/>
    <x v="2"/>
    <x v="1"/>
    <x v="1"/>
    <n v="106353345.28"/>
    <x v="2"/>
    <x v="1"/>
    <x v="1"/>
    <x v="12"/>
    <x v="0"/>
    <x v="2"/>
    <x v="1"/>
    <x v="2"/>
    <x v="4"/>
    <n v="10"/>
    <x v="0"/>
  </r>
  <r>
    <d v="2024-12-10T00:00:00"/>
    <x v="1"/>
    <x v="0"/>
    <x v="0"/>
    <n v="61350071.280000001"/>
    <x v="1"/>
    <x v="0"/>
    <x v="0"/>
    <x v="13"/>
    <x v="0"/>
    <x v="2"/>
    <x v="1"/>
    <x v="2"/>
    <x v="4"/>
    <n v="10"/>
    <x v="0"/>
  </r>
  <r>
    <d v="2024-12-10T00:00:00"/>
    <x v="3"/>
    <x v="3"/>
    <x v="0"/>
    <n v="1188785845.3800001"/>
    <x v="3"/>
    <x v="3"/>
    <x v="0"/>
    <x v="10"/>
    <x v="0"/>
    <x v="2"/>
    <x v="1"/>
    <x v="2"/>
    <x v="4"/>
    <n v="10"/>
    <x v="0"/>
  </r>
  <r>
    <d v="2024-12-10T00:00:00"/>
    <x v="3"/>
    <x v="1"/>
    <x v="0"/>
    <n v="13741469.5"/>
    <x v="3"/>
    <x v="1"/>
    <x v="0"/>
    <x v="14"/>
    <x v="0"/>
    <x v="2"/>
    <x v="1"/>
    <x v="2"/>
    <x v="4"/>
    <n v="10"/>
    <x v="0"/>
  </r>
  <r>
    <d v="2024-12-10T00:00:00"/>
    <x v="3"/>
    <x v="2"/>
    <x v="1"/>
    <n v="6576287161.4899998"/>
    <x v="3"/>
    <x v="2"/>
    <x v="1"/>
    <x v="15"/>
    <x v="0"/>
    <x v="2"/>
    <x v="1"/>
    <x v="2"/>
    <x v="4"/>
    <n v="10"/>
    <x v="0"/>
  </r>
  <r>
    <d v="2024-12-10T00:00:00"/>
    <x v="3"/>
    <x v="2"/>
    <x v="0"/>
    <n v="746976395.38"/>
    <x v="3"/>
    <x v="2"/>
    <x v="0"/>
    <x v="16"/>
    <x v="0"/>
    <x v="2"/>
    <x v="1"/>
    <x v="2"/>
    <x v="4"/>
    <n v="10"/>
    <x v="0"/>
  </r>
  <r>
    <d v="2024-12-09T00:00:00"/>
    <x v="0"/>
    <x v="1"/>
    <x v="0"/>
    <n v="22316136.649999999"/>
    <x v="0"/>
    <x v="1"/>
    <x v="0"/>
    <x v="0"/>
    <x v="0"/>
    <x v="2"/>
    <x v="1"/>
    <x v="2"/>
    <x v="4"/>
    <n v="9"/>
    <x v="0"/>
  </r>
  <r>
    <d v="2024-12-09T00:00:00"/>
    <x v="3"/>
    <x v="3"/>
    <x v="2"/>
    <n v="109"/>
    <x v="3"/>
    <x v="3"/>
    <x v="2"/>
    <x v="1"/>
    <x v="0"/>
    <x v="2"/>
    <x v="1"/>
    <x v="2"/>
    <x v="4"/>
    <n v="9"/>
    <x v="0"/>
  </r>
  <r>
    <d v="2024-12-09T00:00:00"/>
    <x v="3"/>
    <x v="3"/>
    <x v="0"/>
    <n v="1317656199.3299999"/>
    <x v="3"/>
    <x v="3"/>
    <x v="0"/>
    <x v="7"/>
    <x v="0"/>
    <x v="2"/>
    <x v="1"/>
    <x v="2"/>
    <x v="4"/>
    <n v="9"/>
    <x v="0"/>
  </r>
  <r>
    <d v="2024-12-09T00:00:00"/>
    <x v="3"/>
    <x v="3"/>
    <x v="1"/>
    <n v="242718.74"/>
    <x v="3"/>
    <x v="3"/>
    <x v="1"/>
    <x v="2"/>
    <x v="0"/>
    <x v="2"/>
    <x v="1"/>
    <x v="2"/>
    <x v="4"/>
    <n v="9"/>
    <x v="0"/>
  </r>
  <r>
    <d v="2024-12-09T00:00:00"/>
    <x v="0"/>
    <x v="1"/>
    <x v="1"/>
    <n v="29211537.129999999"/>
    <x v="0"/>
    <x v="1"/>
    <x v="1"/>
    <x v="3"/>
    <x v="0"/>
    <x v="2"/>
    <x v="1"/>
    <x v="2"/>
    <x v="4"/>
    <n v="9"/>
    <x v="0"/>
  </r>
  <r>
    <d v="2024-12-09T00:00:00"/>
    <x v="1"/>
    <x v="1"/>
    <x v="0"/>
    <n v="315463.69"/>
    <x v="1"/>
    <x v="1"/>
    <x v="0"/>
    <x v="4"/>
    <x v="0"/>
    <x v="2"/>
    <x v="1"/>
    <x v="2"/>
    <x v="4"/>
    <n v="9"/>
    <x v="0"/>
  </r>
  <r>
    <d v="2024-12-09T00:00:00"/>
    <x v="2"/>
    <x v="1"/>
    <x v="0"/>
    <n v="82962201.069999993"/>
    <x v="2"/>
    <x v="1"/>
    <x v="0"/>
    <x v="8"/>
    <x v="0"/>
    <x v="2"/>
    <x v="1"/>
    <x v="2"/>
    <x v="4"/>
    <n v="9"/>
    <x v="0"/>
  </r>
  <r>
    <d v="2024-12-09T00:00:00"/>
    <x v="2"/>
    <x v="1"/>
    <x v="2"/>
    <n v="169387.39"/>
    <x v="2"/>
    <x v="1"/>
    <x v="2"/>
    <x v="5"/>
    <x v="0"/>
    <x v="2"/>
    <x v="1"/>
    <x v="2"/>
    <x v="4"/>
    <n v="9"/>
    <x v="0"/>
  </r>
  <r>
    <d v="2024-12-09T00:00:00"/>
    <x v="2"/>
    <x v="1"/>
    <x v="1"/>
    <n v="84947289.450000003"/>
    <x v="2"/>
    <x v="1"/>
    <x v="1"/>
    <x v="9"/>
    <x v="0"/>
    <x v="2"/>
    <x v="1"/>
    <x v="2"/>
    <x v="4"/>
    <n v="9"/>
    <x v="0"/>
  </r>
  <r>
    <d v="2024-12-09T00:00:00"/>
    <x v="1"/>
    <x v="0"/>
    <x v="0"/>
    <n v="37614448.299999997"/>
    <x v="1"/>
    <x v="0"/>
    <x v="0"/>
    <x v="11"/>
    <x v="0"/>
    <x v="2"/>
    <x v="1"/>
    <x v="2"/>
    <x v="4"/>
    <n v="9"/>
    <x v="0"/>
  </r>
  <r>
    <d v="2024-12-09T00:00:00"/>
    <x v="3"/>
    <x v="2"/>
    <x v="2"/>
    <n v="537853"/>
    <x v="3"/>
    <x v="2"/>
    <x v="2"/>
    <x v="6"/>
    <x v="0"/>
    <x v="2"/>
    <x v="1"/>
    <x v="2"/>
    <x v="4"/>
    <n v="9"/>
    <x v="0"/>
  </r>
  <r>
    <d v="2024-12-09T00:00:00"/>
    <x v="1"/>
    <x v="0"/>
    <x v="1"/>
    <n v="168966583.77000001"/>
    <x v="1"/>
    <x v="0"/>
    <x v="1"/>
    <x v="10"/>
    <x v="0"/>
    <x v="2"/>
    <x v="1"/>
    <x v="2"/>
    <x v="4"/>
    <n v="9"/>
    <x v="0"/>
  </r>
  <r>
    <d v="2024-12-09T00:00:00"/>
    <x v="3"/>
    <x v="1"/>
    <x v="0"/>
    <n v="50837482.560000002"/>
    <x v="3"/>
    <x v="1"/>
    <x v="0"/>
    <x v="12"/>
    <x v="0"/>
    <x v="2"/>
    <x v="1"/>
    <x v="2"/>
    <x v="4"/>
    <n v="9"/>
    <x v="0"/>
  </r>
  <r>
    <d v="2024-12-09T00:00:00"/>
    <x v="3"/>
    <x v="2"/>
    <x v="1"/>
    <n v="27701895729.419998"/>
    <x v="3"/>
    <x v="2"/>
    <x v="1"/>
    <x v="13"/>
    <x v="0"/>
    <x v="2"/>
    <x v="1"/>
    <x v="2"/>
    <x v="4"/>
    <n v="9"/>
    <x v="0"/>
  </r>
  <r>
    <d v="2024-12-09T00:00:00"/>
    <x v="3"/>
    <x v="2"/>
    <x v="0"/>
    <n v="986170216.44000006"/>
    <x v="3"/>
    <x v="2"/>
    <x v="0"/>
    <x v="14"/>
    <x v="0"/>
    <x v="2"/>
    <x v="1"/>
    <x v="2"/>
    <x v="4"/>
    <n v="9"/>
    <x v="0"/>
  </r>
  <r>
    <d v="2024-12-06T00:00:00"/>
    <x v="1"/>
    <x v="1"/>
    <x v="0"/>
    <n v="616647.13"/>
    <x v="1"/>
    <x v="1"/>
    <x v="0"/>
    <x v="0"/>
    <x v="0"/>
    <x v="2"/>
    <x v="1"/>
    <x v="2"/>
    <x v="4"/>
    <n v="6"/>
    <x v="0"/>
  </r>
  <r>
    <d v="2024-12-06T00:00:00"/>
    <x v="0"/>
    <x v="1"/>
    <x v="0"/>
    <n v="7284617.9800000004"/>
    <x v="0"/>
    <x v="1"/>
    <x v="0"/>
    <x v="1"/>
    <x v="0"/>
    <x v="2"/>
    <x v="1"/>
    <x v="2"/>
    <x v="4"/>
    <n v="6"/>
    <x v="0"/>
  </r>
  <r>
    <d v="2024-12-06T00:00:00"/>
    <x v="3"/>
    <x v="2"/>
    <x v="2"/>
    <n v="874298"/>
    <x v="3"/>
    <x v="2"/>
    <x v="2"/>
    <x v="5"/>
    <x v="0"/>
    <x v="2"/>
    <x v="1"/>
    <x v="2"/>
    <x v="4"/>
    <n v="6"/>
    <x v="0"/>
  </r>
  <r>
    <d v="2024-12-06T00:00:00"/>
    <x v="2"/>
    <x v="1"/>
    <x v="0"/>
    <n v="66628315.979999997"/>
    <x v="2"/>
    <x v="1"/>
    <x v="0"/>
    <x v="6"/>
    <x v="0"/>
    <x v="2"/>
    <x v="1"/>
    <x v="2"/>
    <x v="4"/>
    <n v="6"/>
    <x v="0"/>
  </r>
  <r>
    <d v="2024-12-06T00:00:00"/>
    <x v="3"/>
    <x v="3"/>
    <x v="1"/>
    <n v="2733355.07"/>
    <x v="3"/>
    <x v="3"/>
    <x v="1"/>
    <x v="2"/>
    <x v="0"/>
    <x v="2"/>
    <x v="1"/>
    <x v="2"/>
    <x v="4"/>
    <n v="6"/>
    <x v="0"/>
  </r>
  <r>
    <d v="2024-12-06T00:00:00"/>
    <x v="0"/>
    <x v="1"/>
    <x v="1"/>
    <n v="545378.87"/>
    <x v="0"/>
    <x v="1"/>
    <x v="1"/>
    <x v="3"/>
    <x v="0"/>
    <x v="2"/>
    <x v="1"/>
    <x v="2"/>
    <x v="4"/>
    <n v="6"/>
    <x v="0"/>
  </r>
  <r>
    <d v="2024-12-06T00:00:00"/>
    <x v="3"/>
    <x v="3"/>
    <x v="0"/>
    <n v="1089312890.3299999"/>
    <x v="3"/>
    <x v="3"/>
    <x v="0"/>
    <x v="7"/>
    <x v="0"/>
    <x v="2"/>
    <x v="1"/>
    <x v="2"/>
    <x v="4"/>
    <n v="6"/>
    <x v="0"/>
  </r>
  <r>
    <d v="2024-12-06T00:00:00"/>
    <x v="2"/>
    <x v="1"/>
    <x v="1"/>
    <n v="158347450.72999999"/>
    <x v="2"/>
    <x v="1"/>
    <x v="1"/>
    <x v="8"/>
    <x v="0"/>
    <x v="2"/>
    <x v="1"/>
    <x v="2"/>
    <x v="4"/>
    <n v="6"/>
    <x v="0"/>
  </r>
  <r>
    <d v="2024-12-06T00:00:00"/>
    <x v="1"/>
    <x v="0"/>
    <x v="1"/>
    <n v="109621010.76000001"/>
    <x v="1"/>
    <x v="0"/>
    <x v="1"/>
    <x v="9"/>
    <x v="0"/>
    <x v="2"/>
    <x v="1"/>
    <x v="2"/>
    <x v="4"/>
    <n v="6"/>
    <x v="0"/>
  </r>
  <r>
    <d v="2024-12-06T00:00:00"/>
    <x v="1"/>
    <x v="0"/>
    <x v="0"/>
    <n v="37559940.520000003"/>
    <x v="1"/>
    <x v="0"/>
    <x v="0"/>
    <x v="10"/>
    <x v="0"/>
    <x v="2"/>
    <x v="1"/>
    <x v="2"/>
    <x v="4"/>
    <n v="6"/>
    <x v="0"/>
  </r>
  <r>
    <d v="2024-12-06T00:00:00"/>
    <x v="2"/>
    <x v="1"/>
    <x v="2"/>
    <n v="802823.63"/>
    <x v="2"/>
    <x v="1"/>
    <x v="2"/>
    <x v="4"/>
    <x v="0"/>
    <x v="2"/>
    <x v="1"/>
    <x v="2"/>
    <x v="4"/>
    <n v="6"/>
    <x v="0"/>
  </r>
  <r>
    <d v="2024-12-06T00:00:00"/>
    <x v="3"/>
    <x v="1"/>
    <x v="0"/>
    <n v="15528433.960000001"/>
    <x v="3"/>
    <x v="1"/>
    <x v="0"/>
    <x v="11"/>
    <x v="0"/>
    <x v="2"/>
    <x v="1"/>
    <x v="2"/>
    <x v="4"/>
    <n v="6"/>
    <x v="0"/>
  </r>
  <r>
    <d v="2024-12-06T00:00:00"/>
    <x v="3"/>
    <x v="2"/>
    <x v="0"/>
    <n v="805714051.49000001"/>
    <x v="3"/>
    <x v="2"/>
    <x v="0"/>
    <x v="12"/>
    <x v="0"/>
    <x v="2"/>
    <x v="1"/>
    <x v="2"/>
    <x v="4"/>
    <n v="6"/>
    <x v="0"/>
  </r>
  <r>
    <d v="2024-12-06T00:00:00"/>
    <x v="3"/>
    <x v="2"/>
    <x v="1"/>
    <n v="12011487711.92"/>
    <x v="3"/>
    <x v="2"/>
    <x v="1"/>
    <x v="13"/>
    <x v="0"/>
    <x v="2"/>
    <x v="1"/>
    <x v="2"/>
    <x v="4"/>
    <n v="6"/>
    <x v="0"/>
  </r>
  <r>
    <d v="2024-12-05T00:00:00"/>
    <x v="0"/>
    <x v="0"/>
    <x v="0"/>
    <n v="61.77"/>
    <x v="0"/>
    <x v="0"/>
    <x v="0"/>
    <x v="0"/>
    <x v="0"/>
    <x v="2"/>
    <x v="1"/>
    <x v="2"/>
    <x v="4"/>
    <n v="5"/>
    <x v="0"/>
  </r>
  <r>
    <d v="2024-12-05T00:00:00"/>
    <x v="1"/>
    <x v="1"/>
    <x v="0"/>
    <n v="157101.53"/>
    <x v="1"/>
    <x v="1"/>
    <x v="0"/>
    <x v="1"/>
    <x v="0"/>
    <x v="2"/>
    <x v="1"/>
    <x v="2"/>
    <x v="4"/>
    <n v="5"/>
    <x v="0"/>
  </r>
  <r>
    <d v="2024-12-05T00:00:00"/>
    <x v="0"/>
    <x v="1"/>
    <x v="0"/>
    <n v="55397248.75"/>
    <x v="0"/>
    <x v="1"/>
    <x v="0"/>
    <x v="2"/>
    <x v="0"/>
    <x v="2"/>
    <x v="1"/>
    <x v="2"/>
    <x v="4"/>
    <n v="5"/>
    <x v="0"/>
  </r>
  <r>
    <d v="2024-12-05T00:00:00"/>
    <x v="3"/>
    <x v="2"/>
    <x v="2"/>
    <n v="278508.38"/>
    <x v="3"/>
    <x v="2"/>
    <x v="2"/>
    <x v="6"/>
    <x v="0"/>
    <x v="2"/>
    <x v="1"/>
    <x v="2"/>
    <x v="4"/>
    <n v="5"/>
    <x v="0"/>
  </r>
  <r>
    <d v="2024-12-05T00:00:00"/>
    <x v="2"/>
    <x v="1"/>
    <x v="2"/>
    <n v="94546.7"/>
    <x v="2"/>
    <x v="1"/>
    <x v="2"/>
    <x v="3"/>
    <x v="0"/>
    <x v="2"/>
    <x v="1"/>
    <x v="2"/>
    <x v="4"/>
    <n v="5"/>
    <x v="0"/>
  </r>
  <r>
    <d v="2024-12-05T00:00:00"/>
    <x v="2"/>
    <x v="1"/>
    <x v="0"/>
    <n v="146881440.63"/>
    <x v="2"/>
    <x v="1"/>
    <x v="0"/>
    <x v="7"/>
    <x v="0"/>
    <x v="2"/>
    <x v="1"/>
    <x v="2"/>
    <x v="4"/>
    <n v="5"/>
    <x v="0"/>
  </r>
  <r>
    <d v="2024-12-05T00:00:00"/>
    <x v="3"/>
    <x v="3"/>
    <x v="1"/>
    <n v="6277.28"/>
    <x v="3"/>
    <x v="3"/>
    <x v="1"/>
    <x v="4"/>
    <x v="0"/>
    <x v="2"/>
    <x v="1"/>
    <x v="2"/>
    <x v="4"/>
    <n v="5"/>
    <x v="0"/>
  </r>
  <r>
    <d v="2024-12-05T00:00:00"/>
    <x v="0"/>
    <x v="1"/>
    <x v="1"/>
    <n v="35010398.659999996"/>
    <x v="0"/>
    <x v="1"/>
    <x v="1"/>
    <x v="5"/>
    <x v="0"/>
    <x v="2"/>
    <x v="1"/>
    <x v="2"/>
    <x v="4"/>
    <n v="5"/>
    <x v="0"/>
  </r>
  <r>
    <d v="2024-12-05T00:00:00"/>
    <x v="3"/>
    <x v="3"/>
    <x v="0"/>
    <n v="1336065296.4300001"/>
    <x v="3"/>
    <x v="3"/>
    <x v="0"/>
    <x v="8"/>
    <x v="0"/>
    <x v="2"/>
    <x v="1"/>
    <x v="2"/>
    <x v="4"/>
    <n v="5"/>
    <x v="0"/>
  </r>
  <r>
    <d v="2024-12-05T00:00:00"/>
    <x v="1"/>
    <x v="0"/>
    <x v="1"/>
    <n v="110969498.98999999"/>
    <x v="1"/>
    <x v="0"/>
    <x v="1"/>
    <x v="10"/>
    <x v="0"/>
    <x v="2"/>
    <x v="1"/>
    <x v="2"/>
    <x v="4"/>
    <n v="5"/>
    <x v="0"/>
  </r>
  <r>
    <d v="2024-12-05T00:00:00"/>
    <x v="1"/>
    <x v="0"/>
    <x v="0"/>
    <n v="50408964.289999999"/>
    <x v="1"/>
    <x v="0"/>
    <x v="0"/>
    <x v="11"/>
    <x v="0"/>
    <x v="2"/>
    <x v="1"/>
    <x v="2"/>
    <x v="4"/>
    <n v="5"/>
    <x v="0"/>
  </r>
  <r>
    <d v="2024-12-05T00:00:00"/>
    <x v="2"/>
    <x v="1"/>
    <x v="1"/>
    <n v="218338185.08000001"/>
    <x v="2"/>
    <x v="1"/>
    <x v="1"/>
    <x v="9"/>
    <x v="0"/>
    <x v="2"/>
    <x v="1"/>
    <x v="2"/>
    <x v="4"/>
    <n v="5"/>
    <x v="0"/>
  </r>
  <r>
    <d v="2024-12-05T00:00:00"/>
    <x v="3"/>
    <x v="1"/>
    <x v="0"/>
    <n v="15717210.35"/>
    <x v="3"/>
    <x v="1"/>
    <x v="0"/>
    <x v="12"/>
    <x v="0"/>
    <x v="2"/>
    <x v="1"/>
    <x v="2"/>
    <x v="4"/>
    <n v="5"/>
    <x v="0"/>
  </r>
  <r>
    <d v="2024-12-05T00:00:00"/>
    <x v="3"/>
    <x v="2"/>
    <x v="0"/>
    <n v="570696079.83000004"/>
    <x v="3"/>
    <x v="2"/>
    <x v="0"/>
    <x v="13"/>
    <x v="0"/>
    <x v="2"/>
    <x v="1"/>
    <x v="2"/>
    <x v="4"/>
    <n v="5"/>
    <x v="0"/>
  </r>
  <r>
    <d v="2024-12-05T00:00:00"/>
    <x v="3"/>
    <x v="2"/>
    <x v="1"/>
    <n v="4366714826.8299999"/>
    <x v="3"/>
    <x v="2"/>
    <x v="1"/>
    <x v="14"/>
    <x v="0"/>
    <x v="2"/>
    <x v="1"/>
    <x v="2"/>
    <x v="4"/>
    <n v="5"/>
    <x v="0"/>
  </r>
  <r>
    <d v="2024-12-04T00:00:00"/>
    <x v="0"/>
    <x v="1"/>
    <x v="1"/>
    <n v="134742.01999999999"/>
    <x v="0"/>
    <x v="1"/>
    <x v="1"/>
    <x v="4"/>
    <x v="0"/>
    <x v="2"/>
    <x v="1"/>
    <x v="2"/>
    <x v="4"/>
    <n v="4"/>
    <x v="0"/>
  </r>
  <r>
    <d v="2024-12-04T00:00:00"/>
    <x v="1"/>
    <x v="1"/>
    <x v="0"/>
    <n v="674847.39"/>
    <x v="1"/>
    <x v="1"/>
    <x v="0"/>
    <x v="0"/>
    <x v="0"/>
    <x v="2"/>
    <x v="1"/>
    <x v="2"/>
    <x v="4"/>
    <n v="4"/>
    <x v="0"/>
  </r>
  <r>
    <d v="2024-12-04T00:00:00"/>
    <x v="0"/>
    <x v="1"/>
    <x v="0"/>
    <n v="9745839.2200000007"/>
    <x v="0"/>
    <x v="1"/>
    <x v="0"/>
    <x v="1"/>
    <x v="0"/>
    <x v="2"/>
    <x v="1"/>
    <x v="2"/>
    <x v="4"/>
    <n v="4"/>
    <x v="0"/>
  </r>
  <r>
    <d v="2024-12-04T00:00:00"/>
    <x v="3"/>
    <x v="3"/>
    <x v="2"/>
    <n v="60.72"/>
    <x v="3"/>
    <x v="3"/>
    <x v="2"/>
    <x v="2"/>
    <x v="0"/>
    <x v="2"/>
    <x v="1"/>
    <x v="2"/>
    <x v="4"/>
    <n v="4"/>
    <x v="0"/>
  </r>
  <r>
    <d v="2024-12-04T00:00:00"/>
    <x v="3"/>
    <x v="2"/>
    <x v="2"/>
    <n v="530950.64"/>
    <x v="3"/>
    <x v="2"/>
    <x v="2"/>
    <x v="5"/>
    <x v="0"/>
    <x v="2"/>
    <x v="1"/>
    <x v="2"/>
    <x v="4"/>
    <n v="4"/>
    <x v="0"/>
  </r>
  <r>
    <d v="2024-12-04T00:00:00"/>
    <x v="2"/>
    <x v="1"/>
    <x v="2"/>
    <n v="45622.2"/>
    <x v="2"/>
    <x v="1"/>
    <x v="2"/>
    <x v="3"/>
    <x v="0"/>
    <x v="2"/>
    <x v="1"/>
    <x v="2"/>
    <x v="4"/>
    <n v="4"/>
    <x v="0"/>
  </r>
  <r>
    <d v="2024-12-04T00:00:00"/>
    <x v="2"/>
    <x v="1"/>
    <x v="0"/>
    <n v="76283843.599999994"/>
    <x v="2"/>
    <x v="1"/>
    <x v="0"/>
    <x v="6"/>
    <x v="0"/>
    <x v="2"/>
    <x v="1"/>
    <x v="2"/>
    <x v="4"/>
    <n v="4"/>
    <x v="0"/>
  </r>
  <r>
    <d v="2024-12-04T00:00:00"/>
    <x v="3"/>
    <x v="3"/>
    <x v="0"/>
    <n v="1619295524.99"/>
    <x v="3"/>
    <x v="3"/>
    <x v="0"/>
    <x v="7"/>
    <x v="0"/>
    <x v="2"/>
    <x v="1"/>
    <x v="2"/>
    <x v="4"/>
    <n v="4"/>
    <x v="0"/>
  </r>
  <r>
    <d v="2024-12-04T00:00:00"/>
    <x v="1"/>
    <x v="0"/>
    <x v="1"/>
    <n v="504154706.31999999"/>
    <x v="1"/>
    <x v="0"/>
    <x v="1"/>
    <x v="9"/>
    <x v="0"/>
    <x v="2"/>
    <x v="1"/>
    <x v="2"/>
    <x v="4"/>
    <n v="4"/>
    <x v="0"/>
  </r>
  <r>
    <d v="2024-12-04T00:00:00"/>
    <x v="1"/>
    <x v="0"/>
    <x v="0"/>
    <n v="93291674.450000003"/>
    <x v="1"/>
    <x v="0"/>
    <x v="0"/>
    <x v="10"/>
    <x v="0"/>
    <x v="2"/>
    <x v="1"/>
    <x v="2"/>
    <x v="4"/>
    <n v="4"/>
    <x v="0"/>
  </r>
  <r>
    <d v="2024-12-04T00:00:00"/>
    <x v="2"/>
    <x v="1"/>
    <x v="1"/>
    <n v="172064453.81999999"/>
    <x v="2"/>
    <x v="1"/>
    <x v="1"/>
    <x v="8"/>
    <x v="0"/>
    <x v="2"/>
    <x v="1"/>
    <x v="2"/>
    <x v="4"/>
    <n v="4"/>
    <x v="0"/>
  </r>
  <r>
    <d v="2024-12-04T00:00:00"/>
    <x v="3"/>
    <x v="1"/>
    <x v="0"/>
    <n v="16270738.91"/>
    <x v="3"/>
    <x v="1"/>
    <x v="0"/>
    <x v="11"/>
    <x v="0"/>
    <x v="2"/>
    <x v="1"/>
    <x v="2"/>
    <x v="4"/>
    <n v="4"/>
    <x v="0"/>
  </r>
  <r>
    <d v="2024-12-04T00:00:00"/>
    <x v="3"/>
    <x v="2"/>
    <x v="0"/>
    <n v="612483053.03999996"/>
    <x v="3"/>
    <x v="2"/>
    <x v="0"/>
    <x v="12"/>
    <x v="0"/>
    <x v="2"/>
    <x v="1"/>
    <x v="2"/>
    <x v="4"/>
    <n v="4"/>
    <x v="0"/>
  </r>
  <r>
    <d v="2024-12-04T00:00:00"/>
    <x v="3"/>
    <x v="2"/>
    <x v="1"/>
    <n v="14304921179.309999"/>
    <x v="3"/>
    <x v="2"/>
    <x v="1"/>
    <x v="13"/>
    <x v="0"/>
    <x v="2"/>
    <x v="1"/>
    <x v="2"/>
    <x v="4"/>
    <n v="4"/>
    <x v="0"/>
  </r>
  <r>
    <d v="2024-12-03T00:00:00"/>
    <x v="0"/>
    <x v="1"/>
    <x v="0"/>
    <n v="8399505.2100000009"/>
    <x v="0"/>
    <x v="1"/>
    <x v="0"/>
    <x v="0"/>
    <x v="0"/>
    <x v="2"/>
    <x v="1"/>
    <x v="2"/>
    <x v="4"/>
    <n v="3"/>
    <x v="0"/>
  </r>
  <r>
    <d v="2024-12-03T00:00:00"/>
    <x v="3"/>
    <x v="2"/>
    <x v="2"/>
    <n v="358563.08"/>
    <x v="3"/>
    <x v="2"/>
    <x v="2"/>
    <x v="5"/>
    <x v="0"/>
    <x v="2"/>
    <x v="1"/>
    <x v="2"/>
    <x v="4"/>
    <n v="3"/>
    <x v="0"/>
  </r>
  <r>
    <d v="2024-12-03T00:00:00"/>
    <x v="3"/>
    <x v="3"/>
    <x v="2"/>
    <n v="46.58"/>
    <x v="3"/>
    <x v="3"/>
    <x v="2"/>
    <x v="1"/>
    <x v="0"/>
    <x v="2"/>
    <x v="1"/>
    <x v="2"/>
    <x v="4"/>
    <n v="3"/>
    <x v="0"/>
  </r>
  <r>
    <d v="2024-12-03T00:00:00"/>
    <x v="2"/>
    <x v="1"/>
    <x v="2"/>
    <n v="19893.47"/>
    <x v="2"/>
    <x v="1"/>
    <x v="2"/>
    <x v="2"/>
    <x v="0"/>
    <x v="2"/>
    <x v="1"/>
    <x v="2"/>
    <x v="4"/>
    <n v="3"/>
    <x v="0"/>
  </r>
  <r>
    <d v="2024-12-03T00:00:00"/>
    <x v="3"/>
    <x v="3"/>
    <x v="0"/>
    <n v="2056642740.95"/>
    <x v="3"/>
    <x v="3"/>
    <x v="0"/>
    <x v="6"/>
    <x v="0"/>
    <x v="2"/>
    <x v="1"/>
    <x v="2"/>
    <x v="4"/>
    <n v="3"/>
    <x v="0"/>
  </r>
  <r>
    <d v="2024-12-03T00:00:00"/>
    <x v="2"/>
    <x v="1"/>
    <x v="0"/>
    <n v="90332041"/>
    <x v="2"/>
    <x v="1"/>
    <x v="0"/>
    <x v="7"/>
    <x v="0"/>
    <x v="2"/>
    <x v="1"/>
    <x v="2"/>
    <x v="4"/>
    <n v="3"/>
    <x v="0"/>
  </r>
  <r>
    <d v="2024-12-03T00:00:00"/>
    <x v="0"/>
    <x v="1"/>
    <x v="1"/>
    <n v="5837081.1600000001"/>
    <x v="0"/>
    <x v="1"/>
    <x v="1"/>
    <x v="3"/>
    <x v="0"/>
    <x v="2"/>
    <x v="1"/>
    <x v="2"/>
    <x v="4"/>
    <n v="3"/>
    <x v="0"/>
  </r>
  <r>
    <d v="2024-12-03T00:00:00"/>
    <x v="1"/>
    <x v="1"/>
    <x v="0"/>
    <n v="207345.76"/>
    <x v="1"/>
    <x v="1"/>
    <x v="0"/>
    <x v="4"/>
    <x v="0"/>
    <x v="2"/>
    <x v="1"/>
    <x v="2"/>
    <x v="4"/>
    <n v="3"/>
    <x v="0"/>
  </r>
  <r>
    <d v="2024-12-03T00:00:00"/>
    <x v="2"/>
    <x v="1"/>
    <x v="1"/>
    <n v="150951023.46000001"/>
    <x v="2"/>
    <x v="1"/>
    <x v="1"/>
    <x v="8"/>
    <x v="0"/>
    <x v="2"/>
    <x v="1"/>
    <x v="2"/>
    <x v="4"/>
    <n v="3"/>
    <x v="0"/>
  </r>
  <r>
    <d v="2024-12-03T00:00:00"/>
    <x v="1"/>
    <x v="0"/>
    <x v="1"/>
    <n v="266595928.63"/>
    <x v="1"/>
    <x v="0"/>
    <x v="1"/>
    <x v="9"/>
    <x v="0"/>
    <x v="2"/>
    <x v="1"/>
    <x v="2"/>
    <x v="4"/>
    <n v="3"/>
    <x v="0"/>
  </r>
  <r>
    <d v="2024-12-03T00:00:00"/>
    <x v="1"/>
    <x v="0"/>
    <x v="0"/>
    <n v="79320287.180000007"/>
    <x v="1"/>
    <x v="0"/>
    <x v="0"/>
    <x v="10"/>
    <x v="0"/>
    <x v="2"/>
    <x v="1"/>
    <x v="2"/>
    <x v="4"/>
    <n v="3"/>
    <x v="0"/>
  </r>
  <r>
    <d v="2024-12-03T00:00:00"/>
    <x v="3"/>
    <x v="1"/>
    <x v="0"/>
    <n v="14230759.83"/>
    <x v="3"/>
    <x v="1"/>
    <x v="0"/>
    <x v="11"/>
    <x v="0"/>
    <x v="2"/>
    <x v="1"/>
    <x v="2"/>
    <x v="4"/>
    <n v="3"/>
    <x v="0"/>
  </r>
  <r>
    <d v="2024-12-03T00:00:00"/>
    <x v="3"/>
    <x v="2"/>
    <x v="0"/>
    <n v="1220224216.8199999"/>
    <x v="3"/>
    <x v="2"/>
    <x v="0"/>
    <x v="12"/>
    <x v="0"/>
    <x v="2"/>
    <x v="1"/>
    <x v="2"/>
    <x v="4"/>
    <n v="3"/>
    <x v="0"/>
  </r>
  <r>
    <d v="2024-12-03T00:00:00"/>
    <x v="3"/>
    <x v="2"/>
    <x v="1"/>
    <n v="8755926422.9300003"/>
    <x v="3"/>
    <x v="2"/>
    <x v="1"/>
    <x v="13"/>
    <x v="0"/>
    <x v="2"/>
    <x v="1"/>
    <x v="2"/>
    <x v="4"/>
    <n v="3"/>
    <x v="0"/>
  </r>
  <r>
    <d v="2024-12-02T00:00:00"/>
    <x v="0"/>
    <x v="1"/>
    <x v="0"/>
    <n v="6912111.9400000004"/>
    <x v="0"/>
    <x v="1"/>
    <x v="0"/>
    <x v="0"/>
    <x v="0"/>
    <x v="2"/>
    <x v="1"/>
    <x v="2"/>
    <x v="4"/>
    <n v="2"/>
    <x v="0"/>
  </r>
  <r>
    <d v="2024-12-02T00:00:00"/>
    <x v="3"/>
    <x v="2"/>
    <x v="2"/>
    <n v="179691"/>
    <x v="3"/>
    <x v="2"/>
    <x v="2"/>
    <x v="5"/>
    <x v="0"/>
    <x v="2"/>
    <x v="1"/>
    <x v="2"/>
    <x v="4"/>
    <n v="2"/>
    <x v="0"/>
  </r>
  <r>
    <d v="2024-12-02T00:00:00"/>
    <x v="3"/>
    <x v="3"/>
    <x v="2"/>
    <n v="20"/>
    <x v="3"/>
    <x v="3"/>
    <x v="2"/>
    <x v="1"/>
    <x v="0"/>
    <x v="2"/>
    <x v="1"/>
    <x v="2"/>
    <x v="4"/>
    <n v="2"/>
    <x v="0"/>
  </r>
  <r>
    <d v="2024-12-02T00:00:00"/>
    <x v="0"/>
    <x v="1"/>
    <x v="1"/>
    <n v="16311622.18"/>
    <x v="0"/>
    <x v="1"/>
    <x v="1"/>
    <x v="2"/>
    <x v="0"/>
    <x v="2"/>
    <x v="1"/>
    <x v="2"/>
    <x v="4"/>
    <n v="2"/>
    <x v="0"/>
  </r>
  <r>
    <d v="2024-12-02T00:00:00"/>
    <x v="1"/>
    <x v="1"/>
    <x v="0"/>
    <n v="226179.47"/>
    <x v="1"/>
    <x v="1"/>
    <x v="0"/>
    <x v="3"/>
    <x v="0"/>
    <x v="2"/>
    <x v="1"/>
    <x v="2"/>
    <x v="4"/>
    <n v="2"/>
    <x v="0"/>
  </r>
  <r>
    <d v="2024-12-02T00:00:00"/>
    <x v="2"/>
    <x v="1"/>
    <x v="0"/>
    <n v="69835501.099999994"/>
    <x v="2"/>
    <x v="1"/>
    <x v="0"/>
    <x v="6"/>
    <x v="0"/>
    <x v="2"/>
    <x v="1"/>
    <x v="2"/>
    <x v="4"/>
    <n v="2"/>
    <x v="0"/>
  </r>
  <r>
    <d v="2024-12-02T00:00:00"/>
    <x v="3"/>
    <x v="3"/>
    <x v="0"/>
    <n v="3698255349.8099999"/>
    <x v="3"/>
    <x v="3"/>
    <x v="0"/>
    <x v="7"/>
    <x v="0"/>
    <x v="2"/>
    <x v="1"/>
    <x v="2"/>
    <x v="4"/>
    <n v="2"/>
    <x v="0"/>
  </r>
  <r>
    <d v="2024-12-02T00:00:00"/>
    <x v="2"/>
    <x v="1"/>
    <x v="2"/>
    <n v="3410"/>
    <x v="2"/>
    <x v="1"/>
    <x v="2"/>
    <x v="4"/>
    <x v="0"/>
    <x v="2"/>
    <x v="1"/>
    <x v="2"/>
    <x v="4"/>
    <n v="2"/>
    <x v="0"/>
  </r>
  <r>
    <d v="2024-12-02T00:00:00"/>
    <x v="1"/>
    <x v="0"/>
    <x v="1"/>
    <n v="116424371.36"/>
    <x v="1"/>
    <x v="0"/>
    <x v="1"/>
    <x v="9"/>
    <x v="0"/>
    <x v="2"/>
    <x v="1"/>
    <x v="2"/>
    <x v="4"/>
    <n v="2"/>
    <x v="0"/>
  </r>
  <r>
    <d v="2024-12-02T00:00:00"/>
    <x v="1"/>
    <x v="0"/>
    <x v="0"/>
    <n v="66848534.829999998"/>
    <x v="1"/>
    <x v="0"/>
    <x v="0"/>
    <x v="10"/>
    <x v="0"/>
    <x v="2"/>
    <x v="1"/>
    <x v="2"/>
    <x v="4"/>
    <n v="2"/>
    <x v="0"/>
  </r>
  <r>
    <d v="2024-12-02T00:00:00"/>
    <x v="2"/>
    <x v="1"/>
    <x v="1"/>
    <n v="146696040.03"/>
    <x v="2"/>
    <x v="1"/>
    <x v="1"/>
    <x v="8"/>
    <x v="0"/>
    <x v="2"/>
    <x v="1"/>
    <x v="2"/>
    <x v="4"/>
    <n v="2"/>
    <x v="0"/>
  </r>
  <r>
    <d v="2024-12-02T00:00:00"/>
    <x v="3"/>
    <x v="1"/>
    <x v="0"/>
    <n v="38623086.079999998"/>
    <x v="3"/>
    <x v="1"/>
    <x v="0"/>
    <x v="11"/>
    <x v="0"/>
    <x v="2"/>
    <x v="1"/>
    <x v="2"/>
    <x v="4"/>
    <n v="2"/>
    <x v="0"/>
  </r>
  <r>
    <d v="2024-12-02T00:00:00"/>
    <x v="3"/>
    <x v="2"/>
    <x v="0"/>
    <n v="945947591.92999995"/>
    <x v="3"/>
    <x v="2"/>
    <x v="0"/>
    <x v="12"/>
    <x v="0"/>
    <x v="2"/>
    <x v="1"/>
    <x v="2"/>
    <x v="4"/>
    <n v="2"/>
    <x v="0"/>
  </r>
  <r>
    <d v="2024-12-02T00:00:00"/>
    <x v="3"/>
    <x v="2"/>
    <x v="1"/>
    <n v="37865546626.540001"/>
    <x v="3"/>
    <x v="2"/>
    <x v="1"/>
    <x v="13"/>
    <x v="0"/>
    <x v="2"/>
    <x v="1"/>
    <x v="2"/>
    <x v="4"/>
    <n v="2"/>
    <x v="0"/>
  </r>
  <r>
    <d v="2024-11-29T00:00:00"/>
    <x v="1"/>
    <x v="1"/>
    <x v="0"/>
    <n v="256434.11"/>
    <x v="1"/>
    <x v="1"/>
    <x v="0"/>
    <x v="4"/>
    <x v="0"/>
    <x v="2"/>
    <x v="1"/>
    <x v="2"/>
    <x v="5"/>
    <n v="29"/>
    <x v="0"/>
  </r>
  <r>
    <d v="2024-11-29T00:00:00"/>
    <x v="0"/>
    <x v="1"/>
    <x v="0"/>
    <n v="6342368.9699999997"/>
    <x v="0"/>
    <x v="1"/>
    <x v="0"/>
    <x v="1"/>
    <x v="0"/>
    <x v="2"/>
    <x v="1"/>
    <x v="2"/>
    <x v="5"/>
    <n v="29"/>
    <x v="0"/>
  </r>
  <r>
    <d v="2024-11-29T00:00:00"/>
    <x v="0"/>
    <x v="0"/>
    <x v="0"/>
    <n v="130"/>
    <x v="0"/>
    <x v="0"/>
    <x v="0"/>
    <x v="0"/>
    <x v="0"/>
    <x v="2"/>
    <x v="1"/>
    <x v="2"/>
    <x v="5"/>
    <n v="29"/>
    <x v="0"/>
  </r>
  <r>
    <d v="2024-11-29T00:00:00"/>
    <x v="2"/>
    <x v="1"/>
    <x v="2"/>
    <n v="7958.62"/>
    <x v="2"/>
    <x v="1"/>
    <x v="2"/>
    <x v="6"/>
    <x v="0"/>
    <x v="2"/>
    <x v="1"/>
    <x v="2"/>
    <x v="5"/>
    <n v="29"/>
    <x v="0"/>
  </r>
  <r>
    <d v="2024-11-29T00:00:00"/>
    <x v="3"/>
    <x v="3"/>
    <x v="2"/>
    <n v="273"/>
    <x v="3"/>
    <x v="3"/>
    <x v="2"/>
    <x v="2"/>
    <x v="0"/>
    <x v="2"/>
    <x v="1"/>
    <x v="2"/>
    <x v="5"/>
    <n v="29"/>
    <x v="0"/>
  </r>
  <r>
    <d v="2024-11-29T00:00:00"/>
    <x v="0"/>
    <x v="1"/>
    <x v="1"/>
    <n v="529696.25"/>
    <x v="0"/>
    <x v="1"/>
    <x v="1"/>
    <x v="3"/>
    <x v="0"/>
    <x v="2"/>
    <x v="1"/>
    <x v="2"/>
    <x v="5"/>
    <n v="29"/>
    <x v="0"/>
  </r>
  <r>
    <d v="2024-11-29T00:00:00"/>
    <x v="2"/>
    <x v="1"/>
    <x v="0"/>
    <n v="86370486.170000002"/>
    <x v="2"/>
    <x v="1"/>
    <x v="0"/>
    <x v="7"/>
    <x v="0"/>
    <x v="2"/>
    <x v="1"/>
    <x v="2"/>
    <x v="5"/>
    <n v="29"/>
    <x v="0"/>
  </r>
  <r>
    <d v="2024-11-29T00:00:00"/>
    <x v="3"/>
    <x v="3"/>
    <x v="0"/>
    <n v="1599647560.3499999"/>
    <x v="3"/>
    <x v="3"/>
    <x v="0"/>
    <x v="8"/>
    <x v="0"/>
    <x v="2"/>
    <x v="1"/>
    <x v="2"/>
    <x v="5"/>
    <n v="29"/>
    <x v="0"/>
  </r>
  <r>
    <d v="2024-11-29T00:00:00"/>
    <x v="3"/>
    <x v="2"/>
    <x v="2"/>
    <n v="405233.04"/>
    <x v="3"/>
    <x v="2"/>
    <x v="2"/>
    <x v="5"/>
    <x v="0"/>
    <x v="2"/>
    <x v="1"/>
    <x v="2"/>
    <x v="5"/>
    <n v="29"/>
    <x v="0"/>
  </r>
  <r>
    <d v="2024-11-29T00:00:00"/>
    <x v="2"/>
    <x v="1"/>
    <x v="1"/>
    <n v="165153848.00999999"/>
    <x v="2"/>
    <x v="1"/>
    <x v="1"/>
    <x v="9"/>
    <x v="0"/>
    <x v="2"/>
    <x v="1"/>
    <x v="2"/>
    <x v="5"/>
    <n v="29"/>
    <x v="0"/>
  </r>
  <r>
    <d v="2024-11-29T00:00:00"/>
    <x v="1"/>
    <x v="0"/>
    <x v="1"/>
    <n v="119739660.39"/>
    <x v="1"/>
    <x v="0"/>
    <x v="1"/>
    <x v="10"/>
    <x v="0"/>
    <x v="2"/>
    <x v="1"/>
    <x v="2"/>
    <x v="5"/>
    <n v="29"/>
    <x v="0"/>
  </r>
  <r>
    <d v="2024-11-29T00:00:00"/>
    <x v="1"/>
    <x v="0"/>
    <x v="0"/>
    <n v="51297461.109999999"/>
    <x v="1"/>
    <x v="0"/>
    <x v="0"/>
    <x v="11"/>
    <x v="0"/>
    <x v="2"/>
    <x v="1"/>
    <x v="2"/>
    <x v="5"/>
    <n v="29"/>
    <x v="0"/>
  </r>
  <r>
    <d v="2024-11-29T00:00:00"/>
    <x v="3"/>
    <x v="1"/>
    <x v="0"/>
    <n v="25236463.84"/>
    <x v="3"/>
    <x v="1"/>
    <x v="0"/>
    <x v="12"/>
    <x v="0"/>
    <x v="2"/>
    <x v="1"/>
    <x v="2"/>
    <x v="5"/>
    <n v="29"/>
    <x v="0"/>
  </r>
  <r>
    <d v="2024-11-29T00:00:00"/>
    <x v="3"/>
    <x v="2"/>
    <x v="0"/>
    <n v="905086254.49000001"/>
    <x v="3"/>
    <x v="2"/>
    <x v="0"/>
    <x v="13"/>
    <x v="0"/>
    <x v="2"/>
    <x v="1"/>
    <x v="2"/>
    <x v="5"/>
    <n v="29"/>
    <x v="0"/>
  </r>
  <r>
    <d v="2024-11-29T00:00:00"/>
    <x v="3"/>
    <x v="2"/>
    <x v="1"/>
    <n v="18104377227.689999"/>
    <x v="3"/>
    <x v="2"/>
    <x v="1"/>
    <x v="14"/>
    <x v="0"/>
    <x v="2"/>
    <x v="1"/>
    <x v="2"/>
    <x v="5"/>
    <n v="29"/>
    <x v="0"/>
  </r>
  <r>
    <d v="2024-11-27T00:00:00"/>
    <x v="3"/>
    <x v="2"/>
    <x v="2"/>
    <n v="562918.63"/>
    <x v="3"/>
    <x v="2"/>
    <x v="2"/>
    <x v="6"/>
    <x v="0"/>
    <x v="2"/>
    <x v="1"/>
    <x v="2"/>
    <x v="5"/>
    <n v="27"/>
    <x v="0"/>
  </r>
  <r>
    <d v="2024-11-27T00:00:00"/>
    <x v="0"/>
    <x v="0"/>
    <x v="0"/>
    <n v="592.46"/>
    <x v="0"/>
    <x v="0"/>
    <x v="0"/>
    <x v="0"/>
    <x v="0"/>
    <x v="2"/>
    <x v="1"/>
    <x v="2"/>
    <x v="5"/>
    <n v="27"/>
    <x v="0"/>
  </r>
  <r>
    <d v="2024-11-27T00:00:00"/>
    <x v="1"/>
    <x v="1"/>
    <x v="0"/>
    <n v="159231.88"/>
    <x v="1"/>
    <x v="1"/>
    <x v="0"/>
    <x v="1"/>
    <x v="0"/>
    <x v="2"/>
    <x v="1"/>
    <x v="2"/>
    <x v="5"/>
    <n v="27"/>
    <x v="0"/>
  </r>
  <r>
    <d v="2024-11-27T00:00:00"/>
    <x v="0"/>
    <x v="1"/>
    <x v="0"/>
    <n v="62916333"/>
    <x v="0"/>
    <x v="1"/>
    <x v="0"/>
    <x v="2"/>
    <x v="0"/>
    <x v="2"/>
    <x v="1"/>
    <x v="2"/>
    <x v="5"/>
    <n v="27"/>
    <x v="0"/>
  </r>
  <r>
    <d v="2024-11-27T00:00:00"/>
    <x v="3"/>
    <x v="3"/>
    <x v="0"/>
    <n v="1875642308.6900001"/>
    <x v="3"/>
    <x v="3"/>
    <x v="0"/>
    <x v="7"/>
    <x v="0"/>
    <x v="2"/>
    <x v="1"/>
    <x v="2"/>
    <x v="5"/>
    <n v="27"/>
    <x v="0"/>
  </r>
  <r>
    <d v="2024-11-27T00:00:00"/>
    <x v="2"/>
    <x v="1"/>
    <x v="2"/>
    <n v="9894.1299999999992"/>
    <x v="2"/>
    <x v="1"/>
    <x v="2"/>
    <x v="3"/>
    <x v="0"/>
    <x v="2"/>
    <x v="1"/>
    <x v="2"/>
    <x v="5"/>
    <n v="27"/>
    <x v="0"/>
  </r>
  <r>
    <d v="2024-11-27T00:00:00"/>
    <x v="0"/>
    <x v="1"/>
    <x v="1"/>
    <n v="16123824.26"/>
    <x v="0"/>
    <x v="1"/>
    <x v="1"/>
    <x v="5"/>
    <x v="0"/>
    <x v="2"/>
    <x v="1"/>
    <x v="2"/>
    <x v="5"/>
    <n v="27"/>
    <x v="0"/>
  </r>
  <r>
    <d v="2024-11-27T00:00:00"/>
    <x v="3"/>
    <x v="3"/>
    <x v="1"/>
    <n v="18704.66"/>
    <x v="3"/>
    <x v="3"/>
    <x v="1"/>
    <x v="4"/>
    <x v="0"/>
    <x v="2"/>
    <x v="1"/>
    <x v="2"/>
    <x v="5"/>
    <n v="27"/>
    <x v="0"/>
  </r>
  <r>
    <d v="2024-11-27T00:00:00"/>
    <x v="2"/>
    <x v="1"/>
    <x v="1"/>
    <n v="207775303.25999999"/>
    <x v="2"/>
    <x v="1"/>
    <x v="1"/>
    <x v="9"/>
    <x v="0"/>
    <x v="2"/>
    <x v="1"/>
    <x v="2"/>
    <x v="5"/>
    <n v="27"/>
    <x v="0"/>
  </r>
  <r>
    <d v="2024-11-27T00:00:00"/>
    <x v="1"/>
    <x v="0"/>
    <x v="1"/>
    <n v="487161452.23000002"/>
    <x v="1"/>
    <x v="0"/>
    <x v="1"/>
    <x v="10"/>
    <x v="0"/>
    <x v="2"/>
    <x v="1"/>
    <x v="2"/>
    <x v="5"/>
    <n v="27"/>
    <x v="0"/>
  </r>
  <r>
    <d v="2024-11-27T00:00:00"/>
    <x v="1"/>
    <x v="0"/>
    <x v="0"/>
    <n v="98721974.340000004"/>
    <x v="1"/>
    <x v="0"/>
    <x v="0"/>
    <x v="11"/>
    <x v="0"/>
    <x v="2"/>
    <x v="1"/>
    <x v="2"/>
    <x v="5"/>
    <n v="27"/>
    <x v="0"/>
  </r>
  <r>
    <d v="2024-11-27T00:00:00"/>
    <x v="2"/>
    <x v="1"/>
    <x v="0"/>
    <n v="90183834.260000005"/>
    <x v="2"/>
    <x v="1"/>
    <x v="0"/>
    <x v="8"/>
    <x v="0"/>
    <x v="2"/>
    <x v="1"/>
    <x v="2"/>
    <x v="5"/>
    <n v="27"/>
    <x v="0"/>
  </r>
  <r>
    <d v="2024-11-27T00:00:00"/>
    <x v="3"/>
    <x v="1"/>
    <x v="0"/>
    <n v="21922152.010000002"/>
    <x v="3"/>
    <x v="1"/>
    <x v="0"/>
    <x v="12"/>
    <x v="0"/>
    <x v="2"/>
    <x v="1"/>
    <x v="2"/>
    <x v="5"/>
    <n v="27"/>
    <x v="0"/>
  </r>
  <r>
    <d v="2024-11-27T00:00:00"/>
    <x v="3"/>
    <x v="2"/>
    <x v="1"/>
    <n v="16595525076.76"/>
    <x v="3"/>
    <x v="2"/>
    <x v="1"/>
    <x v="13"/>
    <x v="0"/>
    <x v="2"/>
    <x v="1"/>
    <x v="2"/>
    <x v="5"/>
    <n v="27"/>
    <x v="0"/>
  </r>
  <r>
    <d v="2024-11-27T00:00:00"/>
    <x v="3"/>
    <x v="2"/>
    <x v="0"/>
    <n v="615772289.95000005"/>
    <x v="3"/>
    <x v="2"/>
    <x v="0"/>
    <x v="14"/>
    <x v="0"/>
    <x v="2"/>
    <x v="1"/>
    <x v="2"/>
    <x v="5"/>
    <n v="27"/>
    <x v="0"/>
  </r>
  <r>
    <d v="2024-11-26T00:00:00"/>
    <x v="1"/>
    <x v="1"/>
    <x v="0"/>
    <n v="154928.94"/>
    <x v="1"/>
    <x v="1"/>
    <x v="0"/>
    <x v="3"/>
    <x v="0"/>
    <x v="2"/>
    <x v="1"/>
    <x v="2"/>
    <x v="5"/>
    <n v="26"/>
    <x v="0"/>
  </r>
  <r>
    <d v="2024-11-26T00:00:00"/>
    <x v="0"/>
    <x v="1"/>
    <x v="0"/>
    <n v="24077539.489999998"/>
    <x v="0"/>
    <x v="1"/>
    <x v="0"/>
    <x v="0"/>
    <x v="0"/>
    <x v="2"/>
    <x v="1"/>
    <x v="2"/>
    <x v="5"/>
    <n v="26"/>
    <x v="0"/>
  </r>
  <r>
    <d v="2024-11-26T00:00:00"/>
    <x v="3"/>
    <x v="2"/>
    <x v="2"/>
    <n v="562144.98"/>
    <x v="3"/>
    <x v="2"/>
    <x v="2"/>
    <x v="5"/>
    <x v="0"/>
    <x v="2"/>
    <x v="1"/>
    <x v="2"/>
    <x v="5"/>
    <n v="26"/>
    <x v="0"/>
  </r>
  <r>
    <d v="2024-11-26T00:00:00"/>
    <x v="3"/>
    <x v="3"/>
    <x v="0"/>
    <n v="1620544757.1900001"/>
    <x v="3"/>
    <x v="3"/>
    <x v="0"/>
    <x v="6"/>
    <x v="0"/>
    <x v="2"/>
    <x v="1"/>
    <x v="2"/>
    <x v="5"/>
    <n v="26"/>
    <x v="0"/>
  </r>
  <r>
    <d v="2024-11-26T00:00:00"/>
    <x v="3"/>
    <x v="3"/>
    <x v="1"/>
    <n v="1209750.8400000001"/>
    <x v="3"/>
    <x v="3"/>
    <x v="1"/>
    <x v="1"/>
    <x v="0"/>
    <x v="2"/>
    <x v="1"/>
    <x v="2"/>
    <x v="5"/>
    <n v="26"/>
    <x v="0"/>
  </r>
  <r>
    <d v="2024-11-26T00:00:00"/>
    <x v="0"/>
    <x v="1"/>
    <x v="1"/>
    <n v="9138545.1899999995"/>
    <x v="0"/>
    <x v="1"/>
    <x v="1"/>
    <x v="2"/>
    <x v="0"/>
    <x v="2"/>
    <x v="1"/>
    <x v="2"/>
    <x v="5"/>
    <n v="26"/>
    <x v="0"/>
  </r>
  <r>
    <d v="2024-11-26T00:00:00"/>
    <x v="2"/>
    <x v="1"/>
    <x v="0"/>
    <n v="93614331.159999996"/>
    <x v="2"/>
    <x v="1"/>
    <x v="0"/>
    <x v="7"/>
    <x v="0"/>
    <x v="2"/>
    <x v="1"/>
    <x v="2"/>
    <x v="5"/>
    <n v="26"/>
    <x v="0"/>
  </r>
  <r>
    <d v="2024-11-26T00:00:00"/>
    <x v="2"/>
    <x v="1"/>
    <x v="2"/>
    <n v="44277.81"/>
    <x v="2"/>
    <x v="1"/>
    <x v="2"/>
    <x v="4"/>
    <x v="0"/>
    <x v="2"/>
    <x v="1"/>
    <x v="2"/>
    <x v="5"/>
    <n v="26"/>
    <x v="0"/>
  </r>
  <r>
    <d v="2024-11-26T00:00:00"/>
    <x v="2"/>
    <x v="1"/>
    <x v="1"/>
    <n v="143378217.78"/>
    <x v="2"/>
    <x v="1"/>
    <x v="1"/>
    <x v="8"/>
    <x v="0"/>
    <x v="2"/>
    <x v="1"/>
    <x v="2"/>
    <x v="5"/>
    <n v="26"/>
    <x v="0"/>
  </r>
  <r>
    <d v="2024-11-26T00:00:00"/>
    <x v="1"/>
    <x v="0"/>
    <x v="0"/>
    <n v="83865717.689999998"/>
    <x v="1"/>
    <x v="0"/>
    <x v="0"/>
    <x v="10"/>
    <x v="0"/>
    <x v="2"/>
    <x v="1"/>
    <x v="2"/>
    <x v="5"/>
    <n v="26"/>
    <x v="0"/>
  </r>
  <r>
    <d v="2024-11-26T00:00:00"/>
    <x v="1"/>
    <x v="0"/>
    <x v="1"/>
    <n v="147386277.91999999"/>
    <x v="1"/>
    <x v="0"/>
    <x v="1"/>
    <x v="9"/>
    <x v="0"/>
    <x v="2"/>
    <x v="1"/>
    <x v="2"/>
    <x v="5"/>
    <n v="26"/>
    <x v="0"/>
  </r>
  <r>
    <d v="2024-11-26T00:00:00"/>
    <x v="3"/>
    <x v="1"/>
    <x v="0"/>
    <n v="19086248.350000001"/>
    <x v="3"/>
    <x v="1"/>
    <x v="0"/>
    <x v="11"/>
    <x v="0"/>
    <x v="2"/>
    <x v="1"/>
    <x v="2"/>
    <x v="5"/>
    <n v="26"/>
    <x v="0"/>
  </r>
  <r>
    <d v="2024-11-26T00:00:00"/>
    <x v="3"/>
    <x v="2"/>
    <x v="0"/>
    <n v="708290386.04999995"/>
    <x v="3"/>
    <x v="2"/>
    <x v="0"/>
    <x v="12"/>
    <x v="0"/>
    <x v="2"/>
    <x v="1"/>
    <x v="2"/>
    <x v="5"/>
    <n v="26"/>
    <x v="0"/>
  </r>
  <r>
    <d v="2024-11-26T00:00:00"/>
    <x v="3"/>
    <x v="2"/>
    <x v="1"/>
    <n v="4913553663.4799995"/>
    <x v="3"/>
    <x v="2"/>
    <x v="1"/>
    <x v="13"/>
    <x v="0"/>
    <x v="2"/>
    <x v="1"/>
    <x v="2"/>
    <x v="5"/>
    <n v="26"/>
    <x v="0"/>
  </r>
  <r>
    <d v="2024-11-25T00:00:00"/>
    <x v="2"/>
    <x v="1"/>
    <x v="2"/>
    <n v="41424.81"/>
    <x v="2"/>
    <x v="1"/>
    <x v="2"/>
    <x v="5"/>
    <x v="0"/>
    <x v="2"/>
    <x v="1"/>
    <x v="2"/>
    <x v="5"/>
    <n v="25"/>
    <x v="0"/>
  </r>
  <r>
    <d v="2024-11-25T00:00:00"/>
    <x v="3"/>
    <x v="2"/>
    <x v="2"/>
    <n v="373243.56"/>
    <x v="3"/>
    <x v="2"/>
    <x v="2"/>
    <x v="6"/>
    <x v="0"/>
    <x v="2"/>
    <x v="1"/>
    <x v="2"/>
    <x v="5"/>
    <n v="25"/>
    <x v="0"/>
  </r>
  <r>
    <d v="2024-11-25T00:00:00"/>
    <x v="0"/>
    <x v="0"/>
    <x v="0"/>
    <n v="635"/>
    <x v="0"/>
    <x v="0"/>
    <x v="0"/>
    <x v="0"/>
    <x v="0"/>
    <x v="2"/>
    <x v="1"/>
    <x v="2"/>
    <x v="5"/>
    <n v="25"/>
    <x v="0"/>
  </r>
  <r>
    <d v="2024-11-25T00:00:00"/>
    <x v="1"/>
    <x v="1"/>
    <x v="0"/>
    <n v="25347.89"/>
    <x v="1"/>
    <x v="1"/>
    <x v="0"/>
    <x v="1"/>
    <x v="0"/>
    <x v="2"/>
    <x v="1"/>
    <x v="2"/>
    <x v="5"/>
    <n v="25"/>
    <x v="0"/>
  </r>
  <r>
    <d v="2024-11-25T00:00:00"/>
    <x v="0"/>
    <x v="1"/>
    <x v="0"/>
    <n v="71444354.260000005"/>
    <x v="0"/>
    <x v="1"/>
    <x v="0"/>
    <x v="2"/>
    <x v="0"/>
    <x v="2"/>
    <x v="1"/>
    <x v="2"/>
    <x v="5"/>
    <n v="25"/>
    <x v="0"/>
  </r>
  <r>
    <d v="2024-11-25T00:00:00"/>
    <x v="3"/>
    <x v="3"/>
    <x v="2"/>
    <n v="524.95000000000005"/>
    <x v="3"/>
    <x v="3"/>
    <x v="2"/>
    <x v="3"/>
    <x v="0"/>
    <x v="2"/>
    <x v="1"/>
    <x v="2"/>
    <x v="5"/>
    <n v="25"/>
    <x v="0"/>
  </r>
  <r>
    <d v="2024-11-25T00:00:00"/>
    <x v="0"/>
    <x v="1"/>
    <x v="1"/>
    <n v="29649283.77"/>
    <x v="0"/>
    <x v="1"/>
    <x v="1"/>
    <x v="4"/>
    <x v="0"/>
    <x v="2"/>
    <x v="1"/>
    <x v="2"/>
    <x v="5"/>
    <n v="25"/>
    <x v="0"/>
  </r>
  <r>
    <d v="2024-11-25T00:00:00"/>
    <x v="2"/>
    <x v="1"/>
    <x v="0"/>
    <n v="174569275.88999999"/>
    <x v="2"/>
    <x v="1"/>
    <x v="0"/>
    <x v="7"/>
    <x v="0"/>
    <x v="2"/>
    <x v="1"/>
    <x v="2"/>
    <x v="5"/>
    <n v="25"/>
    <x v="0"/>
  </r>
  <r>
    <d v="2024-11-25T00:00:00"/>
    <x v="3"/>
    <x v="3"/>
    <x v="0"/>
    <n v="1719701736.0899999"/>
    <x v="3"/>
    <x v="3"/>
    <x v="0"/>
    <x v="8"/>
    <x v="0"/>
    <x v="2"/>
    <x v="1"/>
    <x v="2"/>
    <x v="5"/>
    <n v="25"/>
    <x v="0"/>
  </r>
  <r>
    <d v="2024-11-25T00:00:00"/>
    <x v="2"/>
    <x v="1"/>
    <x v="1"/>
    <n v="227355440.55000001"/>
    <x v="2"/>
    <x v="1"/>
    <x v="1"/>
    <x v="9"/>
    <x v="0"/>
    <x v="2"/>
    <x v="1"/>
    <x v="2"/>
    <x v="5"/>
    <n v="25"/>
    <x v="0"/>
  </r>
  <r>
    <d v="2024-11-25T00:00:00"/>
    <x v="1"/>
    <x v="0"/>
    <x v="1"/>
    <n v="144699222.21000001"/>
    <x v="1"/>
    <x v="0"/>
    <x v="1"/>
    <x v="10"/>
    <x v="0"/>
    <x v="2"/>
    <x v="1"/>
    <x v="2"/>
    <x v="5"/>
    <n v="25"/>
    <x v="0"/>
  </r>
  <r>
    <d v="2024-11-25T00:00:00"/>
    <x v="1"/>
    <x v="0"/>
    <x v="0"/>
    <n v="53801621"/>
    <x v="1"/>
    <x v="0"/>
    <x v="0"/>
    <x v="11"/>
    <x v="0"/>
    <x v="2"/>
    <x v="1"/>
    <x v="2"/>
    <x v="5"/>
    <n v="25"/>
    <x v="0"/>
  </r>
  <r>
    <d v="2024-11-25T00:00:00"/>
    <x v="3"/>
    <x v="1"/>
    <x v="0"/>
    <n v="59922511.799999997"/>
    <x v="3"/>
    <x v="1"/>
    <x v="0"/>
    <x v="12"/>
    <x v="0"/>
    <x v="2"/>
    <x v="1"/>
    <x v="2"/>
    <x v="5"/>
    <n v="25"/>
    <x v="0"/>
  </r>
  <r>
    <d v="2024-11-25T00:00:00"/>
    <x v="3"/>
    <x v="2"/>
    <x v="0"/>
    <n v="6381038217.7600002"/>
    <x v="3"/>
    <x v="2"/>
    <x v="0"/>
    <x v="13"/>
    <x v="0"/>
    <x v="2"/>
    <x v="1"/>
    <x v="2"/>
    <x v="5"/>
    <n v="25"/>
    <x v="0"/>
  </r>
  <r>
    <d v="2024-11-25T00:00:00"/>
    <x v="3"/>
    <x v="2"/>
    <x v="1"/>
    <n v="27699603274.009998"/>
    <x v="3"/>
    <x v="2"/>
    <x v="1"/>
    <x v="14"/>
    <x v="0"/>
    <x v="2"/>
    <x v="1"/>
    <x v="2"/>
    <x v="5"/>
    <n v="25"/>
    <x v="0"/>
  </r>
  <r>
    <d v="2024-11-22T00:00:00"/>
    <x v="1"/>
    <x v="1"/>
    <x v="0"/>
    <n v="503464.94"/>
    <x v="1"/>
    <x v="1"/>
    <x v="0"/>
    <x v="2"/>
    <x v="0"/>
    <x v="2"/>
    <x v="1"/>
    <x v="2"/>
    <x v="5"/>
    <n v="22"/>
    <x v="0"/>
  </r>
  <r>
    <d v="2024-11-22T00:00:00"/>
    <x v="2"/>
    <x v="1"/>
    <x v="2"/>
    <n v="327109.69"/>
    <x v="2"/>
    <x v="1"/>
    <x v="2"/>
    <x v="4"/>
    <x v="0"/>
    <x v="2"/>
    <x v="1"/>
    <x v="2"/>
    <x v="5"/>
    <n v="22"/>
    <x v="0"/>
  </r>
  <r>
    <d v="2024-11-22T00:00:00"/>
    <x v="0"/>
    <x v="1"/>
    <x v="0"/>
    <n v="42651299.170000002"/>
    <x v="0"/>
    <x v="1"/>
    <x v="0"/>
    <x v="0"/>
    <x v="0"/>
    <x v="2"/>
    <x v="1"/>
    <x v="2"/>
    <x v="5"/>
    <n v="22"/>
    <x v="0"/>
  </r>
  <r>
    <d v="2024-11-22T00:00:00"/>
    <x v="3"/>
    <x v="3"/>
    <x v="0"/>
    <n v="1158551294.23"/>
    <x v="3"/>
    <x v="3"/>
    <x v="0"/>
    <x v="5"/>
    <x v="0"/>
    <x v="2"/>
    <x v="1"/>
    <x v="2"/>
    <x v="5"/>
    <n v="22"/>
    <x v="0"/>
  </r>
  <r>
    <d v="2024-11-22T00:00:00"/>
    <x v="0"/>
    <x v="1"/>
    <x v="1"/>
    <n v="8014166.1100000003"/>
    <x v="0"/>
    <x v="1"/>
    <x v="1"/>
    <x v="1"/>
    <x v="0"/>
    <x v="2"/>
    <x v="1"/>
    <x v="2"/>
    <x v="5"/>
    <n v="22"/>
    <x v="0"/>
  </r>
  <r>
    <d v="2024-11-22T00:00:00"/>
    <x v="3"/>
    <x v="2"/>
    <x v="2"/>
    <n v="339280"/>
    <x v="3"/>
    <x v="2"/>
    <x v="2"/>
    <x v="3"/>
    <x v="0"/>
    <x v="2"/>
    <x v="1"/>
    <x v="2"/>
    <x v="5"/>
    <n v="22"/>
    <x v="0"/>
  </r>
  <r>
    <d v="2024-11-22T00:00:00"/>
    <x v="2"/>
    <x v="1"/>
    <x v="1"/>
    <n v="179378826.86000001"/>
    <x v="2"/>
    <x v="1"/>
    <x v="1"/>
    <x v="7"/>
    <x v="0"/>
    <x v="2"/>
    <x v="1"/>
    <x v="2"/>
    <x v="5"/>
    <n v="22"/>
    <x v="0"/>
  </r>
  <r>
    <d v="2024-11-22T00:00:00"/>
    <x v="1"/>
    <x v="0"/>
    <x v="1"/>
    <n v="148324699.36000001"/>
    <x v="1"/>
    <x v="0"/>
    <x v="1"/>
    <x v="8"/>
    <x v="0"/>
    <x v="2"/>
    <x v="1"/>
    <x v="2"/>
    <x v="5"/>
    <n v="22"/>
    <x v="0"/>
  </r>
  <r>
    <d v="2024-11-22T00:00:00"/>
    <x v="1"/>
    <x v="0"/>
    <x v="0"/>
    <n v="59251030.299999997"/>
    <x v="1"/>
    <x v="0"/>
    <x v="0"/>
    <x v="9"/>
    <x v="0"/>
    <x v="2"/>
    <x v="1"/>
    <x v="2"/>
    <x v="5"/>
    <n v="22"/>
    <x v="0"/>
  </r>
  <r>
    <d v="2024-11-22T00:00:00"/>
    <x v="2"/>
    <x v="1"/>
    <x v="0"/>
    <n v="104681231.77"/>
    <x v="2"/>
    <x v="1"/>
    <x v="0"/>
    <x v="6"/>
    <x v="0"/>
    <x v="2"/>
    <x v="1"/>
    <x v="2"/>
    <x v="5"/>
    <n v="22"/>
    <x v="0"/>
  </r>
  <r>
    <d v="2024-11-22T00:00:00"/>
    <x v="3"/>
    <x v="1"/>
    <x v="0"/>
    <n v="17438185.48"/>
    <x v="3"/>
    <x v="1"/>
    <x v="0"/>
    <x v="10"/>
    <x v="0"/>
    <x v="2"/>
    <x v="1"/>
    <x v="2"/>
    <x v="5"/>
    <n v="22"/>
    <x v="0"/>
  </r>
  <r>
    <d v="2024-11-22T00:00:00"/>
    <x v="3"/>
    <x v="2"/>
    <x v="0"/>
    <n v="525563714.37"/>
    <x v="3"/>
    <x v="2"/>
    <x v="0"/>
    <x v="11"/>
    <x v="0"/>
    <x v="2"/>
    <x v="1"/>
    <x v="2"/>
    <x v="5"/>
    <n v="22"/>
    <x v="0"/>
  </r>
  <r>
    <d v="2024-11-22T00:00:00"/>
    <x v="3"/>
    <x v="2"/>
    <x v="1"/>
    <n v="10763515737.35"/>
    <x v="3"/>
    <x v="2"/>
    <x v="1"/>
    <x v="12"/>
    <x v="0"/>
    <x v="2"/>
    <x v="1"/>
    <x v="2"/>
    <x v="5"/>
    <n v="22"/>
    <x v="0"/>
  </r>
  <r>
    <d v="2024-11-21T00:00:00"/>
    <x v="1"/>
    <x v="1"/>
    <x v="0"/>
    <n v="363383.58"/>
    <x v="1"/>
    <x v="1"/>
    <x v="0"/>
    <x v="5"/>
    <x v="0"/>
    <x v="2"/>
    <x v="1"/>
    <x v="2"/>
    <x v="5"/>
    <n v="21"/>
    <x v="0"/>
  </r>
  <r>
    <d v="2024-11-21T00:00:00"/>
    <x v="0"/>
    <x v="0"/>
    <x v="0"/>
    <n v="562.04999999999995"/>
    <x v="0"/>
    <x v="0"/>
    <x v="0"/>
    <x v="0"/>
    <x v="0"/>
    <x v="2"/>
    <x v="1"/>
    <x v="2"/>
    <x v="5"/>
    <n v="21"/>
    <x v="0"/>
  </r>
  <r>
    <d v="2024-11-21T00:00:00"/>
    <x v="0"/>
    <x v="1"/>
    <x v="0"/>
    <n v="11994508.539999999"/>
    <x v="0"/>
    <x v="1"/>
    <x v="0"/>
    <x v="1"/>
    <x v="0"/>
    <x v="2"/>
    <x v="1"/>
    <x v="2"/>
    <x v="5"/>
    <n v="21"/>
    <x v="0"/>
  </r>
  <r>
    <d v="2024-11-21T00:00:00"/>
    <x v="3"/>
    <x v="2"/>
    <x v="2"/>
    <n v="606023"/>
    <x v="3"/>
    <x v="2"/>
    <x v="2"/>
    <x v="6"/>
    <x v="0"/>
    <x v="2"/>
    <x v="1"/>
    <x v="2"/>
    <x v="5"/>
    <n v="21"/>
    <x v="0"/>
  </r>
  <r>
    <d v="2024-11-21T00:00:00"/>
    <x v="2"/>
    <x v="1"/>
    <x v="2"/>
    <n v="92895"/>
    <x v="2"/>
    <x v="1"/>
    <x v="2"/>
    <x v="2"/>
    <x v="0"/>
    <x v="2"/>
    <x v="1"/>
    <x v="2"/>
    <x v="5"/>
    <n v="21"/>
    <x v="0"/>
  </r>
  <r>
    <d v="2024-11-21T00:00:00"/>
    <x v="3"/>
    <x v="3"/>
    <x v="1"/>
    <n v="1080615.33"/>
    <x v="3"/>
    <x v="3"/>
    <x v="1"/>
    <x v="3"/>
    <x v="0"/>
    <x v="2"/>
    <x v="1"/>
    <x v="2"/>
    <x v="5"/>
    <n v="21"/>
    <x v="0"/>
  </r>
  <r>
    <d v="2024-11-21T00:00:00"/>
    <x v="0"/>
    <x v="1"/>
    <x v="1"/>
    <n v="4630424.78"/>
    <x v="0"/>
    <x v="1"/>
    <x v="1"/>
    <x v="4"/>
    <x v="0"/>
    <x v="2"/>
    <x v="1"/>
    <x v="2"/>
    <x v="5"/>
    <n v="21"/>
    <x v="0"/>
  </r>
  <r>
    <d v="2024-11-21T00:00:00"/>
    <x v="2"/>
    <x v="1"/>
    <x v="0"/>
    <n v="148767945.55000001"/>
    <x v="2"/>
    <x v="1"/>
    <x v="0"/>
    <x v="7"/>
    <x v="0"/>
    <x v="2"/>
    <x v="1"/>
    <x v="2"/>
    <x v="5"/>
    <n v="21"/>
    <x v="0"/>
  </r>
  <r>
    <d v="2024-11-21T00:00:00"/>
    <x v="1"/>
    <x v="0"/>
    <x v="0"/>
    <n v="70897292.329999998"/>
    <x v="1"/>
    <x v="0"/>
    <x v="0"/>
    <x v="10"/>
    <x v="0"/>
    <x v="2"/>
    <x v="1"/>
    <x v="2"/>
    <x v="5"/>
    <n v="21"/>
    <x v="0"/>
  </r>
  <r>
    <d v="2024-11-21T00:00:00"/>
    <x v="3"/>
    <x v="3"/>
    <x v="0"/>
    <n v="2457557232.0300002"/>
    <x v="3"/>
    <x v="3"/>
    <x v="0"/>
    <x v="8"/>
    <x v="0"/>
    <x v="2"/>
    <x v="1"/>
    <x v="2"/>
    <x v="5"/>
    <n v="21"/>
    <x v="0"/>
  </r>
  <r>
    <d v="2024-11-21T00:00:00"/>
    <x v="2"/>
    <x v="1"/>
    <x v="1"/>
    <n v="231112769.38999999"/>
    <x v="2"/>
    <x v="1"/>
    <x v="1"/>
    <x v="9"/>
    <x v="0"/>
    <x v="2"/>
    <x v="1"/>
    <x v="2"/>
    <x v="5"/>
    <n v="21"/>
    <x v="0"/>
  </r>
  <r>
    <d v="2024-11-21T00:00:00"/>
    <x v="1"/>
    <x v="0"/>
    <x v="1"/>
    <n v="200343454.52000001"/>
    <x v="1"/>
    <x v="0"/>
    <x v="1"/>
    <x v="11"/>
    <x v="0"/>
    <x v="2"/>
    <x v="1"/>
    <x v="2"/>
    <x v="5"/>
    <n v="21"/>
    <x v="0"/>
  </r>
  <r>
    <d v="2024-11-21T00:00:00"/>
    <x v="3"/>
    <x v="1"/>
    <x v="0"/>
    <n v="16530083.27"/>
    <x v="3"/>
    <x v="1"/>
    <x v="0"/>
    <x v="12"/>
    <x v="0"/>
    <x v="2"/>
    <x v="1"/>
    <x v="2"/>
    <x v="5"/>
    <n v="21"/>
    <x v="0"/>
  </r>
  <r>
    <d v="2024-11-21T00:00:00"/>
    <x v="3"/>
    <x v="2"/>
    <x v="0"/>
    <n v="436790163.31999999"/>
    <x v="3"/>
    <x v="2"/>
    <x v="0"/>
    <x v="13"/>
    <x v="0"/>
    <x v="2"/>
    <x v="1"/>
    <x v="2"/>
    <x v="5"/>
    <n v="21"/>
    <x v="0"/>
  </r>
  <r>
    <d v="2024-11-21T00:00:00"/>
    <x v="3"/>
    <x v="2"/>
    <x v="1"/>
    <n v="5421846090.9799995"/>
    <x v="3"/>
    <x v="2"/>
    <x v="1"/>
    <x v="14"/>
    <x v="0"/>
    <x v="2"/>
    <x v="1"/>
    <x v="2"/>
    <x v="5"/>
    <n v="21"/>
    <x v="0"/>
  </r>
  <r>
    <d v="2024-11-20T00:00:00"/>
    <x v="1"/>
    <x v="1"/>
    <x v="0"/>
    <n v="305251.53999999998"/>
    <x v="1"/>
    <x v="1"/>
    <x v="0"/>
    <x v="0"/>
    <x v="0"/>
    <x v="2"/>
    <x v="1"/>
    <x v="2"/>
    <x v="5"/>
    <n v="20"/>
    <x v="0"/>
  </r>
  <r>
    <d v="2024-11-20T00:00:00"/>
    <x v="0"/>
    <x v="1"/>
    <x v="0"/>
    <n v="18755691.850000001"/>
    <x v="0"/>
    <x v="1"/>
    <x v="0"/>
    <x v="1"/>
    <x v="0"/>
    <x v="2"/>
    <x v="1"/>
    <x v="2"/>
    <x v="5"/>
    <n v="20"/>
    <x v="0"/>
  </r>
  <r>
    <d v="2024-11-20T00:00:00"/>
    <x v="2"/>
    <x v="1"/>
    <x v="2"/>
    <n v="3700"/>
    <x v="2"/>
    <x v="1"/>
    <x v="2"/>
    <x v="2"/>
    <x v="0"/>
    <x v="2"/>
    <x v="1"/>
    <x v="2"/>
    <x v="5"/>
    <n v="20"/>
    <x v="0"/>
  </r>
  <r>
    <d v="2024-11-20T00:00:00"/>
    <x v="2"/>
    <x v="1"/>
    <x v="0"/>
    <n v="71536783.439999998"/>
    <x v="2"/>
    <x v="1"/>
    <x v="0"/>
    <x v="6"/>
    <x v="0"/>
    <x v="2"/>
    <x v="1"/>
    <x v="2"/>
    <x v="5"/>
    <n v="20"/>
    <x v="0"/>
  </r>
  <r>
    <d v="2024-11-20T00:00:00"/>
    <x v="3"/>
    <x v="3"/>
    <x v="1"/>
    <n v="1415745.8"/>
    <x v="3"/>
    <x v="3"/>
    <x v="1"/>
    <x v="3"/>
    <x v="0"/>
    <x v="2"/>
    <x v="1"/>
    <x v="2"/>
    <x v="5"/>
    <n v="20"/>
    <x v="0"/>
  </r>
  <r>
    <d v="2024-11-20T00:00:00"/>
    <x v="0"/>
    <x v="1"/>
    <x v="1"/>
    <n v="14291752.939999999"/>
    <x v="0"/>
    <x v="1"/>
    <x v="1"/>
    <x v="4"/>
    <x v="0"/>
    <x v="2"/>
    <x v="1"/>
    <x v="2"/>
    <x v="5"/>
    <n v="20"/>
    <x v="0"/>
  </r>
  <r>
    <d v="2024-11-20T00:00:00"/>
    <x v="3"/>
    <x v="2"/>
    <x v="2"/>
    <n v="434525"/>
    <x v="3"/>
    <x v="2"/>
    <x v="2"/>
    <x v="5"/>
    <x v="0"/>
    <x v="2"/>
    <x v="1"/>
    <x v="2"/>
    <x v="5"/>
    <n v="20"/>
    <x v="0"/>
  </r>
  <r>
    <d v="2024-11-20T00:00:00"/>
    <x v="1"/>
    <x v="0"/>
    <x v="1"/>
    <n v="419774705.00999999"/>
    <x v="1"/>
    <x v="0"/>
    <x v="1"/>
    <x v="8"/>
    <x v="0"/>
    <x v="2"/>
    <x v="1"/>
    <x v="2"/>
    <x v="5"/>
    <n v="20"/>
    <x v="0"/>
  </r>
  <r>
    <d v="2024-11-20T00:00:00"/>
    <x v="2"/>
    <x v="1"/>
    <x v="1"/>
    <n v="166432033.19"/>
    <x v="2"/>
    <x v="1"/>
    <x v="1"/>
    <x v="9"/>
    <x v="0"/>
    <x v="2"/>
    <x v="1"/>
    <x v="2"/>
    <x v="5"/>
    <n v="20"/>
    <x v="0"/>
  </r>
  <r>
    <d v="2024-11-20T00:00:00"/>
    <x v="1"/>
    <x v="0"/>
    <x v="0"/>
    <n v="97271014.260000005"/>
    <x v="1"/>
    <x v="0"/>
    <x v="0"/>
    <x v="10"/>
    <x v="0"/>
    <x v="2"/>
    <x v="1"/>
    <x v="2"/>
    <x v="5"/>
    <n v="20"/>
    <x v="0"/>
  </r>
  <r>
    <d v="2024-11-20T00:00:00"/>
    <x v="3"/>
    <x v="3"/>
    <x v="0"/>
    <n v="1959928798.1800001"/>
    <x v="3"/>
    <x v="3"/>
    <x v="0"/>
    <x v="7"/>
    <x v="0"/>
    <x v="2"/>
    <x v="1"/>
    <x v="2"/>
    <x v="5"/>
    <n v="20"/>
    <x v="0"/>
  </r>
  <r>
    <d v="2024-11-20T00:00:00"/>
    <x v="3"/>
    <x v="1"/>
    <x v="0"/>
    <n v="16806534.199999999"/>
    <x v="3"/>
    <x v="1"/>
    <x v="0"/>
    <x v="11"/>
    <x v="0"/>
    <x v="2"/>
    <x v="1"/>
    <x v="2"/>
    <x v="5"/>
    <n v="20"/>
    <x v="0"/>
  </r>
  <r>
    <d v="2024-11-20T00:00:00"/>
    <x v="3"/>
    <x v="2"/>
    <x v="0"/>
    <n v="868526983.39999998"/>
    <x v="3"/>
    <x v="2"/>
    <x v="0"/>
    <x v="12"/>
    <x v="0"/>
    <x v="2"/>
    <x v="1"/>
    <x v="2"/>
    <x v="5"/>
    <n v="20"/>
    <x v="0"/>
  </r>
  <r>
    <d v="2024-11-20T00:00:00"/>
    <x v="3"/>
    <x v="2"/>
    <x v="1"/>
    <n v="14454463317.57"/>
    <x v="3"/>
    <x v="2"/>
    <x v="1"/>
    <x v="13"/>
    <x v="0"/>
    <x v="2"/>
    <x v="1"/>
    <x v="2"/>
    <x v="5"/>
    <n v="20"/>
    <x v="0"/>
  </r>
  <r>
    <d v="2024-11-19T00:00:00"/>
    <x v="1"/>
    <x v="1"/>
    <x v="0"/>
    <n v="570393.30000000005"/>
    <x v="1"/>
    <x v="1"/>
    <x v="0"/>
    <x v="0"/>
    <x v="0"/>
    <x v="2"/>
    <x v="1"/>
    <x v="2"/>
    <x v="5"/>
    <n v="19"/>
    <x v="0"/>
  </r>
  <r>
    <d v="2024-11-19T00:00:00"/>
    <x v="0"/>
    <x v="1"/>
    <x v="0"/>
    <n v="9616297.2899999991"/>
    <x v="0"/>
    <x v="1"/>
    <x v="0"/>
    <x v="1"/>
    <x v="0"/>
    <x v="2"/>
    <x v="1"/>
    <x v="2"/>
    <x v="5"/>
    <n v="19"/>
    <x v="0"/>
  </r>
  <r>
    <d v="2024-11-19T00:00:00"/>
    <x v="3"/>
    <x v="3"/>
    <x v="2"/>
    <n v="390.53"/>
    <x v="3"/>
    <x v="3"/>
    <x v="2"/>
    <x v="2"/>
    <x v="0"/>
    <x v="2"/>
    <x v="1"/>
    <x v="2"/>
    <x v="5"/>
    <n v="19"/>
    <x v="0"/>
  </r>
  <r>
    <d v="2024-11-19T00:00:00"/>
    <x v="3"/>
    <x v="3"/>
    <x v="0"/>
    <n v="2243508606.6799998"/>
    <x v="3"/>
    <x v="3"/>
    <x v="0"/>
    <x v="6"/>
    <x v="0"/>
    <x v="2"/>
    <x v="1"/>
    <x v="2"/>
    <x v="5"/>
    <n v="19"/>
    <x v="0"/>
  </r>
  <r>
    <d v="2024-11-19T00:00:00"/>
    <x v="3"/>
    <x v="3"/>
    <x v="1"/>
    <n v="38269.879999999997"/>
    <x v="3"/>
    <x v="3"/>
    <x v="1"/>
    <x v="3"/>
    <x v="0"/>
    <x v="2"/>
    <x v="1"/>
    <x v="2"/>
    <x v="5"/>
    <n v="19"/>
    <x v="0"/>
  </r>
  <r>
    <d v="2024-11-19T00:00:00"/>
    <x v="0"/>
    <x v="1"/>
    <x v="1"/>
    <n v="11847346.59"/>
    <x v="0"/>
    <x v="1"/>
    <x v="1"/>
    <x v="4"/>
    <x v="0"/>
    <x v="2"/>
    <x v="1"/>
    <x v="2"/>
    <x v="5"/>
    <n v="19"/>
    <x v="0"/>
  </r>
  <r>
    <d v="2024-11-19T00:00:00"/>
    <x v="3"/>
    <x v="2"/>
    <x v="2"/>
    <n v="1059850"/>
    <x v="3"/>
    <x v="2"/>
    <x v="2"/>
    <x v="5"/>
    <x v="0"/>
    <x v="2"/>
    <x v="1"/>
    <x v="2"/>
    <x v="5"/>
    <n v="19"/>
    <x v="0"/>
  </r>
  <r>
    <d v="2024-11-19T00:00:00"/>
    <x v="2"/>
    <x v="1"/>
    <x v="1"/>
    <n v="142162516.16"/>
    <x v="2"/>
    <x v="1"/>
    <x v="1"/>
    <x v="8"/>
    <x v="0"/>
    <x v="2"/>
    <x v="1"/>
    <x v="2"/>
    <x v="5"/>
    <n v="19"/>
    <x v="0"/>
  </r>
  <r>
    <d v="2024-11-19T00:00:00"/>
    <x v="1"/>
    <x v="0"/>
    <x v="1"/>
    <n v="145050247.94"/>
    <x v="1"/>
    <x v="0"/>
    <x v="1"/>
    <x v="9"/>
    <x v="0"/>
    <x v="2"/>
    <x v="1"/>
    <x v="2"/>
    <x v="5"/>
    <n v="19"/>
    <x v="0"/>
  </r>
  <r>
    <d v="2024-11-19T00:00:00"/>
    <x v="1"/>
    <x v="0"/>
    <x v="0"/>
    <n v="79548082.840000004"/>
    <x v="1"/>
    <x v="0"/>
    <x v="0"/>
    <x v="10"/>
    <x v="0"/>
    <x v="2"/>
    <x v="1"/>
    <x v="2"/>
    <x v="5"/>
    <n v="19"/>
    <x v="0"/>
  </r>
  <r>
    <d v="2024-11-19T00:00:00"/>
    <x v="2"/>
    <x v="1"/>
    <x v="0"/>
    <n v="69264102.390000001"/>
    <x v="2"/>
    <x v="1"/>
    <x v="0"/>
    <x v="7"/>
    <x v="0"/>
    <x v="2"/>
    <x v="1"/>
    <x v="2"/>
    <x v="5"/>
    <n v="19"/>
    <x v="0"/>
  </r>
  <r>
    <d v="2024-11-19T00:00:00"/>
    <x v="3"/>
    <x v="1"/>
    <x v="0"/>
    <n v="14467669.18"/>
    <x v="3"/>
    <x v="1"/>
    <x v="0"/>
    <x v="11"/>
    <x v="0"/>
    <x v="2"/>
    <x v="1"/>
    <x v="2"/>
    <x v="5"/>
    <n v="19"/>
    <x v="0"/>
  </r>
  <r>
    <d v="2024-11-19T00:00:00"/>
    <x v="3"/>
    <x v="2"/>
    <x v="0"/>
    <n v="597659132.75"/>
    <x v="3"/>
    <x v="2"/>
    <x v="0"/>
    <x v="12"/>
    <x v="0"/>
    <x v="2"/>
    <x v="1"/>
    <x v="2"/>
    <x v="5"/>
    <n v="19"/>
    <x v="0"/>
  </r>
  <r>
    <d v="2024-11-19T00:00:00"/>
    <x v="3"/>
    <x v="2"/>
    <x v="1"/>
    <n v="9807376658.7600002"/>
    <x v="3"/>
    <x v="2"/>
    <x v="1"/>
    <x v="13"/>
    <x v="0"/>
    <x v="2"/>
    <x v="1"/>
    <x v="2"/>
    <x v="5"/>
    <n v="19"/>
    <x v="0"/>
  </r>
  <r>
    <d v="2024-11-18T00:00:00"/>
    <x v="1"/>
    <x v="1"/>
    <x v="0"/>
    <n v="778118.33"/>
    <x v="1"/>
    <x v="1"/>
    <x v="0"/>
    <x v="5"/>
    <x v="0"/>
    <x v="2"/>
    <x v="1"/>
    <x v="2"/>
    <x v="5"/>
    <n v="18"/>
    <x v="0"/>
  </r>
  <r>
    <d v="2024-11-18T00:00:00"/>
    <x v="0"/>
    <x v="1"/>
    <x v="0"/>
    <n v="19144598.710000001"/>
    <x v="0"/>
    <x v="1"/>
    <x v="0"/>
    <x v="0"/>
    <x v="0"/>
    <x v="2"/>
    <x v="1"/>
    <x v="2"/>
    <x v="5"/>
    <n v="18"/>
    <x v="0"/>
  </r>
  <r>
    <d v="2024-11-18T00:00:00"/>
    <x v="2"/>
    <x v="1"/>
    <x v="2"/>
    <n v="8060.29"/>
    <x v="2"/>
    <x v="1"/>
    <x v="2"/>
    <x v="2"/>
    <x v="0"/>
    <x v="2"/>
    <x v="1"/>
    <x v="2"/>
    <x v="5"/>
    <n v="18"/>
    <x v="0"/>
  </r>
  <r>
    <d v="2024-11-18T00:00:00"/>
    <x v="3"/>
    <x v="3"/>
    <x v="2"/>
    <n v="51880"/>
    <x v="3"/>
    <x v="3"/>
    <x v="2"/>
    <x v="1"/>
    <x v="0"/>
    <x v="2"/>
    <x v="1"/>
    <x v="2"/>
    <x v="5"/>
    <n v="18"/>
    <x v="0"/>
  </r>
  <r>
    <d v="2024-11-18T00:00:00"/>
    <x v="3"/>
    <x v="3"/>
    <x v="1"/>
    <n v="128222.27"/>
    <x v="3"/>
    <x v="3"/>
    <x v="1"/>
    <x v="3"/>
    <x v="0"/>
    <x v="2"/>
    <x v="1"/>
    <x v="2"/>
    <x v="5"/>
    <n v="18"/>
    <x v="0"/>
  </r>
  <r>
    <d v="2024-11-18T00:00:00"/>
    <x v="0"/>
    <x v="1"/>
    <x v="1"/>
    <n v="3585963.99"/>
    <x v="0"/>
    <x v="1"/>
    <x v="1"/>
    <x v="4"/>
    <x v="0"/>
    <x v="2"/>
    <x v="1"/>
    <x v="2"/>
    <x v="5"/>
    <n v="18"/>
    <x v="0"/>
  </r>
  <r>
    <d v="2024-11-18T00:00:00"/>
    <x v="2"/>
    <x v="1"/>
    <x v="0"/>
    <n v="40359327.450000003"/>
    <x v="2"/>
    <x v="1"/>
    <x v="0"/>
    <x v="7"/>
    <x v="0"/>
    <x v="2"/>
    <x v="1"/>
    <x v="2"/>
    <x v="5"/>
    <n v="18"/>
    <x v="0"/>
  </r>
  <r>
    <d v="2024-11-18T00:00:00"/>
    <x v="3"/>
    <x v="2"/>
    <x v="2"/>
    <n v="472618"/>
    <x v="3"/>
    <x v="2"/>
    <x v="2"/>
    <x v="6"/>
    <x v="0"/>
    <x v="2"/>
    <x v="1"/>
    <x v="2"/>
    <x v="5"/>
    <n v="18"/>
    <x v="0"/>
  </r>
  <r>
    <d v="2024-11-18T00:00:00"/>
    <x v="2"/>
    <x v="1"/>
    <x v="1"/>
    <n v="465418163.94"/>
    <x v="2"/>
    <x v="1"/>
    <x v="1"/>
    <x v="8"/>
    <x v="0"/>
    <x v="2"/>
    <x v="1"/>
    <x v="2"/>
    <x v="5"/>
    <n v="18"/>
    <x v="0"/>
  </r>
  <r>
    <d v="2024-11-18T00:00:00"/>
    <x v="1"/>
    <x v="0"/>
    <x v="1"/>
    <n v="77776984.379999995"/>
    <x v="1"/>
    <x v="0"/>
    <x v="1"/>
    <x v="9"/>
    <x v="0"/>
    <x v="2"/>
    <x v="1"/>
    <x v="2"/>
    <x v="5"/>
    <n v="18"/>
    <x v="0"/>
  </r>
  <r>
    <d v="2024-11-18T00:00:00"/>
    <x v="1"/>
    <x v="0"/>
    <x v="0"/>
    <n v="65113164.859999999"/>
    <x v="1"/>
    <x v="0"/>
    <x v="0"/>
    <x v="11"/>
    <x v="0"/>
    <x v="2"/>
    <x v="1"/>
    <x v="2"/>
    <x v="5"/>
    <n v="18"/>
    <x v="0"/>
  </r>
  <r>
    <d v="2024-11-18T00:00:00"/>
    <x v="3"/>
    <x v="3"/>
    <x v="0"/>
    <n v="1410621275.28"/>
    <x v="3"/>
    <x v="3"/>
    <x v="0"/>
    <x v="10"/>
    <x v="0"/>
    <x v="2"/>
    <x v="1"/>
    <x v="2"/>
    <x v="5"/>
    <n v="18"/>
    <x v="0"/>
  </r>
  <r>
    <d v="2024-11-18T00:00:00"/>
    <x v="3"/>
    <x v="1"/>
    <x v="0"/>
    <n v="56483769.32"/>
    <x v="3"/>
    <x v="1"/>
    <x v="0"/>
    <x v="12"/>
    <x v="0"/>
    <x v="2"/>
    <x v="1"/>
    <x v="2"/>
    <x v="5"/>
    <n v="18"/>
    <x v="0"/>
  </r>
  <r>
    <d v="2024-11-18T00:00:00"/>
    <x v="3"/>
    <x v="2"/>
    <x v="0"/>
    <n v="672210526.04999995"/>
    <x v="3"/>
    <x v="2"/>
    <x v="0"/>
    <x v="13"/>
    <x v="0"/>
    <x v="2"/>
    <x v="1"/>
    <x v="2"/>
    <x v="5"/>
    <n v="18"/>
    <x v="0"/>
  </r>
  <r>
    <d v="2024-11-18T00:00:00"/>
    <x v="3"/>
    <x v="2"/>
    <x v="1"/>
    <n v="35456387344.599998"/>
    <x v="3"/>
    <x v="2"/>
    <x v="1"/>
    <x v="14"/>
    <x v="0"/>
    <x v="2"/>
    <x v="1"/>
    <x v="2"/>
    <x v="5"/>
    <n v="18"/>
    <x v="0"/>
  </r>
  <r>
    <d v="2024-11-15T00:00:00"/>
    <x v="3"/>
    <x v="2"/>
    <x v="2"/>
    <n v="479759.66"/>
    <x v="3"/>
    <x v="2"/>
    <x v="2"/>
    <x v="6"/>
    <x v="0"/>
    <x v="2"/>
    <x v="1"/>
    <x v="2"/>
    <x v="5"/>
    <n v="15"/>
    <x v="0"/>
  </r>
  <r>
    <d v="2024-11-15T00:00:00"/>
    <x v="0"/>
    <x v="0"/>
    <x v="0"/>
    <n v="35"/>
    <x v="0"/>
    <x v="0"/>
    <x v="0"/>
    <x v="0"/>
    <x v="0"/>
    <x v="2"/>
    <x v="1"/>
    <x v="2"/>
    <x v="5"/>
    <n v="15"/>
    <x v="0"/>
  </r>
  <r>
    <d v="2024-11-15T00:00:00"/>
    <x v="0"/>
    <x v="1"/>
    <x v="0"/>
    <n v="12350868.68"/>
    <x v="0"/>
    <x v="1"/>
    <x v="0"/>
    <x v="1"/>
    <x v="0"/>
    <x v="2"/>
    <x v="1"/>
    <x v="2"/>
    <x v="5"/>
    <n v="15"/>
    <x v="0"/>
  </r>
  <r>
    <d v="2024-11-15T00:00:00"/>
    <x v="2"/>
    <x v="1"/>
    <x v="2"/>
    <n v="3693.9"/>
    <x v="2"/>
    <x v="1"/>
    <x v="2"/>
    <x v="3"/>
    <x v="0"/>
    <x v="2"/>
    <x v="1"/>
    <x v="2"/>
    <x v="5"/>
    <n v="15"/>
    <x v="0"/>
  </r>
  <r>
    <d v="2024-11-15T00:00:00"/>
    <x v="3"/>
    <x v="3"/>
    <x v="2"/>
    <n v="70"/>
    <x v="3"/>
    <x v="3"/>
    <x v="2"/>
    <x v="2"/>
    <x v="0"/>
    <x v="2"/>
    <x v="1"/>
    <x v="2"/>
    <x v="5"/>
    <n v="15"/>
    <x v="0"/>
  </r>
  <r>
    <d v="2024-11-15T00:00:00"/>
    <x v="2"/>
    <x v="1"/>
    <x v="0"/>
    <n v="81086330.629999995"/>
    <x v="2"/>
    <x v="1"/>
    <x v="0"/>
    <x v="7"/>
    <x v="0"/>
    <x v="2"/>
    <x v="1"/>
    <x v="2"/>
    <x v="5"/>
    <n v="15"/>
    <x v="0"/>
  </r>
  <r>
    <d v="2024-11-15T00:00:00"/>
    <x v="0"/>
    <x v="1"/>
    <x v="1"/>
    <n v="2038518.76"/>
    <x v="0"/>
    <x v="1"/>
    <x v="1"/>
    <x v="4"/>
    <x v="0"/>
    <x v="2"/>
    <x v="1"/>
    <x v="2"/>
    <x v="5"/>
    <n v="15"/>
    <x v="0"/>
  </r>
  <r>
    <d v="2024-11-15T00:00:00"/>
    <x v="1"/>
    <x v="1"/>
    <x v="0"/>
    <n v="700836.34"/>
    <x v="1"/>
    <x v="1"/>
    <x v="0"/>
    <x v="5"/>
    <x v="0"/>
    <x v="2"/>
    <x v="1"/>
    <x v="2"/>
    <x v="5"/>
    <n v="15"/>
    <x v="0"/>
  </r>
  <r>
    <d v="2024-11-15T00:00:00"/>
    <x v="3"/>
    <x v="3"/>
    <x v="0"/>
    <n v="1053898572.8"/>
    <x v="3"/>
    <x v="3"/>
    <x v="0"/>
    <x v="8"/>
    <x v="0"/>
    <x v="2"/>
    <x v="1"/>
    <x v="2"/>
    <x v="5"/>
    <n v="15"/>
    <x v="0"/>
  </r>
  <r>
    <d v="2024-11-15T00:00:00"/>
    <x v="2"/>
    <x v="1"/>
    <x v="1"/>
    <n v="220067488"/>
    <x v="2"/>
    <x v="1"/>
    <x v="1"/>
    <x v="9"/>
    <x v="0"/>
    <x v="2"/>
    <x v="1"/>
    <x v="2"/>
    <x v="5"/>
    <n v="15"/>
    <x v="0"/>
  </r>
  <r>
    <d v="2024-11-15T00:00:00"/>
    <x v="1"/>
    <x v="0"/>
    <x v="1"/>
    <n v="130404614.34999999"/>
    <x v="1"/>
    <x v="0"/>
    <x v="1"/>
    <x v="10"/>
    <x v="0"/>
    <x v="2"/>
    <x v="1"/>
    <x v="2"/>
    <x v="5"/>
    <n v="15"/>
    <x v="0"/>
  </r>
  <r>
    <d v="2024-11-15T00:00:00"/>
    <x v="1"/>
    <x v="0"/>
    <x v="0"/>
    <n v="60375319.549999997"/>
    <x v="1"/>
    <x v="0"/>
    <x v="0"/>
    <x v="11"/>
    <x v="0"/>
    <x v="2"/>
    <x v="1"/>
    <x v="2"/>
    <x v="5"/>
    <n v="15"/>
    <x v="0"/>
  </r>
  <r>
    <d v="2024-11-15T00:00:00"/>
    <x v="3"/>
    <x v="1"/>
    <x v="0"/>
    <n v="17294130.239999998"/>
    <x v="3"/>
    <x v="1"/>
    <x v="0"/>
    <x v="12"/>
    <x v="0"/>
    <x v="2"/>
    <x v="1"/>
    <x v="2"/>
    <x v="5"/>
    <n v="15"/>
    <x v="0"/>
  </r>
  <r>
    <d v="2024-11-15T00:00:00"/>
    <x v="3"/>
    <x v="2"/>
    <x v="1"/>
    <n v="15373620026.139999"/>
    <x v="3"/>
    <x v="2"/>
    <x v="1"/>
    <x v="13"/>
    <x v="0"/>
    <x v="2"/>
    <x v="1"/>
    <x v="2"/>
    <x v="5"/>
    <n v="15"/>
    <x v="0"/>
  </r>
  <r>
    <d v="2024-11-15T00:00:00"/>
    <x v="3"/>
    <x v="2"/>
    <x v="0"/>
    <n v="668208725.17999995"/>
    <x v="3"/>
    <x v="2"/>
    <x v="0"/>
    <x v="14"/>
    <x v="0"/>
    <x v="2"/>
    <x v="1"/>
    <x v="2"/>
    <x v="5"/>
    <n v="15"/>
    <x v="0"/>
  </r>
  <r>
    <d v="2024-11-14T00:00:00"/>
    <x v="0"/>
    <x v="0"/>
    <x v="0"/>
    <n v="700"/>
    <x v="0"/>
    <x v="0"/>
    <x v="0"/>
    <x v="0"/>
    <x v="0"/>
    <x v="2"/>
    <x v="1"/>
    <x v="2"/>
    <x v="5"/>
    <n v="14"/>
    <x v="0"/>
  </r>
  <r>
    <d v="2024-11-14T00:00:00"/>
    <x v="0"/>
    <x v="1"/>
    <x v="0"/>
    <n v="17043008.059999999"/>
    <x v="0"/>
    <x v="1"/>
    <x v="0"/>
    <x v="1"/>
    <x v="0"/>
    <x v="2"/>
    <x v="1"/>
    <x v="2"/>
    <x v="5"/>
    <n v="14"/>
    <x v="0"/>
  </r>
  <r>
    <d v="2024-11-14T00:00:00"/>
    <x v="3"/>
    <x v="2"/>
    <x v="2"/>
    <n v="438853.82"/>
    <x v="3"/>
    <x v="2"/>
    <x v="2"/>
    <x v="7"/>
    <x v="0"/>
    <x v="2"/>
    <x v="1"/>
    <x v="2"/>
    <x v="5"/>
    <n v="14"/>
    <x v="0"/>
  </r>
  <r>
    <d v="2024-11-14T00:00:00"/>
    <x v="3"/>
    <x v="3"/>
    <x v="2"/>
    <n v="116.37"/>
    <x v="3"/>
    <x v="3"/>
    <x v="2"/>
    <x v="2"/>
    <x v="0"/>
    <x v="2"/>
    <x v="1"/>
    <x v="2"/>
    <x v="5"/>
    <n v="14"/>
    <x v="0"/>
  </r>
  <r>
    <d v="2024-11-14T00:00:00"/>
    <x v="2"/>
    <x v="1"/>
    <x v="2"/>
    <n v="4560.53"/>
    <x v="2"/>
    <x v="1"/>
    <x v="2"/>
    <x v="3"/>
    <x v="0"/>
    <x v="2"/>
    <x v="1"/>
    <x v="2"/>
    <x v="5"/>
    <n v="14"/>
    <x v="0"/>
  </r>
  <r>
    <d v="2024-11-14T00:00:00"/>
    <x v="3"/>
    <x v="3"/>
    <x v="1"/>
    <n v="6420.05"/>
    <x v="3"/>
    <x v="3"/>
    <x v="1"/>
    <x v="4"/>
    <x v="0"/>
    <x v="2"/>
    <x v="1"/>
    <x v="2"/>
    <x v="5"/>
    <n v="14"/>
    <x v="0"/>
  </r>
  <r>
    <d v="2024-11-14T00:00:00"/>
    <x v="0"/>
    <x v="1"/>
    <x v="1"/>
    <n v="9065108.0299999993"/>
    <x v="0"/>
    <x v="1"/>
    <x v="1"/>
    <x v="5"/>
    <x v="0"/>
    <x v="2"/>
    <x v="1"/>
    <x v="2"/>
    <x v="5"/>
    <n v="14"/>
    <x v="0"/>
  </r>
  <r>
    <d v="2024-11-14T00:00:00"/>
    <x v="1"/>
    <x v="1"/>
    <x v="0"/>
    <n v="528565.82999999996"/>
    <x v="1"/>
    <x v="1"/>
    <x v="0"/>
    <x v="6"/>
    <x v="0"/>
    <x v="2"/>
    <x v="1"/>
    <x v="2"/>
    <x v="5"/>
    <n v="14"/>
    <x v="0"/>
  </r>
  <r>
    <d v="2024-11-14T00:00:00"/>
    <x v="2"/>
    <x v="1"/>
    <x v="1"/>
    <n v="212984619.63"/>
    <x v="2"/>
    <x v="1"/>
    <x v="1"/>
    <x v="10"/>
    <x v="0"/>
    <x v="2"/>
    <x v="1"/>
    <x v="2"/>
    <x v="5"/>
    <n v="14"/>
    <x v="0"/>
  </r>
  <r>
    <d v="2024-11-14T00:00:00"/>
    <x v="2"/>
    <x v="1"/>
    <x v="0"/>
    <n v="93333464.099999994"/>
    <x v="2"/>
    <x v="1"/>
    <x v="0"/>
    <x v="8"/>
    <x v="0"/>
    <x v="2"/>
    <x v="1"/>
    <x v="2"/>
    <x v="5"/>
    <n v="14"/>
    <x v="0"/>
  </r>
  <r>
    <d v="2024-11-14T00:00:00"/>
    <x v="3"/>
    <x v="3"/>
    <x v="0"/>
    <n v="1486587460.29"/>
    <x v="3"/>
    <x v="3"/>
    <x v="0"/>
    <x v="9"/>
    <x v="0"/>
    <x v="2"/>
    <x v="1"/>
    <x v="2"/>
    <x v="5"/>
    <n v="14"/>
    <x v="0"/>
  </r>
  <r>
    <d v="2024-11-14T00:00:00"/>
    <x v="1"/>
    <x v="0"/>
    <x v="1"/>
    <n v="615688438.08000004"/>
    <x v="1"/>
    <x v="0"/>
    <x v="1"/>
    <x v="11"/>
    <x v="0"/>
    <x v="2"/>
    <x v="1"/>
    <x v="2"/>
    <x v="5"/>
    <n v="14"/>
    <x v="0"/>
  </r>
  <r>
    <d v="2024-11-14T00:00:00"/>
    <x v="1"/>
    <x v="0"/>
    <x v="0"/>
    <n v="98834179.939999998"/>
    <x v="1"/>
    <x v="0"/>
    <x v="0"/>
    <x v="12"/>
    <x v="0"/>
    <x v="2"/>
    <x v="1"/>
    <x v="2"/>
    <x v="5"/>
    <n v="14"/>
    <x v="0"/>
  </r>
  <r>
    <d v="2024-11-14T00:00:00"/>
    <x v="3"/>
    <x v="1"/>
    <x v="0"/>
    <n v="16524500.77"/>
    <x v="3"/>
    <x v="1"/>
    <x v="0"/>
    <x v="13"/>
    <x v="0"/>
    <x v="2"/>
    <x v="1"/>
    <x v="2"/>
    <x v="5"/>
    <n v="14"/>
    <x v="0"/>
  </r>
  <r>
    <d v="2024-11-14T00:00:00"/>
    <x v="3"/>
    <x v="2"/>
    <x v="1"/>
    <n v="13504938409.559999"/>
    <x v="3"/>
    <x v="2"/>
    <x v="1"/>
    <x v="14"/>
    <x v="0"/>
    <x v="2"/>
    <x v="1"/>
    <x v="2"/>
    <x v="5"/>
    <n v="14"/>
    <x v="0"/>
  </r>
  <r>
    <d v="2024-11-14T00:00:00"/>
    <x v="3"/>
    <x v="2"/>
    <x v="0"/>
    <n v="681052556.67999995"/>
    <x v="3"/>
    <x v="2"/>
    <x v="0"/>
    <x v="15"/>
    <x v="0"/>
    <x v="2"/>
    <x v="1"/>
    <x v="2"/>
    <x v="5"/>
    <n v="14"/>
    <x v="0"/>
  </r>
  <r>
    <d v="2024-11-13T00:00:00"/>
    <x v="0"/>
    <x v="1"/>
    <x v="0"/>
    <n v="16637081.84"/>
    <x v="0"/>
    <x v="1"/>
    <x v="0"/>
    <x v="1"/>
    <x v="0"/>
    <x v="2"/>
    <x v="1"/>
    <x v="2"/>
    <x v="5"/>
    <n v="13"/>
    <x v="0"/>
  </r>
  <r>
    <d v="2024-11-13T00:00:00"/>
    <x v="1"/>
    <x v="1"/>
    <x v="0"/>
    <n v="149520.32000000001"/>
    <x v="1"/>
    <x v="1"/>
    <x v="0"/>
    <x v="0"/>
    <x v="0"/>
    <x v="2"/>
    <x v="1"/>
    <x v="2"/>
    <x v="5"/>
    <n v="13"/>
    <x v="0"/>
  </r>
  <r>
    <d v="2024-11-13T00:00:00"/>
    <x v="3"/>
    <x v="2"/>
    <x v="2"/>
    <n v="728191.63"/>
    <x v="3"/>
    <x v="2"/>
    <x v="2"/>
    <x v="6"/>
    <x v="0"/>
    <x v="2"/>
    <x v="1"/>
    <x v="2"/>
    <x v="5"/>
    <n v="13"/>
    <x v="0"/>
  </r>
  <r>
    <d v="2024-11-13T00:00:00"/>
    <x v="2"/>
    <x v="1"/>
    <x v="2"/>
    <n v="1201872.58"/>
    <x v="2"/>
    <x v="1"/>
    <x v="2"/>
    <x v="3"/>
    <x v="0"/>
    <x v="2"/>
    <x v="1"/>
    <x v="2"/>
    <x v="5"/>
    <n v="13"/>
    <x v="0"/>
  </r>
  <r>
    <d v="2024-11-13T00:00:00"/>
    <x v="3"/>
    <x v="3"/>
    <x v="2"/>
    <n v="9"/>
    <x v="3"/>
    <x v="3"/>
    <x v="2"/>
    <x v="2"/>
    <x v="0"/>
    <x v="2"/>
    <x v="1"/>
    <x v="2"/>
    <x v="5"/>
    <n v="13"/>
    <x v="0"/>
  </r>
  <r>
    <d v="2024-11-13T00:00:00"/>
    <x v="2"/>
    <x v="1"/>
    <x v="0"/>
    <n v="91961115.700000003"/>
    <x v="2"/>
    <x v="1"/>
    <x v="0"/>
    <x v="7"/>
    <x v="0"/>
    <x v="2"/>
    <x v="1"/>
    <x v="2"/>
    <x v="5"/>
    <n v="13"/>
    <x v="0"/>
  </r>
  <r>
    <d v="2024-11-13T00:00:00"/>
    <x v="3"/>
    <x v="3"/>
    <x v="1"/>
    <n v="3798938.75"/>
    <x v="3"/>
    <x v="3"/>
    <x v="1"/>
    <x v="4"/>
    <x v="0"/>
    <x v="2"/>
    <x v="1"/>
    <x v="2"/>
    <x v="5"/>
    <n v="13"/>
    <x v="0"/>
  </r>
  <r>
    <d v="2024-11-13T00:00:00"/>
    <x v="0"/>
    <x v="1"/>
    <x v="1"/>
    <n v="13019471.560000001"/>
    <x v="0"/>
    <x v="1"/>
    <x v="1"/>
    <x v="5"/>
    <x v="0"/>
    <x v="2"/>
    <x v="1"/>
    <x v="2"/>
    <x v="5"/>
    <n v="13"/>
    <x v="0"/>
  </r>
  <r>
    <d v="2024-11-13T00:00:00"/>
    <x v="3"/>
    <x v="3"/>
    <x v="0"/>
    <n v="2258394611.0599999"/>
    <x v="3"/>
    <x v="3"/>
    <x v="0"/>
    <x v="8"/>
    <x v="0"/>
    <x v="2"/>
    <x v="1"/>
    <x v="2"/>
    <x v="5"/>
    <n v="13"/>
    <x v="0"/>
  </r>
  <r>
    <d v="2024-11-13T00:00:00"/>
    <x v="1"/>
    <x v="0"/>
    <x v="0"/>
    <n v="94377859.150000006"/>
    <x v="1"/>
    <x v="0"/>
    <x v="0"/>
    <x v="11"/>
    <x v="0"/>
    <x v="2"/>
    <x v="1"/>
    <x v="2"/>
    <x v="5"/>
    <n v="13"/>
    <x v="0"/>
  </r>
  <r>
    <d v="2024-11-13T00:00:00"/>
    <x v="2"/>
    <x v="1"/>
    <x v="1"/>
    <n v="129587209.06999999"/>
    <x v="2"/>
    <x v="1"/>
    <x v="1"/>
    <x v="9"/>
    <x v="0"/>
    <x v="2"/>
    <x v="1"/>
    <x v="2"/>
    <x v="5"/>
    <n v="13"/>
    <x v="0"/>
  </r>
  <r>
    <d v="2024-11-13T00:00:00"/>
    <x v="1"/>
    <x v="0"/>
    <x v="1"/>
    <n v="180551510.41"/>
    <x v="1"/>
    <x v="0"/>
    <x v="1"/>
    <x v="10"/>
    <x v="0"/>
    <x v="2"/>
    <x v="1"/>
    <x v="2"/>
    <x v="5"/>
    <n v="13"/>
    <x v="0"/>
  </r>
  <r>
    <d v="2024-11-13T00:00:00"/>
    <x v="3"/>
    <x v="1"/>
    <x v="0"/>
    <n v="15715614.1"/>
    <x v="3"/>
    <x v="1"/>
    <x v="0"/>
    <x v="12"/>
    <x v="0"/>
    <x v="2"/>
    <x v="1"/>
    <x v="2"/>
    <x v="5"/>
    <n v="13"/>
    <x v="0"/>
  </r>
  <r>
    <d v="2024-11-13T00:00:00"/>
    <x v="3"/>
    <x v="2"/>
    <x v="1"/>
    <n v="8117172875.7399998"/>
    <x v="3"/>
    <x v="2"/>
    <x v="1"/>
    <x v="13"/>
    <x v="0"/>
    <x v="2"/>
    <x v="1"/>
    <x v="2"/>
    <x v="5"/>
    <n v="13"/>
    <x v="0"/>
  </r>
  <r>
    <d v="2024-11-13T00:00:00"/>
    <x v="3"/>
    <x v="2"/>
    <x v="0"/>
    <n v="936909729.49000001"/>
    <x v="3"/>
    <x v="2"/>
    <x v="0"/>
    <x v="14"/>
    <x v="0"/>
    <x v="2"/>
    <x v="1"/>
    <x v="2"/>
    <x v="5"/>
    <n v="13"/>
    <x v="0"/>
  </r>
  <r>
    <d v="2024-11-12T00:00:00"/>
    <x v="0"/>
    <x v="1"/>
    <x v="0"/>
    <n v="22293471.739999998"/>
    <x v="0"/>
    <x v="1"/>
    <x v="0"/>
    <x v="0"/>
    <x v="0"/>
    <x v="2"/>
    <x v="1"/>
    <x v="2"/>
    <x v="5"/>
    <n v="12"/>
    <x v="0"/>
  </r>
  <r>
    <d v="2024-11-12T00:00:00"/>
    <x v="3"/>
    <x v="2"/>
    <x v="2"/>
    <n v="292162.11"/>
    <x v="3"/>
    <x v="2"/>
    <x v="2"/>
    <x v="5"/>
    <x v="0"/>
    <x v="2"/>
    <x v="1"/>
    <x v="2"/>
    <x v="5"/>
    <n v="12"/>
    <x v="0"/>
  </r>
  <r>
    <d v="2024-11-12T00:00:00"/>
    <x v="3"/>
    <x v="3"/>
    <x v="2"/>
    <n v="121.5"/>
    <x v="3"/>
    <x v="3"/>
    <x v="2"/>
    <x v="1"/>
    <x v="0"/>
    <x v="2"/>
    <x v="1"/>
    <x v="2"/>
    <x v="5"/>
    <n v="12"/>
    <x v="0"/>
  </r>
  <r>
    <d v="2024-11-12T00:00:00"/>
    <x v="2"/>
    <x v="1"/>
    <x v="2"/>
    <n v="621.45000000000005"/>
    <x v="2"/>
    <x v="1"/>
    <x v="2"/>
    <x v="2"/>
    <x v="0"/>
    <x v="2"/>
    <x v="1"/>
    <x v="2"/>
    <x v="5"/>
    <n v="12"/>
    <x v="0"/>
  </r>
  <r>
    <d v="2024-11-12T00:00:00"/>
    <x v="0"/>
    <x v="1"/>
    <x v="1"/>
    <n v="10597121.779999999"/>
    <x v="0"/>
    <x v="1"/>
    <x v="1"/>
    <x v="3"/>
    <x v="0"/>
    <x v="2"/>
    <x v="1"/>
    <x v="2"/>
    <x v="5"/>
    <n v="12"/>
    <x v="0"/>
  </r>
  <r>
    <d v="2024-11-12T00:00:00"/>
    <x v="2"/>
    <x v="1"/>
    <x v="0"/>
    <n v="64899297.939999998"/>
    <x v="2"/>
    <x v="1"/>
    <x v="0"/>
    <x v="7"/>
    <x v="0"/>
    <x v="2"/>
    <x v="1"/>
    <x v="2"/>
    <x v="5"/>
    <n v="12"/>
    <x v="0"/>
  </r>
  <r>
    <d v="2024-11-12T00:00:00"/>
    <x v="2"/>
    <x v="1"/>
    <x v="1"/>
    <n v="155551131.28"/>
    <x v="2"/>
    <x v="1"/>
    <x v="1"/>
    <x v="8"/>
    <x v="0"/>
    <x v="2"/>
    <x v="1"/>
    <x v="2"/>
    <x v="5"/>
    <n v="12"/>
    <x v="0"/>
  </r>
  <r>
    <d v="2024-11-12T00:00:00"/>
    <x v="1"/>
    <x v="0"/>
    <x v="0"/>
    <n v="53329386.469999999"/>
    <x v="1"/>
    <x v="0"/>
    <x v="0"/>
    <x v="9"/>
    <x v="0"/>
    <x v="2"/>
    <x v="1"/>
    <x v="2"/>
    <x v="5"/>
    <n v="12"/>
    <x v="0"/>
  </r>
  <r>
    <d v="2024-11-12T00:00:00"/>
    <x v="1"/>
    <x v="1"/>
    <x v="0"/>
    <n v="174032.9"/>
    <x v="1"/>
    <x v="1"/>
    <x v="0"/>
    <x v="4"/>
    <x v="0"/>
    <x v="2"/>
    <x v="1"/>
    <x v="2"/>
    <x v="5"/>
    <n v="12"/>
    <x v="0"/>
  </r>
  <r>
    <d v="2024-11-12T00:00:00"/>
    <x v="3"/>
    <x v="3"/>
    <x v="0"/>
    <n v="1471499839.3699999"/>
    <x v="3"/>
    <x v="3"/>
    <x v="0"/>
    <x v="6"/>
    <x v="0"/>
    <x v="2"/>
    <x v="1"/>
    <x v="2"/>
    <x v="5"/>
    <n v="12"/>
    <x v="0"/>
  </r>
  <r>
    <d v="2024-11-12T00:00:00"/>
    <x v="1"/>
    <x v="0"/>
    <x v="1"/>
    <n v="168645927.44"/>
    <x v="1"/>
    <x v="0"/>
    <x v="1"/>
    <x v="10"/>
    <x v="0"/>
    <x v="2"/>
    <x v="1"/>
    <x v="2"/>
    <x v="5"/>
    <n v="12"/>
    <x v="0"/>
  </r>
  <r>
    <d v="2024-11-12T00:00:00"/>
    <x v="3"/>
    <x v="2"/>
    <x v="1"/>
    <n v="26828770876.93"/>
    <x v="3"/>
    <x v="2"/>
    <x v="1"/>
    <x v="11"/>
    <x v="0"/>
    <x v="2"/>
    <x v="1"/>
    <x v="2"/>
    <x v="5"/>
    <n v="12"/>
    <x v="0"/>
  </r>
  <r>
    <d v="2024-11-12T00:00:00"/>
    <x v="3"/>
    <x v="1"/>
    <x v="0"/>
    <n v="58118806.590000004"/>
    <x v="3"/>
    <x v="1"/>
    <x v="0"/>
    <x v="12"/>
    <x v="0"/>
    <x v="2"/>
    <x v="1"/>
    <x v="2"/>
    <x v="5"/>
    <n v="12"/>
    <x v="0"/>
  </r>
  <r>
    <d v="2024-11-12T00:00:00"/>
    <x v="3"/>
    <x v="2"/>
    <x v="0"/>
    <n v="809328810.32000005"/>
    <x v="3"/>
    <x v="2"/>
    <x v="0"/>
    <x v="13"/>
    <x v="0"/>
    <x v="2"/>
    <x v="1"/>
    <x v="2"/>
    <x v="5"/>
    <n v="12"/>
    <x v="0"/>
  </r>
  <r>
    <d v="2024-11-08T00:00:00"/>
    <x v="1"/>
    <x v="1"/>
    <x v="0"/>
    <n v="1117830.51"/>
    <x v="1"/>
    <x v="1"/>
    <x v="0"/>
    <x v="0"/>
    <x v="0"/>
    <x v="2"/>
    <x v="1"/>
    <x v="2"/>
    <x v="5"/>
    <n v="8"/>
    <x v="0"/>
  </r>
  <r>
    <d v="2024-11-08T00:00:00"/>
    <x v="0"/>
    <x v="1"/>
    <x v="0"/>
    <n v="5965149.9699999997"/>
    <x v="0"/>
    <x v="1"/>
    <x v="0"/>
    <x v="1"/>
    <x v="0"/>
    <x v="2"/>
    <x v="1"/>
    <x v="2"/>
    <x v="5"/>
    <n v="8"/>
    <x v="0"/>
  </r>
  <r>
    <d v="2024-11-08T00:00:00"/>
    <x v="3"/>
    <x v="2"/>
    <x v="2"/>
    <n v="261052"/>
    <x v="3"/>
    <x v="2"/>
    <x v="2"/>
    <x v="5"/>
    <x v="0"/>
    <x v="2"/>
    <x v="1"/>
    <x v="2"/>
    <x v="5"/>
    <n v="8"/>
    <x v="0"/>
  </r>
  <r>
    <d v="2024-11-08T00:00:00"/>
    <x v="2"/>
    <x v="1"/>
    <x v="2"/>
    <n v="198.32"/>
    <x v="2"/>
    <x v="1"/>
    <x v="2"/>
    <x v="2"/>
    <x v="0"/>
    <x v="2"/>
    <x v="1"/>
    <x v="2"/>
    <x v="5"/>
    <n v="8"/>
    <x v="0"/>
  </r>
  <r>
    <d v="2024-11-08T00:00:00"/>
    <x v="2"/>
    <x v="1"/>
    <x v="0"/>
    <n v="92630743.799999997"/>
    <x v="2"/>
    <x v="1"/>
    <x v="0"/>
    <x v="6"/>
    <x v="0"/>
    <x v="2"/>
    <x v="1"/>
    <x v="2"/>
    <x v="5"/>
    <n v="8"/>
    <x v="0"/>
  </r>
  <r>
    <d v="2024-11-08T00:00:00"/>
    <x v="3"/>
    <x v="3"/>
    <x v="1"/>
    <n v="32616.52"/>
    <x v="3"/>
    <x v="3"/>
    <x v="1"/>
    <x v="3"/>
    <x v="0"/>
    <x v="2"/>
    <x v="1"/>
    <x v="2"/>
    <x v="5"/>
    <n v="8"/>
    <x v="0"/>
  </r>
  <r>
    <d v="2024-11-08T00:00:00"/>
    <x v="0"/>
    <x v="1"/>
    <x v="1"/>
    <n v="245782.71"/>
    <x v="0"/>
    <x v="1"/>
    <x v="1"/>
    <x v="4"/>
    <x v="0"/>
    <x v="2"/>
    <x v="1"/>
    <x v="2"/>
    <x v="5"/>
    <n v="8"/>
    <x v="0"/>
  </r>
  <r>
    <d v="2024-11-08T00:00:00"/>
    <x v="2"/>
    <x v="1"/>
    <x v="1"/>
    <n v="167042968.16"/>
    <x v="2"/>
    <x v="1"/>
    <x v="1"/>
    <x v="8"/>
    <x v="0"/>
    <x v="2"/>
    <x v="1"/>
    <x v="2"/>
    <x v="5"/>
    <n v="8"/>
    <x v="0"/>
  </r>
  <r>
    <d v="2024-11-08T00:00:00"/>
    <x v="1"/>
    <x v="0"/>
    <x v="0"/>
    <n v="52967067.869999997"/>
    <x v="1"/>
    <x v="0"/>
    <x v="0"/>
    <x v="9"/>
    <x v="0"/>
    <x v="2"/>
    <x v="1"/>
    <x v="2"/>
    <x v="5"/>
    <n v="8"/>
    <x v="0"/>
  </r>
  <r>
    <d v="2024-11-08T00:00:00"/>
    <x v="3"/>
    <x v="3"/>
    <x v="0"/>
    <n v="1212715109.74"/>
    <x v="3"/>
    <x v="3"/>
    <x v="0"/>
    <x v="7"/>
    <x v="0"/>
    <x v="2"/>
    <x v="1"/>
    <x v="2"/>
    <x v="5"/>
    <n v="8"/>
    <x v="0"/>
  </r>
  <r>
    <d v="2024-11-08T00:00:00"/>
    <x v="1"/>
    <x v="0"/>
    <x v="1"/>
    <n v="131201275.23999999"/>
    <x v="1"/>
    <x v="0"/>
    <x v="1"/>
    <x v="10"/>
    <x v="0"/>
    <x v="2"/>
    <x v="1"/>
    <x v="2"/>
    <x v="5"/>
    <n v="8"/>
    <x v="0"/>
  </r>
  <r>
    <d v="2024-11-08T00:00:00"/>
    <x v="3"/>
    <x v="1"/>
    <x v="0"/>
    <n v="15462141.050000001"/>
    <x v="3"/>
    <x v="1"/>
    <x v="0"/>
    <x v="11"/>
    <x v="0"/>
    <x v="2"/>
    <x v="1"/>
    <x v="2"/>
    <x v="5"/>
    <n v="8"/>
    <x v="0"/>
  </r>
  <r>
    <d v="2024-11-08T00:00:00"/>
    <x v="3"/>
    <x v="2"/>
    <x v="1"/>
    <n v="11783070271.67"/>
    <x v="3"/>
    <x v="2"/>
    <x v="1"/>
    <x v="12"/>
    <x v="0"/>
    <x v="2"/>
    <x v="1"/>
    <x v="2"/>
    <x v="5"/>
    <n v="8"/>
    <x v="0"/>
  </r>
  <r>
    <d v="2024-11-08T00:00:00"/>
    <x v="3"/>
    <x v="2"/>
    <x v="0"/>
    <n v="779446336.84000003"/>
    <x v="3"/>
    <x v="2"/>
    <x v="0"/>
    <x v="13"/>
    <x v="0"/>
    <x v="2"/>
    <x v="1"/>
    <x v="2"/>
    <x v="5"/>
    <n v="8"/>
    <x v="0"/>
  </r>
  <r>
    <d v="2024-11-07T00:00:00"/>
    <x v="0"/>
    <x v="1"/>
    <x v="0"/>
    <n v="18468748.899999999"/>
    <x v="0"/>
    <x v="1"/>
    <x v="0"/>
    <x v="0"/>
    <x v="0"/>
    <x v="2"/>
    <x v="1"/>
    <x v="2"/>
    <x v="5"/>
    <n v="7"/>
    <x v="0"/>
  </r>
  <r>
    <d v="2024-11-07T00:00:00"/>
    <x v="2"/>
    <x v="1"/>
    <x v="2"/>
    <n v="3578.46"/>
    <x v="2"/>
    <x v="1"/>
    <x v="2"/>
    <x v="1"/>
    <x v="0"/>
    <x v="2"/>
    <x v="1"/>
    <x v="2"/>
    <x v="5"/>
    <n v="7"/>
    <x v="0"/>
  </r>
  <r>
    <d v="2024-11-07T00:00:00"/>
    <x v="2"/>
    <x v="1"/>
    <x v="0"/>
    <n v="88012016.920000002"/>
    <x v="2"/>
    <x v="1"/>
    <x v="0"/>
    <x v="6"/>
    <x v="0"/>
    <x v="2"/>
    <x v="1"/>
    <x v="2"/>
    <x v="5"/>
    <n v="7"/>
    <x v="0"/>
  </r>
  <r>
    <d v="2024-11-07T00:00:00"/>
    <x v="0"/>
    <x v="1"/>
    <x v="1"/>
    <n v="10968859.640000001"/>
    <x v="0"/>
    <x v="1"/>
    <x v="1"/>
    <x v="2"/>
    <x v="0"/>
    <x v="2"/>
    <x v="1"/>
    <x v="2"/>
    <x v="5"/>
    <n v="7"/>
    <x v="0"/>
  </r>
  <r>
    <d v="2024-11-07T00:00:00"/>
    <x v="1"/>
    <x v="1"/>
    <x v="0"/>
    <n v="118038.02"/>
    <x v="1"/>
    <x v="1"/>
    <x v="0"/>
    <x v="3"/>
    <x v="0"/>
    <x v="2"/>
    <x v="1"/>
    <x v="2"/>
    <x v="5"/>
    <n v="7"/>
    <x v="0"/>
  </r>
  <r>
    <d v="2024-11-07T00:00:00"/>
    <x v="3"/>
    <x v="2"/>
    <x v="2"/>
    <n v="290940.24"/>
    <x v="3"/>
    <x v="2"/>
    <x v="2"/>
    <x v="4"/>
    <x v="0"/>
    <x v="2"/>
    <x v="1"/>
    <x v="2"/>
    <x v="5"/>
    <n v="7"/>
    <x v="0"/>
  </r>
  <r>
    <d v="2024-11-07T00:00:00"/>
    <x v="3"/>
    <x v="3"/>
    <x v="0"/>
    <n v="1067667887.14"/>
    <x v="3"/>
    <x v="3"/>
    <x v="0"/>
    <x v="5"/>
    <x v="0"/>
    <x v="2"/>
    <x v="1"/>
    <x v="2"/>
    <x v="5"/>
    <n v="7"/>
    <x v="0"/>
  </r>
  <r>
    <d v="2024-11-07T00:00:00"/>
    <x v="2"/>
    <x v="1"/>
    <x v="1"/>
    <n v="310886486.54000002"/>
    <x v="2"/>
    <x v="1"/>
    <x v="1"/>
    <x v="7"/>
    <x v="0"/>
    <x v="2"/>
    <x v="1"/>
    <x v="2"/>
    <x v="5"/>
    <n v="7"/>
    <x v="0"/>
  </r>
  <r>
    <d v="2024-11-07T00:00:00"/>
    <x v="1"/>
    <x v="0"/>
    <x v="0"/>
    <n v="74751531.920000002"/>
    <x v="1"/>
    <x v="0"/>
    <x v="0"/>
    <x v="8"/>
    <x v="0"/>
    <x v="2"/>
    <x v="1"/>
    <x v="2"/>
    <x v="5"/>
    <n v="7"/>
    <x v="0"/>
  </r>
  <r>
    <d v="2024-11-07T00:00:00"/>
    <x v="1"/>
    <x v="0"/>
    <x v="1"/>
    <n v="338490191.17000002"/>
    <x v="1"/>
    <x v="0"/>
    <x v="1"/>
    <x v="9"/>
    <x v="0"/>
    <x v="2"/>
    <x v="1"/>
    <x v="2"/>
    <x v="5"/>
    <n v="7"/>
    <x v="0"/>
  </r>
  <r>
    <d v="2024-11-07T00:00:00"/>
    <x v="3"/>
    <x v="1"/>
    <x v="0"/>
    <n v="14336224.5"/>
    <x v="3"/>
    <x v="1"/>
    <x v="0"/>
    <x v="10"/>
    <x v="0"/>
    <x v="2"/>
    <x v="1"/>
    <x v="2"/>
    <x v="5"/>
    <n v="7"/>
    <x v="0"/>
  </r>
  <r>
    <d v="2024-11-07T00:00:00"/>
    <x v="3"/>
    <x v="2"/>
    <x v="1"/>
    <n v="3764904589.6199999"/>
    <x v="3"/>
    <x v="2"/>
    <x v="1"/>
    <x v="11"/>
    <x v="0"/>
    <x v="2"/>
    <x v="1"/>
    <x v="2"/>
    <x v="5"/>
    <n v="7"/>
    <x v="0"/>
  </r>
  <r>
    <d v="2024-11-07T00:00:00"/>
    <x v="3"/>
    <x v="2"/>
    <x v="0"/>
    <n v="791000961.07000005"/>
    <x v="3"/>
    <x v="2"/>
    <x v="0"/>
    <x v="12"/>
    <x v="0"/>
    <x v="2"/>
    <x v="1"/>
    <x v="2"/>
    <x v="5"/>
    <n v="7"/>
    <x v="0"/>
  </r>
  <r>
    <d v="2024-11-06T00:00:00"/>
    <x v="0"/>
    <x v="0"/>
    <x v="0"/>
    <n v="238.95"/>
    <x v="0"/>
    <x v="0"/>
    <x v="0"/>
    <x v="0"/>
    <x v="0"/>
    <x v="2"/>
    <x v="1"/>
    <x v="2"/>
    <x v="5"/>
    <n v="6"/>
    <x v="0"/>
  </r>
  <r>
    <d v="2024-11-06T00:00:00"/>
    <x v="1"/>
    <x v="1"/>
    <x v="0"/>
    <n v="834722.5"/>
    <x v="1"/>
    <x v="1"/>
    <x v="0"/>
    <x v="1"/>
    <x v="0"/>
    <x v="2"/>
    <x v="1"/>
    <x v="2"/>
    <x v="5"/>
    <n v="6"/>
    <x v="0"/>
  </r>
  <r>
    <d v="2024-11-06T00:00:00"/>
    <x v="0"/>
    <x v="1"/>
    <x v="0"/>
    <n v="14659571.91"/>
    <x v="0"/>
    <x v="1"/>
    <x v="0"/>
    <x v="2"/>
    <x v="0"/>
    <x v="2"/>
    <x v="1"/>
    <x v="2"/>
    <x v="5"/>
    <n v="6"/>
    <x v="0"/>
  </r>
  <r>
    <d v="2024-11-06T00:00:00"/>
    <x v="3"/>
    <x v="3"/>
    <x v="2"/>
    <n v="146"/>
    <x v="3"/>
    <x v="3"/>
    <x v="2"/>
    <x v="3"/>
    <x v="0"/>
    <x v="2"/>
    <x v="1"/>
    <x v="2"/>
    <x v="5"/>
    <n v="6"/>
    <x v="0"/>
  </r>
  <r>
    <d v="2024-11-06T00:00:00"/>
    <x v="2"/>
    <x v="1"/>
    <x v="2"/>
    <n v="43224.86"/>
    <x v="2"/>
    <x v="1"/>
    <x v="2"/>
    <x v="4"/>
    <x v="0"/>
    <x v="2"/>
    <x v="1"/>
    <x v="2"/>
    <x v="5"/>
    <n v="6"/>
    <x v="0"/>
  </r>
  <r>
    <d v="2024-11-06T00:00:00"/>
    <x v="3"/>
    <x v="3"/>
    <x v="1"/>
    <n v="28029.94"/>
    <x v="3"/>
    <x v="3"/>
    <x v="1"/>
    <x v="5"/>
    <x v="0"/>
    <x v="2"/>
    <x v="1"/>
    <x v="2"/>
    <x v="5"/>
    <n v="6"/>
    <x v="0"/>
  </r>
  <r>
    <d v="2024-11-06T00:00:00"/>
    <x v="0"/>
    <x v="1"/>
    <x v="1"/>
    <n v="7341854.4299999997"/>
    <x v="0"/>
    <x v="1"/>
    <x v="1"/>
    <x v="6"/>
    <x v="0"/>
    <x v="2"/>
    <x v="1"/>
    <x v="2"/>
    <x v="5"/>
    <n v="6"/>
    <x v="0"/>
  </r>
  <r>
    <d v="2024-11-06T00:00:00"/>
    <x v="2"/>
    <x v="1"/>
    <x v="0"/>
    <n v="73077619.430000007"/>
    <x v="2"/>
    <x v="1"/>
    <x v="0"/>
    <x v="8"/>
    <x v="0"/>
    <x v="2"/>
    <x v="1"/>
    <x v="2"/>
    <x v="5"/>
    <n v="6"/>
    <x v="0"/>
  </r>
  <r>
    <d v="2024-11-06T00:00:00"/>
    <x v="3"/>
    <x v="3"/>
    <x v="0"/>
    <n v="1715803271.6500001"/>
    <x v="3"/>
    <x v="3"/>
    <x v="0"/>
    <x v="9"/>
    <x v="0"/>
    <x v="2"/>
    <x v="1"/>
    <x v="2"/>
    <x v="5"/>
    <n v="6"/>
    <x v="0"/>
  </r>
  <r>
    <d v="2024-11-06T00:00:00"/>
    <x v="3"/>
    <x v="2"/>
    <x v="2"/>
    <n v="297291"/>
    <x v="3"/>
    <x v="2"/>
    <x v="2"/>
    <x v="7"/>
    <x v="0"/>
    <x v="2"/>
    <x v="1"/>
    <x v="2"/>
    <x v="5"/>
    <n v="6"/>
    <x v="0"/>
  </r>
  <r>
    <d v="2024-11-06T00:00:00"/>
    <x v="2"/>
    <x v="1"/>
    <x v="1"/>
    <n v="332912539.73000002"/>
    <x v="2"/>
    <x v="1"/>
    <x v="1"/>
    <x v="10"/>
    <x v="0"/>
    <x v="2"/>
    <x v="1"/>
    <x v="2"/>
    <x v="5"/>
    <n v="6"/>
    <x v="0"/>
  </r>
  <r>
    <d v="2024-11-06T00:00:00"/>
    <x v="1"/>
    <x v="0"/>
    <x v="0"/>
    <n v="123574440.58"/>
    <x v="1"/>
    <x v="0"/>
    <x v="0"/>
    <x v="11"/>
    <x v="0"/>
    <x v="2"/>
    <x v="1"/>
    <x v="2"/>
    <x v="5"/>
    <n v="6"/>
    <x v="0"/>
  </r>
  <r>
    <d v="2024-11-06T00:00:00"/>
    <x v="1"/>
    <x v="0"/>
    <x v="1"/>
    <n v="1032200224.42"/>
    <x v="1"/>
    <x v="0"/>
    <x v="1"/>
    <x v="12"/>
    <x v="0"/>
    <x v="2"/>
    <x v="1"/>
    <x v="2"/>
    <x v="5"/>
    <n v="6"/>
    <x v="0"/>
  </r>
  <r>
    <d v="2024-11-06T00:00:00"/>
    <x v="3"/>
    <x v="1"/>
    <x v="0"/>
    <n v="15480053.9"/>
    <x v="3"/>
    <x v="1"/>
    <x v="0"/>
    <x v="13"/>
    <x v="0"/>
    <x v="2"/>
    <x v="1"/>
    <x v="2"/>
    <x v="5"/>
    <n v="6"/>
    <x v="0"/>
  </r>
  <r>
    <d v="2024-11-06T00:00:00"/>
    <x v="3"/>
    <x v="2"/>
    <x v="1"/>
    <n v="13835406107.799999"/>
    <x v="3"/>
    <x v="2"/>
    <x v="1"/>
    <x v="14"/>
    <x v="0"/>
    <x v="2"/>
    <x v="1"/>
    <x v="2"/>
    <x v="5"/>
    <n v="6"/>
    <x v="0"/>
  </r>
  <r>
    <d v="2024-11-06T00:00:00"/>
    <x v="3"/>
    <x v="2"/>
    <x v="0"/>
    <n v="675577495.86000001"/>
    <x v="3"/>
    <x v="2"/>
    <x v="0"/>
    <x v="15"/>
    <x v="0"/>
    <x v="2"/>
    <x v="1"/>
    <x v="2"/>
    <x v="5"/>
    <n v="6"/>
    <x v="0"/>
  </r>
  <r>
    <d v="2024-11-05T00:00:00"/>
    <x v="1"/>
    <x v="1"/>
    <x v="0"/>
    <n v="544291.19999999995"/>
    <x v="1"/>
    <x v="1"/>
    <x v="0"/>
    <x v="0"/>
    <x v="0"/>
    <x v="2"/>
    <x v="1"/>
    <x v="2"/>
    <x v="5"/>
    <n v="5"/>
    <x v="0"/>
  </r>
  <r>
    <d v="2024-11-05T00:00:00"/>
    <x v="0"/>
    <x v="1"/>
    <x v="0"/>
    <n v="14861629.9"/>
    <x v="0"/>
    <x v="1"/>
    <x v="0"/>
    <x v="1"/>
    <x v="0"/>
    <x v="2"/>
    <x v="1"/>
    <x v="2"/>
    <x v="5"/>
    <n v="5"/>
    <x v="0"/>
  </r>
  <r>
    <d v="2024-11-05T00:00:00"/>
    <x v="3"/>
    <x v="3"/>
    <x v="2"/>
    <n v="77.400000000000006"/>
    <x v="3"/>
    <x v="3"/>
    <x v="2"/>
    <x v="2"/>
    <x v="0"/>
    <x v="2"/>
    <x v="1"/>
    <x v="2"/>
    <x v="5"/>
    <n v="5"/>
    <x v="0"/>
  </r>
  <r>
    <d v="2024-11-05T00:00:00"/>
    <x v="2"/>
    <x v="1"/>
    <x v="0"/>
    <n v="127699423.95999999"/>
    <x v="2"/>
    <x v="1"/>
    <x v="0"/>
    <x v="7"/>
    <x v="0"/>
    <x v="2"/>
    <x v="1"/>
    <x v="2"/>
    <x v="5"/>
    <n v="5"/>
    <x v="0"/>
  </r>
  <r>
    <d v="2024-11-05T00:00:00"/>
    <x v="3"/>
    <x v="3"/>
    <x v="1"/>
    <n v="95359.23"/>
    <x v="3"/>
    <x v="3"/>
    <x v="1"/>
    <x v="3"/>
    <x v="0"/>
    <x v="2"/>
    <x v="1"/>
    <x v="2"/>
    <x v="5"/>
    <n v="5"/>
    <x v="0"/>
  </r>
  <r>
    <d v="2024-11-05T00:00:00"/>
    <x v="0"/>
    <x v="1"/>
    <x v="1"/>
    <n v="1976378.31"/>
    <x v="0"/>
    <x v="1"/>
    <x v="1"/>
    <x v="4"/>
    <x v="0"/>
    <x v="2"/>
    <x v="1"/>
    <x v="2"/>
    <x v="5"/>
    <n v="5"/>
    <x v="0"/>
  </r>
  <r>
    <d v="2024-11-05T00:00:00"/>
    <x v="3"/>
    <x v="3"/>
    <x v="0"/>
    <n v="3086067698.1399999"/>
    <x v="3"/>
    <x v="3"/>
    <x v="0"/>
    <x v="8"/>
    <x v="0"/>
    <x v="2"/>
    <x v="1"/>
    <x v="2"/>
    <x v="5"/>
    <n v="5"/>
    <x v="0"/>
  </r>
  <r>
    <d v="2024-11-05T00:00:00"/>
    <x v="2"/>
    <x v="1"/>
    <x v="2"/>
    <n v="36427.57"/>
    <x v="2"/>
    <x v="1"/>
    <x v="2"/>
    <x v="5"/>
    <x v="0"/>
    <x v="2"/>
    <x v="1"/>
    <x v="2"/>
    <x v="5"/>
    <n v="5"/>
    <x v="0"/>
  </r>
  <r>
    <d v="2024-11-05T00:00:00"/>
    <x v="3"/>
    <x v="2"/>
    <x v="2"/>
    <n v="403297.36"/>
    <x v="3"/>
    <x v="2"/>
    <x v="2"/>
    <x v="6"/>
    <x v="0"/>
    <x v="2"/>
    <x v="1"/>
    <x v="2"/>
    <x v="5"/>
    <n v="5"/>
    <x v="0"/>
  </r>
  <r>
    <d v="2024-11-05T00:00:00"/>
    <x v="2"/>
    <x v="1"/>
    <x v="1"/>
    <n v="128647141.58"/>
    <x v="2"/>
    <x v="1"/>
    <x v="1"/>
    <x v="9"/>
    <x v="0"/>
    <x v="2"/>
    <x v="1"/>
    <x v="2"/>
    <x v="5"/>
    <n v="5"/>
    <x v="0"/>
  </r>
  <r>
    <d v="2024-11-05T00:00:00"/>
    <x v="1"/>
    <x v="0"/>
    <x v="0"/>
    <n v="89490769.340000004"/>
    <x v="1"/>
    <x v="0"/>
    <x v="0"/>
    <x v="11"/>
    <x v="0"/>
    <x v="2"/>
    <x v="1"/>
    <x v="2"/>
    <x v="5"/>
    <n v="5"/>
    <x v="0"/>
  </r>
  <r>
    <d v="2024-11-05T00:00:00"/>
    <x v="1"/>
    <x v="0"/>
    <x v="1"/>
    <n v="231940888.94"/>
    <x v="1"/>
    <x v="0"/>
    <x v="1"/>
    <x v="10"/>
    <x v="0"/>
    <x v="2"/>
    <x v="1"/>
    <x v="2"/>
    <x v="5"/>
    <n v="5"/>
    <x v="0"/>
  </r>
  <r>
    <d v="2024-11-05T00:00:00"/>
    <x v="3"/>
    <x v="1"/>
    <x v="0"/>
    <n v="14203803.68"/>
    <x v="3"/>
    <x v="1"/>
    <x v="0"/>
    <x v="12"/>
    <x v="0"/>
    <x v="2"/>
    <x v="1"/>
    <x v="2"/>
    <x v="5"/>
    <n v="5"/>
    <x v="0"/>
  </r>
  <r>
    <d v="2024-11-05T00:00:00"/>
    <x v="3"/>
    <x v="2"/>
    <x v="1"/>
    <n v="3882929509.04"/>
    <x v="3"/>
    <x v="2"/>
    <x v="1"/>
    <x v="13"/>
    <x v="0"/>
    <x v="2"/>
    <x v="1"/>
    <x v="2"/>
    <x v="5"/>
    <n v="5"/>
    <x v="0"/>
  </r>
  <r>
    <d v="2024-11-05T00:00:00"/>
    <x v="3"/>
    <x v="2"/>
    <x v="0"/>
    <n v="776162588.45000005"/>
    <x v="3"/>
    <x v="2"/>
    <x v="0"/>
    <x v="14"/>
    <x v="0"/>
    <x v="2"/>
    <x v="1"/>
    <x v="2"/>
    <x v="5"/>
    <n v="5"/>
    <x v="0"/>
  </r>
  <r>
    <d v="2024-11-04T00:00:00"/>
    <x v="0"/>
    <x v="0"/>
    <x v="0"/>
    <n v="-220.7"/>
    <x v="0"/>
    <x v="0"/>
    <x v="0"/>
    <x v="0"/>
    <x v="0"/>
    <x v="2"/>
    <x v="1"/>
    <x v="2"/>
    <x v="5"/>
    <n v="4"/>
    <x v="1"/>
  </r>
  <r>
    <d v="2024-11-04T00:00:00"/>
    <x v="0"/>
    <x v="1"/>
    <x v="0"/>
    <n v="13932135.67"/>
    <x v="0"/>
    <x v="1"/>
    <x v="0"/>
    <x v="1"/>
    <x v="0"/>
    <x v="2"/>
    <x v="1"/>
    <x v="2"/>
    <x v="5"/>
    <n v="4"/>
    <x v="0"/>
  </r>
  <r>
    <d v="2024-11-04T00:00:00"/>
    <x v="3"/>
    <x v="2"/>
    <x v="2"/>
    <n v="510654.12"/>
    <x v="3"/>
    <x v="2"/>
    <x v="2"/>
    <x v="5"/>
    <x v="0"/>
    <x v="2"/>
    <x v="1"/>
    <x v="2"/>
    <x v="5"/>
    <n v="4"/>
    <x v="0"/>
  </r>
  <r>
    <d v="2024-11-04T00:00:00"/>
    <x v="3"/>
    <x v="3"/>
    <x v="0"/>
    <n v="6023114402.5900002"/>
    <x v="3"/>
    <x v="3"/>
    <x v="0"/>
    <x v="6"/>
    <x v="0"/>
    <x v="2"/>
    <x v="1"/>
    <x v="2"/>
    <x v="5"/>
    <n v="4"/>
    <x v="0"/>
  </r>
  <r>
    <d v="2024-11-04T00:00:00"/>
    <x v="0"/>
    <x v="1"/>
    <x v="1"/>
    <n v="10843586.16"/>
    <x v="0"/>
    <x v="1"/>
    <x v="1"/>
    <x v="2"/>
    <x v="0"/>
    <x v="2"/>
    <x v="1"/>
    <x v="2"/>
    <x v="5"/>
    <n v="4"/>
    <x v="0"/>
  </r>
  <r>
    <d v="2024-11-04T00:00:00"/>
    <x v="2"/>
    <x v="1"/>
    <x v="0"/>
    <n v="79791232.140000001"/>
    <x v="2"/>
    <x v="1"/>
    <x v="0"/>
    <x v="7"/>
    <x v="0"/>
    <x v="2"/>
    <x v="1"/>
    <x v="2"/>
    <x v="5"/>
    <n v="4"/>
    <x v="0"/>
  </r>
  <r>
    <d v="2024-11-04T00:00:00"/>
    <x v="1"/>
    <x v="1"/>
    <x v="0"/>
    <n v="37228.870000000003"/>
    <x v="1"/>
    <x v="1"/>
    <x v="0"/>
    <x v="3"/>
    <x v="0"/>
    <x v="2"/>
    <x v="1"/>
    <x v="2"/>
    <x v="5"/>
    <n v="4"/>
    <x v="0"/>
  </r>
  <r>
    <d v="2024-11-04T00:00:00"/>
    <x v="2"/>
    <x v="1"/>
    <x v="2"/>
    <n v="42709.37"/>
    <x v="2"/>
    <x v="1"/>
    <x v="2"/>
    <x v="4"/>
    <x v="0"/>
    <x v="2"/>
    <x v="1"/>
    <x v="2"/>
    <x v="5"/>
    <n v="4"/>
    <x v="0"/>
  </r>
  <r>
    <d v="2024-11-04T00:00:00"/>
    <x v="2"/>
    <x v="1"/>
    <x v="1"/>
    <n v="112861194.45"/>
    <x v="2"/>
    <x v="1"/>
    <x v="1"/>
    <x v="8"/>
    <x v="0"/>
    <x v="2"/>
    <x v="1"/>
    <x v="2"/>
    <x v="5"/>
    <n v="4"/>
    <x v="0"/>
  </r>
  <r>
    <d v="2024-11-04T00:00:00"/>
    <x v="1"/>
    <x v="0"/>
    <x v="0"/>
    <n v="51743068.509999998"/>
    <x v="1"/>
    <x v="0"/>
    <x v="0"/>
    <x v="9"/>
    <x v="0"/>
    <x v="2"/>
    <x v="1"/>
    <x v="2"/>
    <x v="5"/>
    <n v="4"/>
    <x v="0"/>
  </r>
  <r>
    <d v="2024-11-04T00:00:00"/>
    <x v="1"/>
    <x v="0"/>
    <x v="1"/>
    <n v="179132587.40000001"/>
    <x v="1"/>
    <x v="0"/>
    <x v="1"/>
    <x v="10"/>
    <x v="0"/>
    <x v="2"/>
    <x v="1"/>
    <x v="2"/>
    <x v="5"/>
    <n v="4"/>
    <x v="0"/>
  </r>
  <r>
    <d v="2024-11-04T00:00:00"/>
    <x v="3"/>
    <x v="1"/>
    <x v="0"/>
    <n v="54835984.810000002"/>
    <x v="3"/>
    <x v="1"/>
    <x v="0"/>
    <x v="11"/>
    <x v="0"/>
    <x v="2"/>
    <x v="1"/>
    <x v="2"/>
    <x v="5"/>
    <n v="4"/>
    <x v="0"/>
  </r>
  <r>
    <d v="2024-11-04T00:00:00"/>
    <x v="3"/>
    <x v="2"/>
    <x v="0"/>
    <n v="1159032575.0899999"/>
    <x v="3"/>
    <x v="2"/>
    <x v="0"/>
    <x v="12"/>
    <x v="0"/>
    <x v="2"/>
    <x v="1"/>
    <x v="2"/>
    <x v="5"/>
    <n v="4"/>
    <x v="0"/>
  </r>
  <r>
    <d v="2024-11-04T00:00:00"/>
    <x v="3"/>
    <x v="2"/>
    <x v="1"/>
    <n v="25600421308.23"/>
    <x v="3"/>
    <x v="2"/>
    <x v="1"/>
    <x v="13"/>
    <x v="0"/>
    <x v="2"/>
    <x v="1"/>
    <x v="2"/>
    <x v="5"/>
    <n v="4"/>
    <x v="0"/>
  </r>
  <r>
    <d v="2024-11-01T00:00:00"/>
    <x v="0"/>
    <x v="0"/>
    <x v="0"/>
    <n v="180"/>
    <x v="0"/>
    <x v="0"/>
    <x v="0"/>
    <x v="0"/>
    <x v="0"/>
    <x v="2"/>
    <x v="1"/>
    <x v="2"/>
    <x v="5"/>
    <n v="1"/>
    <x v="0"/>
  </r>
  <r>
    <d v="2024-11-01T00:00:00"/>
    <x v="1"/>
    <x v="1"/>
    <x v="0"/>
    <n v="771020.22"/>
    <x v="1"/>
    <x v="1"/>
    <x v="0"/>
    <x v="1"/>
    <x v="0"/>
    <x v="2"/>
    <x v="1"/>
    <x v="2"/>
    <x v="5"/>
    <n v="1"/>
    <x v="0"/>
  </r>
  <r>
    <d v="2024-11-01T00:00:00"/>
    <x v="0"/>
    <x v="1"/>
    <x v="0"/>
    <n v="17868194.07"/>
    <x v="0"/>
    <x v="1"/>
    <x v="0"/>
    <x v="2"/>
    <x v="0"/>
    <x v="2"/>
    <x v="1"/>
    <x v="2"/>
    <x v="5"/>
    <n v="1"/>
    <x v="0"/>
  </r>
  <r>
    <d v="2024-11-01T00:00:00"/>
    <x v="3"/>
    <x v="3"/>
    <x v="0"/>
    <n v="3676694659.6199999"/>
    <x v="3"/>
    <x v="3"/>
    <x v="0"/>
    <x v="8"/>
    <x v="0"/>
    <x v="2"/>
    <x v="1"/>
    <x v="2"/>
    <x v="5"/>
    <n v="1"/>
    <x v="0"/>
  </r>
  <r>
    <d v="2024-11-01T00:00:00"/>
    <x v="2"/>
    <x v="1"/>
    <x v="2"/>
    <n v="784.54"/>
    <x v="2"/>
    <x v="1"/>
    <x v="2"/>
    <x v="4"/>
    <x v="0"/>
    <x v="2"/>
    <x v="1"/>
    <x v="2"/>
    <x v="5"/>
    <n v="1"/>
    <x v="0"/>
  </r>
  <r>
    <d v="2024-11-01T00:00:00"/>
    <x v="3"/>
    <x v="3"/>
    <x v="2"/>
    <n v="41"/>
    <x v="3"/>
    <x v="3"/>
    <x v="2"/>
    <x v="3"/>
    <x v="0"/>
    <x v="2"/>
    <x v="1"/>
    <x v="2"/>
    <x v="5"/>
    <n v="1"/>
    <x v="0"/>
  </r>
  <r>
    <d v="2024-11-01T00:00:00"/>
    <x v="2"/>
    <x v="1"/>
    <x v="0"/>
    <n v="81333639.629999995"/>
    <x v="2"/>
    <x v="1"/>
    <x v="0"/>
    <x v="9"/>
    <x v="0"/>
    <x v="2"/>
    <x v="1"/>
    <x v="2"/>
    <x v="5"/>
    <n v="1"/>
    <x v="0"/>
  </r>
  <r>
    <d v="2024-11-01T00:00:00"/>
    <x v="3"/>
    <x v="3"/>
    <x v="1"/>
    <n v="1019799.24"/>
    <x v="3"/>
    <x v="3"/>
    <x v="1"/>
    <x v="5"/>
    <x v="0"/>
    <x v="2"/>
    <x v="1"/>
    <x v="2"/>
    <x v="5"/>
    <n v="1"/>
    <x v="0"/>
  </r>
  <r>
    <d v="2024-11-01T00:00:00"/>
    <x v="0"/>
    <x v="1"/>
    <x v="1"/>
    <n v="4944098.3600000003"/>
    <x v="0"/>
    <x v="1"/>
    <x v="1"/>
    <x v="6"/>
    <x v="0"/>
    <x v="2"/>
    <x v="1"/>
    <x v="2"/>
    <x v="5"/>
    <n v="1"/>
    <x v="0"/>
  </r>
  <r>
    <d v="2024-11-01T00:00:00"/>
    <x v="3"/>
    <x v="2"/>
    <x v="2"/>
    <n v="429341"/>
    <x v="3"/>
    <x v="2"/>
    <x v="2"/>
    <x v="7"/>
    <x v="0"/>
    <x v="2"/>
    <x v="1"/>
    <x v="2"/>
    <x v="5"/>
    <n v="1"/>
    <x v="0"/>
  </r>
  <r>
    <d v="2024-11-01T00:00:00"/>
    <x v="2"/>
    <x v="1"/>
    <x v="1"/>
    <n v="103973274.02"/>
    <x v="2"/>
    <x v="1"/>
    <x v="1"/>
    <x v="10"/>
    <x v="0"/>
    <x v="2"/>
    <x v="1"/>
    <x v="2"/>
    <x v="5"/>
    <n v="1"/>
    <x v="0"/>
  </r>
  <r>
    <d v="2024-11-01T00:00:00"/>
    <x v="1"/>
    <x v="0"/>
    <x v="0"/>
    <n v="47764551.600000001"/>
    <x v="1"/>
    <x v="0"/>
    <x v="0"/>
    <x v="11"/>
    <x v="0"/>
    <x v="2"/>
    <x v="1"/>
    <x v="2"/>
    <x v="5"/>
    <n v="1"/>
    <x v="0"/>
  </r>
  <r>
    <d v="2024-11-01T00:00:00"/>
    <x v="1"/>
    <x v="0"/>
    <x v="1"/>
    <n v="148105535.59"/>
    <x v="1"/>
    <x v="0"/>
    <x v="1"/>
    <x v="12"/>
    <x v="0"/>
    <x v="2"/>
    <x v="1"/>
    <x v="2"/>
    <x v="5"/>
    <n v="1"/>
    <x v="0"/>
  </r>
  <r>
    <d v="2024-11-01T00:00:00"/>
    <x v="3"/>
    <x v="1"/>
    <x v="0"/>
    <n v="15927935.48"/>
    <x v="3"/>
    <x v="1"/>
    <x v="0"/>
    <x v="13"/>
    <x v="0"/>
    <x v="2"/>
    <x v="1"/>
    <x v="2"/>
    <x v="5"/>
    <n v="1"/>
    <x v="0"/>
  </r>
  <r>
    <d v="2024-11-01T00:00:00"/>
    <x v="3"/>
    <x v="2"/>
    <x v="0"/>
    <n v="707294997.40999997"/>
    <x v="3"/>
    <x v="2"/>
    <x v="0"/>
    <x v="14"/>
    <x v="0"/>
    <x v="2"/>
    <x v="1"/>
    <x v="2"/>
    <x v="5"/>
    <n v="1"/>
    <x v="0"/>
  </r>
  <r>
    <d v="2024-11-01T00:00:00"/>
    <x v="3"/>
    <x v="2"/>
    <x v="1"/>
    <n v="30914089956.880001"/>
    <x v="3"/>
    <x v="2"/>
    <x v="1"/>
    <x v="15"/>
    <x v="0"/>
    <x v="2"/>
    <x v="1"/>
    <x v="2"/>
    <x v="5"/>
    <n v="1"/>
    <x v="0"/>
  </r>
  <r>
    <d v="2024-10-31T00:00:00"/>
    <x v="0"/>
    <x v="0"/>
    <x v="0"/>
    <n v="434.3"/>
    <x v="0"/>
    <x v="0"/>
    <x v="0"/>
    <x v="0"/>
    <x v="0"/>
    <x v="2"/>
    <x v="1"/>
    <x v="2"/>
    <x v="6"/>
    <n v="31"/>
    <x v="0"/>
  </r>
  <r>
    <d v="2024-10-31T00:00:00"/>
    <x v="0"/>
    <x v="1"/>
    <x v="0"/>
    <n v="6781850.96"/>
    <x v="0"/>
    <x v="1"/>
    <x v="0"/>
    <x v="1"/>
    <x v="0"/>
    <x v="2"/>
    <x v="1"/>
    <x v="2"/>
    <x v="6"/>
    <n v="31"/>
    <x v="0"/>
  </r>
  <r>
    <d v="2024-10-31T00:00:00"/>
    <x v="3"/>
    <x v="2"/>
    <x v="2"/>
    <n v="294032"/>
    <x v="3"/>
    <x v="2"/>
    <x v="2"/>
    <x v="7"/>
    <x v="0"/>
    <x v="2"/>
    <x v="1"/>
    <x v="2"/>
    <x v="6"/>
    <n v="31"/>
    <x v="0"/>
  </r>
  <r>
    <d v="2024-10-31T00:00:00"/>
    <x v="3"/>
    <x v="3"/>
    <x v="2"/>
    <n v="35"/>
    <x v="3"/>
    <x v="3"/>
    <x v="2"/>
    <x v="2"/>
    <x v="0"/>
    <x v="2"/>
    <x v="1"/>
    <x v="2"/>
    <x v="6"/>
    <n v="31"/>
    <x v="0"/>
  </r>
  <r>
    <d v="2024-10-31T00:00:00"/>
    <x v="2"/>
    <x v="1"/>
    <x v="0"/>
    <n v="87840949.489999995"/>
    <x v="2"/>
    <x v="1"/>
    <x v="0"/>
    <x v="8"/>
    <x v="0"/>
    <x v="2"/>
    <x v="1"/>
    <x v="2"/>
    <x v="6"/>
    <n v="31"/>
    <x v="0"/>
  </r>
  <r>
    <d v="2024-10-31T00:00:00"/>
    <x v="3"/>
    <x v="3"/>
    <x v="1"/>
    <n v="27790.89"/>
    <x v="3"/>
    <x v="3"/>
    <x v="1"/>
    <x v="3"/>
    <x v="0"/>
    <x v="2"/>
    <x v="1"/>
    <x v="2"/>
    <x v="6"/>
    <n v="31"/>
    <x v="0"/>
  </r>
  <r>
    <d v="2024-10-31T00:00:00"/>
    <x v="0"/>
    <x v="1"/>
    <x v="1"/>
    <n v="10614019.76"/>
    <x v="0"/>
    <x v="1"/>
    <x v="1"/>
    <x v="4"/>
    <x v="0"/>
    <x v="2"/>
    <x v="1"/>
    <x v="2"/>
    <x v="6"/>
    <n v="31"/>
    <x v="0"/>
  </r>
  <r>
    <d v="2024-10-31T00:00:00"/>
    <x v="1"/>
    <x v="1"/>
    <x v="0"/>
    <n v="586444.99"/>
    <x v="1"/>
    <x v="1"/>
    <x v="0"/>
    <x v="5"/>
    <x v="0"/>
    <x v="2"/>
    <x v="1"/>
    <x v="2"/>
    <x v="6"/>
    <n v="31"/>
    <x v="0"/>
  </r>
  <r>
    <d v="2024-10-31T00:00:00"/>
    <x v="2"/>
    <x v="1"/>
    <x v="2"/>
    <n v="47122.82"/>
    <x v="2"/>
    <x v="1"/>
    <x v="2"/>
    <x v="6"/>
    <x v="0"/>
    <x v="2"/>
    <x v="1"/>
    <x v="2"/>
    <x v="6"/>
    <n v="31"/>
    <x v="0"/>
  </r>
  <r>
    <d v="2024-10-31T00:00:00"/>
    <x v="2"/>
    <x v="1"/>
    <x v="1"/>
    <n v="182579595.34999999"/>
    <x v="2"/>
    <x v="1"/>
    <x v="1"/>
    <x v="10"/>
    <x v="0"/>
    <x v="2"/>
    <x v="1"/>
    <x v="2"/>
    <x v="6"/>
    <n v="31"/>
    <x v="0"/>
  </r>
  <r>
    <d v="2024-10-31T00:00:00"/>
    <x v="1"/>
    <x v="0"/>
    <x v="0"/>
    <n v="65749405.990000002"/>
    <x v="1"/>
    <x v="0"/>
    <x v="0"/>
    <x v="11"/>
    <x v="0"/>
    <x v="2"/>
    <x v="1"/>
    <x v="2"/>
    <x v="6"/>
    <n v="31"/>
    <x v="0"/>
  </r>
  <r>
    <d v="2024-10-31T00:00:00"/>
    <x v="3"/>
    <x v="3"/>
    <x v="0"/>
    <n v="5781140527.5500002"/>
    <x v="3"/>
    <x v="3"/>
    <x v="0"/>
    <x v="9"/>
    <x v="0"/>
    <x v="2"/>
    <x v="1"/>
    <x v="2"/>
    <x v="6"/>
    <n v="31"/>
    <x v="0"/>
  </r>
  <r>
    <d v="2024-10-31T00:00:00"/>
    <x v="1"/>
    <x v="0"/>
    <x v="1"/>
    <n v="246992576.47"/>
    <x v="1"/>
    <x v="0"/>
    <x v="1"/>
    <x v="12"/>
    <x v="0"/>
    <x v="2"/>
    <x v="1"/>
    <x v="2"/>
    <x v="6"/>
    <n v="31"/>
    <x v="0"/>
  </r>
  <r>
    <d v="2024-10-31T00:00:00"/>
    <x v="3"/>
    <x v="1"/>
    <x v="0"/>
    <n v="15695108.48"/>
    <x v="3"/>
    <x v="1"/>
    <x v="0"/>
    <x v="13"/>
    <x v="0"/>
    <x v="2"/>
    <x v="1"/>
    <x v="2"/>
    <x v="6"/>
    <n v="31"/>
    <x v="0"/>
  </r>
  <r>
    <d v="2024-10-31T00:00:00"/>
    <x v="3"/>
    <x v="2"/>
    <x v="1"/>
    <n v="11501890966.889999"/>
    <x v="3"/>
    <x v="2"/>
    <x v="1"/>
    <x v="14"/>
    <x v="0"/>
    <x v="2"/>
    <x v="1"/>
    <x v="2"/>
    <x v="6"/>
    <n v="31"/>
    <x v="0"/>
  </r>
  <r>
    <d v="2024-10-31T00:00:00"/>
    <x v="3"/>
    <x v="2"/>
    <x v="0"/>
    <n v="875111812.22000003"/>
    <x v="3"/>
    <x v="2"/>
    <x v="0"/>
    <x v="15"/>
    <x v="0"/>
    <x v="2"/>
    <x v="1"/>
    <x v="2"/>
    <x v="6"/>
    <n v="31"/>
    <x v="0"/>
  </r>
  <r>
    <d v="2024-10-30T00:00:00"/>
    <x v="1"/>
    <x v="1"/>
    <x v="0"/>
    <n v="173738.37"/>
    <x v="1"/>
    <x v="1"/>
    <x v="0"/>
    <x v="0"/>
    <x v="0"/>
    <x v="2"/>
    <x v="1"/>
    <x v="2"/>
    <x v="6"/>
    <n v="30"/>
    <x v="0"/>
  </r>
  <r>
    <d v="2024-10-30T00:00:00"/>
    <x v="0"/>
    <x v="1"/>
    <x v="0"/>
    <n v="5057923.43"/>
    <x v="0"/>
    <x v="1"/>
    <x v="0"/>
    <x v="1"/>
    <x v="0"/>
    <x v="2"/>
    <x v="1"/>
    <x v="2"/>
    <x v="6"/>
    <n v="30"/>
    <x v="0"/>
  </r>
  <r>
    <d v="2024-10-30T00:00:00"/>
    <x v="3"/>
    <x v="3"/>
    <x v="0"/>
    <n v="1612375070.8199999"/>
    <x v="3"/>
    <x v="3"/>
    <x v="0"/>
    <x v="6"/>
    <x v="0"/>
    <x v="2"/>
    <x v="1"/>
    <x v="2"/>
    <x v="6"/>
    <n v="30"/>
    <x v="0"/>
  </r>
  <r>
    <d v="2024-10-30T00:00:00"/>
    <x v="2"/>
    <x v="1"/>
    <x v="0"/>
    <n v="84813093.579999998"/>
    <x v="2"/>
    <x v="1"/>
    <x v="0"/>
    <x v="7"/>
    <x v="0"/>
    <x v="2"/>
    <x v="1"/>
    <x v="2"/>
    <x v="6"/>
    <n v="30"/>
    <x v="0"/>
  </r>
  <r>
    <d v="2024-10-30T00:00:00"/>
    <x v="3"/>
    <x v="3"/>
    <x v="1"/>
    <n v="6306.13"/>
    <x v="3"/>
    <x v="3"/>
    <x v="1"/>
    <x v="2"/>
    <x v="0"/>
    <x v="2"/>
    <x v="1"/>
    <x v="2"/>
    <x v="6"/>
    <n v="30"/>
    <x v="0"/>
  </r>
  <r>
    <d v="2024-10-30T00:00:00"/>
    <x v="0"/>
    <x v="1"/>
    <x v="1"/>
    <n v="8492383.6600000001"/>
    <x v="0"/>
    <x v="1"/>
    <x v="1"/>
    <x v="3"/>
    <x v="0"/>
    <x v="2"/>
    <x v="1"/>
    <x v="2"/>
    <x v="6"/>
    <n v="30"/>
    <x v="0"/>
  </r>
  <r>
    <d v="2024-10-30T00:00:00"/>
    <x v="2"/>
    <x v="1"/>
    <x v="2"/>
    <n v="465586.39"/>
    <x v="2"/>
    <x v="1"/>
    <x v="2"/>
    <x v="4"/>
    <x v="0"/>
    <x v="2"/>
    <x v="1"/>
    <x v="2"/>
    <x v="6"/>
    <n v="30"/>
    <x v="0"/>
  </r>
  <r>
    <d v="2024-10-30T00:00:00"/>
    <x v="3"/>
    <x v="2"/>
    <x v="2"/>
    <n v="349091"/>
    <x v="3"/>
    <x v="2"/>
    <x v="2"/>
    <x v="5"/>
    <x v="0"/>
    <x v="2"/>
    <x v="1"/>
    <x v="2"/>
    <x v="6"/>
    <n v="30"/>
    <x v="0"/>
  </r>
  <r>
    <d v="2024-10-30T00:00:00"/>
    <x v="2"/>
    <x v="1"/>
    <x v="1"/>
    <n v="144534500.03999999"/>
    <x v="2"/>
    <x v="1"/>
    <x v="1"/>
    <x v="8"/>
    <x v="0"/>
    <x v="2"/>
    <x v="1"/>
    <x v="2"/>
    <x v="6"/>
    <n v="30"/>
    <x v="0"/>
  </r>
  <r>
    <d v="2024-10-30T00:00:00"/>
    <x v="1"/>
    <x v="0"/>
    <x v="0"/>
    <n v="98956887.469999999"/>
    <x v="1"/>
    <x v="0"/>
    <x v="0"/>
    <x v="9"/>
    <x v="0"/>
    <x v="2"/>
    <x v="1"/>
    <x v="2"/>
    <x v="6"/>
    <n v="30"/>
    <x v="0"/>
  </r>
  <r>
    <d v="2024-10-30T00:00:00"/>
    <x v="1"/>
    <x v="0"/>
    <x v="1"/>
    <n v="797142685.10000002"/>
    <x v="1"/>
    <x v="0"/>
    <x v="1"/>
    <x v="10"/>
    <x v="0"/>
    <x v="2"/>
    <x v="1"/>
    <x v="2"/>
    <x v="6"/>
    <n v="30"/>
    <x v="0"/>
  </r>
  <r>
    <d v="2024-10-30T00:00:00"/>
    <x v="3"/>
    <x v="1"/>
    <x v="0"/>
    <n v="14974681.91"/>
    <x v="3"/>
    <x v="1"/>
    <x v="0"/>
    <x v="11"/>
    <x v="0"/>
    <x v="2"/>
    <x v="1"/>
    <x v="2"/>
    <x v="6"/>
    <n v="30"/>
    <x v="0"/>
  </r>
  <r>
    <d v="2024-10-30T00:00:00"/>
    <x v="3"/>
    <x v="2"/>
    <x v="0"/>
    <n v="496091936.06999999"/>
    <x v="3"/>
    <x v="2"/>
    <x v="0"/>
    <x v="12"/>
    <x v="0"/>
    <x v="2"/>
    <x v="1"/>
    <x v="2"/>
    <x v="6"/>
    <n v="30"/>
    <x v="0"/>
  </r>
  <r>
    <d v="2024-10-30T00:00:00"/>
    <x v="3"/>
    <x v="2"/>
    <x v="1"/>
    <n v="12835444310.9"/>
    <x v="3"/>
    <x v="2"/>
    <x v="1"/>
    <x v="13"/>
    <x v="0"/>
    <x v="2"/>
    <x v="1"/>
    <x v="2"/>
    <x v="6"/>
    <n v="30"/>
    <x v="0"/>
  </r>
  <r>
    <d v="2024-10-29T00:00:00"/>
    <x v="0"/>
    <x v="0"/>
    <x v="0"/>
    <n v="95"/>
    <x v="0"/>
    <x v="0"/>
    <x v="0"/>
    <x v="0"/>
    <x v="0"/>
    <x v="2"/>
    <x v="1"/>
    <x v="2"/>
    <x v="6"/>
    <n v="29"/>
    <x v="0"/>
  </r>
  <r>
    <d v="2024-10-29T00:00:00"/>
    <x v="0"/>
    <x v="1"/>
    <x v="0"/>
    <n v="9016446.4800000004"/>
    <x v="0"/>
    <x v="1"/>
    <x v="0"/>
    <x v="1"/>
    <x v="0"/>
    <x v="2"/>
    <x v="1"/>
    <x v="2"/>
    <x v="6"/>
    <n v="29"/>
    <x v="0"/>
  </r>
  <r>
    <d v="2024-10-29T00:00:00"/>
    <x v="3"/>
    <x v="2"/>
    <x v="2"/>
    <n v="611227"/>
    <x v="3"/>
    <x v="2"/>
    <x v="2"/>
    <x v="6"/>
    <x v="0"/>
    <x v="2"/>
    <x v="1"/>
    <x v="2"/>
    <x v="6"/>
    <n v="29"/>
    <x v="0"/>
  </r>
  <r>
    <d v="2024-10-29T00:00:00"/>
    <x v="3"/>
    <x v="3"/>
    <x v="0"/>
    <n v="2073336212.28"/>
    <x v="3"/>
    <x v="3"/>
    <x v="0"/>
    <x v="7"/>
    <x v="0"/>
    <x v="2"/>
    <x v="1"/>
    <x v="2"/>
    <x v="6"/>
    <n v="29"/>
    <x v="0"/>
  </r>
  <r>
    <d v="2024-10-29T00:00:00"/>
    <x v="2"/>
    <x v="1"/>
    <x v="2"/>
    <n v="3831.83"/>
    <x v="2"/>
    <x v="1"/>
    <x v="2"/>
    <x v="2"/>
    <x v="0"/>
    <x v="2"/>
    <x v="1"/>
    <x v="2"/>
    <x v="6"/>
    <n v="29"/>
    <x v="0"/>
  </r>
  <r>
    <d v="2024-10-29T00:00:00"/>
    <x v="2"/>
    <x v="1"/>
    <x v="0"/>
    <n v="94365302.150000006"/>
    <x v="2"/>
    <x v="1"/>
    <x v="0"/>
    <x v="8"/>
    <x v="0"/>
    <x v="2"/>
    <x v="1"/>
    <x v="2"/>
    <x v="6"/>
    <n v="29"/>
    <x v="0"/>
  </r>
  <r>
    <d v="2024-10-29T00:00:00"/>
    <x v="3"/>
    <x v="3"/>
    <x v="1"/>
    <n v="4854.5600000000004"/>
    <x v="3"/>
    <x v="3"/>
    <x v="1"/>
    <x v="3"/>
    <x v="0"/>
    <x v="2"/>
    <x v="1"/>
    <x v="2"/>
    <x v="6"/>
    <n v="29"/>
    <x v="0"/>
  </r>
  <r>
    <d v="2024-10-29T00:00:00"/>
    <x v="0"/>
    <x v="1"/>
    <x v="1"/>
    <n v="14080278.92"/>
    <x v="0"/>
    <x v="1"/>
    <x v="1"/>
    <x v="4"/>
    <x v="0"/>
    <x v="2"/>
    <x v="1"/>
    <x v="2"/>
    <x v="6"/>
    <n v="29"/>
    <x v="0"/>
  </r>
  <r>
    <d v="2024-10-29T00:00:00"/>
    <x v="1"/>
    <x v="1"/>
    <x v="0"/>
    <n v="691178.09"/>
    <x v="1"/>
    <x v="1"/>
    <x v="0"/>
    <x v="5"/>
    <x v="0"/>
    <x v="2"/>
    <x v="1"/>
    <x v="2"/>
    <x v="6"/>
    <n v="29"/>
    <x v="0"/>
  </r>
  <r>
    <d v="2024-10-29T00:00:00"/>
    <x v="2"/>
    <x v="1"/>
    <x v="1"/>
    <n v="190719760.27000001"/>
    <x v="2"/>
    <x v="1"/>
    <x v="1"/>
    <x v="9"/>
    <x v="0"/>
    <x v="2"/>
    <x v="1"/>
    <x v="2"/>
    <x v="6"/>
    <n v="29"/>
    <x v="0"/>
  </r>
  <r>
    <d v="2024-10-29T00:00:00"/>
    <x v="1"/>
    <x v="0"/>
    <x v="0"/>
    <n v="80937532.510000005"/>
    <x v="1"/>
    <x v="0"/>
    <x v="0"/>
    <x v="10"/>
    <x v="0"/>
    <x v="2"/>
    <x v="1"/>
    <x v="2"/>
    <x v="6"/>
    <n v="29"/>
    <x v="0"/>
  </r>
  <r>
    <d v="2024-10-29T00:00:00"/>
    <x v="1"/>
    <x v="0"/>
    <x v="1"/>
    <n v="445275428.56"/>
    <x v="1"/>
    <x v="0"/>
    <x v="1"/>
    <x v="11"/>
    <x v="0"/>
    <x v="2"/>
    <x v="1"/>
    <x v="2"/>
    <x v="6"/>
    <n v="29"/>
    <x v="0"/>
  </r>
  <r>
    <d v="2024-10-29T00:00:00"/>
    <x v="3"/>
    <x v="1"/>
    <x v="0"/>
    <n v="13522035.189999999"/>
    <x v="3"/>
    <x v="1"/>
    <x v="0"/>
    <x v="12"/>
    <x v="0"/>
    <x v="2"/>
    <x v="1"/>
    <x v="2"/>
    <x v="6"/>
    <n v="29"/>
    <x v="0"/>
  </r>
  <r>
    <d v="2024-10-29T00:00:00"/>
    <x v="3"/>
    <x v="2"/>
    <x v="0"/>
    <n v="850251810.10000002"/>
    <x v="3"/>
    <x v="2"/>
    <x v="0"/>
    <x v="13"/>
    <x v="0"/>
    <x v="2"/>
    <x v="1"/>
    <x v="2"/>
    <x v="6"/>
    <n v="29"/>
    <x v="0"/>
  </r>
  <r>
    <d v="2024-10-29T00:00:00"/>
    <x v="3"/>
    <x v="2"/>
    <x v="1"/>
    <n v="5267614140.4399996"/>
    <x v="3"/>
    <x v="2"/>
    <x v="1"/>
    <x v="14"/>
    <x v="0"/>
    <x v="2"/>
    <x v="1"/>
    <x v="2"/>
    <x v="6"/>
    <n v="29"/>
    <x v="0"/>
  </r>
  <r>
    <d v="2024-10-28T00:00:00"/>
    <x v="0"/>
    <x v="0"/>
    <x v="0"/>
    <n v="-18.260000000000002"/>
    <x v="0"/>
    <x v="0"/>
    <x v="0"/>
    <x v="0"/>
    <x v="0"/>
    <x v="2"/>
    <x v="1"/>
    <x v="2"/>
    <x v="6"/>
    <n v="28"/>
    <x v="1"/>
  </r>
  <r>
    <d v="2024-10-28T00:00:00"/>
    <x v="1"/>
    <x v="1"/>
    <x v="0"/>
    <n v="238253.8"/>
    <x v="1"/>
    <x v="1"/>
    <x v="0"/>
    <x v="1"/>
    <x v="0"/>
    <x v="2"/>
    <x v="1"/>
    <x v="2"/>
    <x v="6"/>
    <n v="28"/>
    <x v="0"/>
  </r>
  <r>
    <d v="2024-10-28T00:00:00"/>
    <x v="0"/>
    <x v="1"/>
    <x v="0"/>
    <n v="17999787.859999999"/>
    <x v="0"/>
    <x v="1"/>
    <x v="0"/>
    <x v="2"/>
    <x v="0"/>
    <x v="2"/>
    <x v="1"/>
    <x v="2"/>
    <x v="6"/>
    <n v="28"/>
    <x v="0"/>
  </r>
  <r>
    <d v="2024-10-28T00:00:00"/>
    <x v="3"/>
    <x v="3"/>
    <x v="2"/>
    <n v="280.60000000000002"/>
    <x v="3"/>
    <x v="3"/>
    <x v="2"/>
    <x v="3"/>
    <x v="0"/>
    <x v="2"/>
    <x v="1"/>
    <x v="2"/>
    <x v="6"/>
    <n v="28"/>
    <x v="0"/>
  </r>
  <r>
    <d v="2024-10-28T00:00:00"/>
    <x v="3"/>
    <x v="3"/>
    <x v="0"/>
    <n v="1704141230.0899999"/>
    <x v="3"/>
    <x v="3"/>
    <x v="0"/>
    <x v="7"/>
    <x v="0"/>
    <x v="2"/>
    <x v="1"/>
    <x v="2"/>
    <x v="6"/>
    <n v="28"/>
    <x v="0"/>
  </r>
  <r>
    <d v="2024-10-28T00:00:00"/>
    <x v="0"/>
    <x v="1"/>
    <x v="1"/>
    <n v="7820940.9500000002"/>
    <x v="0"/>
    <x v="1"/>
    <x v="1"/>
    <x v="4"/>
    <x v="0"/>
    <x v="2"/>
    <x v="1"/>
    <x v="2"/>
    <x v="6"/>
    <n v="28"/>
    <x v="0"/>
  </r>
  <r>
    <d v="2024-10-28T00:00:00"/>
    <x v="2"/>
    <x v="1"/>
    <x v="0"/>
    <n v="81487468.849999994"/>
    <x v="2"/>
    <x v="1"/>
    <x v="0"/>
    <x v="8"/>
    <x v="0"/>
    <x v="2"/>
    <x v="1"/>
    <x v="2"/>
    <x v="6"/>
    <n v="28"/>
    <x v="0"/>
  </r>
  <r>
    <d v="2024-10-28T00:00:00"/>
    <x v="3"/>
    <x v="2"/>
    <x v="2"/>
    <n v="258590"/>
    <x v="3"/>
    <x v="2"/>
    <x v="2"/>
    <x v="6"/>
    <x v="0"/>
    <x v="2"/>
    <x v="1"/>
    <x v="2"/>
    <x v="6"/>
    <n v="28"/>
    <x v="0"/>
  </r>
  <r>
    <d v="2024-10-28T00:00:00"/>
    <x v="2"/>
    <x v="1"/>
    <x v="2"/>
    <n v="43657.86"/>
    <x v="2"/>
    <x v="1"/>
    <x v="2"/>
    <x v="5"/>
    <x v="0"/>
    <x v="2"/>
    <x v="1"/>
    <x v="2"/>
    <x v="6"/>
    <n v="28"/>
    <x v="0"/>
  </r>
  <r>
    <d v="2024-10-28T00:00:00"/>
    <x v="2"/>
    <x v="1"/>
    <x v="1"/>
    <n v="144573026.77000001"/>
    <x v="2"/>
    <x v="1"/>
    <x v="1"/>
    <x v="9"/>
    <x v="0"/>
    <x v="2"/>
    <x v="1"/>
    <x v="2"/>
    <x v="6"/>
    <n v="28"/>
    <x v="0"/>
  </r>
  <r>
    <d v="2024-10-28T00:00:00"/>
    <x v="1"/>
    <x v="0"/>
    <x v="0"/>
    <n v="75663013.439999998"/>
    <x v="1"/>
    <x v="0"/>
    <x v="0"/>
    <x v="10"/>
    <x v="0"/>
    <x v="2"/>
    <x v="1"/>
    <x v="2"/>
    <x v="6"/>
    <n v="28"/>
    <x v="0"/>
  </r>
  <r>
    <d v="2024-10-28T00:00:00"/>
    <x v="1"/>
    <x v="0"/>
    <x v="1"/>
    <n v="758416976.60000002"/>
    <x v="1"/>
    <x v="0"/>
    <x v="1"/>
    <x v="11"/>
    <x v="0"/>
    <x v="2"/>
    <x v="1"/>
    <x v="2"/>
    <x v="6"/>
    <n v="28"/>
    <x v="0"/>
  </r>
  <r>
    <d v="2024-10-28T00:00:00"/>
    <x v="3"/>
    <x v="2"/>
    <x v="0"/>
    <n v="756140534.76999998"/>
    <x v="3"/>
    <x v="2"/>
    <x v="0"/>
    <x v="12"/>
    <x v="0"/>
    <x v="2"/>
    <x v="1"/>
    <x v="2"/>
    <x v="6"/>
    <n v="28"/>
    <x v="0"/>
  </r>
  <r>
    <d v="2024-10-28T00:00:00"/>
    <x v="3"/>
    <x v="1"/>
    <x v="0"/>
    <n v="47980690.259999998"/>
    <x v="3"/>
    <x v="1"/>
    <x v="0"/>
    <x v="13"/>
    <x v="0"/>
    <x v="2"/>
    <x v="1"/>
    <x v="2"/>
    <x v="6"/>
    <n v="28"/>
    <x v="0"/>
  </r>
  <r>
    <d v="2024-10-28T00:00:00"/>
    <x v="3"/>
    <x v="2"/>
    <x v="1"/>
    <n v="27348783157.709999"/>
    <x v="3"/>
    <x v="2"/>
    <x v="1"/>
    <x v="14"/>
    <x v="0"/>
    <x v="2"/>
    <x v="1"/>
    <x v="2"/>
    <x v="6"/>
    <n v="28"/>
    <x v="0"/>
  </r>
  <r>
    <d v="2024-10-25T00:00:00"/>
    <x v="3"/>
    <x v="2"/>
    <x v="2"/>
    <n v="467565.1"/>
    <x v="3"/>
    <x v="2"/>
    <x v="2"/>
    <x v="6"/>
    <x v="0"/>
    <x v="2"/>
    <x v="1"/>
    <x v="2"/>
    <x v="6"/>
    <n v="25"/>
    <x v="0"/>
  </r>
  <r>
    <d v="2024-10-25T00:00:00"/>
    <x v="0"/>
    <x v="0"/>
    <x v="0"/>
    <n v="533.26"/>
    <x v="0"/>
    <x v="0"/>
    <x v="0"/>
    <x v="0"/>
    <x v="0"/>
    <x v="2"/>
    <x v="1"/>
    <x v="2"/>
    <x v="6"/>
    <n v="25"/>
    <x v="0"/>
  </r>
  <r>
    <d v="2024-10-25T00:00:00"/>
    <x v="1"/>
    <x v="1"/>
    <x v="0"/>
    <n v="684594.93"/>
    <x v="1"/>
    <x v="1"/>
    <x v="0"/>
    <x v="1"/>
    <x v="0"/>
    <x v="2"/>
    <x v="1"/>
    <x v="2"/>
    <x v="6"/>
    <n v="25"/>
    <x v="0"/>
  </r>
  <r>
    <d v="2024-10-25T00:00:00"/>
    <x v="0"/>
    <x v="1"/>
    <x v="0"/>
    <n v="9684316.0099999998"/>
    <x v="0"/>
    <x v="1"/>
    <x v="0"/>
    <x v="2"/>
    <x v="0"/>
    <x v="2"/>
    <x v="1"/>
    <x v="2"/>
    <x v="6"/>
    <n v="25"/>
    <x v="0"/>
  </r>
  <r>
    <d v="2024-10-25T00:00:00"/>
    <x v="2"/>
    <x v="1"/>
    <x v="2"/>
    <n v="55190.559999999998"/>
    <x v="2"/>
    <x v="1"/>
    <x v="2"/>
    <x v="3"/>
    <x v="0"/>
    <x v="2"/>
    <x v="1"/>
    <x v="2"/>
    <x v="6"/>
    <n v="25"/>
    <x v="0"/>
  </r>
  <r>
    <d v="2024-10-25T00:00:00"/>
    <x v="3"/>
    <x v="3"/>
    <x v="0"/>
    <n v="1746477798.8699999"/>
    <x v="3"/>
    <x v="3"/>
    <x v="0"/>
    <x v="7"/>
    <x v="0"/>
    <x v="2"/>
    <x v="1"/>
    <x v="2"/>
    <x v="6"/>
    <n v="25"/>
    <x v="0"/>
  </r>
  <r>
    <d v="2024-10-25T00:00:00"/>
    <x v="2"/>
    <x v="1"/>
    <x v="0"/>
    <n v="106577800.67"/>
    <x v="2"/>
    <x v="1"/>
    <x v="0"/>
    <x v="8"/>
    <x v="0"/>
    <x v="2"/>
    <x v="1"/>
    <x v="2"/>
    <x v="6"/>
    <n v="25"/>
    <x v="0"/>
  </r>
  <r>
    <d v="2024-10-25T00:00:00"/>
    <x v="0"/>
    <x v="1"/>
    <x v="1"/>
    <n v="24797572.32"/>
    <x v="0"/>
    <x v="1"/>
    <x v="1"/>
    <x v="5"/>
    <x v="0"/>
    <x v="2"/>
    <x v="1"/>
    <x v="2"/>
    <x v="6"/>
    <n v="25"/>
    <x v="0"/>
  </r>
  <r>
    <d v="2024-10-25T00:00:00"/>
    <x v="3"/>
    <x v="3"/>
    <x v="1"/>
    <n v="1840519.16"/>
    <x v="3"/>
    <x v="3"/>
    <x v="1"/>
    <x v="4"/>
    <x v="0"/>
    <x v="2"/>
    <x v="1"/>
    <x v="2"/>
    <x v="6"/>
    <n v="25"/>
    <x v="0"/>
  </r>
  <r>
    <d v="2024-10-25T00:00:00"/>
    <x v="2"/>
    <x v="1"/>
    <x v="1"/>
    <n v="495144460.85000002"/>
    <x v="2"/>
    <x v="1"/>
    <x v="1"/>
    <x v="9"/>
    <x v="0"/>
    <x v="2"/>
    <x v="1"/>
    <x v="2"/>
    <x v="6"/>
    <n v="25"/>
    <x v="0"/>
  </r>
  <r>
    <d v="2024-10-25T00:00:00"/>
    <x v="1"/>
    <x v="0"/>
    <x v="0"/>
    <n v="54730150.490000002"/>
    <x v="1"/>
    <x v="0"/>
    <x v="0"/>
    <x v="10"/>
    <x v="0"/>
    <x v="2"/>
    <x v="1"/>
    <x v="2"/>
    <x v="6"/>
    <n v="25"/>
    <x v="0"/>
  </r>
  <r>
    <d v="2024-10-25T00:00:00"/>
    <x v="1"/>
    <x v="0"/>
    <x v="1"/>
    <n v="600615728.05999994"/>
    <x v="1"/>
    <x v="0"/>
    <x v="1"/>
    <x v="11"/>
    <x v="0"/>
    <x v="2"/>
    <x v="1"/>
    <x v="2"/>
    <x v="6"/>
    <n v="25"/>
    <x v="0"/>
  </r>
  <r>
    <d v="2024-10-25T00:00:00"/>
    <x v="3"/>
    <x v="1"/>
    <x v="0"/>
    <n v="14528309.380000001"/>
    <x v="3"/>
    <x v="1"/>
    <x v="0"/>
    <x v="12"/>
    <x v="0"/>
    <x v="2"/>
    <x v="1"/>
    <x v="2"/>
    <x v="6"/>
    <n v="25"/>
    <x v="0"/>
  </r>
  <r>
    <d v="2024-10-25T00:00:00"/>
    <x v="3"/>
    <x v="2"/>
    <x v="1"/>
    <n v="11025985217.360001"/>
    <x v="3"/>
    <x v="2"/>
    <x v="1"/>
    <x v="13"/>
    <x v="0"/>
    <x v="2"/>
    <x v="1"/>
    <x v="2"/>
    <x v="6"/>
    <n v="25"/>
    <x v="0"/>
  </r>
  <r>
    <d v="2024-10-25T00:00:00"/>
    <x v="3"/>
    <x v="2"/>
    <x v="0"/>
    <n v="501019698.86000001"/>
    <x v="3"/>
    <x v="2"/>
    <x v="0"/>
    <x v="14"/>
    <x v="0"/>
    <x v="2"/>
    <x v="1"/>
    <x v="2"/>
    <x v="6"/>
    <n v="25"/>
    <x v="0"/>
  </r>
  <r>
    <d v="2024-10-24T00:00:00"/>
    <x v="0"/>
    <x v="0"/>
    <x v="0"/>
    <n v="974.25"/>
    <x v="0"/>
    <x v="0"/>
    <x v="0"/>
    <x v="0"/>
    <x v="0"/>
    <x v="2"/>
    <x v="1"/>
    <x v="2"/>
    <x v="6"/>
    <n v="24"/>
    <x v="0"/>
  </r>
  <r>
    <d v="2024-10-24T00:00:00"/>
    <x v="0"/>
    <x v="1"/>
    <x v="0"/>
    <n v="13380158.16"/>
    <x v="0"/>
    <x v="1"/>
    <x v="0"/>
    <x v="1"/>
    <x v="0"/>
    <x v="2"/>
    <x v="1"/>
    <x v="2"/>
    <x v="6"/>
    <n v="24"/>
    <x v="0"/>
  </r>
  <r>
    <d v="2024-10-24T00:00:00"/>
    <x v="3"/>
    <x v="2"/>
    <x v="2"/>
    <n v="380603.63"/>
    <x v="3"/>
    <x v="2"/>
    <x v="2"/>
    <x v="6"/>
    <x v="0"/>
    <x v="2"/>
    <x v="1"/>
    <x v="2"/>
    <x v="6"/>
    <n v="24"/>
    <x v="0"/>
  </r>
  <r>
    <d v="2024-10-24T00:00:00"/>
    <x v="2"/>
    <x v="1"/>
    <x v="0"/>
    <n v="97707438.909999996"/>
    <x v="2"/>
    <x v="1"/>
    <x v="0"/>
    <x v="7"/>
    <x v="0"/>
    <x v="2"/>
    <x v="1"/>
    <x v="2"/>
    <x v="6"/>
    <n v="24"/>
    <x v="0"/>
  </r>
  <r>
    <d v="2024-10-24T00:00:00"/>
    <x v="3"/>
    <x v="3"/>
    <x v="1"/>
    <n v="1638757.4"/>
    <x v="3"/>
    <x v="3"/>
    <x v="1"/>
    <x v="2"/>
    <x v="0"/>
    <x v="2"/>
    <x v="1"/>
    <x v="2"/>
    <x v="6"/>
    <n v="24"/>
    <x v="0"/>
  </r>
  <r>
    <d v="2024-10-24T00:00:00"/>
    <x v="0"/>
    <x v="1"/>
    <x v="1"/>
    <n v="13711750.25"/>
    <x v="0"/>
    <x v="1"/>
    <x v="1"/>
    <x v="3"/>
    <x v="0"/>
    <x v="2"/>
    <x v="1"/>
    <x v="2"/>
    <x v="6"/>
    <n v="24"/>
    <x v="0"/>
  </r>
  <r>
    <d v="2024-10-24T00:00:00"/>
    <x v="3"/>
    <x v="3"/>
    <x v="0"/>
    <n v="1075828380.26"/>
    <x v="3"/>
    <x v="3"/>
    <x v="0"/>
    <x v="8"/>
    <x v="0"/>
    <x v="2"/>
    <x v="1"/>
    <x v="2"/>
    <x v="6"/>
    <n v="24"/>
    <x v="0"/>
  </r>
  <r>
    <d v="2024-10-24T00:00:00"/>
    <x v="2"/>
    <x v="1"/>
    <x v="2"/>
    <n v="79"/>
    <x v="2"/>
    <x v="1"/>
    <x v="2"/>
    <x v="4"/>
    <x v="0"/>
    <x v="2"/>
    <x v="1"/>
    <x v="2"/>
    <x v="6"/>
    <n v="24"/>
    <x v="0"/>
  </r>
  <r>
    <d v="2024-10-24T00:00:00"/>
    <x v="2"/>
    <x v="1"/>
    <x v="1"/>
    <n v="347531119.68000001"/>
    <x v="2"/>
    <x v="1"/>
    <x v="1"/>
    <x v="9"/>
    <x v="0"/>
    <x v="2"/>
    <x v="1"/>
    <x v="2"/>
    <x v="6"/>
    <n v="24"/>
    <x v="0"/>
  </r>
  <r>
    <d v="2024-10-24T00:00:00"/>
    <x v="1"/>
    <x v="1"/>
    <x v="0"/>
    <n v="754165.02"/>
    <x v="1"/>
    <x v="1"/>
    <x v="0"/>
    <x v="5"/>
    <x v="0"/>
    <x v="2"/>
    <x v="1"/>
    <x v="2"/>
    <x v="6"/>
    <n v="24"/>
    <x v="0"/>
  </r>
  <r>
    <d v="2024-10-24T00:00:00"/>
    <x v="1"/>
    <x v="0"/>
    <x v="0"/>
    <n v="79106037.620000005"/>
    <x v="1"/>
    <x v="0"/>
    <x v="0"/>
    <x v="10"/>
    <x v="0"/>
    <x v="2"/>
    <x v="1"/>
    <x v="2"/>
    <x v="6"/>
    <n v="24"/>
    <x v="0"/>
  </r>
  <r>
    <d v="2024-10-24T00:00:00"/>
    <x v="1"/>
    <x v="0"/>
    <x v="1"/>
    <n v="1326745790.53"/>
    <x v="1"/>
    <x v="0"/>
    <x v="1"/>
    <x v="11"/>
    <x v="0"/>
    <x v="2"/>
    <x v="1"/>
    <x v="2"/>
    <x v="6"/>
    <n v="24"/>
    <x v="0"/>
  </r>
  <r>
    <d v="2024-10-24T00:00:00"/>
    <x v="3"/>
    <x v="1"/>
    <x v="0"/>
    <n v="14247039.439999999"/>
    <x v="3"/>
    <x v="1"/>
    <x v="0"/>
    <x v="12"/>
    <x v="0"/>
    <x v="2"/>
    <x v="1"/>
    <x v="2"/>
    <x v="6"/>
    <n v="24"/>
    <x v="0"/>
  </r>
  <r>
    <d v="2024-10-24T00:00:00"/>
    <x v="3"/>
    <x v="2"/>
    <x v="1"/>
    <n v="3317924755.4499998"/>
    <x v="3"/>
    <x v="2"/>
    <x v="1"/>
    <x v="13"/>
    <x v="0"/>
    <x v="2"/>
    <x v="1"/>
    <x v="2"/>
    <x v="6"/>
    <n v="24"/>
    <x v="0"/>
  </r>
  <r>
    <d v="2024-10-24T00:00:00"/>
    <x v="3"/>
    <x v="2"/>
    <x v="0"/>
    <n v="471420911.79000002"/>
    <x v="3"/>
    <x v="2"/>
    <x v="0"/>
    <x v="14"/>
    <x v="0"/>
    <x v="2"/>
    <x v="1"/>
    <x v="2"/>
    <x v="6"/>
    <n v="24"/>
    <x v="0"/>
  </r>
  <r>
    <d v="2024-10-23T00:00:00"/>
    <x v="0"/>
    <x v="0"/>
    <x v="0"/>
    <n v="1200"/>
    <x v="0"/>
    <x v="0"/>
    <x v="0"/>
    <x v="0"/>
    <x v="0"/>
    <x v="2"/>
    <x v="1"/>
    <x v="2"/>
    <x v="6"/>
    <n v="23"/>
    <x v="0"/>
  </r>
  <r>
    <d v="2024-10-23T00:00:00"/>
    <x v="1"/>
    <x v="1"/>
    <x v="0"/>
    <n v="346162.74"/>
    <x v="1"/>
    <x v="1"/>
    <x v="0"/>
    <x v="1"/>
    <x v="0"/>
    <x v="2"/>
    <x v="1"/>
    <x v="2"/>
    <x v="6"/>
    <n v="23"/>
    <x v="0"/>
  </r>
  <r>
    <d v="2024-10-23T00:00:00"/>
    <x v="0"/>
    <x v="1"/>
    <x v="0"/>
    <n v="14824009.35"/>
    <x v="0"/>
    <x v="1"/>
    <x v="0"/>
    <x v="2"/>
    <x v="0"/>
    <x v="2"/>
    <x v="1"/>
    <x v="2"/>
    <x v="6"/>
    <n v="23"/>
    <x v="0"/>
  </r>
  <r>
    <d v="2024-10-23T00:00:00"/>
    <x v="2"/>
    <x v="1"/>
    <x v="2"/>
    <n v="171068.67"/>
    <x v="2"/>
    <x v="1"/>
    <x v="2"/>
    <x v="3"/>
    <x v="0"/>
    <x v="2"/>
    <x v="1"/>
    <x v="2"/>
    <x v="6"/>
    <n v="23"/>
    <x v="0"/>
  </r>
  <r>
    <d v="2024-10-23T00:00:00"/>
    <x v="2"/>
    <x v="1"/>
    <x v="0"/>
    <n v="74393456.890000001"/>
    <x v="2"/>
    <x v="1"/>
    <x v="0"/>
    <x v="7"/>
    <x v="0"/>
    <x v="2"/>
    <x v="1"/>
    <x v="2"/>
    <x v="6"/>
    <n v="23"/>
    <x v="0"/>
  </r>
  <r>
    <d v="2024-10-23T00:00:00"/>
    <x v="0"/>
    <x v="1"/>
    <x v="1"/>
    <n v="1177218.8700000001"/>
    <x v="0"/>
    <x v="1"/>
    <x v="1"/>
    <x v="4"/>
    <x v="0"/>
    <x v="2"/>
    <x v="1"/>
    <x v="2"/>
    <x v="6"/>
    <n v="23"/>
    <x v="0"/>
  </r>
  <r>
    <d v="2024-10-23T00:00:00"/>
    <x v="2"/>
    <x v="1"/>
    <x v="1"/>
    <n v="250567106.47"/>
    <x v="2"/>
    <x v="1"/>
    <x v="1"/>
    <x v="8"/>
    <x v="0"/>
    <x v="2"/>
    <x v="1"/>
    <x v="2"/>
    <x v="6"/>
    <n v="23"/>
    <x v="0"/>
  </r>
  <r>
    <d v="2024-10-23T00:00:00"/>
    <x v="3"/>
    <x v="2"/>
    <x v="2"/>
    <n v="252545"/>
    <x v="3"/>
    <x v="2"/>
    <x v="2"/>
    <x v="5"/>
    <x v="0"/>
    <x v="2"/>
    <x v="1"/>
    <x v="2"/>
    <x v="6"/>
    <n v="23"/>
    <x v="0"/>
  </r>
  <r>
    <d v="2024-10-23T00:00:00"/>
    <x v="3"/>
    <x v="3"/>
    <x v="0"/>
    <n v="1656921464.25"/>
    <x v="3"/>
    <x v="3"/>
    <x v="0"/>
    <x v="6"/>
    <x v="0"/>
    <x v="2"/>
    <x v="1"/>
    <x v="2"/>
    <x v="6"/>
    <n v="23"/>
    <x v="0"/>
  </r>
  <r>
    <d v="2024-10-23T00:00:00"/>
    <x v="1"/>
    <x v="0"/>
    <x v="0"/>
    <n v="104077045.27"/>
    <x v="1"/>
    <x v="0"/>
    <x v="0"/>
    <x v="9"/>
    <x v="0"/>
    <x v="2"/>
    <x v="1"/>
    <x v="2"/>
    <x v="6"/>
    <n v="23"/>
    <x v="0"/>
  </r>
  <r>
    <d v="2024-10-23T00:00:00"/>
    <x v="1"/>
    <x v="0"/>
    <x v="1"/>
    <n v="3937730216.4099998"/>
    <x v="1"/>
    <x v="0"/>
    <x v="1"/>
    <x v="10"/>
    <x v="0"/>
    <x v="2"/>
    <x v="1"/>
    <x v="2"/>
    <x v="6"/>
    <n v="23"/>
    <x v="0"/>
  </r>
  <r>
    <d v="2024-10-23T00:00:00"/>
    <x v="3"/>
    <x v="1"/>
    <x v="0"/>
    <n v="15158128.35"/>
    <x v="3"/>
    <x v="1"/>
    <x v="0"/>
    <x v="11"/>
    <x v="0"/>
    <x v="2"/>
    <x v="1"/>
    <x v="2"/>
    <x v="6"/>
    <n v="23"/>
    <x v="0"/>
  </r>
  <r>
    <d v="2024-10-23T00:00:00"/>
    <x v="3"/>
    <x v="2"/>
    <x v="0"/>
    <n v="6229388140.4700003"/>
    <x v="3"/>
    <x v="2"/>
    <x v="0"/>
    <x v="12"/>
    <x v="0"/>
    <x v="2"/>
    <x v="1"/>
    <x v="2"/>
    <x v="6"/>
    <n v="23"/>
    <x v="0"/>
  </r>
  <r>
    <d v="2024-10-23T00:00:00"/>
    <x v="3"/>
    <x v="2"/>
    <x v="1"/>
    <n v="11731608143.629999"/>
    <x v="3"/>
    <x v="2"/>
    <x v="1"/>
    <x v="13"/>
    <x v="0"/>
    <x v="2"/>
    <x v="1"/>
    <x v="2"/>
    <x v="6"/>
    <n v="23"/>
    <x v="0"/>
  </r>
  <r>
    <d v="2024-10-22T00:00:00"/>
    <x v="1"/>
    <x v="1"/>
    <x v="0"/>
    <n v="129820.8"/>
    <x v="1"/>
    <x v="1"/>
    <x v="0"/>
    <x v="0"/>
    <x v="0"/>
    <x v="2"/>
    <x v="1"/>
    <x v="2"/>
    <x v="6"/>
    <n v="22"/>
    <x v="0"/>
  </r>
  <r>
    <d v="2024-10-22T00:00:00"/>
    <x v="0"/>
    <x v="1"/>
    <x v="0"/>
    <n v="8138590.0099999998"/>
    <x v="0"/>
    <x v="1"/>
    <x v="0"/>
    <x v="1"/>
    <x v="0"/>
    <x v="2"/>
    <x v="1"/>
    <x v="2"/>
    <x v="6"/>
    <n v="22"/>
    <x v="0"/>
  </r>
  <r>
    <d v="2024-10-22T00:00:00"/>
    <x v="3"/>
    <x v="3"/>
    <x v="2"/>
    <n v="20"/>
    <x v="3"/>
    <x v="3"/>
    <x v="2"/>
    <x v="2"/>
    <x v="0"/>
    <x v="2"/>
    <x v="1"/>
    <x v="2"/>
    <x v="6"/>
    <n v="22"/>
    <x v="0"/>
  </r>
  <r>
    <d v="2024-10-22T00:00:00"/>
    <x v="2"/>
    <x v="1"/>
    <x v="2"/>
    <n v="80143.199999999997"/>
    <x v="2"/>
    <x v="1"/>
    <x v="2"/>
    <x v="3"/>
    <x v="0"/>
    <x v="2"/>
    <x v="1"/>
    <x v="2"/>
    <x v="6"/>
    <n v="22"/>
    <x v="0"/>
  </r>
  <r>
    <d v="2024-10-22T00:00:00"/>
    <x v="2"/>
    <x v="1"/>
    <x v="0"/>
    <n v="75244949.700000003"/>
    <x v="2"/>
    <x v="1"/>
    <x v="0"/>
    <x v="7"/>
    <x v="0"/>
    <x v="2"/>
    <x v="1"/>
    <x v="2"/>
    <x v="6"/>
    <n v="22"/>
    <x v="0"/>
  </r>
  <r>
    <d v="2024-10-22T00:00:00"/>
    <x v="0"/>
    <x v="1"/>
    <x v="1"/>
    <n v="2166762.41"/>
    <x v="0"/>
    <x v="1"/>
    <x v="1"/>
    <x v="4"/>
    <x v="0"/>
    <x v="2"/>
    <x v="1"/>
    <x v="2"/>
    <x v="6"/>
    <n v="22"/>
    <x v="0"/>
  </r>
  <r>
    <d v="2024-10-22T00:00:00"/>
    <x v="3"/>
    <x v="2"/>
    <x v="2"/>
    <n v="227488"/>
    <x v="3"/>
    <x v="2"/>
    <x v="2"/>
    <x v="5"/>
    <x v="0"/>
    <x v="2"/>
    <x v="1"/>
    <x v="2"/>
    <x v="6"/>
    <n v="22"/>
    <x v="0"/>
  </r>
  <r>
    <d v="2024-10-22T00:00:00"/>
    <x v="2"/>
    <x v="1"/>
    <x v="1"/>
    <n v="101417979.43000001"/>
    <x v="2"/>
    <x v="1"/>
    <x v="1"/>
    <x v="8"/>
    <x v="0"/>
    <x v="2"/>
    <x v="1"/>
    <x v="2"/>
    <x v="6"/>
    <n v="22"/>
    <x v="0"/>
  </r>
  <r>
    <d v="2024-10-22T00:00:00"/>
    <x v="3"/>
    <x v="3"/>
    <x v="0"/>
    <n v="840502519.87"/>
    <x v="3"/>
    <x v="3"/>
    <x v="0"/>
    <x v="6"/>
    <x v="0"/>
    <x v="2"/>
    <x v="1"/>
    <x v="2"/>
    <x v="6"/>
    <n v="22"/>
    <x v="0"/>
  </r>
  <r>
    <d v="2024-10-22T00:00:00"/>
    <x v="1"/>
    <x v="0"/>
    <x v="0"/>
    <n v="93548323.670000002"/>
    <x v="1"/>
    <x v="0"/>
    <x v="0"/>
    <x v="9"/>
    <x v="0"/>
    <x v="2"/>
    <x v="1"/>
    <x v="2"/>
    <x v="6"/>
    <n v="22"/>
    <x v="0"/>
  </r>
  <r>
    <d v="2024-10-22T00:00:00"/>
    <x v="1"/>
    <x v="0"/>
    <x v="1"/>
    <n v="1674959189.1400001"/>
    <x v="1"/>
    <x v="0"/>
    <x v="1"/>
    <x v="10"/>
    <x v="0"/>
    <x v="2"/>
    <x v="1"/>
    <x v="2"/>
    <x v="6"/>
    <n v="22"/>
    <x v="0"/>
  </r>
  <r>
    <d v="2024-10-22T00:00:00"/>
    <x v="3"/>
    <x v="1"/>
    <x v="0"/>
    <n v="13182446.76"/>
    <x v="3"/>
    <x v="1"/>
    <x v="0"/>
    <x v="11"/>
    <x v="0"/>
    <x v="2"/>
    <x v="1"/>
    <x v="2"/>
    <x v="6"/>
    <n v="22"/>
    <x v="0"/>
  </r>
  <r>
    <d v="2024-10-22T00:00:00"/>
    <x v="3"/>
    <x v="2"/>
    <x v="0"/>
    <n v="589993344.95000005"/>
    <x v="3"/>
    <x v="2"/>
    <x v="0"/>
    <x v="12"/>
    <x v="0"/>
    <x v="2"/>
    <x v="1"/>
    <x v="2"/>
    <x v="6"/>
    <n v="22"/>
    <x v="0"/>
  </r>
  <r>
    <d v="2024-10-22T00:00:00"/>
    <x v="3"/>
    <x v="2"/>
    <x v="1"/>
    <n v="3295190095.7199998"/>
    <x v="3"/>
    <x v="2"/>
    <x v="1"/>
    <x v="13"/>
    <x v="0"/>
    <x v="2"/>
    <x v="1"/>
    <x v="2"/>
    <x v="6"/>
    <n v="22"/>
    <x v="0"/>
  </r>
  <r>
    <d v="2024-10-21T00:00:00"/>
    <x v="0"/>
    <x v="0"/>
    <x v="0"/>
    <n v="403.41"/>
    <x v="0"/>
    <x v="0"/>
    <x v="0"/>
    <x v="0"/>
    <x v="0"/>
    <x v="2"/>
    <x v="1"/>
    <x v="2"/>
    <x v="6"/>
    <n v="21"/>
    <x v="0"/>
  </r>
  <r>
    <d v="2024-10-21T00:00:00"/>
    <x v="3"/>
    <x v="2"/>
    <x v="2"/>
    <n v="209704.11"/>
    <x v="3"/>
    <x v="2"/>
    <x v="2"/>
    <x v="5"/>
    <x v="0"/>
    <x v="2"/>
    <x v="1"/>
    <x v="2"/>
    <x v="6"/>
    <n v="21"/>
    <x v="0"/>
  </r>
  <r>
    <d v="2024-10-21T00:00:00"/>
    <x v="0"/>
    <x v="1"/>
    <x v="0"/>
    <n v="13168059.359999999"/>
    <x v="0"/>
    <x v="1"/>
    <x v="0"/>
    <x v="1"/>
    <x v="0"/>
    <x v="2"/>
    <x v="1"/>
    <x v="2"/>
    <x v="6"/>
    <n v="21"/>
    <x v="0"/>
  </r>
  <r>
    <d v="2024-10-21T00:00:00"/>
    <x v="2"/>
    <x v="1"/>
    <x v="2"/>
    <n v="39471.07"/>
    <x v="2"/>
    <x v="1"/>
    <x v="2"/>
    <x v="2"/>
    <x v="0"/>
    <x v="2"/>
    <x v="1"/>
    <x v="2"/>
    <x v="6"/>
    <n v="21"/>
    <x v="0"/>
  </r>
  <r>
    <d v="2024-10-21T00:00:00"/>
    <x v="0"/>
    <x v="1"/>
    <x v="1"/>
    <n v="2287143.8199999998"/>
    <x v="0"/>
    <x v="1"/>
    <x v="1"/>
    <x v="3"/>
    <x v="0"/>
    <x v="2"/>
    <x v="1"/>
    <x v="2"/>
    <x v="6"/>
    <n v="21"/>
    <x v="0"/>
  </r>
  <r>
    <d v="2024-10-21T00:00:00"/>
    <x v="1"/>
    <x v="1"/>
    <x v="0"/>
    <n v="891837.91"/>
    <x v="1"/>
    <x v="1"/>
    <x v="0"/>
    <x v="4"/>
    <x v="0"/>
    <x v="2"/>
    <x v="1"/>
    <x v="2"/>
    <x v="6"/>
    <n v="21"/>
    <x v="0"/>
  </r>
  <r>
    <d v="2024-10-21T00:00:00"/>
    <x v="2"/>
    <x v="1"/>
    <x v="0"/>
    <n v="71349483.010000005"/>
    <x v="2"/>
    <x v="1"/>
    <x v="0"/>
    <x v="6"/>
    <x v="0"/>
    <x v="2"/>
    <x v="1"/>
    <x v="2"/>
    <x v="6"/>
    <n v="21"/>
    <x v="0"/>
  </r>
  <r>
    <d v="2024-10-21T00:00:00"/>
    <x v="2"/>
    <x v="1"/>
    <x v="1"/>
    <n v="312449254.77999997"/>
    <x v="2"/>
    <x v="1"/>
    <x v="1"/>
    <x v="8"/>
    <x v="0"/>
    <x v="2"/>
    <x v="1"/>
    <x v="2"/>
    <x v="6"/>
    <n v="21"/>
    <x v="0"/>
  </r>
  <r>
    <d v="2024-10-21T00:00:00"/>
    <x v="1"/>
    <x v="0"/>
    <x v="0"/>
    <n v="87355759.590000004"/>
    <x v="1"/>
    <x v="0"/>
    <x v="0"/>
    <x v="9"/>
    <x v="0"/>
    <x v="2"/>
    <x v="1"/>
    <x v="2"/>
    <x v="6"/>
    <n v="21"/>
    <x v="0"/>
  </r>
  <r>
    <d v="2024-10-21T00:00:00"/>
    <x v="1"/>
    <x v="0"/>
    <x v="1"/>
    <n v="667011104.73000002"/>
    <x v="1"/>
    <x v="0"/>
    <x v="1"/>
    <x v="10"/>
    <x v="0"/>
    <x v="2"/>
    <x v="1"/>
    <x v="2"/>
    <x v="6"/>
    <n v="21"/>
    <x v="0"/>
  </r>
  <r>
    <d v="2024-10-21T00:00:00"/>
    <x v="3"/>
    <x v="3"/>
    <x v="0"/>
    <n v="2462746757.2199998"/>
    <x v="3"/>
    <x v="3"/>
    <x v="0"/>
    <x v="7"/>
    <x v="0"/>
    <x v="2"/>
    <x v="1"/>
    <x v="2"/>
    <x v="6"/>
    <n v="21"/>
    <x v="0"/>
  </r>
  <r>
    <d v="2024-10-21T00:00:00"/>
    <x v="3"/>
    <x v="1"/>
    <x v="0"/>
    <n v="49187987.210000001"/>
    <x v="3"/>
    <x v="1"/>
    <x v="0"/>
    <x v="11"/>
    <x v="0"/>
    <x v="2"/>
    <x v="1"/>
    <x v="2"/>
    <x v="6"/>
    <n v="21"/>
    <x v="0"/>
  </r>
  <r>
    <d v="2024-10-21T00:00:00"/>
    <x v="3"/>
    <x v="2"/>
    <x v="0"/>
    <n v="1053428441.96"/>
    <x v="3"/>
    <x v="2"/>
    <x v="0"/>
    <x v="12"/>
    <x v="0"/>
    <x v="2"/>
    <x v="1"/>
    <x v="2"/>
    <x v="6"/>
    <n v="21"/>
    <x v="0"/>
  </r>
  <r>
    <d v="2024-10-21T00:00:00"/>
    <x v="3"/>
    <x v="2"/>
    <x v="1"/>
    <n v="22635546816"/>
    <x v="3"/>
    <x v="2"/>
    <x v="1"/>
    <x v="13"/>
    <x v="0"/>
    <x v="2"/>
    <x v="1"/>
    <x v="2"/>
    <x v="6"/>
    <n v="21"/>
    <x v="0"/>
  </r>
  <r>
    <d v="2024-10-18T00:00:00"/>
    <x v="0"/>
    <x v="0"/>
    <x v="0"/>
    <n v="92.55"/>
    <x v="0"/>
    <x v="0"/>
    <x v="0"/>
    <x v="0"/>
    <x v="0"/>
    <x v="2"/>
    <x v="1"/>
    <x v="2"/>
    <x v="6"/>
    <n v="18"/>
    <x v="0"/>
  </r>
  <r>
    <d v="2024-10-18T00:00:00"/>
    <x v="0"/>
    <x v="1"/>
    <x v="0"/>
    <n v="22714820.370000001"/>
    <x v="0"/>
    <x v="1"/>
    <x v="0"/>
    <x v="1"/>
    <x v="0"/>
    <x v="2"/>
    <x v="1"/>
    <x v="2"/>
    <x v="6"/>
    <n v="18"/>
    <x v="0"/>
  </r>
  <r>
    <d v="2024-10-18T00:00:00"/>
    <x v="2"/>
    <x v="1"/>
    <x v="2"/>
    <n v="9448.23"/>
    <x v="2"/>
    <x v="1"/>
    <x v="2"/>
    <x v="2"/>
    <x v="0"/>
    <x v="2"/>
    <x v="1"/>
    <x v="2"/>
    <x v="6"/>
    <n v="18"/>
    <x v="0"/>
  </r>
  <r>
    <d v="2024-10-18T00:00:00"/>
    <x v="3"/>
    <x v="3"/>
    <x v="1"/>
    <n v="721240.05"/>
    <x v="3"/>
    <x v="3"/>
    <x v="1"/>
    <x v="3"/>
    <x v="0"/>
    <x v="2"/>
    <x v="1"/>
    <x v="2"/>
    <x v="6"/>
    <n v="18"/>
    <x v="0"/>
  </r>
  <r>
    <d v="2024-10-18T00:00:00"/>
    <x v="0"/>
    <x v="1"/>
    <x v="1"/>
    <n v="3603691.88"/>
    <x v="0"/>
    <x v="1"/>
    <x v="1"/>
    <x v="4"/>
    <x v="0"/>
    <x v="2"/>
    <x v="1"/>
    <x v="2"/>
    <x v="6"/>
    <n v="18"/>
    <x v="0"/>
  </r>
  <r>
    <d v="2024-10-18T00:00:00"/>
    <x v="1"/>
    <x v="1"/>
    <x v="0"/>
    <n v="814015.43"/>
    <x v="1"/>
    <x v="1"/>
    <x v="0"/>
    <x v="5"/>
    <x v="0"/>
    <x v="2"/>
    <x v="1"/>
    <x v="2"/>
    <x v="6"/>
    <n v="18"/>
    <x v="0"/>
  </r>
  <r>
    <d v="2024-10-18T00:00:00"/>
    <x v="3"/>
    <x v="2"/>
    <x v="2"/>
    <n v="173944.53"/>
    <x v="3"/>
    <x v="2"/>
    <x v="2"/>
    <x v="6"/>
    <x v="0"/>
    <x v="2"/>
    <x v="1"/>
    <x v="2"/>
    <x v="6"/>
    <n v="18"/>
    <x v="0"/>
  </r>
  <r>
    <d v="2024-10-18T00:00:00"/>
    <x v="1"/>
    <x v="0"/>
    <x v="0"/>
    <n v="76823880.439999998"/>
    <x v="1"/>
    <x v="0"/>
    <x v="0"/>
    <x v="10"/>
    <x v="0"/>
    <x v="2"/>
    <x v="1"/>
    <x v="2"/>
    <x v="6"/>
    <n v="18"/>
    <x v="0"/>
  </r>
  <r>
    <d v="2024-10-18T00:00:00"/>
    <x v="3"/>
    <x v="3"/>
    <x v="0"/>
    <n v="1627920208.8099999"/>
    <x v="3"/>
    <x v="3"/>
    <x v="0"/>
    <x v="7"/>
    <x v="0"/>
    <x v="2"/>
    <x v="1"/>
    <x v="2"/>
    <x v="6"/>
    <n v="18"/>
    <x v="0"/>
  </r>
  <r>
    <d v="2024-10-18T00:00:00"/>
    <x v="1"/>
    <x v="0"/>
    <x v="1"/>
    <n v="444539511.13999999"/>
    <x v="1"/>
    <x v="0"/>
    <x v="1"/>
    <x v="11"/>
    <x v="0"/>
    <x v="2"/>
    <x v="1"/>
    <x v="2"/>
    <x v="6"/>
    <n v="18"/>
    <x v="0"/>
  </r>
  <r>
    <d v="2024-10-18T00:00:00"/>
    <x v="2"/>
    <x v="1"/>
    <x v="0"/>
    <n v="104029732.68000001"/>
    <x v="2"/>
    <x v="1"/>
    <x v="0"/>
    <x v="8"/>
    <x v="0"/>
    <x v="2"/>
    <x v="1"/>
    <x v="2"/>
    <x v="6"/>
    <n v="18"/>
    <x v="0"/>
  </r>
  <r>
    <d v="2024-10-18T00:00:00"/>
    <x v="2"/>
    <x v="1"/>
    <x v="1"/>
    <n v="229656423.65000001"/>
    <x v="2"/>
    <x v="1"/>
    <x v="1"/>
    <x v="9"/>
    <x v="0"/>
    <x v="2"/>
    <x v="1"/>
    <x v="2"/>
    <x v="6"/>
    <n v="18"/>
    <x v="0"/>
  </r>
  <r>
    <d v="2024-10-18T00:00:00"/>
    <x v="3"/>
    <x v="1"/>
    <x v="0"/>
    <n v="15617500.58"/>
    <x v="3"/>
    <x v="1"/>
    <x v="0"/>
    <x v="12"/>
    <x v="0"/>
    <x v="2"/>
    <x v="1"/>
    <x v="2"/>
    <x v="6"/>
    <n v="18"/>
    <x v="0"/>
  </r>
  <r>
    <d v="2024-10-18T00:00:00"/>
    <x v="3"/>
    <x v="2"/>
    <x v="0"/>
    <n v="858796339.51999998"/>
    <x v="3"/>
    <x v="2"/>
    <x v="0"/>
    <x v="13"/>
    <x v="0"/>
    <x v="2"/>
    <x v="1"/>
    <x v="2"/>
    <x v="6"/>
    <n v="18"/>
    <x v="0"/>
  </r>
  <r>
    <d v="2024-10-18T00:00:00"/>
    <x v="3"/>
    <x v="2"/>
    <x v="1"/>
    <n v="10724546349.73"/>
    <x v="3"/>
    <x v="2"/>
    <x v="1"/>
    <x v="14"/>
    <x v="0"/>
    <x v="2"/>
    <x v="1"/>
    <x v="2"/>
    <x v="6"/>
    <n v="18"/>
    <x v="0"/>
  </r>
  <r>
    <d v="2024-10-17T00:00:00"/>
    <x v="0"/>
    <x v="0"/>
    <x v="0"/>
    <n v="220"/>
    <x v="0"/>
    <x v="0"/>
    <x v="0"/>
    <x v="0"/>
    <x v="0"/>
    <x v="2"/>
    <x v="1"/>
    <x v="2"/>
    <x v="6"/>
    <n v="17"/>
    <x v="0"/>
  </r>
  <r>
    <d v="2024-10-17T00:00:00"/>
    <x v="3"/>
    <x v="2"/>
    <x v="2"/>
    <n v="80288.17"/>
    <x v="3"/>
    <x v="2"/>
    <x v="2"/>
    <x v="6"/>
    <x v="0"/>
    <x v="2"/>
    <x v="1"/>
    <x v="2"/>
    <x v="6"/>
    <n v="17"/>
    <x v="0"/>
  </r>
  <r>
    <d v="2024-10-17T00:00:00"/>
    <x v="1"/>
    <x v="1"/>
    <x v="0"/>
    <n v="438230.61"/>
    <x v="1"/>
    <x v="1"/>
    <x v="0"/>
    <x v="1"/>
    <x v="0"/>
    <x v="2"/>
    <x v="1"/>
    <x v="2"/>
    <x v="6"/>
    <n v="17"/>
    <x v="0"/>
  </r>
  <r>
    <d v="2024-10-17T00:00:00"/>
    <x v="0"/>
    <x v="1"/>
    <x v="0"/>
    <n v="19741187.129999999"/>
    <x v="0"/>
    <x v="1"/>
    <x v="0"/>
    <x v="2"/>
    <x v="0"/>
    <x v="2"/>
    <x v="1"/>
    <x v="2"/>
    <x v="6"/>
    <n v="17"/>
    <x v="0"/>
  </r>
  <r>
    <d v="2024-10-17T00:00:00"/>
    <x v="2"/>
    <x v="1"/>
    <x v="2"/>
    <n v="11128.62"/>
    <x v="2"/>
    <x v="1"/>
    <x v="2"/>
    <x v="3"/>
    <x v="0"/>
    <x v="2"/>
    <x v="1"/>
    <x v="2"/>
    <x v="6"/>
    <n v="17"/>
    <x v="0"/>
  </r>
  <r>
    <d v="2024-10-17T00:00:00"/>
    <x v="3"/>
    <x v="3"/>
    <x v="1"/>
    <n v="32998.07"/>
    <x v="3"/>
    <x v="3"/>
    <x v="1"/>
    <x v="4"/>
    <x v="0"/>
    <x v="2"/>
    <x v="1"/>
    <x v="2"/>
    <x v="6"/>
    <n v="17"/>
    <x v="0"/>
  </r>
  <r>
    <d v="2024-10-17T00:00:00"/>
    <x v="0"/>
    <x v="1"/>
    <x v="1"/>
    <n v="3302111.37"/>
    <x v="0"/>
    <x v="1"/>
    <x v="1"/>
    <x v="5"/>
    <x v="0"/>
    <x v="2"/>
    <x v="1"/>
    <x v="2"/>
    <x v="6"/>
    <n v="17"/>
    <x v="0"/>
  </r>
  <r>
    <d v="2024-10-17T00:00:00"/>
    <x v="3"/>
    <x v="3"/>
    <x v="0"/>
    <n v="2156949985.7399998"/>
    <x v="3"/>
    <x v="3"/>
    <x v="0"/>
    <x v="8"/>
    <x v="0"/>
    <x v="2"/>
    <x v="1"/>
    <x v="2"/>
    <x v="6"/>
    <n v="17"/>
    <x v="0"/>
  </r>
  <r>
    <d v="2024-10-17T00:00:00"/>
    <x v="1"/>
    <x v="0"/>
    <x v="1"/>
    <n v="1535113249.5899999"/>
    <x v="1"/>
    <x v="0"/>
    <x v="1"/>
    <x v="10"/>
    <x v="0"/>
    <x v="2"/>
    <x v="1"/>
    <x v="2"/>
    <x v="6"/>
    <n v="17"/>
    <x v="0"/>
  </r>
  <r>
    <d v="2024-10-17T00:00:00"/>
    <x v="1"/>
    <x v="0"/>
    <x v="0"/>
    <n v="113319903.84"/>
    <x v="1"/>
    <x v="0"/>
    <x v="0"/>
    <x v="11"/>
    <x v="0"/>
    <x v="2"/>
    <x v="1"/>
    <x v="2"/>
    <x v="6"/>
    <n v="17"/>
    <x v="0"/>
  </r>
  <r>
    <d v="2024-10-17T00:00:00"/>
    <x v="2"/>
    <x v="1"/>
    <x v="0"/>
    <n v="80752919.900000006"/>
    <x v="2"/>
    <x v="1"/>
    <x v="0"/>
    <x v="7"/>
    <x v="0"/>
    <x v="2"/>
    <x v="1"/>
    <x v="2"/>
    <x v="6"/>
    <n v="17"/>
    <x v="0"/>
  </r>
  <r>
    <d v="2024-10-17T00:00:00"/>
    <x v="2"/>
    <x v="1"/>
    <x v="1"/>
    <n v="246037471.02000001"/>
    <x v="2"/>
    <x v="1"/>
    <x v="1"/>
    <x v="9"/>
    <x v="0"/>
    <x v="2"/>
    <x v="1"/>
    <x v="2"/>
    <x v="6"/>
    <n v="17"/>
    <x v="0"/>
  </r>
  <r>
    <d v="2024-10-17T00:00:00"/>
    <x v="3"/>
    <x v="1"/>
    <x v="0"/>
    <n v="15969925.199999999"/>
    <x v="3"/>
    <x v="1"/>
    <x v="0"/>
    <x v="12"/>
    <x v="0"/>
    <x v="2"/>
    <x v="1"/>
    <x v="2"/>
    <x v="6"/>
    <n v="17"/>
    <x v="0"/>
  </r>
  <r>
    <d v="2024-10-17T00:00:00"/>
    <x v="3"/>
    <x v="2"/>
    <x v="0"/>
    <n v="435893512.61000001"/>
    <x v="3"/>
    <x v="2"/>
    <x v="0"/>
    <x v="13"/>
    <x v="0"/>
    <x v="2"/>
    <x v="1"/>
    <x v="2"/>
    <x v="6"/>
    <n v="17"/>
    <x v="0"/>
  </r>
  <r>
    <d v="2024-10-17T00:00:00"/>
    <x v="3"/>
    <x v="2"/>
    <x v="1"/>
    <n v="14132505726.82"/>
    <x v="3"/>
    <x v="2"/>
    <x v="1"/>
    <x v="14"/>
    <x v="0"/>
    <x v="2"/>
    <x v="1"/>
    <x v="2"/>
    <x v="6"/>
    <n v="17"/>
    <x v="0"/>
  </r>
  <r>
    <d v="2024-10-16T00:00:00"/>
    <x v="0"/>
    <x v="0"/>
    <x v="0"/>
    <n v="3934.94"/>
    <x v="0"/>
    <x v="0"/>
    <x v="0"/>
    <x v="0"/>
    <x v="0"/>
    <x v="2"/>
    <x v="1"/>
    <x v="2"/>
    <x v="6"/>
    <n v="16"/>
    <x v="0"/>
  </r>
  <r>
    <d v="2024-10-16T00:00:00"/>
    <x v="1"/>
    <x v="1"/>
    <x v="0"/>
    <n v="119042.85"/>
    <x v="1"/>
    <x v="1"/>
    <x v="0"/>
    <x v="1"/>
    <x v="0"/>
    <x v="2"/>
    <x v="1"/>
    <x v="2"/>
    <x v="6"/>
    <n v="16"/>
    <x v="0"/>
  </r>
  <r>
    <d v="2024-10-16T00:00:00"/>
    <x v="0"/>
    <x v="1"/>
    <x v="0"/>
    <n v="10673767.380000001"/>
    <x v="0"/>
    <x v="1"/>
    <x v="0"/>
    <x v="2"/>
    <x v="0"/>
    <x v="2"/>
    <x v="1"/>
    <x v="2"/>
    <x v="6"/>
    <n v="16"/>
    <x v="0"/>
  </r>
  <r>
    <d v="2024-10-16T00:00:00"/>
    <x v="3"/>
    <x v="2"/>
    <x v="2"/>
    <n v="279690"/>
    <x v="3"/>
    <x v="2"/>
    <x v="2"/>
    <x v="6"/>
    <x v="0"/>
    <x v="2"/>
    <x v="1"/>
    <x v="2"/>
    <x v="6"/>
    <n v="16"/>
    <x v="0"/>
  </r>
  <r>
    <d v="2024-10-16T00:00:00"/>
    <x v="3"/>
    <x v="3"/>
    <x v="0"/>
    <n v="1630443282.76"/>
    <x v="3"/>
    <x v="3"/>
    <x v="0"/>
    <x v="7"/>
    <x v="0"/>
    <x v="2"/>
    <x v="1"/>
    <x v="2"/>
    <x v="6"/>
    <n v="16"/>
    <x v="0"/>
  </r>
  <r>
    <d v="2024-10-16T00:00:00"/>
    <x v="2"/>
    <x v="1"/>
    <x v="2"/>
    <n v="750248.89"/>
    <x v="2"/>
    <x v="1"/>
    <x v="2"/>
    <x v="4"/>
    <x v="0"/>
    <x v="2"/>
    <x v="1"/>
    <x v="2"/>
    <x v="6"/>
    <n v="16"/>
    <x v="0"/>
  </r>
  <r>
    <d v="2024-10-16T00:00:00"/>
    <x v="3"/>
    <x v="3"/>
    <x v="2"/>
    <n v="10"/>
    <x v="3"/>
    <x v="3"/>
    <x v="2"/>
    <x v="3"/>
    <x v="0"/>
    <x v="2"/>
    <x v="1"/>
    <x v="2"/>
    <x v="6"/>
    <n v="16"/>
    <x v="0"/>
  </r>
  <r>
    <d v="2024-10-16T00:00:00"/>
    <x v="0"/>
    <x v="1"/>
    <x v="1"/>
    <n v="2343378.5099999998"/>
    <x v="0"/>
    <x v="1"/>
    <x v="1"/>
    <x v="5"/>
    <x v="0"/>
    <x v="2"/>
    <x v="1"/>
    <x v="2"/>
    <x v="6"/>
    <n v="16"/>
    <x v="0"/>
  </r>
  <r>
    <d v="2024-10-16T00:00:00"/>
    <x v="2"/>
    <x v="1"/>
    <x v="0"/>
    <n v="106401140.34999999"/>
    <x v="2"/>
    <x v="1"/>
    <x v="0"/>
    <x v="8"/>
    <x v="0"/>
    <x v="2"/>
    <x v="1"/>
    <x v="2"/>
    <x v="6"/>
    <n v="16"/>
    <x v="0"/>
  </r>
  <r>
    <d v="2024-10-16T00:00:00"/>
    <x v="2"/>
    <x v="1"/>
    <x v="1"/>
    <n v="248166127.66999999"/>
    <x v="2"/>
    <x v="1"/>
    <x v="1"/>
    <x v="9"/>
    <x v="0"/>
    <x v="2"/>
    <x v="1"/>
    <x v="2"/>
    <x v="6"/>
    <n v="16"/>
    <x v="0"/>
  </r>
  <r>
    <d v="2024-10-16T00:00:00"/>
    <x v="1"/>
    <x v="0"/>
    <x v="1"/>
    <n v="1218118921.1199999"/>
    <x v="1"/>
    <x v="0"/>
    <x v="1"/>
    <x v="10"/>
    <x v="0"/>
    <x v="2"/>
    <x v="1"/>
    <x v="2"/>
    <x v="6"/>
    <n v="16"/>
    <x v="0"/>
  </r>
  <r>
    <d v="2024-10-16T00:00:00"/>
    <x v="1"/>
    <x v="0"/>
    <x v="0"/>
    <n v="104874068.48"/>
    <x v="1"/>
    <x v="0"/>
    <x v="0"/>
    <x v="11"/>
    <x v="0"/>
    <x v="2"/>
    <x v="1"/>
    <x v="2"/>
    <x v="6"/>
    <n v="16"/>
    <x v="0"/>
  </r>
  <r>
    <d v="2024-10-16T00:00:00"/>
    <x v="3"/>
    <x v="1"/>
    <x v="0"/>
    <n v="17173430.129999999"/>
    <x v="3"/>
    <x v="1"/>
    <x v="0"/>
    <x v="12"/>
    <x v="0"/>
    <x v="2"/>
    <x v="1"/>
    <x v="2"/>
    <x v="6"/>
    <n v="16"/>
    <x v="0"/>
  </r>
  <r>
    <d v="2024-10-16T00:00:00"/>
    <x v="3"/>
    <x v="2"/>
    <x v="0"/>
    <n v="1012508820.28"/>
    <x v="3"/>
    <x v="2"/>
    <x v="0"/>
    <x v="13"/>
    <x v="0"/>
    <x v="2"/>
    <x v="1"/>
    <x v="2"/>
    <x v="6"/>
    <n v="16"/>
    <x v="0"/>
  </r>
  <r>
    <d v="2024-10-16T00:00:00"/>
    <x v="3"/>
    <x v="2"/>
    <x v="1"/>
    <n v="25341595012.299999"/>
    <x v="3"/>
    <x v="2"/>
    <x v="1"/>
    <x v="14"/>
    <x v="0"/>
    <x v="2"/>
    <x v="1"/>
    <x v="2"/>
    <x v="6"/>
    <n v="16"/>
    <x v="0"/>
  </r>
  <r>
    <d v="2024-10-15T00:00:00"/>
    <x v="0"/>
    <x v="0"/>
    <x v="0"/>
    <n v="599.84"/>
    <x v="0"/>
    <x v="0"/>
    <x v="0"/>
    <x v="0"/>
    <x v="0"/>
    <x v="2"/>
    <x v="1"/>
    <x v="2"/>
    <x v="6"/>
    <n v="15"/>
    <x v="0"/>
  </r>
  <r>
    <d v="2024-10-15T00:00:00"/>
    <x v="3"/>
    <x v="2"/>
    <x v="2"/>
    <n v="189722.12"/>
    <x v="3"/>
    <x v="2"/>
    <x v="2"/>
    <x v="7"/>
    <x v="0"/>
    <x v="2"/>
    <x v="1"/>
    <x v="2"/>
    <x v="6"/>
    <n v="15"/>
    <x v="0"/>
  </r>
  <r>
    <d v="2024-10-15T00:00:00"/>
    <x v="0"/>
    <x v="1"/>
    <x v="0"/>
    <n v="18173013.199999999"/>
    <x v="0"/>
    <x v="1"/>
    <x v="0"/>
    <x v="1"/>
    <x v="0"/>
    <x v="2"/>
    <x v="1"/>
    <x v="2"/>
    <x v="6"/>
    <n v="15"/>
    <x v="0"/>
  </r>
  <r>
    <d v="2024-10-15T00:00:00"/>
    <x v="3"/>
    <x v="3"/>
    <x v="2"/>
    <n v="964.24"/>
    <x v="3"/>
    <x v="3"/>
    <x v="2"/>
    <x v="2"/>
    <x v="0"/>
    <x v="2"/>
    <x v="1"/>
    <x v="2"/>
    <x v="6"/>
    <n v="15"/>
    <x v="0"/>
  </r>
  <r>
    <d v="2024-10-15T00:00:00"/>
    <x v="2"/>
    <x v="1"/>
    <x v="2"/>
    <n v="41855.730000000003"/>
    <x v="2"/>
    <x v="1"/>
    <x v="2"/>
    <x v="3"/>
    <x v="0"/>
    <x v="2"/>
    <x v="1"/>
    <x v="2"/>
    <x v="6"/>
    <n v="15"/>
    <x v="0"/>
  </r>
  <r>
    <d v="2024-10-15T00:00:00"/>
    <x v="3"/>
    <x v="3"/>
    <x v="1"/>
    <n v="6861092.9800000004"/>
    <x v="3"/>
    <x v="3"/>
    <x v="1"/>
    <x v="4"/>
    <x v="0"/>
    <x v="2"/>
    <x v="1"/>
    <x v="2"/>
    <x v="6"/>
    <n v="15"/>
    <x v="0"/>
  </r>
  <r>
    <d v="2024-10-15T00:00:00"/>
    <x v="0"/>
    <x v="1"/>
    <x v="1"/>
    <n v="8981630.6799999997"/>
    <x v="0"/>
    <x v="1"/>
    <x v="1"/>
    <x v="5"/>
    <x v="0"/>
    <x v="2"/>
    <x v="1"/>
    <x v="2"/>
    <x v="6"/>
    <n v="15"/>
    <x v="0"/>
  </r>
  <r>
    <d v="2024-10-15T00:00:00"/>
    <x v="2"/>
    <x v="1"/>
    <x v="0"/>
    <n v="64496922.049999997"/>
    <x v="2"/>
    <x v="1"/>
    <x v="0"/>
    <x v="8"/>
    <x v="0"/>
    <x v="2"/>
    <x v="1"/>
    <x v="2"/>
    <x v="6"/>
    <n v="15"/>
    <x v="0"/>
  </r>
  <r>
    <d v="2024-10-15T00:00:00"/>
    <x v="1"/>
    <x v="1"/>
    <x v="0"/>
    <n v="385518.39"/>
    <x v="1"/>
    <x v="1"/>
    <x v="0"/>
    <x v="6"/>
    <x v="0"/>
    <x v="2"/>
    <x v="1"/>
    <x v="2"/>
    <x v="6"/>
    <n v="15"/>
    <x v="0"/>
  </r>
  <r>
    <d v="2024-10-15T00:00:00"/>
    <x v="3"/>
    <x v="3"/>
    <x v="0"/>
    <n v="2379795609.5999999"/>
    <x v="3"/>
    <x v="3"/>
    <x v="0"/>
    <x v="9"/>
    <x v="0"/>
    <x v="2"/>
    <x v="1"/>
    <x v="2"/>
    <x v="6"/>
    <n v="15"/>
    <x v="0"/>
  </r>
  <r>
    <d v="2024-10-15T00:00:00"/>
    <x v="2"/>
    <x v="1"/>
    <x v="1"/>
    <n v="181438655.94"/>
    <x v="2"/>
    <x v="1"/>
    <x v="1"/>
    <x v="10"/>
    <x v="0"/>
    <x v="2"/>
    <x v="1"/>
    <x v="2"/>
    <x v="6"/>
    <n v="15"/>
    <x v="0"/>
  </r>
  <r>
    <d v="2024-10-15T00:00:00"/>
    <x v="1"/>
    <x v="0"/>
    <x v="0"/>
    <n v="56342275.009999998"/>
    <x v="1"/>
    <x v="0"/>
    <x v="0"/>
    <x v="11"/>
    <x v="0"/>
    <x v="2"/>
    <x v="1"/>
    <x v="2"/>
    <x v="6"/>
    <n v="15"/>
    <x v="0"/>
  </r>
  <r>
    <d v="2024-10-15T00:00:00"/>
    <x v="1"/>
    <x v="0"/>
    <x v="1"/>
    <n v="362711550.20999998"/>
    <x v="1"/>
    <x v="0"/>
    <x v="1"/>
    <x v="12"/>
    <x v="0"/>
    <x v="2"/>
    <x v="1"/>
    <x v="2"/>
    <x v="6"/>
    <n v="15"/>
    <x v="0"/>
  </r>
  <r>
    <d v="2024-10-15T00:00:00"/>
    <x v="3"/>
    <x v="2"/>
    <x v="0"/>
    <n v="833220128.75"/>
    <x v="3"/>
    <x v="2"/>
    <x v="0"/>
    <x v="13"/>
    <x v="0"/>
    <x v="2"/>
    <x v="1"/>
    <x v="2"/>
    <x v="6"/>
    <n v="15"/>
    <x v="0"/>
  </r>
  <r>
    <d v="2024-10-15T00:00:00"/>
    <x v="3"/>
    <x v="2"/>
    <x v="1"/>
    <n v="45607093595.339996"/>
    <x v="3"/>
    <x v="2"/>
    <x v="1"/>
    <x v="14"/>
    <x v="0"/>
    <x v="2"/>
    <x v="1"/>
    <x v="2"/>
    <x v="6"/>
    <n v="15"/>
    <x v="0"/>
  </r>
  <r>
    <d v="2024-10-15T00:00:00"/>
    <x v="3"/>
    <x v="1"/>
    <x v="0"/>
    <n v="59863639.100000001"/>
    <x v="3"/>
    <x v="1"/>
    <x v="0"/>
    <x v="15"/>
    <x v="0"/>
    <x v="2"/>
    <x v="1"/>
    <x v="2"/>
    <x v="6"/>
    <n v="15"/>
    <x v="0"/>
  </r>
  <r>
    <d v="2024-10-11T00:00:00"/>
    <x v="0"/>
    <x v="0"/>
    <x v="0"/>
    <n v="1425"/>
    <x v="0"/>
    <x v="0"/>
    <x v="0"/>
    <x v="0"/>
    <x v="0"/>
    <x v="2"/>
    <x v="1"/>
    <x v="2"/>
    <x v="6"/>
    <n v="11"/>
    <x v="0"/>
  </r>
  <r>
    <d v="2024-10-11T00:00:00"/>
    <x v="1"/>
    <x v="1"/>
    <x v="0"/>
    <n v="167010.19"/>
    <x v="1"/>
    <x v="1"/>
    <x v="0"/>
    <x v="1"/>
    <x v="0"/>
    <x v="2"/>
    <x v="1"/>
    <x v="2"/>
    <x v="6"/>
    <n v="11"/>
    <x v="0"/>
  </r>
  <r>
    <d v="2024-10-11T00:00:00"/>
    <x v="0"/>
    <x v="1"/>
    <x v="0"/>
    <n v="5737769.3899999997"/>
    <x v="0"/>
    <x v="1"/>
    <x v="0"/>
    <x v="2"/>
    <x v="0"/>
    <x v="2"/>
    <x v="1"/>
    <x v="2"/>
    <x v="6"/>
    <n v="11"/>
    <x v="0"/>
  </r>
  <r>
    <d v="2024-10-11T00:00:00"/>
    <x v="2"/>
    <x v="1"/>
    <x v="2"/>
    <n v="6841.42"/>
    <x v="2"/>
    <x v="1"/>
    <x v="2"/>
    <x v="3"/>
    <x v="0"/>
    <x v="2"/>
    <x v="1"/>
    <x v="2"/>
    <x v="6"/>
    <n v="11"/>
    <x v="0"/>
  </r>
  <r>
    <d v="2024-10-11T00:00:00"/>
    <x v="2"/>
    <x v="1"/>
    <x v="0"/>
    <n v="57979282.479999997"/>
    <x v="2"/>
    <x v="1"/>
    <x v="0"/>
    <x v="6"/>
    <x v="0"/>
    <x v="2"/>
    <x v="1"/>
    <x v="2"/>
    <x v="6"/>
    <n v="11"/>
    <x v="0"/>
  </r>
  <r>
    <d v="2024-10-11T00:00:00"/>
    <x v="0"/>
    <x v="1"/>
    <x v="1"/>
    <n v="7970524.5"/>
    <x v="0"/>
    <x v="1"/>
    <x v="1"/>
    <x v="4"/>
    <x v="0"/>
    <x v="2"/>
    <x v="1"/>
    <x v="2"/>
    <x v="6"/>
    <n v="11"/>
    <x v="0"/>
  </r>
  <r>
    <d v="2024-10-11T00:00:00"/>
    <x v="3"/>
    <x v="2"/>
    <x v="2"/>
    <n v="608412.23"/>
    <x v="3"/>
    <x v="2"/>
    <x v="2"/>
    <x v="5"/>
    <x v="0"/>
    <x v="2"/>
    <x v="1"/>
    <x v="2"/>
    <x v="6"/>
    <n v="11"/>
    <x v="0"/>
  </r>
  <r>
    <d v="2024-10-11T00:00:00"/>
    <x v="1"/>
    <x v="0"/>
    <x v="0"/>
    <n v="47900480.780000001"/>
    <x v="1"/>
    <x v="0"/>
    <x v="0"/>
    <x v="10"/>
    <x v="0"/>
    <x v="2"/>
    <x v="1"/>
    <x v="2"/>
    <x v="6"/>
    <n v="11"/>
    <x v="0"/>
  </r>
  <r>
    <d v="2024-10-11T00:00:00"/>
    <x v="3"/>
    <x v="3"/>
    <x v="0"/>
    <n v="2812093391.1799998"/>
    <x v="3"/>
    <x v="3"/>
    <x v="0"/>
    <x v="7"/>
    <x v="0"/>
    <x v="2"/>
    <x v="1"/>
    <x v="2"/>
    <x v="6"/>
    <n v="11"/>
    <x v="0"/>
  </r>
  <r>
    <d v="2024-10-11T00:00:00"/>
    <x v="2"/>
    <x v="1"/>
    <x v="1"/>
    <n v="172128820.41999999"/>
    <x v="2"/>
    <x v="1"/>
    <x v="1"/>
    <x v="8"/>
    <x v="0"/>
    <x v="2"/>
    <x v="1"/>
    <x v="2"/>
    <x v="6"/>
    <n v="11"/>
    <x v="0"/>
  </r>
  <r>
    <d v="2024-10-11T00:00:00"/>
    <x v="1"/>
    <x v="0"/>
    <x v="1"/>
    <n v="168470291.91"/>
    <x v="1"/>
    <x v="0"/>
    <x v="1"/>
    <x v="9"/>
    <x v="0"/>
    <x v="2"/>
    <x v="1"/>
    <x v="2"/>
    <x v="6"/>
    <n v="11"/>
    <x v="0"/>
  </r>
  <r>
    <d v="2024-10-11T00:00:00"/>
    <x v="3"/>
    <x v="1"/>
    <x v="0"/>
    <n v="14822613.85"/>
    <x v="3"/>
    <x v="1"/>
    <x v="0"/>
    <x v="11"/>
    <x v="0"/>
    <x v="2"/>
    <x v="1"/>
    <x v="2"/>
    <x v="6"/>
    <n v="11"/>
    <x v="0"/>
  </r>
  <r>
    <d v="2024-10-11T00:00:00"/>
    <x v="3"/>
    <x v="2"/>
    <x v="0"/>
    <n v="633171477.94000006"/>
    <x v="3"/>
    <x v="2"/>
    <x v="0"/>
    <x v="12"/>
    <x v="0"/>
    <x v="2"/>
    <x v="1"/>
    <x v="2"/>
    <x v="6"/>
    <n v="11"/>
    <x v="0"/>
  </r>
  <r>
    <d v="2024-10-11T00:00:00"/>
    <x v="3"/>
    <x v="2"/>
    <x v="1"/>
    <n v="13779625127.059999"/>
    <x v="3"/>
    <x v="2"/>
    <x v="1"/>
    <x v="13"/>
    <x v="0"/>
    <x v="2"/>
    <x v="1"/>
    <x v="2"/>
    <x v="6"/>
    <n v="11"/>
    <x v="0"/>
  </r>
  <r>
    <d v="2024-10-10T00:00:00"/>
    <x v="3"/>
    <x v="2"/>
    <x v="2"/>
    <n v="532188.77"/>
    <x v="3"/>
    <x v="2"/>
    <x v="2"/>
    <x v="4"/>
    <x v="0"/>
    <x v="2"/>
    <x v="1"/>
    <x v="2"/>
    <x v="6"/>
    <n v="10"/>
    <x v="0"/>
  </r>
  <r>
    <d v="2024-10-10T00:00:00"/>
    <x v="1"/>
    <x v="1"/>
    <x v="0"/>
    <n v="333673.40000000002"/>
    <x v="1"/>
    <x v="1"/>
    <x v="0"/>
    <x v="5"/>
    <x v="0"/>
    <x v="2"/>
    <x v="1"/>
    <x v="2"/>
    <x v="6"/>
    <n v="10"/>
    <x v="0"/>
  </r>
  <r>
    <d v="2024-10-10T00:00:00"/>
    <x v="0"/>
    <x v="1"/>
    <x v="0"/>
    <n v="15138127.27"/>
    <x v="0"/>
    <x v="1"/>
    <x v="0"/>
    <x v="0"/>
    <x v="0"/>
    <x v="2"/>
    <x v="1"/>
    <x v="2"/>
    <x v="6"/>
    <n v="10"/>
    <x v="0"/>
  </r>
  <r>
    <d v="2024-10-10T00:00:00"/>
    <x v="3"/>
    <x v="3"/>
    <x v="1"/>
    <n v="431487.64"/>
    <x v="3"/>
    <x v="3"/>
    <x v="1"/>
    <x v="1"/>
    <x v="0"/>
    <x v="2"/>
    <x v="1"/>
    <x v="2"/>
    <x v="6"/>
    <n v="10"/>
    <x v="0"/>
  </r>
  <r>
    <d v="2024-10-10T00:00:00"/>
    <x v="0"/>
    <x v="1"/>
    <x v="1"/>
    <n v="10052236.390000001"/>
    <x v="0"/>
    <x v="1"/>
    <x v="1"/>
    <x v="2"/>
    <x v="0"/>
    <x v="2"/>
    <x v="1"/>
    <x v="2"/>
    <x v="6"/>
    <n v="10"/>
    <x v="0"/>
  </r>
  <r>
    <d v="2024-10-10T00:00:00"/>
    <x v="3"/>
    <x v="3"/>
    <x v="0"/>
    <n v="2005127896.01"/>
    <x v="3"/>
    <x v="3"/>
    <x v="0"/>
    <x v="6"/>
    <x v="0"/>
    <x v="2"/>
    <x v="1"/>
    <x v="2"/>
    <x v="6"/>
    <n v="10"/>
    <x v="0"/>
  </r>
  <r>
    <d v="2024-10-10T00:00:00"/>
    <x v="2"/>
    <x v="1"/>
    <x v="0"/>
    <n v="77755655.689999998"/>
    <x v="2"/>
    <x v="1"/>
    <x v="0"/>
    <x v="7"/>
    <x v="0"/>
    <x v="2"/>
    <x v="1"/>
    <x v="2"/>
    <x v="6"/>
    <n v="10"/>
    <x v="0"/>
  </r>
  <r>
    <d v="2024-10-10T00:00:00"/>
    <x v="2"/>
    <x v="1"/>
    <x v="2"/>
    <n v="42176.87"/>
    <x v="2"/>
    <x v="1"/>
    <x v="2"/>
    <x v="3"/>
    <x v="0"/>
    <x v="2"/>
    <x v="1"/>
    <x v="2"/>
    <x v="6"/>
    <n v="10"/>
    <x v="0"/>
  </r>
  <r>
    <d v="2024-10-10T00:00:00"/>
    <x v="1"/>
    <x v="0"/>
    <x v="1"/>
    <n v="286245464.38"/>
    <x v="1"/>
    <x v="0"/>
    <x v="1"/>
    <x v="9"/>
    <x v="0"/>
    <x v="2"/>
    <x v="1"/>
    <x v="2"/>
    <x v="6"/>
    <n v="10"/>
    <x v="0"/>
  </r>
  <r>
    <d v="2024-10-10T00:00:00"/>
    <x v="1"/>
    <x v="0"/>
    <x v="0"/>
    <n v="59192580.869999997"/>
    <x v="1"/>
    <x v="0"/>
    <x v="0"/>
    <x v="10"/>
    <x v="0"/>
    <x v="2"/>
    <x v="1"/>
    <x v="2"/>
    <x v="6"/>
    <n v="10"/>
    <x v="0"/>
  </r>
  <r>
    <d v="2024-10-10T00:00:00"/>
    <x v="2"/>
    <x v="1"/>
    <x v="1"/>
    <n v="393861911.56999999"/>
    <x v="2"/>
    <x v="1"/>
    <x v="1"/>
    <x v="8"/>
    <x v="0"/>
    <x v="2"/>
    <x v="1"/>
    <x v="2"/>
    <x v="6"/>
    <n v="10"/>
    <x v="0"/>
  </r>
  <r>
    <d v="2024-10-10T00:00:00"/>
    <x v="3"/>
    <x v="1"/>
    <x v="0"/>
    <n v="14191927.779999999"/>
    <x v="3"/>
    <x v="1"/>
    <x v="0"/>
    <x v="11"/>
    <x v="0"/>
    <x v="2"/>
    <x v="1"/>
    <x v="2"/>
    <x v="6"/>
    <n v="10"/>
    <x v="0"/>
  </r>
  <r>
    <d v="2024-10-10T00:00:00"/>
    <x v="3"/>
    <x v="2"/>
    <x v="1"/>
    <n v="4293690021.8499999"/>
    <x v="3"/>
    <x v="2"/>
    <x v="1"/>
    <x v="12"/>
    <x v="0"/>
    <x v="2"/>
    <x v="1"/>
    <x v="2"/>
    <x v="6"/>
    <n v="10"/>
    <x v="0"/>
  </r>
  <r>
    <d v="2024-10-10T00:00:00"/>
    <x v="3"/>
    <x v="2"/>
    <x v="0"/>
    <n v="510708961.56999999"/>
    <x v="3"/>
    <x v="2"/>
    <x v="0"/>
    <x v="13"/>
    <x v="0"/>
    <x v="2"/>
    <x v="1"/>
    <x v="2"/>
    <x v="6"/>
    <n v="10"/>
    <x v="0"/>
  </r>
  <r>
    <d v="2024-10-09T00:00:00"/>
    <x v="0"/>
    <x v="0"/>
    <x v="0"/>
    <n v="238.95"/>
    <x v="0"/>
    <x v="0"/>
    <x v="0"/>
    <x v="0"/>
    <x v="0"/>
    <x v="2"/>
    <x v="1"/>
    <x v="2"/>
    <x v="6"/>
    <n v="9"/>
    <x v="0"/>
  </r>
  <r>
    <d v="2024-10-09T00:00:00"/>
    <x v="1"/>
    <x v="1"/>
    <x v="0"/>
    <n v="522947.04"/>
    <x v="1"/>
    <x v="1"/>
    <x v="0"/>
    <x v="1"/>
    <x v="0"/>
    <x v="2"/>
    <x v="1"/>
    <x v="2"/>
    <x v="6"/>
    <n v="9"/>
    <x v="0"/>
  </r>
  <r>
    <d v="2024-10-09T00:00:00"/>
    <x v="0"/>
    <x v="1"/>
    <x v="0"/>
    <n v="7618695.3499999996"/>
    <x v="0"/>
    <x v="1"/>
    <x v="0"/>
    <x v="2"/>
    <x v="0"/>
    <x v="2"/>
    <x v="1"/>
    <x v="2"/>
    <x v="6"/>
    <n v="9"/>
    <x v="0"/>
  </r>
  <r>
    <d v="2024-10-09T00:00:00"/>
    <x v="2"/>
    <x v="1"/>
    <x v="2"/>
    <n v="94940.6"/>
    <x v="2"/>
    <x v="1"/>
    <x v="2"/>
    <x v="3"/>
    <x v="0"/>
    <x v="2"/>
    <x v="1"/>
    <x v="2"/>
    <x v="6"/>
    <n v="9"/>
    <x v="0"/>
  </r>
  <r>
    <d v="2024-10-09T00:00:00"/>
    <x v="0"/>
    <x v="1"/>
    <x v="1"/>
    <n v="13568100.890000001"/>
    <x v="0"/>
    <x v="1"/>
    <x v="1"/>
    <x v="4"/>
    <x v="0"/>
    <x v="2"/>
    <x v="1"/>
    <x v="2"/>
    <x v="6"/>
    <n v="9"/>
    <x v="0"/>
  </r>
  <r>
    <d v="2024-10-09T00:00:00"/>
    <x v="3"/>
    <x v="2"/>
    <x v="2"/>
    <n v="560214.89"/>
    <x v="3"/>
    <x v="2"/>
    <x v="2"/>
    <x v="5"/>
    <x v="0"/>
    <x v="2"/>
    <x v="1"/>
    <x v="2"/>
    <x v="6"/>
    <n v="9"/>
    <x v="0"/>
  </r>
  <r>
    <d v="2024-10-09T00:00:00"/>
    <x v="3"/>
    <x v="3"/>
    <x v="0"/>
    <n v="1850391091.0999999"/>
    <x v="3"/>
    <x v="3"/>
    <x v="0"/>
    <x v="7"/>
    <x v="0"/>
    <x v="2"/>
    <x v="1"/>
    <x v="2"/>
    <x v="6"/>
    <n v="9"/>
    <x v="0"/>
  </r>
  <r>
    <d v="2024-10-09T00:00:00"/>
    <x v="2"/>
    <x v="1"/>
    <x v="1"/>
    <n v="335997896.94999999"/>
    <x v="2"/>
    <x v="1"/>
    <x v="1"/>
    <x v="8"/>
    <x v="0"/>
    <x v="2"/>
    <x v="1"/>
    <x v="2"/>
    <x v="6"/>
    <n v="9"/>
    <x v="0"/>
  </r>
  <r>
    <d v="2024-10-09T00:00:00"/>
    <x v="1"/>
    <x v="0"/>
    <x v="0"/>
    <n v="96768334.219999999"/>
    <x v="1"/>
    <x v="0"/>
    <x v="0"/>
    <x v="10"/>
    <x v="0"/>
    <x v="2"/>
    <x v="1"/>
    <x v="2"/>
    <x v="6"/>
    <n v="9"/>
    <x v="0"/>
  </r>
  <r>
    <d v="2024-10-09T00:00:00"/>
    <x v="2"/>
    <x v="1"/>
    <x v="0"/>
    <n v="61571415"/>
    <x v="2"/>
    <x v="1"/>
    <x v="0"/>
    <x v="6"/>
    <x v="0"/>
    <x v="2"/>
    <x v="1"/>
    <x v="2"/>
    <x v="6"/>
    <n v="9"/>
    <x v="0"/>
  </r>
  <r>
    <d v="2024-10-09T00:00:00"/>
    <x v="1"/>
    <x v="0"/>
    <x v="1"/>
    <n v="1114576366.4400001"/>
    <x v="1"/>
    <x v="0"/>
    <x v="1"/>
    <x v="9"/>
    <x v="0"/>
    <x v="2"/>
    <x v="1"/>
    <x v="2"/>
    <x v="6"/>
    <n v="9"/>
    <x v="0"/>
  </r>
  <r>
    <d v="2024-10-09T00:00:00"/>
    <x v="3"/>
    <x v="1"/>
    <x v="0"/>
    <n v="15166700.58"/>
    <x v="3"/>
    <x v="1"/>
    <x v="0"/>
    <x v="11"/>
    <x v="0"/>
    <x v="2"/>
    <x v="1"/>
    <x v="2"/>
    <x v="6"/>
    <n v="9"/>
    <x v="0"/>
  </r>
  <r>
    <d v="2024-10-09T00:00:00"/>
    <x v="3"/>
    <x v="2"/>
    <x v="1"/>
    <n v="11341769537.75"/>
    <x v="3"/>
    <x v="2"/>
    <x v="1"/>
    <x v="12"/>
    <x v="0"/>
    <x v="2"/>
    <x v="1"/>
    <x v="2"/>
    <x v="6"/>
    <n v="9"/>
    <x v="0"/>
  </r>
  <r>
    <d v="2024-10-09T00:00:00"/>
    <x v="3"/>
    <x v="2"/>
    <x v="0"/>
    <n v="545428133.46000004"/>
    <x v="3"/>
    <x v="2"/>
    <x v="0"/>
    <x v="13"/>
    <x v="0"/>
    <x v="2"/>
    <x v="1"/>
    <x v="2"/>
    <x v="6"/>
    <n v="9"/>
    <x v="0"/>
  </r>
  <r>
    <d v="2024-10-08T00:00:00"/>
    <x v="1"/>
    <x v="1"/>
    <x v="0"/>
    <n v="334295.99"/>
    <x v="1"/>
    <x v="1"/>
    <x v="0"/>
    <x v="0"/>
    <x v="0"/>
    <x v="2"/>
    <x v="1"/>
    <x v="2"/>
    <x v="6"/>
    <n v="8"/>
    <x v="0"/>
  </r>
  <r>
    <d v="2024-10-08T00:00:00"/>
    <x v="0"/>
    <x v="1"/>
    <x v="0"/>
    <n v="9769164.6400000006"/>
    <x v="0"/>
    <x v="1"/>
    <x v="0"/>
    <x v="1"/>
    <x v="0"/>
    <x v="2"/>
    <x v="1"/>
    <x v="2"/>
    <x v="6"/>
    <n v="8"/>
    <x v="0"/>
  </r>
  <r>
    <d v="2024-10-08T00:00:00"/>
    <x v="2"/>
    <x v="1"/>
    <x v="2"/>
    <n v="41949.32"/>
    <x v="2"/>
    <x v="1"/>
    <x v="2"/>
    <x v="2"/>
    <x v="0"/>
    <x v="2"/>
    <x v="1"/>
    <x v="2"/>
    <x v="6"/>
    <n v="8"/>
    <x v="0"/>
  </r>
  <r>
    <d v="2024-10-08T00:00:00"/>
    <x v="3"/>
    <x v="3"/>
    <x v="0"/>
    <n v="1663756918.1900001"/>
    <x v="3"/>
    <x v="3"/>
    <x v="0"/>
    <x v="7"/>
    <x v="0"/>
    <x v="2"/>
    <x v="1"/>
    <x v="2"/>
    <x v="6"/>
    <n v="8"/>
    <x v="0"/>
  </r>
  <r>
    <d v="2024-10-08T00:00:00"/>
    <x v="3"/>
    <x v="3"/>
    <x v="1"/>
    <n v="3078686.94"/>
    <x v="3"/>
    <x v="3"/>
    <x v="1"/>
    <x v="3"/>
    <x v="0"/>
    <x v="2"/>
    <x v="1"/>
    <x v="2"/>
    <x v="6"/>
    <n v="8"/>
    <x v="0"/>
  </r>
  <r>
    <d v="2024-10-08T00:00:00"/>
    <x v="0"/>
    <x v="1"/>
    <x v="1"/>
    <n v="4842108.1399999997"/>
    <x v="0"/>
    <x v="1"/>
    <x v="1"/>
    <x v="4"/>
    <x v="0"/>
    <x v="2"/>
    <x v="1"/>
    <x v="2"/>
    <x v="6"/>
    <n v="8"/>
    <x v="0"/>
  </r>
  <r>
    <d v="2024-10-08T00:00:00"/>
    <x v="3"/>
    <x v="2"/>
    <x v="2"/>
    <n v="343386.16"/>
    <x v="3"/>
    <x v="2"/>
    <x v="2"/>
    <x v="5"/>
    <x v="0"/>
    <x v="2"/>
    <x v="1"/>
    <x v="2"/>
    <x v="6"/>
    <n v="8"/>
    <x v="0"/>
  </r>
  <r>
    <d v="2024-10-08T00:00:00"/>
    <x v="2"/>
    <x v="1"/>
    <x v="1"/>
    <n v="212758290.25"/>
    <x v="2"/>
    <x v="1"/>
    <x v="1"/>
    <x v="8"/>
    <x v="0"/>
    <x v="2"/>
    <x v="1"/>
    <x v="2"/>
    <x v="6"/>
    <n v="8"/>
    <x v="0"/>
  </r>
  <r>
    <d v="2024-10-08T00:00:00"/>
    <x v="1"/>
    <x v="0"/>
    <x v="0"/>
    <n v="82291483.599999994"/>
    <x v="1"/>
    <x v="0"/>
    <x v="0"/>
    <x v="9"/>
    <x v="0"/>
    <x v="2"/>
    <x v="1"/>
    <x v="2"/>
    <x v="6"/>
    <n v="8"/>
    <x v="0"/>
  </r>
  <r>
    <d v="2024-10-08T00:00:00"/>
    <x v="1"/>
    <x v="0"/>
    <x v="1"/>
    <n v="377069329.11000001"/>
    <x v="1"/>
    <x v="0"/>
    <x v="1"/>
    <x v="10"/>
    <x v="0"/>
    <x v="2"/>
    <x v="1"/>
    <x v="2"/>
    <x v="6"/>
    <n v="8"/>
    <x v="0"/>
  </r>
  <r>
    <d v="2024-10-08T00:00:00"/>
    <x v="2"/>
    <x v="1"/>
    <x v="0"/>
    <n v="85230645.879999995"/>
    <x v="2"/>
    <x v="1"/>
    <x v="0"/>
    <x v="6"/>
    <x v="0"/>
    <x v="2"/>
    <x v="1"/>
    <x v="2"/>
    <x v="6"/>
    <n v="8"/>
    <x v="0"/>
  </r>
  <r>
    <d v="2024-10-08T00:00:00"/>
    <x v="3"/>
    <x v="1"/>
    <x v="0"/>
    <n v="14344667.779999999"/>
    <x v="3"/>
    <x v="1"/>
    <x v="0"/>
    <x v="11"/>
    <x v="0"/>
    <x v="2"/>
    <x v="1"/>
    <x v="2"/>
    <x v="6"/>
    <n v="8"/>
    <x v="0"/>
  </r>
  <r>
    <d v="2024-10-08T00:00:00"/>
    <x v="3"/>
    <x v="2"/>
    <x v="1"/>
    <n v="4097245130"/>
    <x v="3"/>
    <x v="2"/>
    <x v="1"/>
    <x v="12"/>
    <x v="0"/>
    <x v="2"/>
    <x v="1"/>
    <x v="2"/>
    <x v="6"/>
    <n v="8"/>
    <x v="0"/>
  </r>
  <r>
    <d v="2024-10-08T00:00:00"/>
    <x v="3"/>
    <x v="2"/>
    <x v="0"/>
    <n v="1093899576.6199999"/>
    <x v="3"/>
    <x v="2"/>
    <x v="0"/>
    <x v="13"/>
    <x v="0"/>
    <x v="2"/>
    <x v="1"/>
    <x v="2"/>
    <x v="6"/>
    <n v="8"/>
    <x v="0"/>
  </r>
  <r>
    <d v="2024-10-07T00:00:00"/>
    <x v="1"/>
    <x v="1"/>
    <x v="0"/>
    <n v="1484469.9"/>
    <x v="1"/>
    <x v="1"/>
    <x v="0"/>
    <x v="0"/>
    <x v="0"/>
    <x v="2"/>
    <x v="1"/>
    <x v="2"/>
    <x v="6"/>
    <n v="7"/>
    <x v="0"/>
  </r>
  <r>
    <d v="2024-10-07T00:00:00"/>
    <x v="0"/>
    <x v="1"/>
    <x v="0"/>
    <n v="9556974.3599999994"/>
    <x v="0"/>
    <x v="1"/>
    <x v="0"/>
    <x v="1"/>
    <x v="0"/>
    <x v="2"/>
    <x v="1"/>
    <x v="2"/>
    <x v="6"/>
    <n v="7"/>
    <x v="0"/>
  </r>
  <r>
    <d v="2024-10-07T00:00:00"/>
    <x v="3"/>
    <x v="2"/>
    <x v="2"/>
    <n v="150879.32"/>
    <x v="3"/>
    <x v="2"/>
    <x v="2"/>
    <x v="5"/>
    <x v="0"/>
    <x v="2"/>
    <x v="1"/>
    <x v="2"/>
    <x v="6"/>
    <n v="7"/>
    <x v="0"/>
  </r>
  <r>
    <d v="2024-10-07T00:00:00"/>
    <x v="3"/>
    <x v="3"/>
    <x v="0"/>
    <n v="1405144598.75"/>
    <x v="3"/>
    <x v="3"/>
    <x v="0"/>
    <x v="6"/>
    <x v="0"/>
    <x v="2"/>
    <x v="1"/>
    <x v="2"/>
    <x v="6"/>
    <n v="7"/>
    <x v="0"/>
  </r>
  <r>
    <d v="2024-10-07T00:00:00"/>
    <x v="2"/>
    <x v="1"/>
    <x v="2"/>
    <n v="108727.11"/>
    <x v="2"/>
    <x v="1"/>
    <x v="2"/>
    <x v="2"/>
    <x v="0"/>
    <x v="2"/>
    <x v="1"/>
    <x v="2"/>
    <x v="6"/>
    <n v="7"/>
    <x v="0"/>
  </r>
  <r>
    <d v="2024-10-07T00:00:00"/>
    <x v="3"/>
    <x v="3"/>
    <x v="1"/>
    <n v="1860051.75"/>
    <x v="3"/>
    <x v="3"/>
    <x v="1"/>
    <x v="3"/>
    <x v="0"/>
    <x v="2"/>
    <x v="1"/>
    <x v="2"/>
    <x v="6"/>
    <n v="7"/>
    <x v="0"/>
  </r>
  <r>
    <d v="2024-10-07T00:00:00"/>
    <x v="0"/>
    <x v="1"/>
    <x v="1"/>
    <n v="11992534.74"/>
    <x v="0"/>
    <x v="1"/>
    <x v="1"/>
    <x v="4"/>
    <x v="0"/>
    <x v="2"/>
    <x v="1"/>
    <x v="2"/>
    <x v="6"/>
    <n v="7"/>
    <x v="0"/>
  </r>
  <r>
    <d v="2024-10-07T00:00:00"/>
    <x v="2"/>
    <x v="1"/>
    <x v="0"/>
    <n v="98617826.25"/>
    <x v="2"/>
    <x v="1"/>
    <x v="0"/>
    <x v="7"/>
    <x v="0"/>
    <x v="2"/>
    <x v="1"/>
    <x v="2"/>
    <x v="6"/>
    <n v="7"/>
    <x v="0"/>
  </r>
  <r>
    <d v="2024-10-07T00:00:00"/>
    <x v="2"/>
    <x v="1"/>
    <x v="1"/>
    <n v="161771359.83000001"/>
    <x v="2"/>
    <x v="1"/>
    <x v="1"/>
    <x v="8"/>
    <x v="0"/>
    <x v="2"/>
    <x v="1"/>
    <x v="2"/>
    <x v="6"/>
    <n v="7"/>
    <x v="0"/>
  </r>
  <r>
    <d v="2024-10-07T00:00:00"/>
    <x v="1"/>
    <x v="0"/>
    <x v="0"/>
    <n v="53317533.509999998"/>
    <x v="1"/>
    <x v="0"/>
    <x v="0"/>
    <x v="9"/>
    <x v="0"/>
    <x v="2"/>
    <x v="1"/>
    <x v="2"/>
    <x v="6"/>
    <n v="7"/>
    <x v="0"/>
  </r>
  <r>
    <d v="2024-10-07T00:00:00"/>
    <x v="1"/>
    <x v="0"/>
    <x v="1"/>
    <n v="367668962.14999998"/>
    <x v="1"/>
    <x v="0"/>
    <x v="1"/>
    <x v="10"/>
    <x v="0"/>
    <x v="2"/>
    <x v="1"/>
    <x v="2"/>
    <x v="6"/>
    <n v="7"/>
    <x v="0"/>
  </r>
  <r>
    <d v="2024-10-07T00:00:00"/>
    <x v="3"/>
    <x v="2"/>
    <x v="1"/>
    <n v="21785828786.759998"/>
    <x v="3"/>
    <x v="2"/>
    <x v="1"/>
    <x v="11"/>
    <x v="0"/>
    <x v="2"/>
    <x v="1"/>
    <x v="2"/>
    <x v="6"/>
    <n v="7"/>
    <x v="0"/>
  </r>
  <r>
    <d v="2024-10-07T00:00:00"/>
    <x v="3"/>
    <x v="2"/>
    <x v="0"/>
    <n v="946542947.84000003"/>
    <x v="3"/>
    <x v="2"/>
    <x v="0"/>
    <x v="12"/>
    <x v="0"/>
    <x v="2"/>
    <x v="1"/>
    <x v="2"/>
    <x v="6"/>
    <n v="7"/>
    <x v="0"/>
  </r>
  <r>
    <d v="2024-10-07T00:00:00"/>
    <x v="3"/>
    <x v="1"/>
    <x v="0"/>
    <n v="48548764.509999998"/>
    <x v="3"/>
    <x v="1"/>
    <x v="0"/>
    <x v="13"/>
    <x v="0"/>
    <x v="2"/>
    <x v="1"/>
    <x v="2"/>
    <x v="6"/>
    <n v="7"/>
    <x v="0"/>
  </r>
  <r>
    <d v="2024-10-04T00:00:00"/>
    <x v="1"/>
    <x v="1"/>
    <x v="0"/>
    <n v="1519504.73"/>
    <x v="1"/>
    <x v="1"/>
    <x v="0"/>
    <x v="0"/>
    <x v="0"/>
    <x v="2"/>
    <x v="1"/>
    <x v="2"/>
    <x v="6"/>
    <n v="4"/>
    <x v="0"/>
  </r>
  <r>
    <d v="2024-10-04T00:00:00"/>
    <x v="0"/>
    <x v="1"/>
    <x v="0"/>
    <n v="4817485.09"/>
    <x v="0"/>
    <x v="1"/>
    <x v="0"/>
    <x v="1"/>
    <x v="0"/>
    <x v="2"/>
    <x v="1"/>
    <x v="2"/>
    <x v="6"/>
    <n v="4"/>
    <x v="0"/>
  </r>
  <r>
    <d v="2024-10-04T00:00:00"/>
    <x v="3"/>
    <x v="2"/>
    <x v="2"/>
    <n v="222396"/>
    <x v="3"/>
    <x v="2"/>
    <x v="2"/>
    <x v="5"/>
    <x v="0"/>
    <x v="2"/>
    <x v="1"/>
    <x v="2"/>
    <x v="6"/>
    <n v="4"/>
    <x v="0"/>
  </r>
  <r>
    <d v="2024-10-04T00:00:00"/>
    <x v="2"/>
    <x v="1"/>
    <x v="2"/>
    <n v="46349.11"/>
    <x v="2"/>
    <x v="1"/>
    <x v="2"/>
    <x v="2"/>
    <x v="0"/>
    <x v="2"/>
    <x v="1"/>
    <x v="2"/>
    <x v="6"/>
    <n v="4"/>
    <x v="0"/>
  </r>
  <r>
    <d v="2024-10-04T00:00:00"/>
    <x v="3"/>
    <x v="3"/>
    <x v="0"/>
    <n v="1904698459.9400001"/>
    <x v="3"/>
    <x v="3"/>
    <x v="0"/>
    <x v="6"/>
    <x v="0"/>
    <x v="2"/>
    <x v="1"/>
    <x v="2"/>
    <x v="6"/>
    <n v="4"/>
    <x v="0"/>
  </r>
  <r>
    <d v="2024-10-04T00:00:00"/>
    <x v="2"/>
    <x v="1"/>
    <x v="0"/>
    <n v="87518864.760000005"/>
    <x v="2"/>
    <x v="1"/>
    <x v="0"/>
    <x v="7"/>
    <x v="0"/>
    <x v="2"/>
    <x v="1"/>
    <x v="2"/>
    <x v="6"/>
    <n v="4"/>
    <x v="0"/>
  </r>
  <r>
    <d v="2024-10-04T00:00:00"/>
    <x v="3"/>
    <x v="3"/>
    <x v="1"/>
    <n v="1881154.5600000001"/>
    <x v="3"/>
    <x v="3"/>
    <x v="1"/>
    <x v="3"/>
    <x v="0"/>
    <x v="2"/>
    <x v="1"/>
    <x v="2"/>
    <x v="6"/>
    <n v="4"/>
    <x v="0"/>
  </r>
  <r>
    <d v="2024-10-04T00:00:00"/>
    <x v="0"/>
    <x v="1"/>
    <x v="1"/>
    <n v="22901874.32"/>
    <x v="0"/>
    <x v="1"/>
    <x v="1"/>
    <x v="4"/>
    <x v="0"/>
    <x v="2"/>
    <x v="1"/>
    <x v="2"/>
    <x v="6"/>
    <n v="4"/>
    <x v="0"/>
  </r>
  <r>
    <d v="2024-10-04T00:00:00"/>
    <x v="2"/>
    <x v="1"/>
    <x v="1"/>
    <n v="174140834.71000001"/>
    <x v="2"/>
    <x v="1"/>
    <x v="1"/>
    <x v="8"/>
    <x v="0"/>
    <x v="2"/>
    <x v="1"/>
    <x v="2"/>
    <x v="6"/>
    <n v="4"/>
    <x v="0"/>
  </r>
  <r>
    <d v="2024-10-04T00:00:00"/>
    <x v="1"/>
    <x v="0"/>
    <x v="1"/>
    <n v="204524553.24000001"/>
    <x v="1"/>
    <x v="0"/>
    <x v="1"/>
    <x v="9"/>
    <x v="0"/>
    <x v="2"/>
    <x v="1"/>
    <x v="2"/>
    <x v="6"/>
    <n v="4"/>
    <x v="0"/>
  </r>
  <r>
    <d v="2024-10-04T00:00:00"/>
    <x v="1"/>
    <x v="0"/>
    <x v="0"/>
    <n v="57561850"/>
    <x v="1"/>
    <x v="0"/>
    <x v="0"/>
    <x v="10"/>
    <x v="0"/>
    <x v="2"/>
    <x v="1"/>
    <x v="2"/>
    <x v="6"/>
    <n v="4"/>
    <x v="0"/>
  </r>
  <r>
    <d v="2024-10-04T00:00:00"/>
    <x v="3"/>
    <x v="1"/>
    <x v="0"/>
    <n v="17157565.82"/>
    <x v="3"/>
    <x v="1"/>
    <x v="0"/>
    <x v="11"/>
    <x v="0"/>
    <x v="2"/>
    <x v="1"/>
    <x v="2"/>
    <x v="6"/>
    <n v="4"/>
    <x v="0"/>
  </r>
  <r>
    <d v="2024-10-04T00:00:00"/>
    <x v="3"/>
    <x v="2"/>
    <x v="1"/>
    <n v="11349891931.190001"/>
    <x v="3"/>
    <x v="2"/>
    <x v="1"/>
    <x v="12"/>
    <x v="0"/>
    <x v="2"/>
    <x v="1"/>
    <x v="2"/>
    <x v="6"/>
    <n v="4"/>
    <x v="0"/>
  </r>
  <r>
    <d v="2024-10-04T00:00:00"/>
    <x v="3"/>
    <x v="2"/>
    <x v="0"/>
    <n v="595587862.95000005"/>
    <x v="3"/>
    <x v="2"/>
    <x v="0"/>
    <x v="13"/>
    <x v="0"/>
    <x v="2"/>
    <x v="1"/>
    <x v="2"/>
    <x v="6"/>
    <n v="4"/>
    <x v="0"/>
  </r>
  <r>
    <d v="2024-10-03T00:00:00"/>
    <x v="1"/>
    <x v="1"/>
    <x v="0"/>
    <n v="250171.75"/>
    <x v="1"/>
    <x v="1"/>
    <x v="0"/>
    <x v="0"/>
    <x v="0"/>
    <x v="2"/>
    <x v="1"/>
    <x v="2"/>
    <x v="6"/>
    <n v="3"/>
    <x v="0"/>
  </r>
  <r>
    <d v="2024-10-03T00:00:00"/>
    <x v="0"/>
    <x v="1"/>
    <x v="0"/>
    <n v="90056760.109999999"/>
    <x v="0"/>
    <x v="1"/>
    <x v="0"/>
    <x v="1"/>
    <x v="0"/>
    <x v="2"/>
    <x v="1"/>
    <x v="2"/>
    <x v="6"/>
    <n v="3"/>
    <x v="0"/>
  </r>
  <r>
    <d v="2024-10-03T00:00:00"/>
    <x v="0"/>
    <x v="1"/>
    <x v="1"/>
    <n v="13154317.49"/>
    <x v="0"/>
    <x v="1"/>
    <x v="1"/>
    <x v="2"/>
    <x v="0"/>
    <x v="2"/>
    <x v="1"/>
    <x v="2"/>
    <x v="6"/>
    <n v="3"/>
    <x v="0"/>
  </r>
  <r>
    <d v="2024-10-03T00:00:00"/>
    <x v="3"/>
    <x v="3"/>
    <x v="0"/>
    <n v="1531343213.6199999"/>
    <x v="3"/>
    <x v="3"/>
    <x v="0"/>
    <x v="5"/>
    <x v="0"/>
    <x v="2"/>
    <x v="1"/>
    <x v="2"/>
    <x v="6"/>
    <n v="3"/>
    <x v="0"/>
  </r>
  <r>
    <d v="2024-10-03T00:00:00"/>
    <x v="3"/>
    <x v="2"/>
    <x v="2"/>
    <n v="185102.83"/>
    <x v="3"/>
    <x v="2"/>
    <x v="2"/>
    <x v="3"/>
    <x v="0"/>
    <x v="2"/>
    <x v="1"/>
    <x v="2"/>
    <x v="6"/>
    <n v="3"/>
    <x v="0"/>
  </r>
  <r>
    <d v="2024-10-03T00:00:00"/>
    <x v="2"/>
    <x v="1"/>
    <x v="0"/>
    <n v="101816772.64"/>
    <x v="2"/>
    <x v="1"/>
    <x v="0"/>
    <x v="6"/>
    <x v="0"/>
    <x v="2"/>
    <x v="1"/>
    <x v="2"/>
    <x v="6"/>
    <n v="3"/>
    <x v="0"/>
  </r>
  <r>
    <d v="2024-10-03T00:00:00"/>
    <x v="2"/>
    <x v="1"/>
    <x v="1"/>
    <n v="167318298.55000001"/>
    <x v="2"/>
    <x v="1"/>
    <x v="1"/>
    <x v="7"/>
    <x v="0"/>
    <x v="2"/>
    <x v="1"/>
    <x v="2"/>
    <x v="6"/>
    <n v="3"/>
    <x v="0"/>
  </r>
  <r>
    <d v="2024-10-03T00:00:00"/>
    <x v="2"/>
    <x v="1"/>
    <x v="2"/>
    <n v="152424.06"/>
    <x v="2"/>
    <x v="1"/>
    <x v="2"/>
    <x v="4"/>
    <x v="0"/>
    <x v="2"/>
    <x v="1"/>
    <x v="2"/>
    <x v="6"/>
    <n v="3"/>
    <x v="0"/>
  </r>
  <r>
    <d v="2024-10-03T00:00:00"/>
    <x v="1"/>
    <x v="0"/>
    <x v="1"/>
    <n v="238953082.05000001"/>
    <x v="1"/>
    <x v="0"/>
    <x v="1"/>
    <x v="9"/>
    <x v="0"/>
    <x v="2"/>
    <x v="1"/>
    <x v="2"/>
    <x v="6"/>
    <n v="3"/>
    <x v="0"/>
  </r>
  <r>
    <d v="2024-10-03T00:00:00"/>
    <x v="1"/>
    <x v="0"/>
    <x v="0"/>
    <n v="63731372.310000002"/>
    <x v="1"/>
    <x v="0"/>
    <x v="0"/>
    <x v="8"/>
    <x v="0"/>
    <x v="2"/>
    <x v="1"/>
    <x v="2"/>
    <x v="6"/>
    <n v="3"/>
    <x v="0"/>
  </r>
  <r>
    <d v="2024-10-03T00:00:00"/>
    <x v="3"/>
    <x v="1"/>
    <x v="0"/>
    <n v="18275170.379999999"/>
    <x v="3"/>
    <x v="1"/>
    <x v="0"/>
    <x v="10"/>
    <x v="0"/>
    <x v="2"/>
    <x v="1"/>
    <x v="2"/>
    <x v="6"/>
    <n v="3"/>
    <x v="0"/>
  </r>
  <r>
    <d v="2024-10-03T00:00:00"/>
    <x v="3"/>
    <x v="2"/>
    <x v="0"/>
    <n v="1194821326.6800001"/>
    <x v="3"/>
    <x v="2"/>
    <x v="0"/>
    <x v="11"/>
    <x v="0"/>
    <x v="2"/>
    <x v="1"/>
    <x v="2"/>
    <x v="6"/>
    <n v="3"/>
    <x v="0"/>
  </r>
  <r>
    <d v="2024-10-03T00:00:00"/>
    <x v="3"/>
    <x v="2"/>
    <x v="1"/>
    <n v="7177542382.5100002"/>
    <x v="3"/>
    <x v="2"/>
    <x v="1"/>
    <x v="12"/>
    <x v="0"/>
    <x v="2"/>
    <x v="1"/>
    <x v="2"/>
    <x v="6"/>
    <n v="3"/>
    <x v="0"/>
  </r>
  <r>
    <d v="2024-10-02T00:00:00"/>
    <x v="0"/>
    <x v="0"/>
    <x v="0"/>
    <n v="190"/>
    <x v="0"/>
    <x v="0"/>
    <x v="0"/>
    <x v="0"/>
    <x v="0"/>
    <x v="2"/>
    <x v="1"/>
    <x v="2"/>
    <x v="6"/>
    <n v="2"/>
    <x v="0"/>
  </r>
  <r>
    <d v="2024-10-02T00:00:00"/>
    <x v="1"/>
    <x v="1"/>
    <x v="0"/>
    <n v="113324.06"/>
    <x v="1"/>
    <x v="1"/>
    <x v="0"/>
    <x v="1"/>
    <x v="0"/>
    <x v="2"/>
    <x v="1"/>
    <x v="2"/>
    <x v="6"/>
    <n v="2"/>
    <x v="0"/>
  </r>
  <r>
    <d v="2024-10-02T00:00:00"/>
    <x v="0"/>
    <x v="1"/>
    <x v="0"/>
    <n v="2433499.04"/>
    <x v="0"/>
    <x v="1"/>
    <x v="0"/>
    <x v="2"/>
    <x v="0"/>
    <x v="2"/>
    <x v="1"/>
    <x v="2"/>
    <x v="6"/>
    <n v="2"/>
    <x v="0"/>
  </r>
  <r>
    <d v="2024-10-02T00:00:00"/>
    <x v="3"/>
    <x v="2"/>
    <x v="2"/>
    <n v="86943.75"/>
    <x v="3"/>
    <x v="2"/>
    <x v="2"/>
    <x v="5"/>
    <x v="0"/>
    <x v="2"/>
    <x v="1"/>
    <x v="2"/>
    <x v="6"/>
    <n v="2"/>
    <x v="0"/>
  </r>
  <r>
    <d v="2024-10-02T00:00:00"/>
    <x v="3"/>
    <x v="3"/>
    <x v="2"/>
    <n v="15"/>
    <x v="3"/>
    <x v="3"/>
    <x v="2"/>
    <x v="3"/>
    <x v="0"/>
    <x v="2"/>
    <x v="1"/>
    <x v="2"/>
    <x v="6"/>
    <n v="2"/>
    <x v="0"/>
  </r>
  <r>
    <d v="2024-10-02T00:00:00"/>
    <x v="2"/>
    <x v="1"/>
    <x v="2"/>
    <n v="8040"/>
    <x v="2"/>
    <x v="1"/>
    <x v="2"/>
    <x v="4"/>
    <x v="0"/>
    <x v="2"/>
    <x v="1"/>
    <x v="2"/>
    <x v="6"/>
    <n v="2"/>
    <x v="0"/>
  </r>
  <r>
    <d v="2024-10-02T00:00:00"/>
    <x v="0"/>
    <x v="1"/>
    <x v="1"/>
    <n v="21206980.399999999"/>
    <x v="0"/>
    <x v="1"/>
    <x v="1"/>
    <x v="6"/>
    <x v="0"/>
    <x v="2"/>
    <x v="1"/>
    <x v="2"/>
    <x v="6"/>
    <n v="2"/>
    <x v="0"/>
  </r>
  <r>
    <d v="2024-10-02T00:00:00"/>
    <x v="2"/>
    <x v="1"/>
    <x v="0"/>
    <n v="81478254.640000001"/>
    <x v="2"/>
    <x v="1"/>
    <x v="0"/>
    <x v="8"/>
    <x v="0"/>
    <x v="2"/>
    <x v="1"/>
    <x v="2"/>
    <x v="6"/>
    <n v="2"/>
    <x v="0"/>
  </r>
  <r>
    <d v="2024-10-02T00:00:00"/>
    <x v="3"/>
    <x v="3"/>
    <x v="0"/>
    <n v="1580699274.0799999"/>
    <x v="3"/>
    <x v="3"/>
    <x v="0"/>
    <x v="7"/>
    <x v="0"/>
    <x v="2"/>
    <x v="1"/>
    <x v="2"/>
    <x v="6"/>
    <n v="2"/>
    <x v="0"/>
  </r>
  <r>
    <d v="2024-10-02T00:00:00"/>
    <x v="2"/>
    <x v="1"/>
    <x v="1"/>
    <n v="251507889.66999999"/>
    <x v="2"/>
    <x v="1"/>
    <x v="1"/>
    <x v="9"/>
    <x v="0"/>
    <x v="2"/>
    <x v="1"/>
    <x v="2"/>
    <x v="6"/>
    <n v="2"/>
    <x v="0"/>
  </r>
  <r>
    <d v="2024-10-02T00:00:00"/>
    <x v="1"/>
    <x v="0"/>
    <x v="0"/>
    <n v="99306776.340000004"/>
    <x v="1"/>
    <x v="0"/>
    <x v="0"/>
    <x v="10"/>
    <x v="0"/>
    <x v="2"/>
    <x v="1"/>
    <x v="2"/>
    <x v="6"/>
    <n v="2"/>
    <x v="0"/>
  </r>
  <r>
    <d v="2024-10-02T00:00:00"/>
    <x v="1"/>
    <x v="0"/>
    <x v="1"/>
    <n v="1119810489.2"/>
    <x v="1"/>
    <x v="0"/>
    <x v="1"/>
    <x v="11"/>
    <x v="0"/>
    <x v="2"/>
    <x v="1"/>
    <x v="2"/>
    <x v="6"/>
    <n v="2"/>
    <x v="0"/>
  </r>
  <r>
    <d v="2024-10-02T00:00:00"/>
    <x v="3"/>
    <x v="1"/>
    <x v="0"/>
    <n v="18965502.379999999"/>
    <x v="3"/>
    <x v="1"/>
    <x v="0"/>
    <x v="12"/>
    <x v="0"/>
    <x v="2"/>
    <x v="1"/>
    <x v="2"/>
    <x v="6"/>
    <n v="2"/>
    <x v="0"/>
  </r>
  <r>
    <d v="2024-10-02T00:00:00"/>
    <x v="3"/>
    <x v="2"/>
    <x v="0"/>
    <n v="591758143.90999997"/>
    <x v="3"/>
    <x v="2"/>
    <x v="0"/>
    <x v="13"/>
    <x v="0"/>
    <x v="2"/>
    <x v="1"/>
    <x v="2"/>
    <x v="6"/>
    <n v="2"/>
    <x v="0"/>
  </r>
  <r>
    <d v="2024-10-02T00:00:00"/>
    <x v="3"/>
    <x v="2"/>
    <x v="1"/>
    <n v="16701302472.219999"/>
    <x v="3"/>
    <x v="2"/>
    <x v="1"/>
    <x v="14"/>
    <x v="0"/>
    <x v="2"/>
    <x v="1"/>
    <x v="2"/>
    <x v="6"/>
    <n v="2"/>
    <x v="0"/>
  </r>
  <r>
    <d v="2024-10-01T00:00:00"/>
    <x v="1"/>
    <x v="1"/>
    <x v="0"/>
    <n v="41406.379999999997"/>
    <x v="1"/>
    <x v="1"/>
    <x v="0"/>
    <x v="0"/>
    <x v="0"/>
    <x v="2"/>
    <x v="1"/>
    <x v="2"/>
    <x v="6"/>
    <n v="1"/>
    <x v="0"/>
  </r>
  <r>
    <d v="2024-10-01T00:00:00"/>
    <x v="0"/>
    <x v="1"/>
    <x v="0"/>
    <n v="4039291.54"/>
    <x v="0"/>
    <x v="1"/>
    <x v="0"/>
    <x v="1"/>
    <x v="0"/>
    <x v="2"/>
    <x v="1"/>
    <x v="2"/>
    <x v="6"/>
    <n v="1"/>
    <x v="0"/>
  </r>
  <r>
    <d v="2024-10-01T00:00:00"/>
    <x v="2"/>
    <x v="1"/>
    <x v="2"/>
    <n v="79257.62"/>
    <x v="2"/>
    <x v="1"/>
    <x v="2"/>
    <x v="2"/>
    <x v="0"/>
    <x v="2"/>
    <x v="1"/>
    <x v="2"/>
    <x v="6"/>
    <n v="1"/>
    <x v="0"/>
  </r>
  <r>
    <d v="2024-10-01T00:00:00"/>
    <x v="3"/>
    <x v="2"/>
    <x v="2"/>
    <n v="255621.57"/>
    <x v="3"/>
    <x v="2"/>
    <x v="2"/>
    <x v="3"/>
    <x v="0"/>
    <x v="2"/>
    <x v="1"/>
    <x v="2"/>
    <x v="6"/>
    <n v="1"/>
    <x v="0"/>
  </r>
  <r>
    <d v="2024-10-01T00:00:00"/>
    <x v="0"/>
    <x v="1"/>
    <x v="1"/>
    <n v="807489.88"/>
    <x v="0"/>
    <x v="1"/>
    <x v="1"/>
    <x v="4"/>
    <x v="0"/>
    <x v="2"/>
    <x v="1"/>
    <x v="2"/>
    <x v="6"/>
    <n v="1"/>
    <x v="0"/>
  </r>
  <r>
    <d v="2024-10-01T00:00:00"/>
    <x v="3"/>
    <x v="3"/>
    <x v="0"/>
    <n v="4361798677.3299999"/>
    <x v="3"/>
    <x v="3"/>
    <x v="0"/>
    <x v="5"/>
    <x v="0"/>
    <x v="2"/>
    <x v="1"/>
    <x v="2"/>
    <x v="6"/>
    <n v="1"/>
    <x v="0"/>
  </r>
  <r>
    <d v="2024-10-01T00:00:00"/>
    <x v="1"/>
    <x v="0"/>
    <x v="1"/>
    <n v="442503004.45999998"/>
    <x v="1"/>
    <x v="0"/>
    <x v="1"/>
    <x v="9"/>
    <x v="0"/>
    <x v="2"/>
    <x v="1"/>
    <x v="2"/>
    <x v="6"/>
    <n v="1"/>
    <x v="0"/>
  </r>
  <r>
    <d v="2024-10-01T00:00:00"/>
    <x v="2"/>
    <x v="1"/>
    <x v="0"/>
    <n v="97546973.469999999"/>
    <x v="2"/>
    <x v="1"/>
    <x v="0"/>
    <x v="6"/>
    <x v="0"/>
    <x v="2"/>
    <x v="1"/>
    <x v="2"/>
    <x v="6"/>
    <n v="1"/>
    <x v="0"/>
  </r>
  <r>
    <d v="2024-10-01T00:00:00"/>
    <x v="2"/>
    <x v="1"/>
    <x v="1"/>
    <n v="144703861.88999999"/>
    <x v="2"/>
    <x v="1"/>
    <x v="1"/>
    <x v="7"/>
    <x v="0"/>
    <x v="2"/>
    <x v="1"/>
    <x v="2"/>
    <x v="6"/>
    <n v="1"/>
    <x v="0"/>
  </r>
  <r>
    <d v="2024-10-01T00:00:00"/>
    <x v="1"/>
    <x v="0"/>
    <x v="0"/>
    <n v="89558543.810000002"/>
    <x v="1"/>
    <x v="0"/>
    <x v="0"/>
    <x v="8"/>
    <x v="0"/>
    <x v="2"/>
    <x v="1"/>
    <x v="2"/>
    <x v="6"/>
    <n v="1"/>
    <x v="0"/>
  </r>
  <r>
    <d v="2024-10-01T00:00:00"/>
    <x v="3"/>
    <x v="1"/>
    <x v="0"/>
    <n v="14513432.050000001"/>
    <x v="3"/>
    <x v="1"/>
    <x v="0"/>
    <x v="10"/>
    <x v="0"/>
    <x v="2"/>
    <x v="1"/>
    <x v="2"/>
    <x v="6"/>
    <n v="1"/>
    <x v="0"/>
  </r>
  <r>
    <d v="2024-10-01T00:00:00"/>
    <x v="3"/>
    <x v="2"/>
    <x v="0"/>
    <n v="887870226.19000006"/>
    <x v="3"/>
    <x v="2"/>
    <x v="0"/>
    <x v="11"/>
    <x v="0"/>
    <x v="2"/>
    <x v="1"/>
    <x v="2"/>
    <x v="6"/>
    <n v="1"/>
    <x v="0"/>
  </r>
  <r>
    <d v="2024-10-01T00:00:00"/>
    <x v="3"/>
    <x v="2"/>
    <x v="1"/>
    <n v="23249722769.650002"/>
    <x v="3"/>
    <x v="2"/>
    <x v="1"/>
    <x v="12"/>
    <x v="0"/>
    <x v="2"/>
    <x v="1"/>
    <x v="2"/>
    <x v="6"/>
    <n v="1"/>
    <x v="0"/>
  </r>
  <r>
    <d v="2024-09-30T00:00:00"/>
    <x v="0"/>
    <x v="1"/>
    <x v="0"/>
    <n v="17980478.07"/>
    <x v="0"/>
    <x v="1"/>
    <x v="0"/>
    <x v="0"/>
    <x v="1"/>
    <x v="3"/>
    <x v="1"/>
    <x v="3"/>
    <x v="7"/>
    <n v="30"/>
    <x v="0"/>
  </r>
  <r>
    <d v="2024-09-30T00:00:00"/>
    <x v="3"/>
    <x v="3"/>
    <x v="2"/>
    <n v="671.75"/>
    <x v="3"/>
    <x v="3"/>
    <x v="2"/>
    <x v="1"/>
    <x v="1"/>
    <x v="3"/>
    <x v="1"/>
    <x v="3"/>
    <x v="7"/>
    <n v="30"/>
    <x v="0"/>
  </r>
  <r>
    <d v="2024-09-30T00:00:00"/>
    <x v="2"/>
    <x v="1"/>
    <x v="2"/>
    <n v="7859.52"/>
    <x v="2"/>
    <x v="1"/>
    <x v="2"/>
    <x v="2"/>
    <x v="1"/>
    <x v="3"/>
    <x v="1"/>
    <x v="3"/>
    <x v="7"/>
    <n v="30"/>
    <x v="0"/>
  </r>
  <r>
    <d v="2024-09-30T00:00:00"/>
    <x v="1"/>
    <x v="1"/>
    <x v="0"/>
    <n v="114413.33"/>
    <x v="1"/>
    <x v="1"/>
    <x v="0"/>
    <x v="5"/>
    <x v="1"/>
    <x v="3"/>
    <x v="1"/>
    <x v="3"/>
    <x v="7"/>
    <n v="30"/>
    <x v="0"/>
  </r>
  <r>
    <d v="2024-09-30T00:00:00"/>
    <x v="0"/>
    <x v="1"/>
    <x v="1"/>
    <n v="2782402.97"/>
    <x v="0"/>
    <x v="1"/>
    <x v="1"/>
    <x v="3"/>
    <x v="1"/>
    <x v="3"/>
    <x v="1"/>
    <x v="3"/>
    <x v="7"/>
    <n v="30"/>
    <x v="0"/>
  </r>
  <r>
    <d v="2024-09-30T00:00:00"/>
    <x v="2"/>
    <x v="1"/>
    <x v="0"/>
    <n v="72848889.340000004"/>
    <x v="2"/>
    <x v="1"/>
    <x v="0"/>
    <x v="6"/>
    <x v="1"/>
    <x v="3"/>
    <x v="1"/>
    <x v="3"/>
    <x v="7"/>
    <n v="30"/>
    <x v="0"/>
  </r>
  <r>
    <d v="2024-09-30T00:00:00"/>
    <x v="3"/>
    <x v="2"/>
    <x v="2"/>
    <n v="295393.21999999997"/>
    <x v="3"/>
    <x v="2"/>
    <x v="2"/>
    <x v="4"/>
    <x v="1"/>
    <x v="3"/>
    <x v="1"/>
    <x v="3"/>
    <x v="7"/>
    <n v="30"/>
    <x v="0"/>
  </r>
  <r>
    <d v="2024-09-30T00:00:00"/>
    <x v="2"/>
    <x v="1"/>
    <x v="1"/>
    <n v="229651182.15000001"/>
    <x v="2"/>
    <x v="1"/>
    <x v="1"/>
    <x v="8"/>
    <x v="1"/>
    <x v="3"/>
    <x v="1"/>
    <x v="3"/>
    <x v="7"/>
    <n v="30"/>
    <x v="0"/>
  </r>
  <r>
    <d v="2024-09-30T00:00:00"/>
    <x v="1"/>
    <x v="0"/>
    <x v="0"/>
    <n v="52002864.649999999"/>
    <x v="1"/>
    <x v="0"/>
    <x v="0"/>
    <x v="9"/>
    <x v="1"/>
    <x v="3"/>
    <x v="1"/>
    <x v="3"/>
    <x v="7"/>
    <n v="30"/>
    <x v="0"/>
  </r>
  <r>
    <d v="2024-09-30T00:00:00"/>
    <x v="3"/>
    <x v="3"/>
    <x v="0"/>
    <n v="8718989015.4699993"/>
    <x v="3"/>
    <x v="3"/>
    <x v="0"/>
    <x v="7"/>
    <x v="1"/>
    <x v="3"/>
    <x v="1"/>
    <x v="3"/>
    <x v="7"/>
    <n v="30"/>
    <x v="0"/>
  </r>
  <r>
    <d v="2024-09-30T00:00:00"/>
    <x v="1"/>
    <x v="0"/>
    <x v="1"/>
    <n v="334244574.39999998"/>
    <x v="1"/>
    <x v="0"/>
    <x v="1"/>
    <x v="10"/>
    <x v="1"/>
    <x v="3"/>
    <x v="1"/>
    <x v="3"/>
    <x v="7"/>
    <n v="30"/>
    <x v="0"/>
  </r>
  <r>
    <d v="2024-09-30T00:00:00"/>
    <x v="3"/>
    <x v="2"/>
    <x v="0"/>
    <n v="2006799685.6500001"/>
    <x v="3"/>
    <x v="2"/>
    <x v="0"/>
    <x v="11"/>
    <x v="1"/>
    <x v="3"/>
    <x v="1"/>
    <x v="3"/>
    <x v="7"/>
    <n v="30"/>
    <x v="0"/>
  </r>
  <r>
    <d v="2024-09-30T00:00:00"/>
    <x v="3"/>
    <x v="2"/>
    <x v="1"/>
    <n v="31163772977.110001"/>
    <x v="3"/>
    <x v="2"/>
    <x v="1"/>
    <x v="12"/>
    <x v="1"/>
    <x v="3"/>
    <x v="1"/>
    <x v="3"/>
    <x v="7"/>
    <n v="30"/>
    <x v="0"/>
  </r>
  <r>
    <d v="2024-09-30T00:00:00"/>
    <x v="3"/>
    <x v="1"/>
    <x v="0"/>
    <n v="48442715"/>
    <x v="3"/>
    <x v="1"/>
    <x v="0"/>
    <x v="13"/>
    <x v="1"/>
    <x v="3"/>
    <x v="1"/>
    <x v="3"/>
    <x v="7"/>
    <n v="30"/>
    <x v="0"/>
  </r>
  <r>
    <d v="2024-09-27T00:00:00"/>
    <x v="0"/>
    <x v="1"/>
    <x v="0"/>
    <n v="8207033.9299999997"/>
    <x v="0"/>
    <x v="1"/>
    <x v="0"/>
    <x v="1"/>
    <x v="1"/>
    <x v="3"/>
    <x v="1"/>
    <x v="3"/>
    <x v="7"/>
    <n v="27"/>
    <x v="0"/>
  </r>
  <r>
    <d v="2024-09-27T00:00:00"/>
    <x v="0"/>
    <x v="0"/>
    <x v="0"/>
    <n v="462.3"/>
    <x v="0"/>
    <x v="0"/>
    <x v="0"/>
    <x v="0"/>
    <x v="1"/>
    <x v="3"/>
    <x v="1"/>
    <x v="3"/>
    <x v="7"/>
    <n v="27"/>
    <x v="0"/>
  </r>
  <r>
    <d v="2024-09-27T00:00:00"/>
    <x v="3"/>
    <x v="3"/>
    <x v="0"/>
    <n v="3194381720.6900001"/>
    <x v="3"/>
    <x v="3"/>
    <x v="0"/>
    <x v="6"/>
    <x v="1"/>
    <x v="3"/>
    <x v="1"/>
    <x v="3"/>
    <x v="7"/>
    <n v="27"/>
    <x v="0"/>
  </r>
  <r>
    <d v="2024-09-27T00:00:00"/>
    <x v="2"/>
    <x v="1"/>
    <x v="2"/>
    <n v="7120.36"/>
    <x v="2"/>
    <x v="1"/>
    <x v="2"/>
    <x v="2"/>
    <x v="1"/>
    <x v="3"/>
    <x v="1"/>
    <x v="3"/>
    <x v="7"/>
    <n v="27"/>
    <x v="0"/>
  </r>
  <r>
    <d v="2024-09-27T00:00:00"/>
    <x v="0"/>
    <x v="1"/>
    <x v="1"/>
    <n v="17423993.059999999"/>
    <x v="0"/>
    <x v="1"/>
    <x v="1"/>
    <x v="3"/>
    <x v="1"/>
    <x v="3"/>
    <x v="1"/>
    <x v="3"/>
    <x v="7"/>
    <n v="27"/>
    <x v="0"/>
  </r>
  <r>
    <d v="2024-09-27T00:00:00"/>
    <x v="2"/>
    <x v="1"/>
    <x v="0"/>
    <n v="104293006.16"/>
    <x v="2"/>
    <x v="1"/>
    <x v="0"/>
    <x v="7"/>
    <x v="1"/>
    <x v="3"/>
    <x v="1"/>
    <x v="3"/>
    <x v="7"/>
    <n v="27"/>
    <x v="0"/>
  </r>
  <r>
    <d v="2024-09-27T00:00:00"/>
    <x v="3"/>
    <x v="2"/>
    <x v="2"/>
    <n v="163664.82"/>
    <x v="3"/>
    <x v="2"/>
    <x v="2"/>
    <x v="4"/>
    <x v="1"/>
    <x v="3"/>
    <x v="1"/>
    <x v="3"/>
    <x v="7"/>
    <n v="27"/>
    <x v="0"/>
  </r>
  <r>
    <d v="2024-09-27T00:00:00"/>
    <x v="1"/>
    <x v="1"/>
    <x v="0"/>
    <n v="261399.29"/>
    <x v="1"/>
    <x v="1"/>
    <x v="0"/>
    <x v="5"/>
    <x v="1"/>
    <x v="3"/>
    <x v="1"/>
    <x v="3"/>
    <x v="7"/>
    <n v="27"/>
    <x v="0"/>
  </r>
  <r>
    <d v="2024-09-27T00:00:00"/>
    <x v="2"/>
    <x v="1"/>
    <x v="1"/>
    <n v="135463638.78"/>
    <x v="2"/>
    <x v="1"/>
    <x v="1"/>
    <x v="8"/>
    <x v="1"/>
    <x v="3"/>
    <x v="1"/>
    <x v="3"/>
    <x v="7"/>
    <n v="27"/>
    <x v="0"/>
  </r>
  <r>
    <d v="2024-09-27T00:00:00"/>
    <x v="1"/>
    <x v="0"/>
    <x v="0"/>
    <n v="59313297.020000003"/>
    <x v="1"/>
    <x v="0"/>
    <x v="0"/>
    <x v="9"/>
    <x v="1"/>
    <x v="3"/>
    <x v="1"/>
    <x v="3"/>
    <x v="7"/>
    <n v="27"/>
    <x v="0"/>
  </r>
  <r>
    <d v="2024-09-27T00:00:00"/>
    <x v="1"/>
    <x v="0"/>
    <x v="1"/>
    <n v="397661707.14999998"/>
    <x v="1"/>
    <x v="0"/>
    <x v="1"/>
    <x v="10"/>
    <x v="1"/>
    <x v="3"/>
    <x v="1"/>
    <x v="3"/>
    <x v="7"/>
    <n v="27"/>
    <x v="0"/>
  </r>
  <r>
    <d v="2024-09-27T00:00:00"/>
    <x v="3"/>
    <x v="1"/>
    <x v="0"/>
    <n v="14458170.83"/>
    <x v="3"/>
    <x v="1"/>
    <x v="0"/>
    <x v="11"/>
    <x v="1"/>
    <x v="3"/>
    <x v="1"/>
    <x v="3"/>
    <x v="7"/>
    <n v="27"/>
    <x v="0"/>
  </r>
  <r>
    <d v="2024-09-27T00:00:00"/>
    <x v="3"/>
    <x v="2"/>
    <x v="0"/>
    <n v="1028540588.15"/>
    <x v="3"/>
    <x v="2"/>
    <x v="0"/>
    <x v="12"/>
    <x v="1"/>
    <x v="3"/>
    <x v="1"/>
    <x v="3"/>
    <x v="7"/>
    <n v="27"/>
    <x v="0"/>
  </r>
  <r>
    <d v="2024-09-27T00:00:00"/>
    <x v="3"/>
    <x v="2"/>
    <x v="1"/>
    <n v="14200245055.65"/>
    <x v="3"/>
    <x v="2"/>
    <x v="1"/>
    <x v="13"/>
    <x v="1"/>
    <x v="3"/>
    <x v="1"/>
    <x v="3"/>
    <x v="7"/>
    <n v="27"/>
    <x v="0"/>
  </r>
  <r>
    <d v="2024-09-26T00:00:00"/>
    <x v="1"/>
    <x v="1"/>
    <x v="0"/>
    <n v="276999.24"/>
    <x v="1"/>
    <x v="1"/>
    <x v="0"/>
    <x v="0"/>
    <x v="1"/>
    <x v="3"/>
    <x v="1"/>
    <x v="3"/>
    <x v="7"/>
    <n v="26"/>
    <x v="0"/>
  </r>
  <r>
    <d v="2024-09-26T00:00:00"/>
    <x v="0"/>
    <x v="1"/>
    <x v="0"/>
    <n v="11719668.09"/>
    <x v="0"/>
    <x v="1"/>
    <x v="0"/>
    <x v="1"/>
    <x v="1"/>
    <x v="3"/>
    <x v="1"/>
    <x v="3"/>
    <x v="7"/>
    <n v="26"/>
    <x v="0"/>
  </r>
  <r>
    <d v="2024-09-26T00:00:00"/>
    <x v="2"/>
    <x v="1"/>
    <x v="2"/>
    <n v="86074.9"/>
    <x v="2"/>
    <x v="1"/>
    <x v="2"/>
    <x v="2"/>
    <x v="1"/>
    <x v="3"/>
    <x v="1"/>
    <x v="3"/>
    <x v="7"/>
    <n v="26"/>
    <x v="0"/>
  </r>
  <r>
    <d v="2024-09-26T00:00:00"/>
    <x v="3"/>
    <x v="3"/>
    <x v="0"/>
    <n v="3416244977.04"/>
    <x v="3"/>
    <x v="3"/>
    <x v="0"/>
    <x v="6"/>
    <x v="1"/>
    <x v="3"/>
    <x v="1"/>
    <x v="3"/>
    <x v="7"/>
    <n v="26"/>
    <x v="0"/>
  </r>
  <r>
    <d v="2024-09-26T00:00:00"/>
    <x v="3"/>
    <x v="3"/>
    <x v="1"/>
    <n v="143313.16"/>
    <x v="3"/>
    <x v="3"/>
    <x v="1"/>
    <x v="3"/>
    <x v="1"/>
    <x v="3"/>
    <x v="1"/>
    <x v="3"/>
    <x v="7"/>
    <n v="26"/>
    <x v="0"/>
  </r>
  <r>
    <d v="2024-09-26T00:00:00"/>
    <x v="0"/>
    <x v="1"/>
    <x v="1"/>
    <n v="17939160.449999999"/>
    <x v="0"/>
    <x v="1"/>
    <x v="1"/>
    <x v="4"/>
    <x v="1"/>
    <x v="3"/>
    <x v="1"/>
    <x v="3"/>
    <x v="7"/>
    <n v="26"/>
    <x v="0"/>
  </r>
  <r>
    <d v="2024-09-26T00:00:00"/>
    <x v="2"/>
    <x v="1"/>
    <x v="0"/>
    <n v="117410938.5"/>
    <x v="2"/>
    <x v="1"/>
    <x v="0"/>
    <x v="7"/>
    <x v="1"/>
    <x v="3"/>
    <x v="1"/>
    <x v="3"/>
    <x v="7"/>
    <n v="26"/>
    <x v="0"/>
  </r>
  <r>
    <d v="2024-09-26T00:00:00"/>
    <x v="2"/>
    <x v="1"/>
    <x v="1"/>
    <n v="197086028.88"/>
    <x v="2"/>
    <x v="1"/>
    <x v="1"/>
    <x v="8"/>
    <x v="1"/>
    <x v="3"/>
    <x v="1"/>
    <x v="3"/>
    <x v="7"/>
    <n v="26"/>
    <x v="0"/>
  </r>
  <r>
    <d v="2024-09-26T00:00:00"/>
    <x v="3"/>
    <x v="2"/>
    <x v="2"/>
    <n v="214813.54"/>
    <x v="3"/>
    <x v="2"/>
    <x v="2"/>
    <x v="5"/>
    <x v="1"/>
    <x v="3"/>
    <x v="1"/>
    <x v="3"/>
    <x v="7"/>
    <n v="26"/>
    <x v="0"/>
  </r>
  <r>
    <d v="2024-09-26T00:00:00"/>
    <x v="1"/>
    <x v="0"/>
    <x v="0"/>
    <n v="64623394.109999999"/>
    <x v="1"/>
    <x v="0"/>
    <x v="0"/>
    <x v="9"/>
    <x v="1"/>
    <x v="3"/>
    <x v="1"/>
    <x v="3"/>
    <x v="7"/>
    <n v="26"/>
    <x v="0"/>
  </r>
  <r>
    <d v="2024-09-26T00:00:00"/>
    <x v="1"/>
    <x v="0"/>
    <x v="1"/>
    <n v="542450631.16999996"/>
    <x v="1"/>
    <x v="0"/>
    <x v="1"/>
    <x v="10"/>
    <x v="1"/>
    <x v="3"/>
    <x v="1"/>
    <x v="3"/>
    <x v="7"/>
    <n v="26"/>
    <x v="0"/>
  </r>
  <r>
    <d v="2024-09-26T00:00:00"/>
    <x v="3"/>
    <x v="1"/>
    <x v="0"/>
    <n v="14397859.6"/>
    <x v="3"/>
    <x v="1"/>
    <x v="0"/>
    <x v="11"/>
    <x v="1"/>
    <x v="3"/>
    <x v="1"/>
    <x v="3"/>
    <x v="7"/>
    <n v="26"/>
    <x v="0"/>
  </r>
  <r>
    <d v="2024-09-26T00:00:00"/>
    <x v="3"/>
    <x v="2"/>
    <x v="0"/>
    <n v="562144355.17999995"/>
    <x v="3"/>
    <x v="2"/>
    <x v="0"/>
    <x v="12"/>
    <x v="1"/>
    <x v="3"/>
    <x v="1"/>
    <x v="3"/>
    <x v="7"/>
    <n v="26"/>
    <x v="0"/>
  </r>
  <r>
    <d v="2024-09-26T00:00:00"/>
    <x v="3"/>
    <x v="2"/>
    <x v="1"/>
    <n v="5036162188.9399996"/>
    <x v="3"/>
    <x v="2"/>
    <x v="1"/>
    <x v="13"/>
    <x v="1"/>
    <x v="3"/>
    <x v="1"/>
    <x v="3"/>
    <x v="7"/>
    <n v="26"/>
    <x v="0"/>
  </r>
  <r>
    <d v="2024-09-25T00:00:00"/>
    <x v="0"/>
    <x v="0"/>
    <x v="0"/>
    <n v="635"/>
    <x v="0"/>
    <x v="0"/>
    <x v="0"/>
    <x v="0"/>
    <x v="1"/>
    <x v="3"/>
    <x v="1"/>
    <x v="3"/>
    <x v="7"/>
    <n v="25"/>
    <x v="0"/>
  </r>
  <r>
    <d v="2024-09-25T00:00:00"/>
    <x v="0"/>
    <x v="1"/>
    <x v="0"/>
    <n v="18497277.719999999"/>
    <x v="0"/>
    <x v="1"/>
    <x v="0"/>
    <x v="1"/>
    <x v="1"/>
    <x v="3"/>
    <x v="1"/>
    <x v="3"/>
    <x v="7"/>
    <n v="25"/>
    <x v="0"/>
  </r>
  <r>
    <d v="2024-09-25T00:00:00"/>
    <x v="1"/>
    <x v="1"/>
    <x v="0"/>
    <n v="1167374.77"/>
    <x v="1"/>
    <x v="1"/>
    <x v="0"/>
    <x v="6"/>
    <x v="1"/>
    <x v="3"/>
    <x v="1"/>
    <x v="3"/>
    <x v="7"/>
    <n v="25"/>
    <x v="0"/>
  </r>
  <r>
    <d v="2024-09-25T00:00:00"/>
    <x v="2"/>
    <x v="1"/>
    <x v="2"/>
    <n v="23567.38"/>
    <x v="2"/>
    <x v="1"/>
    <x v="2"/>
    <x v="2"/>
    <x v="1"/>
    <x v="3"/>
    <x v="1"/>
    <x v="3"/>
    <x v="7"/>
    <n v="25"/>
    <x v="0"/>
  </r>
  <r>
    <d v="2024-09-25T00:00:00"/>
    <x v="3"/>
    <x v="2"/>
    <x v="2"/>
    <n v="191027"/>
    <x v="3"/>
    <x v="2"/>
    <x v="2"/>
    <x v="3"/>
    <x v="1"/>
    <x v="3"/>
    <x v="1"/>
    <x v="3"/>
    <x v="7"/>
    <n v="25"/>
    <x v="0"/>
  </r>
  <r>
    <d v="2024-09-25T00:00:00"/>
    <x v="3"/>
    <x v="3"/>
    <x v="0"/>
    <n v="4603950476.5"/>
    <x v="3"/>
    <x v="3"/>
    <x v="0"/>
    <x v="7"/>
    <x v="1"/>
    <x v="3"/>
    <x v="1"/>
    <x v="3"/>
    <x v="7"/>
    <n v="25"/>
    <x v="0"/>
  </r>
  <r>
    <d v="2024-09-25T00:00:00"/>
    <x v="3"/>
    <x v="3"/>
    <x v="1"/>
    <n v="772961.82"/>
    <x v="3"/>
    <x v="3"/>
    <x v="1"/>
    <x v="4"/>
    <x v="1"/>
    <x v="3"/>
    <x v="1"/>
    <x v="3"/>
    <x v="7"/>
    <n v="25"/>
    <x v="0"/>
  </r>
  <r>
    <d v="2024-09-25T00:00:00"/>
    <x v="0"/>
    <x v="1"/>
    <x v="1"/>
    <n v="4231606.71"/>
    <x v="0"/>
    <x v="1"/>
    <x v="1"/>
    <x v="5"/>
    <x v="1"/>
    <x v="3"/>
    <x v="1"/>
    <x v="3"/>
    <x v="7"/>
    <n v="25"/>
    <x v="0"/>
  </r>
  <r>
    <d v="2024-09-25T00:00:00"/>
    <x v="2"/>
    <x v="1"/>
    <x v="0"/>
    <n v="100439016.27"/>
    <x v="2"/>
    <x v="1"/>
    <x v="0"/>
    <x v="8"/>
    <x v="1"/>
    <x v="3"/>
    <x v="1"/>
    <x v="3"/>
    <x v="7"/>
    <n v="25"/>
    <x v="0"/>
  </r>
  <r>
    <d v="2024-09-25T00:00:00"/>
    <x v="2"/>
    <x v="1"/>
    <x v="1"/>
    <n v="316494022.97000003"/>
    <x v="2"/>
    <x v="1"/>
    <x v="1"/>
    <x v="9"/>
    <x v="1"/>
    <x v="3"/>
    <x v="1"/>
    <x v="3"/>
    <x v="7"/>
    <n v="25"/>
    <x v="0"/>
  </r>
  <r>
    <d v="2024-09-25T00:00:00"/>
    <x v="1"/>
    <x v="0"/>
    <x v="0"/>
    <n v="110100165.64"/>
    <x v="1"/>
    <x v="0"/>
    <x v="0"/>
    <x v="10"/>
    <x v="1"/>
    <x v="3"/>
    <x v="1"/>
    <x v="3"/>
    <x v="7"/>
    <n v="25"/>
    <x v="0"/>
  </r>
  <r>
    <d v="2024-09-25T00:00:00"/>
    <x v="1"/>
    <x v="0"/>
    <x v="1"/>
    <n v="6255888465.7700005"/>
    <x v="1"/>
    <x v="0"/>
    <x v="1"/>
    <x v="11"/>
    <x v="1"/>
    <x v="3"/>
    <x v="1"/>
    <x v="3"/>
    <x v="7"/>
    <n v="25"/>
    <x v="0"/>
  </r>
  <r>
    <d v="2024-09-25T00:00:00"/>
    <x v="3"/>
    <x v="1"/>
    <x v="0"/>
    <n v="14703528.73"/>
    <x v="3"/>
    <x v="1"/>
    <x v="0"/>
    <x v="12"/>
    <x v="1"/>
    <x v="3"/>
    <x v="1"/>
    <x v="3"/>
    <x v="7"/>
    <n v="25"/>
    <x v="0"/>
  </r>
  <r>
    <d v="2024-09-25T00:00:00"/>
    <x v="3"/>
    <x v="2"/>
    <x v="1"/>
    <n v="11898177422.34"/>
    <x v="3"/>
    <x v="2"/>
    <x v="1"/>
    <x v="13"/>
    <x v="1"/>
    <x v="3"/>
    <x v="1"/>
    <x v="3"/>
    <x v="7"/>
    <n v="25"/>
    <x v="0"/>
  </r>
  <r>
    <d v="2024-09-25T00:00:00"/>
    <x v="3"/>
    <x v="2"/>
    <x v="0"/>
    <n v="570383708.44000006"/>
    <x v="3"/>
    <x v="2"/>
    <x v="0"/>
    <x v="14"/>
    <x v="1"/>
    <x v="3"/>
    <x v="1"/>
    <x v="3"/>
    <x v="7"/>
    <n v="25"/>
    <x v="0"/>
  </r>
  <r>
    <d v="2024-09-24T00:00:00"/>
    <x v="0"/>
    <x v="0"/>
    <x v="0"/>
    <n v="215"/>
    <x v="0"/>
    <x v="0"/>
    <x v="0"/>
    <x v="0"/>
    <x v="1"/>
    <x v="3"/>
    <x v="1"/>
    <x v="3"/>
    <x v="7"/>
    <n v="24"/>
    <x v="0"/>
  </r>
  <r>
    <d v="2024-09-24T00:00:00"/>
    <x v="1"/>
    <x v="1"/>
    <x v="0"/>
    <n v="941627.17"/>
    <x v="1"/>
    <x v="1"/>
    <x v="0"/>
    <x v="1"/>
    <x v="1"/>
    <x v="3"/>
    <x v="1"/>
    <x v="3"/>
    <x v="7"/>
    <n v="24"/>
    <x v="0"/>
  </r>
  <r>
    <d v="2024-09-24T00:00:00"/>
    <x v="0"/>
    <x v="1"/>
    <x v="0"/>
    <n v="4951584.8099999996"/>
    <x v="0"/>
    <x v="1"/>
    <x v="0"/>
    <x v="2"/>
    <x v="1"/>
    <x v="3"/>
    <x v="1"/>
    <x v="3"/>
    <x v="7"/>
    <n v="24"/>
    <x v="0"/>
  </r>
  <r>
    <d v="2024-09-24T00:00:00"/>
    <x v="3"/>
    <x v="2"/>
    <x v="2"/>
    <n v="186804.11"/>
    <x v="3"/>
    <x v="2"/>
    <x v="2"/>
    <x v="5"/>
    <x v="1"/>
    <x v="3"/>
    <x v="1"/>
    <x v="3"/>
    <x v="7"/>
    <n v="24"/>
    <x v="0"/>
  </r>
  <r>
    <d v="2024-09-24T00:00:00"/>
    <x v="2"/>
    <x v="1"/>
    <x v="2"/>
    <n v="751562.07"/>
    <x v="2"/>
    <x v="1"/>
    <x v="2"/>
    <x v="3"/>
    <x v="1"/>
    <x v="3"/>
    <x v="1"/>
    <x v="3"/>
    <x v="7"/>
    <n v="24"/>
    <x v="0"/>
  </r>
  <r>
    <d v="2024-09-24T00:00:00"/>
    <x v="2"/>
    <x v="1"/>
    <x v="0"/>
    <n v="82147211.980000004"/>
    <x v="2"/>
    <x v="1"/>
    <x v="0"/>
    <x v="7"/>
    <x v="1"/>
    <x v="3"/>
    <x v="1"/>
    <x v="3"/>
    <x v="7"/>
    <n v="24"/>
    <x v="0"/>
  </r>
  <r>
    <d v="2024-09-24T00:00:00"/>
    <x v="0"/>
    <x v="1"/>
    <x v="1"/>
    <n v="13349428.199999999"/>
    <x v="0"/>
    <x v="1"/>
    <x v="1"/>
    <x v="4"/>
    <x v="1"/>
    <x v="3"/>
    <x v="1"/>
    <x v="3"/>
    <x v="7"/>
    <n v="24"/>
    <x v="0"/>
  </r>
  <r>
    <d v="2024-09-24T00:00:00"/>
    <x v="1"/>
    <x v="0"/>
    <x v="0"/>
    <n v="81533752.030000001"/>
    <x v="1"/>
    <x v="0"/>
    <x v="0"/>
    <x v="9"/>
    <x v="1"/>
    <x v="3"/>
    <x v="1"/>
    <x v="3"/>
    <x v="7"/>
    <n v="24"/>
    <x v="0"/>
  </r>
  <r>
    <d v="2024-09-24T00:00:00"/>
    <x v="3"/>
    <x v="3"/>
    <x v="0"/>
    <n v="1455332177.97"/>
    <x v="3"/>
    <x v="3"/>
    <x v="0"/>
    <x v="6"/>
    <x v="1"/>
    <x v="3"/>
    <x v="1"/>
    <x v="3"/>
    <x v="7"/>
    <n v="24"/>
    <x v="0"/>
  </r>
  <r>
    <d v="2024-09-24T00:00:00"/>
    <x v="2"/>
    <x v="1"/>
    <x v="1"/>
    <n v="196525059.31999999"/>
    <x v="2"/>
    <x v="1"/>
    <x v="1"/>
    <x v="8"/>
    <x v="1"/>
    <x v="3"/>
    <x v="1"/>
    <x v="3"/>
    <x v="7"/>
    <n v="24"/>
    <x v="0"/>
  </r>
  <r>
    <d v="2024-09-24T00:00:00"/>
    <x v="1"/>
    <x v="0"/>
    <x v="1"/>
    <n v="5583719544.4499998"/>
    <x v="1"/>
    <x v="0"/>
    <x v="1"/>
    <x v="10"/>
    <x v="1"/>
    <x v="3"/>
    <x v="1"/>
    <x v="3"/>
    <x v="7"/>
    <n v="24"/>
    <x v="0"/>
  </r>
  <r>
    <d v="2024-09-24T00:00:00"/>
    <x v="3"/>
    <x v="1"/>
    <x v="0"/>
    <n v="13042746.779999999"/>
    <x v="3"/>
    <x v="1"/>
    <x v="0"/>
    <x v="11"/>
    <x v="1"/>
    <x v="3"/>
    <x v="1"/>
    <x v="3"/>
    <x v="7"/>
    <n v="24"/>
    <x v="0"/>
  </r>
  <r>
    <d v="2024-09-24T00:00:00"/>
    <x v="3"/>
    <x v="2"/>
    <x v="0"/>
    <n v="6513421368.6199999"/>
    <x v="3"/>
    <x v="2"/>
    <x v="0"/>
    <x v="12"/>
    <x v="1"/>
    <x v="3"/>
    <x v="1"/>
    <x v="3"/>
    <x v="7"/>
    <n v="24"/>
    <x v="0"/>
  </r>
  <r>
    <d v="2024-09-24T00:00:00"/>
    <x v="3"/>
    <x v="2"/>
    <x v="1"/>
    <n v="4007527053.8000002"/>
    <x v="3"/>
    <x v="2"/>
    <x v="1"/>
    <x v="13"/>
    <x v="1"/>
    <x v="3"/>
    <x v="1"/>
    <x v="3"/>
    <x v="7"/>
    <n v="24"/>
    <x v="0"/>
  </r>
  <r>
    <d v="2024-09-23T00:00:00"/>
    <x v="0"/>
    <x v="0"/>
    <x v="0"/>
    <n v="849.64"/>
    <x v="0"/>
    <x v="0"/>
    <x v="0"/>
    <x v="0"/>
    <x v="1"/>
    <x v="3"/>
    <x v="1"/>
    <x v="3"/>
    <x v="7"/>
    <n v="23"/>
    <x v="0"/>
  </r>
  <r>
    <d v="2024-09-23T00:00:00"/>
    <x v="0"/>
    <x v="1"/>
    <x v="0"/>
    <n v="9363835.1699999999"/>
    <x v="0"/>
    <x v="1"/>
    <x v="0"/>
    <x v="1"/>
    <x v="1"/>
    <x v="3"/>
    <x v="1"/>
    <x v="3"/>
    <x v="7"/>
    <n v="23"/>
    <x v="0"/>
  </r>
  <r>
    <d v="2024-09-23T00:00:00"/>
    <x v="3"/>
    <x v="3"/>
    <x v="0"/>
    <n v="3063017725.3699999"/>
    <x v="3"/>
    <x v="3"/>
    <x v="0"/>
    <x v="6"/>
    <x v="1"/>
    <x v="3"/>
    <x v="1"/>
    <x v="3"/>
    <x v="7"/>
    <n v="23"/>
    <x v="0"/>
  </r>
  <r>
    <d v="2024-09-23T00:00:00"/>
    <x v="2"/>
    <x v="1"/>
    <x v="2"/>
    <n v="3623.76"/>
    <x v="2"/>
    <x v="1"/>
    <x v="2"/>
    <x v="2"/>
    <x v="1"/>
    <x v="3"/>
    <x v="1"/>
    <x v="3"/>
    <x v="7"/>
    <n v="23"/>
    <x v="0"/>
  </r>
  <r>
    <d v="2024-09-23T00:00:00"/>
    <x v="2"/>
    <x v="1"/>
    <x v="0"/>
    <n v="84269592.489999995"/>
    <x v="2"/>
    <x v="1"/>
    <x v="0"/>
    <x v="7"/>
    <x v="1"/>
    <x v="3"/>
    <x v="1"/>
    <x v="3"/>
    <x v="7"/>
    <n v="23"/>
    <x v="0"/>
  </r>
  <r>
    <d v="2024-09-23T00:00:00"/>
    <x v="0"/>
    <x v="1"/>
    <x v="1"/>
    <n v="4646527.01"/>
    <x v="0"/>
    <x v="1"/>
    <x v="1"/>
    <x v="3"/>
    <x v="1"/>
    <x v="3"/>
    <x v="1"/>
    <x v="3"/>
    <x v="7"/>
    <n v="23"/>
    <x v="0"/>
  </r>
  <r>
    <d v="2024-09-23T00:00:00"/>
    <x v="1"/>
    <x v="1"/>
    <x v="0"/>
    <n v="17466395.129999999"/>
    <x v="1"/>
    <x v="1"/>
    <x v="0"/>
    <x v="4"/>
    <x v="1"/>
    <x v="3"/>
    <x v="1"/>
    <x v="3"/>
    <x v="7"/>
    <n v="23"/>
    <x v="0"/>
  </r>
  <r>
    <d v="2024-09-23T00:00:00"/>
    <x v="3"/>
    <x v="2"/>
    <x v="2"/>
    <n v="52700.35"/>
    <x v="3"/>
    <x v="2"/>
    <x v="2"/>
    <x v="5"/>
    <x v="1"/>
    <x v="3"/>
    <x v="1"/>
    <x v="3"/>
    <x v="7"/>
    <n v="23"/>
    <x v="0"/>
  </r>
  <r>
    <d v="2024-09-23T00:00:00"/>
    <x v="2"/>
    <x v="1"/>
    <x v="1"/>
    <n v="152854119.12"/>
    <x v="2"/>
    <x v="1"/>
    <x v="1"/>
    <x v="8"/>
    <x v="1"/>
    <x v="3"/>
    <x v="1"/>
    <x v="3"/>
    <x v="7"/>
    <n v="23"/>
    <x v="0"/>
  </r>
  <r>
    <d v="2024-09-23T00:00:00"/>
    <x v="1"/>
    <x v="0"/>
    <x v="0"/>
    <n v="60282972.93"/>
    <x v="1"/>
    <x v="0"/>
    <x v="0"/>
    <x v="9"/>
    <x v="1"/>
    <x v="3"/>
    <x v="1"/>
    <x v="3"/>
    <x v="7"/>
    <n v="23"/>
    <x v="0"/>
  </r>
  <r>
    <d v="2024-09-23T00:00:00"/>
    <x v="1"/>
    <x v="0"/>
    <x v="1"/>
    <n v="8327975283.1199999"/>
    <x v="1"/>
    <x v="0"/>
    <x v="1"/>
    <x v="10"/>
    <x v="1"/>
    <x v="3"/>
    <x v="1"/>
    <x v="3"/>
    <x v="7"/>
    <n v="23"/>
    <x v="0"/>
  </r>
  <r>
    <d v="2024-09-23T00:00:00"/>
    <x v="3"/>
    <x v="2"/>
    <x v="0"/>
    <n v="667816072.5"/>
    <x v="3"/>
    <x v="2"/>
    <x v="0"/>
    <x v="11"/>
    <x v="1"/>
    <x v="3"/>
    <x v="1"/>
    <x v="3"/>
    <x v="7"/>
    <n v="23"/>
    <x v="0"/>
  </r>
  <r>
    <d v="2024-09-23T00:00:00"/>
    <x v="3"/>
    <x v="2"/>
    <x v="1"/>
    <n v="23292494237.009998"/>
    <x v="3"/>
    <x v="2"/>
    <x v="1"/>
    <x v="12"/>
    <x v="1"/>
    <x v="3"/>
    <x v="1"/>
    <x v="3"/>
    <x v="7"/>
    <n v="23"/>
    <x v="0"/>
  </r>
  <r>
    <d v="2024-09-23T00:00:00"/>
    <x v="3"/>
    <x v="1"/>
    <x v="0"/>
    <n v="46831335.109999999"/>
    <x v="3"/>
    <x v="1"/>
    <x v="0"/>
    <x v="13"/>
    <x v="1"/>
    <x v="3"/>
    <x v="1"/>
    <x v="3"/>
    <x v="7"/>
    <n v="23"/>
    <x v="0"/>
  </r>
  <r>
    <d v="2024-09-20T00:00:00"/>
    <x v="0"/>
    <x v="4"/>
    <x v="0"/>
    <n v="-41560"/>
    <x v="0"/>
    <x v="4"/>
    <x v="0"/>
    <x v="0"/>
    <x v="1"/>
    <x v="3"/>
    <x v="1"/>
    <x v="3"/>
    <x v="7"/>
    <n v="20"/>
    <x v="1"/>
  </r>
  <r>
    <d v="2024-09-20T00:00:00"/>
    <x v="0"/>
    <x v="0"/>
    <x v="0"/>
    <n v="1400"/>
    <x v="0"/>
    <x v="0"/>
    <x v="0"/>
    <x v="1"/>
    <x v="1"/>
    <x v="3"/>
    <x v="1"/>
    <x v="3"/>
    <x v="7"/>
    <n v="20"/>
    <x v="0"/>
  </r>
  <r>
    <d v="2024-09-20T00:00:00"/>
    <x v="1"/>
    <x v="1"/>
    <x v="0"/>
    <n v="229590.94"/>
    <x v="1"/>
    <x v="1"/>
    <x v="0"/>
    <x v="2"/>
    <x v="1"/>
    <x v="3"/>
    <x v="1"/>
    <x v="3"/>
    <x v="7"/>
    <n v="20"/>
    <x v="0"/>
  </r>
  <r>
    <d v="2024-09-20T00:00:00"/>
    <x v="0"/>
    <x v="1"/>
    <x v="0"/>
    <n v="24581990.559999999"/>
    <x v="0"/>
    <x v="1"/>
    <x v="0"/>
    <x v="3"/>
    <x v="1"/>
    <x v="3"/>
    <x v="1"/>
    <x v="3"/>
    <x v="7"/>
    <n v="20"/>
    <x v="0"/>
  </r>
  <r>
    <d v="2024-09-20T00:00:00"/>
    <x v="3"/>
    <x v="2"/>
    <x v="2"/>
    <n v="513606"/>
    <x v="3"/>
    <x v="2"/>
    <x v="2"/>
    <x v="4"/>
    <x v="1"/>
    <x v="3"/>
    <x v="1"/>
    <x v="3"/>
    <x v="7"/>
    <n v="20"/>
    <x v="0"/>
  </r>
  <r>
    <d v="2024-09-20T00:00:00"/>
    <x v="2"/>
    <x v="1"/>
    <x v="0"/>
    <n v="70424152.290000007"/>
    <x v="2"/>
    <x v="1"/>
    <x v="0"/>
    <x v="8"/>
    <x v="1"/>
    <x v="3"/>
    <x v="1"/>
    <x v="3"/>
    <x v="7"/>
    <n v="20"/>
    <x v="0"/>
  </r>
  <r>
    <d v="2024-09-20T00:00:00"/>
    <x v="3"/>
    <x v="3"/>
    <x v="1"/>
    <n v="1801513.99"/>
    <x v="3"/>
    <x v="3"/>
    <x v="1"/>
    <x v="5"/>
    <x v="1"/>
    <x v="3"/>
    <x v="1"/>
    <x v="3"/>
    <x v="7"/>
    <n v="20"/>
    <x v="0"/>
  </r>
  <r>
    <d v="2024-09-20T00:00:00"/>
    <x v="0"/>
    <x v="1"/>
    <x v="1"/>
    <n v="9650635.3000000007"/>
    <x v="0"/>
    <x v="1"/>
    <x v="1"/>
    <x v="6"/>
    <x v="1"/>
    <x v="3"/>
    <x v="1"/>
    <x v="3"/>
    <x v="7"/>
    <n v="20"/>
    <x v="0"/>
  </r>
  <r>
    <d v="2024-09-20T00:00:00"/>
    <x v="3"/>
    <x v="3"/>
    <x v="0"/>
    <n v="1563472287.28"/>
    <x v="3"/>
    <x v="3"/>
    <x v="0"/>
    <x v="9"/>
    <x v="1"/>
    <x v="3"/>
    <x v="1"/>
    <x v="3"/>
    <x v="7"/>
    <n v="20"/>
    <x v="0"/>
  </r>
  <r>
    <d v="2024-09-20T00:00:00"/>
    <x v="2"/>
    <x v="1"/>
    <x v="2"/>
    <n v="4830.43"/>
    <x v="2"/>
    <x v="1"/>
    <x v="2"/>
    <x v="7"/>
    <x v="1"/>
    <x v="3"/>
    <x v="1"/>
    <x v="3"/>
    <x v="7"/>
    <n v="20"/>
    <x v="0"/>
  </r>
  <r>
    <d v="2024-09-20T00:00:00"/>
    <x v="2"/>
    <x v="1"/>
    <x v="1"/>
    <n v="335033235.70999998"/>
    <x v="2"/>
    <x v="1"/>
    <x v="1"/>
    <x v="10"/>
    <x v="1"/>
    <x v="3"/>
    <x v="1"/>
    <x v="3"/>
    <x v="7"/>
    <n v="20"/>
    <x v="0"/>
  </r>
  <r>
    <d v="2024-09-20T00:00:00"/>
    <x v="1"/>
    <x v="0"/>
    <x v="0"/>
    <n v="50863559.630000003"/>
    <x v="1"/>
    <x v="0"/>
    <x v="0"/>
    <x v="11"/>
    <x v="1"/>
    <x v="3"/>
    <x v="1"/>
    <x v="3"/>
    <x v="7"/>
    <n v="20"/>
    <x v="0"/>
  </r>
  <r>
    <d v="2024-09-20T00:00:00"/>
    <x v="1"/>
    <x v="0"/>
    <x v="1"/>
    <n v="4631326024.4200001"/>
    <x v="1"/>
    <x v="0"/>
    <x v="1"/>
    <x v="12"/>
    <x v="1"/>
    <x v="3"/>
    <x v="1"/>
    <x v="3"/>
    <x v="7"/>
    <n v="20"/>
    <x v="0"/>
  </r>
  <r>
    <d v="2024-09-20T00:00:00"/>
    <x v="3"/>
    <x v="1"/>
    <x v="0"/>
    <n v="14522278.02"/>
    <x v="3"/>
    <x v="1"/>
    <x v="0"/>
    <x v="13"/>
    <x v="1"/>
    <x v="3"/>
    <x v="1"/>
    <x v="3"/>
    <x v="7"/>
    <n v="20"/>
    <x v="0"/>
  </r>
  <r>
    <d v="2024-09-20T00:00:00"/>
    <x v="3"/>
    <x v="2"/>
    <x v="0"/>
    <n v="851908322.44000006"/>
    <x v="3"/>
    <x v="2"/>
    <x v="0"/>
    <x v="14"/>
    <x v="1"/>
    <x v="3"/>
    <x v="1"/>
    <x v="3"/>
    <x v="7"/>
    <n v="20"/>
    <x v="0"/>
  </r>
  <r>
    <d v="2024-09-20T00:00:00"/>
    <x v="3"/>
    <x v="2"/>
    <x v="1"/>
    <n v="9372485199.0499992"/>
    <x v="3"/>
    <x v="2"/>
    <x v="1"/>
    <x v="15"/>
    <x v="1"/>
    <x v="3"/>
    <x v="1"/>
    <x v="3"/>
    <x v="7"/>
    <n v="20"/>
    <x v="0"/>
  </r>
  <r>
    <d v="2024-09-19T00:00:00"/>
    <x v="0"/>
    <x v="0"/>
    <x v="0"/>
    <n v="18.54"/>
    <x v="0"/>
    <x v="0"/>
    <x v="0"/>
    <x v="0"/>
    <x v="1"/>
    <x v="3"/>
    <x v="1"/>
    <x v="3"/>
    <x v="7"/>
    <n v="19"/>
    <x v="0"/>
  </r>
  <r>
    <d v="2024-09-19T00:00:00"/>
    <x v="1"/>
    <x v="1"/>
    <x v="0"/>
    <n v="28201.03"/>
    <x v="1"/>
    <x v="1"/>
    <x v="0"/>
    <x v="1"/>
    <x v="1"/>
    <x v="3"/>
    <x v="1"/>
    <x v="3"/>
    <x v="7"/>
    <n v="19"/>
    <x v="0"/>
  </r>
  <r>
    <d v="2024-09-19T00:00:00"/>
    <x v="0"/>
    <x v="1"/>
    <x v="0"/>
    <n v="10643518.59"/>
    <x v="0"/>
    <x v="1"/>
    <x v="0"/>
    <x v="2"/>
    <x v="1"/>
    <x v="3"/>
    <x v="1"/>
    <x v="3"/>
    <x v="7"/>
    <n v="19"/>
    <x v="0"/>
  </r>
  <r>
    <d v="2024-09-19T00:00:00"/>
    <x v="2"/>
    <x v="1"/>
    <x v="2"/>
    <n v="625907.5"/>
    <x v="2"/>
    <x v="1"/>
    <x v="2"/>
    <x v="3"/>
    <x v="1"/>
    <x v="3"/>
    <x v="1"/>
    <x v="3"/>
    <x v="7"/>
    <n v="19"/>
    <x v="0"/>
  </r>
  <r>
    <d v="2024-09-19T00:00:00"/>
    <x v="3"/>
    <x v="3"/>
    <x v="0"/>
    <n v="1894882597.97"/>
    <x v="3"/>
    <x v="3"/>
    <x v="0"/>
    <x v="7"/>
    <x v="1"/>
    <x v="3"/>
    <x v="1"/>
    <x v="3"/>
    <x v="7"/>
    <n v="19"/>
    <x v="0"/>
  </r>
  <r>
    <d v="2024-09-19T00:00:00"/>
    <x v="3"/>
    <x v="3"/>
    <x v="1"/>
    <n v="1094434.05"/>
    <x v="3"/>
    <x v="3"/>
    <x v="1"/>
    <x v="4"/>
    <x v="1"/>
    <x v="3"/>
    <x v="1"/>
    <x v="3"/>
    <x v="7"/>
    <n v="19"/>
    <x v="0"/>
  </r>
  <r>
    <d v="2024-09-19T00:00:00"/>
    <x v="0"/>
    <x v="1"/>
    <x v="1"/>
    <n v="9762305.3900000006"/>
    <x v="0"/>
    <x v="1"/>
    <x v="1"/>
    <x v="5"/>
    <x v="1"/>
    <x v="3"/>
    <x v="1"/>
    <x v="3"/>
    <x v="7"/>
    <n v="19"/>
    <x v="0"/>
  </r>
  <r>
    <d v="2024-09-19T00:00:00"/>
    <x v="2"/>
    <x v="1"/>
    <x v="0"/>
    <n v="67071097.689999998"/>
    <x v="2"/>
    <x v="1"/>
    <x v="0"/>
    <x v="8"/>
    <x v="1"/>
    <x v="3"/>
    <x v="1"/>
    <x v="3"/>
    <x v="7"/>
    <n v="19"/>
    <x v="0"/>
  </r>
  <r>
    <d v="2024-09-19T00:00:00"/>
    <x v="3"/>
    <x v="2"/>
    <x v="2"/>
    <n v="511980.73"/>
    <x v="3"/>
    <x v="2"/>
    <x v="2"/>
    <x v="6"/>
    <x v="1"/>
    <x v="3"/>
    <x v="1"/>
    <x v="3"/>
    <x v="7"/>
    <n v="19"/>
    <x v="0"/>
  </r>
  <r>
    <d v="2024-09-19T00:00:00"/>
    <x v="2"/>
    <x v="1"/>
    <x v="1"/>
    <n v="235140464.28999999"/>
    <x v="2"/>
    <x v="1"/>
    <x v="1"/>
    <x v="9"/>
    <x v="1"/>
    <x v="3"/>
    <x v="1"/>
    <x v="3"/>
    <x v="7"/>
    <n v="19"/>
    <x v="0"/>
  </r>
  <r>
    <d v="2024-09-19T00:00:00"/>
    <x v="1"/>
    <x v="0"/>
    <x v="0"/>
    <n v="96563280.049999997"/>
    <x v="1"/>
    <x v="0"/>
    <x v="0"/>
    <x v="10"/>
    <x v="1"/>
    <x v="3"/>
    <x v="1"/>
    <x v="3"/>
    <x v="7"/>
    <n v="19"/>
    <x v="0"/>
  </r>
  <r>
    <d v="2024-09-19T00:00:00"/>
    <x v="1"/>
    <x v="0"/>
    <x v="1"/>
    <n v="7488930718.96"/>
    <x v="1"/>
    <x v="0"/>
    <x v="1"/>
    <x v="11"/>
    <x v="1"/>
    <x v="3"/>
    <x v="1"/>
    <x v="3"/>
    <x v="7"/>
    <n v="19"/>
    <x v="0"/>
  </r>
  <r>
    <d v="2024-09-19T00:00:00"/>
    <x v="3"/>
    <x v="1"/>
    <x v="0"/>
    <n v="14332125.109999999"/>
    <x v="3"/>
    <x v="1"/>
    <x v="0"/>
    <x v="12"/>
    <x v="1"/>
    <x v="3"/>
    <x v="1"/>
    <x v="3"/>
    <x v="7"/>
    <n v="19"/>
    <x v="0"/>
  </r>
  <r>
    <d v="2024-09-19T00:00:00"/>
    <x v="3"/>
    <x v="2"/>
    <x v="0"/>
    <n v="469741391.44999999"/>
    <x v="3"/>
    <x v="2"/>
    <x v="0"/>
    <x v="13"/>
    <x v="1"/>
    <x v="3"/>
    <x v="1"/>
    <x v="3"/>
    <x v="7"/>
    <n v="19"/>
    <x v="0"/>
  </r>
  <r>
    <d v="2024-09-19T00:00:00"/>
    <x v="3"/>
    <x v="2"/>
    <x v="1"/>
    <n v="3933053383.8499999"/>
    <x v="3"/>
    <x v="2"/>
    <x v="1"/>
    <x v="14"/>
    <x v="1"/>
    <x v="3"/>
    <x v="1"/>
    <x v="3"/>
    <x v="7"/>
    <n v="19"/>
    <x v="0"/>
  </r>
  <r>
    <d v="2024-09-18T00:00:00"/>
    <x v="3"/>
    <x v="2"/>
    <x v="2"/>
    <n v="246213"/>
    <x v="3"/>
    <x v="2"/>
    <x v="2"/>
    <x v="4"/>
    <x v="1"/>
    <x v="3"/>
    <x v="1"/>
    <x v="3"/>
    <x v="7"/>
    <n v="18"/>
    <x v="0"/>
  </r>
  <r>
    <d v="2024-09-18T00:00:00"/>
    <x v="1"/>
    <x v="1"/>
    <x v="0"/>
    <n v="184223.51"/>
    <x v="1"/>
    <x v="1"/>
    <x v="0"/>
    <x v="0"/>
    <x v="1"/>
    <x v="3"/>
    <x v="1"/>
    <x v="3"/>
    <x v="7"/>
    <n v="18"/>
    <x v="0"/>
  </r>
  <r>
    <d v="2024-09-18T00:00:00"/>
    <x v="0"/>
    <x v="1"/>
    <x v="0"/>
    <n v="24919391.140000001"/>
    <x v="0"/>
    <x v="1"/>
    <x v="0"/>
    <x v="1"/>
    <x v="1"/>
    <x v="3"/>
    <x v="1"/>
    <x v="3"/>
    <x v="7"/>
    <n v="18"/>
    <x v="0"/>
  </r>
  <r>
    <d v="2024-09-18T00:00:00"/>
    <x v="2"/>
    <x v="1"/>
    <x v="2"/>
    <n v="40732.68"/>
    <x v="2"/>
    <x v="1"/>
    <x v="2"/>
    <x v="2"/>
    <x v="1"/>
    <x v="3"/>
    <x v="1"/>
    <x v="3"/>
    <x v="7"/>
    <n v="18"/>
    <x v="0"/>
  </r>
  <r>
    <d v="2024-09-18T00:00:00"/>
    <x v="3"/>
    <x v="3"/>
    <x v="0"/>
    <n v="1696130928.8"/>
    <x v="3"/>
    <x v="3"/>
    <x v="0"/>
    <x v="5"/>
    <x v="1"/>
    <x v="3"/>
    <x v="1"/>
    <x v="3"/>
    <x v="7"/>
    <n v="18"/>
    <x v="0"/>
  </r>
  <r>
    <d v="2024-09-18T00:00:00"/>
    <x v="0"/>
    <x v="1"/>
    <x v="1"/>
    <n v="4548465.09"/>
    <x v="0"/>
    <x v="1"/>
    <x v="1"/>
    <x v="3"/>
    <x v="1"/>
    <x v="3"/>
    <x v="1"/>
    <x v="3"/>
    <x v="7"/>
    <n v="18"/>
    <x v="0"/>
  </r>
  <r>
    <d v="2024-09-18T00:00:00"/>
    <x v="2"/>
    <x v="1"/>
    <x v="0"/>
    <n v="100449777.95999999"/>
    <x v="2"/>
    <x v="1"/>
    <x v="0"/>
    <x v="6"/>
    <x v="1"/>
    <x v="3"/>
    <x v="1"/>
    <x v="3"/>
    <x v="7"/>
    <n v="18"/>
    <x v="0"/>
  </r>
  <r>
    <d v="2024-09-18T00:00:00"/>
    <x v="2"/>
    <x v="1"/>
    <x v="1"/>
    <n v="359377901.38999999"/>
    <x v="2"/>
    <x v="1"/>
    <x v="1"/>
    <x v="7"/>
    <x v="1"/>
    <x v="3"/>
    <x v="1"/>
    <x v="3"/>
    <x v="7"/>
    <n v="18"/>
    <x v="0"/>
  </r>
  <r>
    <d v="2024-09-18T00:00:00"/>
    <x v="1"/>
    <x v="0"/>
    <x v="0"/>
    <n v="112150550.66"/>
    <x v="1"/>
    <x v="0"/>
    <x v="0"/>
    <x v="8"/>
    <x v="1"/>
    <x v="3"/>
    <x v="1"/>
    <x v="3"/>
    <x v="7"/>
    <n v="18"/>
    <x v="0"/>
  </r>
  <r>
    <d v="2024-09-18T00:00:00"/>
    <x v="1"/>
    <x v="0"/>
    <x v="1"/>
    <n v="10198683558.68"/>
    <x v="1"/>
    <x v="0"/>
    <x v="1"/>
    <x v="9"/>
    <x v="1"/>
    <x v="3"/>
    <x v="1"/>
    <x v="3"/>
    <x v="7"/>
    <n v="18"/>
    <x v="0"/>
  </r>
  <r>
    <d v="2024-09-18T00:00:00"/>
    <x v="3"/>
    <x v="1"/>
    <x v="0"/>
    <n v="14875321.4"/>
    <x v="3"/>
    <x v="1"/>
    <x v="0"/>
    <x v="10"/>
    <x v="1"/>
    <x v="3"/>
    <x v="1"/>
    <x v="3"/>
    <x v="7"/>
    <n v="18"/>
    <x v="0"/>
  </r>
  <r>
    <d v="2024-09-18T00:00:00"/>
    <x v="3"/>
    <x v="2"/>
    <x v="0"/>
    <n v="484534407.85000002"/>
    <x v="3"/>
    <x v="2"/>
    <x v="0"/>
    <x v="11"/>
    <x v="1"/>
    <x v="3"/>
    <x v="1"/>
    <x v="3"/>
    <x v="7"/>
    <n v="18"/>
    <x v="0"/>
  </r>
  <r>
    <d v="2024-09-18T00:00:00"/>
    <x v="3"/>
    <x v="2"/>
    <x v="1"/>
    <n v="15053576954.360001"/>
    <x v="3"/>
    <x v="2"/>
    <x v="1"/>
    <x v="12"/>
    <x v="1"/>
    <x v="3"/>
    <x v="1"/>
    <x v="3"/>
    <x v="7"/>
    <n v="18"/>
    <x v="0"/>
  </r>
  <r>
    <d v="2024-09-17T00:00:00"/>
    <x v="0"/>
    <x v="0"/>
    <x v="0"/>
    <n v="1603.63"/>
    <x v="0"/>
    <x v="0"/>
    <x v="0"/>
    <x v="0"/>
    <x v="1"/>
    <x v="3"/>
    <x v="1"/>
    <x v="3"/>
    <x v="7"/>
    <n v="17"/>
    <x v="0"/>
  </r>
  <r>
    <d v="2024-09-17T00:00:00"/>
    <x v="1"/>
    <x v="1"/>
    <x v="0"/>
    <n v="199351.85"/>
    <x v="1"/>
    <x v="1"/>
    <x v="0"/>
    <x v="1"/>
    <x v="1"/>
    <x v="3"/>
    <x v="1"/>
    <x v="3"/>
    <x v="7"/>
    <n v="17"/>
    <x v="0"/>
  </r>
  <r>
    <d v="2024-09-17T00:00:00"/>
    <x v="0"/>
    <x v="1"/>
    <x v="0"/>
    <n v="23010374.98"/>
    <x v="0"/>
    <x v="1"/>
    <x v="0"/>
    <x v="2"/>
    <x v="1"/>
    <x v="3"/>
    <x v="1"/>
    <x v="3"/>
    <x v="7"/>
    <n v="17"/>
    <x v="0"/>
  </r>
  <r>
    <d v="2024-09-17T00:00:00"/>
    <x v="2"/>
    <x v="1"/>
    <x v="2"/>
    <n v="3223300.61"/>
    <x v="2"/>
    <x v="1"/>
    <x v="2"/>
    <x v="3"/>
    <x v="1"/>
    <x v="3"/>
    <x v="1"/>
    <x v="3"/>
    <x v="7"/>
    <n v="17"/>
    <x v="0"/>
  </r>
  <r>
    <d v="2024-09-17T00:00:00"/>
    <x v="3"/>
    <x v="3"/>
    <x v="1"/>
    <n v="1025291.46"/>
    <x v="3"/>
    <x v="3"/>
    <x v="1"/>
    <x v="4"/>
    <x v="1"/>
    <x v="3"/>
    <x v="1"/>
    <x v="3"/>
    <x v="7"/>
    <n v="17"/>
    <x v="0"/>
  </r>
  <r>
    <d v="2024-09-17T00:00:00"/>
    <x v="0"/>
    <x v="1"/>
    <x v="1"/>
    <n v="9087556.0199999996"/>
    <x v="0"/>
    <x v="1"/>
    <x v="1"/>
    <x v="5"/>
    <x v="1"/>
    <x v="3"/>
    <x v="1"/>
    <x v="3"/>
    <x v="7"/>
    <n v="17"/>
    <x v="0"/>
  </r>
  <r>
    <d v="2024-09-17T00:00:00"/>
    <x v="2"/>
    <x v="1"/>
    <x v="0"/>
    <n v="62729207.049999997"/>
    <x v="2"/>
    <x v="1"/>
    <x v="0"/>
    <x v="8"/>
    <x v="1"/>
    <x v="3"/>
    <x v="1"/>
    <x v="3"/>
    <x v="7"/>
    <n v="17"/>
    <x v="0"/>
  </r>
  <r>
    <d v="2024-09-17T00:00:00"/>
    <x v="3"/>
    <x v="2"/>
    <x v="2"/>
    <n v="325635.38"/>
    <x v="3"/>
    <x v="2"/>
    <x v="2"/>
    <x v="6"/>
    <x v="1"/>
    <x v="3"/>
    <x v="1"/>
    <x v="3"/>
    <x v="7"/>
    <n v="17"/>
    <x v="0"/>
  </r>
  <r>
    <d v="2024-09-17T00:00:00"/>
    <x v="2"/>
    <x v="1"/>
    <x v="1"/>
    <n v="215274588.43000001"/>
    <x v="2"/>
    <x v="1"/>
    <x v="1"/>
    <x v="9"/>
    <x v="1"/>
    <x v="3"/>
    <x v="1"/>
    <x v="3"/>
    <x v="7"/>
    <n v="17"/>
    <x v="0"/>
  </r>
  <r>
    <d v="2024-09-17T00:00:00"/>
    <x v="1"/>
    <x v="0"/>
    <x v="0"/>
    <n v="96496596.75"/>
    <x v="1"/>
    <x v="0"/>
    <x v="0"/>
    <x v="10"/>
    <x v="1"/>
    <x v="3"/>
    <x v="1"/>
    <x v="3"/>
    <x v="7"/>
    <n v="17"/>
    <x v="0"/>
  </r>
  <r>
    <d v="2024-09-17T00:00:00"/>
    <x v="3"/>
    <x v="3"/>
    <x v="0"/>
    <n v="1319915615.5999999"/>
    <x v="3"/>
    <x v="3"/>
    <x v="0"/>
    <x v="7"/>
    <x v="1"/>
    <x v="3"/>
    <x v="1"/>
    <x v="3"/>
    <x v="7"/>
    <n v="17"/>
    <x v="0"/>
  </r>
  <r>
    <d v="2024-09-17T00:00:00"/>
    <x v="1"/>
    <x v="0"/>
    <x v="1"/>
    <n v="2557643358.5799999"/>
    <x v="1"/>
    <x v="0"/>
    <x v="1"/>
    <x v="11"/>
    <x v="1"/>
    <x v="3"/>
    <x v="1"/>
    <x v="3"/>
    <x v="7"/>
    <n v="17"/>
    <x v="0"/>
  </r>
  <r>
    <d v="2024-09-17T00:00:00"/>
    <x v="3"/>
    <x v="1"/>
    <x v="0"/>
    <n v="14070913.33"/>
    <x v="3"/>
    <x v="1"/>
    <x v="0"/>
    <x v="12"/>
    <x v="1"/>
    <x v="3"/>
    <x v="1"/>
    <x v="3"/>
    <x v="7"/>
    <n v="17"/>
    <x v="0"/>
  </r>
  <r>
    <d v="2024-09-17T00:00:00"/>
    <x v="3"/>
    <x v="2"/>
    <x v="0"/>
    <n v="642178560.44000006"/>
    <x v="3"/>
    <x v="2"/>
    <x v="0"/>
    <x v="13"/>
    <x v="1"/>
    <x v="3"/>
    <x v="1"/>
    <x v="3"/>
    <x v="7"/>
    <n v="17"/>
    <x v="0"/>
  </r>
  <r>
    <d v="2024-09-17T00:00:00"/>
    <x v="3"/>
    <x v="2"/>
    <x v="1"/>
    <n v="12313629770.48"/>
    <x v="3"/>
    <x v="2"/>
    <x v="1"/>
    <x v="14"/>
    <x v="1"/>
    <x v="3"/>
    <x v="1"/>
    <x v="3"/>
    <x v="7"/>
    <n v="17"/>
    <x v="0"/>
  </r>
  <r>
    <d v="2024-09-16T00:00:00"/>
    <x v="1"/>
    <x v="1"/>
    <x v="0"/>
    <n v="805267.57"/>
    <x v="1"/>
    <x v="1"/>
    <x v="0"/>
    <x v="0"/>
    <x v="1"/>
    <x v="3"/>
    <x v="1"/>
    <x v="3"/>
    <x v="7"/>
    <n v="16"/>
    <x v="0"/>
  </r>
  <r>
    <d v="2024-09-16T00:00:00"/>
    <x v="0"/>
    <x v="1"/>
    <x v="0"/>
    <n v="12153584.75"/>
    <x v="0"/>
    <x v="1"/>
    <x v="0"/>
    <x v="1"/>
    <x v="1"/>
    <x v="3"/>
    <x v="1"/>
    <x v="3"/>
    <x v="7"/>
    <n v="16"/>
    <x v="0"/>
  </r>
  <r>
    <d v="2024-09-16T00:00:00"/>
    <x v="3"/>
    <x v="3"/>
    <x v="2"/>
    <n v="1070.3499999999999"/>
    <x v="3"/>
    <x v="3"/>
    <x v="2"/>
    <x v="2"/>
    <x v="1"/>
    <x v="3"/>
    <x v="1"/>
    <x v="3"/>
    <x v="7"/>
    <n v="16"/>
    <x v="0"/>
  </r>
  <r>
    <d v="2024-09-16T00:00:00"/>
    <x v="2"/>
    <x v="1"/>
    <x v="2"/>
    <n v="3492.37"/>
    <x v="2"/>
    <x v="1"/>
    <x v="2"/>
    <x v="3"/>
    <x v="1"/>
    <x v="3"/>
    <x v="1"/>
    <x v="3"/>
    <x v="7"/>
    <n v="16"/>
    <x v="0"/>
  </r>
  <r>
    <d v="2024-09-16T00:00:00"/>
    <x v="3"/>
    <x v="3"/>
    <x v="0"/>
    <n v="3280331581.54"/>
    <x v="3"/>
    <x v="3"/>
    <x v="0"/>
    <x v="6"/>
    <x v="1"/>
    <x v="3"/>
    <x v="1"/>
    <x v="3"/>
    <x v="7"/>
    <n v="16"/>
    <x v="0"/>
  </r>
  <r>
    <d v="2024-09-16T00:00:00"/>
    <x v="0"/>
    <x v="1"/>
    <x v="1"/>
    <n v="19717139.82"/>
    <x v="0"/>
    <x v="1"/>
    <x v="1"/>
    <x v="4"/>
    <x v="1"/>
    <x v="3"/>
    <x v="1"/>
    <x v="3"/>
    <x v="7"/>
    <n v="16"/>
    <x v="0"/>
  </r>
  <r>
    <d v="2024-09-16T00:00:00"/>
    <x v="2"/>
    <x v="1"/>
    <x v="0"/>
    <n v="69172171.25"/>
    <x v="2"/>
    <x v="1"/>
    <x v="0"/>
    <x v="7"/>
    <x v="1"/>
    <x v="3"/>
    <x v="1"/>
    <x v="3"/>
    <x v="7"/>
    <n v="16"/>
    <x v="0"/>
  </r>
  <r>
    <d v="2024-09-16T00:00:00"/>
    <x v="3"/>
    <x v="2"/>
    <x v="2"/>
    <n v="170772.04"/>
    <x v="3"/>
    <x v="2"/>
    <x v="2"/>
    <x v="5"/>
    <x v="1"/>
    <x v="3"/>
    <x v="1"/>
    <x v="3"/>
    <x v="7"/>
    <n v="16"/>
    <x v="0"/>
  </r>
  <r>
    <d v="2024-09-16T00:00:00"/>
    <x v="2"/>
    <x v="1"/>
    <x v="1"/>
    <n v="229243428.62"/>
    <x v="2"/>
    <x v="1"/>
    <x v="1"/>
    <x v="8"/>
    <x v="1"/>
    <x v="3"/>
    <x v="1"/>
    <x v="3"/>
    <x v="7"/>
    <n v="16"/>
    <x v="0"/>
  </r>
  <r>
    <d v="2024-09-16T00:00:00"/>
    <x v="1"/>
    <x v="0"/>
    <x v="0"/>
    <n v="56617944.399999999"/>
    <x v="1"/>
    <x v="0"/>
    <x v="0"/>
    <x v="9"/>
    <x v="1"/>
    <x v="3"/>
    <x v="1"/>
    <x v="3"/>
    <x v="7"/>
    <n v="16"/>
    <x v="0"/>
  </r>
  <r>
    <d v="2024-09-16T00:00:00"/>
    <x v="1"/>
    <x v="0"/>
    <x v="1"/>
    <n v="2082977236.6600001"/>
    <x v="1"/>
    <x v="0"/>
    <x v="1"/>
    <x v="10"/>
    <x v="1"/>
    <x v="3"/>
    <x v="1"/>
    <x v="3"/>
    <x v="7"/>
    <n v="16"/>
    <x v="0"/>
  </r>
  <r>
    <d v="2024-09-16T00:00:00"/>
    <x v="3"/>
    <x v="2"/>
    <x v="0"/>
    <n v="705225157.49000001"/>
    <x v="3"/>
    <x v="2"/>
    <x v="0"/>
    <x v="11"/>
    <x v="1"/>
    <x v="3"/>
    <x v="1"/>
    <x v="3"/>
    <x v="7"/>
    <n v="16"/>
    <x v="0"/>
  </r>
  <r>
    <d v="2024-09-16T00:00:00"/>
    <x v="3"/>
    <x v="1"/>
    <x v="0"/>
    <n v="52524047.229999997"/>
    <x v="3"/>
    <x v="1"/>
    <x v="0"/>
    <x v="12"/>
    <x v="1"/>
    <x v="3"/>
    <x v="1"/>
    <x v="3"/>
    <x v="7"/>
    <n v="16"/>
    <x v="0"/>
  </r>
  <r>
    <d v="2024-09-16T00:00:00"/>
    <x v="3"/>
    <x v="2"/>
    <x v="1"/>
    <n v="117935918227.03999"/>
    <x v="3"/>
    <x v="2"/>
    <x v="1"/>
    <x v="13"/>
    <x v="1"/>
    <x v="3"/>
    <x v="1"/>
    <x v="3"/>
    <x v="7"/>
    <n v="16"/>
    <x v="0"/>
  </r>
  <r>
    <d v="2024-09-13T00:00:00"/>
    <x v="0"/>
    <x v="1"/>
    <x v="0"/>
    <n v="10943038.23"/>
    <x v="0"/>
    <x v="1"/>
    <x v="0"/>
    <x v="1"/>
    <x v="1"/>
    <x v="3"/>
    <x v="1"/>
    <x v="3"/>
    <x v="7"/>
    <n v="13"/>
    <x v="0"/>
  </r>
  <r>
    <d v="2024-09-13T00:00:00"/>
    <x v="0"/>
    <x v="0"/>
    <x v="0"/>
    <n v="35"/>
    <x v="0"/>
    <x v="0"/>
    <x v="0"/>
    <x v="0"/>
    <x v="1"/>
    <x v="3"/>
    <x v="1"/>
    <x v="3"/>
    <x v="7"/>
    <n v="13"/>
    <x v="0"/>
  </r>
  <r>
    <d v="2024-09-13T00:00:00"/>
    <x v="3"/>
    <x v="3"/>
    <x v="0"/>
    <n v="1723901441.8399999"/>
    <x v="3"/>
    <x v="3"/>
    <x v="0"/>
    <x v="6"/>
    <x v="1"/>
    <x v="3"/>
    <x v="1"/>
    <x v="3"/>
    <x v="7"/>
    <n v="13"/>
    <x v="0"/>
  </r>
  <r>
    <d v="2024-09-13T00:00:00"/>
    <x v="2"/>
    <x v="1"/>
    <x v="2"/>
    <n v="4358.2299999999996"/>
    <x v="2"/>
    <x v="1"/>
    <x v="2"/>
    <x v="2"/>
    <x v="1"/>
    <x v="3"/>
    <x v="1"/>
    <x v="3"/>
    <x v="7"/>
    <n v="13"/>
    <x v="0"/>
  </r>
  <r>
    <d v="2024-09-13T00:00:00"/>
    <x v="0"/>
    <x v="1"/>
    <x v="1"/>
    <n v="1066462.55"/>
    <x v="0"/>
    <x v="1"/>
    <x v="1"/>
    <x v="3"/>
    <x v="1"/>
    <x v="3"/>
    <x v="1"/>
    <x v="3"/>
    <x v="7"/>
    <n v="13"/>
    <x v="0"/>
  </r>
  <r>
    <d v="2024-09-13T00:00:00"/>
    <x v="1"/>
    <x v="1"/>
    <x v="0"/>
    <n v="113658.79"/>
    <x v="1"/>
    <x v="1"/>
    <x v="0"/>
    <x v="4"/>
    <x v="1"/>
    <x v="3"/>
    <x v="1"/>
    <x v="3"/>
    <x v="7"/>
    <n v="13"/>
    <x v="0"/>
  </r>
  <r>
    <d v="2024-09-13T00:00:00"/>
    <x v="2"/>
    <x v="1"/>
    <x v="1"/>
    <n v="232197798.97"/>
    <x v="2"/>
    <x v="1"/>
    <x v="1"/>
    <x v="8"/>
    <x v="1"/>
    <x v="3"/>
    <x v="1"/>
    <x v="3"/>
    <x v="7"/>
    <n v="13"/>
    <x v="0"/>
  </r>
  <r>
    <d v="2024-09-13T00:00:00"/>
    <x v="3"/>
    <x v="2"/>
    <x v="2"/>
    <n v="185223"/>
    <x v="3"/>
    <x v="2"/>
    <x v="2"/>
    <x v="5"/>
    <x v="1"/>
    <x v="3"/>
    <x v="1"/>
    <x v="3"/>
    <x v="7"/>
    <n v="13"/>
    <x v="0"/>
  </r>
  <r>
    <d v="2024-09-13T00:00:00"/>
    <x v="2"/>
    <x v="1"/>
    <x v="0"/>
    <n v="72082595.010000005"/>
    <x v="2"/>
    <x v="1"/>
    <x v="0"/>
    <x v="7"/>
    <x v="1"/>
    <x v="3"/>
    <x v="1"/>
    <x v="3"/>
    <x v="7"/>
    <n v="13"/>
    <x v="0"/>
  </r>
  <r>
    <d v="2024-09-13T00:00:00"/>
    <x v="1"/>
    <x v="0"/>
    <x v="1"/>
    <n v="1133656640.23"/>
    <x v="1"/>
    <x v="0"/>
    <x v="1"/>
    <x v="10"/>
    <x v="1"/>
    <x v="3"/>
    <x v="1"/>
    <x v="3"/>
    <x v="7"/>
    <n v="13"/>
    <x v="0"/>
  </r>
  <r>
    <d v="2024-09-13T00:00:00"/>
    <x v="1"/>
    <x v="0"/>
    <x v="0"/>
    <n v="47759575.25"/>
    <x v="1"/>
    <x v="0"/>
    <x v="0"/>
    <x v="9"/>
    <x v="1"/>
    <x v="3"/>
    <x v="1"/>
    <x v="3"/>
    <x v="7"/>
    <n v="13"/>
    <x v="0"/>
  </r>
  <r>
    <d v="2024-09-13T00:00:00"/>
    <x v="3"/>
    <x v="1"/>
    <x v="0"/>
    <n v="16520942.27"/>
    <x v="3"/>
    <x v="1"/>
    <x v="0"/>
    <x v="11"/>
    <x v="1"/>
    <x v="3"/>
    <x v="1"/>
    <x v="3"/>
    <x v="7"/>
    <n v="13"/>
    <x v="0"/>
  </r>
  <r>
    <d v="2024-09-13T00:00:00"/>
    <x v="3"/>
    <x v="2"/>
    <x v="1"/>
    <n v="52996238886.57"/>
    <x v="3"/>
    <x v="2"/>
    <x v="1"/>
    <x v="12"/>
    <x v="1"/>
    <x v="3"/>
    <x v="1"/>
    <x v="3"/>
    <x v="7"/>
    <n v="13"/>
    <x v="0"/>
  </r>
  <r>
    <d v="2024-09-13T00:00:00"/>
    <x v="3"/>
    <x v="2"/>
    <x v="0"/>
    <n v="880547458.35000002"/>
    <x v="3"/>
    <x v="2"/>
    <x v="0"/>
    <x v="13"/>
    <x v="1"/>
    <x v="3"/>
    <x v="1"/>
    <x v="3"/>
    <x v="7"/>
    <n v="13"/>
    <x v="0"/>
  </r>
  <r>
    <d v="2024-09-12T00:00:00"/>
    <x v="0"/>
    <x v="0"/>
    <x v="0"/>
    <n v="-608.72"/>
    <x v="0"/>
    <x v="0"/>
    <x v="0"/>
    <x v="0"/>
    <x v="1"/>
    <x v="3"/>
    <x v="1"/>
    <x v="3"/>
    <x v="7"/>
    <n v="12"/>
    <x v="1"/>
  </r>
  <r>
    <d v="2024-09-12T00:00:00"/>
    <x v="1"/>
    <x v="1"/>
    <x v="0"/>
    <n v="465454.51"/>
    <x v="1"/>
    <x v="1"/>
    <x v="0"/>
    <x v="1"/>
    <x v="1"/>
    <x v="3"/>
    <x v="1"/>
    <x v="3"/>
    <x v="7"/>
    <n v="12"/>
    <x v="0"/>
  </r>
  <r>
    <d v="2024-09-12T00:00:00"/>
    <x v="0"/>
    <x v="1"/>
    <x v="0"/>
    <n v="15092185"/>
    <x v="0"/>
    <x v="1"/>
    <x v="0"/>
    <x v="2"/>
    <x v="1"/>
    <x v="3"/>
    <x v="1"/>
    <x v="3"/>
    <x v="7"/>
    <n v="12"/>
    <x v="0"/>
  </r>
  <r>
    <d v="2024-09-12T00:00:00"/>
    <x v="3"/>
    <x v="2"/>
    <x v="2"/>
    <n v="86365.16"/>
    <x v="3"/>
    <x v="2"/>
    <x v="2"/>
    <x v="5"/>
    <x v="1"/>
    <x v="3"/>
    <x v="1"/>
    <x v="3"/>
    <x v="7"/>
    <n v="12"/>
    <x v="0"/>
  </r>
  <r>
    <d v="2024-09-12T00:00:00"/>
    <x v="2"/>
    <x v="1"/>
    <x v="2"/>
    <n v="10545"/>
    <x v="2"/>
    <x v="1"/>
    <x v="2"/>
    <x v="3"/>
    <x v="1"/>
    <x v="3"/>
    <x v="1"/>
    <x v="3"/>
    <x v="7"/>
    <n v="12"/>
    <x v="0"/>
  </r>
  <r>
    <d v="2024-09-12T00:00:00"/>
    <x v="0"/>
    <x v="1"/>
    <x v="1"/>
    <n v="10446167.09"/>
    <x v="0"/>
    <x v="1"/>
    <x v="1"/>
    <x v="4"/>
    <x v="1"/>
    <x v="3"/>
    <x v="1"/>
    <x v="3"/>
    <x v="7"/>
    <n v="12"/>
    <x v="0"/>
  </r>
  <r>
    <d v="2024-09-12T00:00:00"/>
    <x v="2"/>
    <x v="1"/>
    <x v="0"/>
    <n v="90874325.180000007"/>
    <x v="2"/>
    <x v="1"/>
    <x v="0"/>
    <x v="6"/>
    <x v="1"/>
    <x v="3"/>
    <x v="1"/>
    <x v="3"/>
    <x v="7"/>
    <n v="12"/>
    <x v="0"/>
  </r>
  <r>
    <d v="2024-09-12T00:00:00"/>
    <x v="2"/>
    <x v="1"/>
    <x v="1"/>
    <n v="126790549.08"/>
    <x v="2"/>
    <x v="1"/>
    <x v="1"/>
    <x v="8"/>
    <x v="1"/>
    <x v="3"/>
    <x v="1"/>
    <x v="3"/>
    <x v="7"/>
    <n v="12"/>
    <x v="0"/>
  </r>
  <r>
    <d v="2024-09-12T00:00:00"/>
    <x v="3"/>
    <x v="3"/>
    <x v="0"/>
    <n v="1540721912.6199999"/>
    <x v="3"/>
    <x v="3"/>
    <x v="0"/>
    <x v="7"/>
    <x v="1"/>
    <x v="3"/>
    <x v="1"/>
    <x v="3"/>
    <x v="7"/>
    <n v="12"/>
    <x v="0"/>
  </r>
  <r>
    <d v="2024-09-12T00:00:00"/>
    <x v="1"/>
    <x v="0"/>
    <x v="0"/>
    <n v="47631244.270000003"/>
    <x v="1"/>
    <x v="0"/>
    <x v="0"/>
    <x v="9"/>
    <x v="1"/>
    <x v="3"/>
    <x v="1"/>
    <x v="3"/>
    <x v="7"/>
    <n v="12"/>
    <x v="0"/>
  </r>
  <r>
    <d v="2024-09-12T00:00:00"/>
    <x v="1"/>
    <x v="0"/>
    <x v="1"/>
    <n v="2283675738.73"/>
    <x v="1"/>
    <x v="0"/>
    <x v="1"/>
    <x v="10"/>
    <x v="1"/>
    <x v="3"/>
    <x v="1"/>
    <x v="3"/>
    <x v="7"/>
    <n v="12"/>
    <x v="0"/>
  </r>
  <r>
    <d v="2024-09-12T00:00:00"/>
    <x v="3"/>
    <x v="1"/>
    <x v="0"/>
    <n v="14177252.76"/>
    <x v="3"/>
    <x v="1"/>
    <x v="0"/>
    <x v="11"/>
    <x v="1"/>
    <x v="3"/>
    <x v="1"/>
    <x v="3"/>
    <x v="7"/>
    <n v="12"/>
    <x v="0"/>
  </r>
  <r>
    <d v="2024-09-12T00:00:00"/>
    <x v="3"/>
    <x v="2"/>
    <x v="0"/>
    <n v="586012048.96000004"/>
    <x v="3"/>
    <x v="2"/>
    <x v="0"/>
    <x v="12"/>
    <x v="1"/>
    <x v="3"/>
    <x v="1"/>
    <x v="3"/>
    <x v="7"/>
    <n v="12"/>
    <x v="0"/>
  </r>
  <r>
    <d v="2024-09-12T00:00:00"/>
    <x v="3"/>
    <x v="2"/>
    <x v="1"/>
    <n v="18291354081.139999"/>
    <x v="3"/>
    <x v="2"/>
    <x v="1"/>
    <x v="13"/>
    <x v="1"/>
    <x v="3"/>
    <x v="1"/>
    <x v="3"/>
    <x v="7"/>
    <n v="12"/>
    <x v="0"/>
  </r>
  <r>
    <d v="2024-09-11T00:00:00"/>
    <x v="0"/>
    <x v="0"/>
    <x v="0"/>
    <n v="403.41"/>
    <x v="0"/>
    <x v="0"/>
    <x v="0"/>
    <x v="0"/>
    <x v="1"/>
    <x v="3"/>
    <x v="1"/>
    <x v="3"/>
    <x v="7"/>
    <n v="11"/>
    <x v="0"/>
  </r>
  <r>
    <d v="2024-09-11T00:00:00"/>
    <x v="1"/>
    <x v="1"/>
    <x v="0"/>
    <n v="853232.44"/>
    <x v="1"/>
    <x v="1"/>
    <x v="0"/>
    <x v="1"/>
    <x v="1"/>
    <x v="3"/>
    <x v="1"/>
    <x v="3"/>
    <x v="7"/>
    <n v="11"/>
    <x v="0"/>
  </r>
  <r>
    <d v="2024-09-11T00:00:00"/>
    <x v="0"/>
    <x v="1"/>
    <x v="0"/>
    <n v="11353510.07"/>
    <x v="0"/>
    <x v="1"/>
    <x v="0"/>
    <x v="2"/>
    <x v="1"/>
    <x v="3"/>
    <x v="1"/>
    <x v="3"/>
    <x v="7"/>
    <n v="11"/>
    <x v="0"/>
  </r>
  <r>
    <d v="2024-09-11T00:00:00"/>
    <x v="3"/>
    <x v="3"/>
    <x v="2"/>
    <n v="4"/>
    <x v="3"/>
    <x v="3"/>
    <x v="2"/>
    <x v="3"/>
    <x v="1"/>
    <x v="3"/>
    <x v="1"/>
    <x v="3"/>
    <x v="7"/>
    <n v="11"/>
    <x v="0"/>
  </r>
  <r>
    <d v="2024-09-11T00:00:00"/>
    <x v="2"/>
    <x v="1"/>
    <x v="0"/>
    <n v="69256223.310000002"/>
    <x v="2"/>
    <x v="1"/>
    <x v="0"/>
    <x v="7"/>
    <x v="1"/>
    <x v="3"/>
    <x v="1"/>
    <x v="3"/>
    <x v="7"/>
    <n v="11"/>
    <x v="0"/>
  </r>
  <r>
    <d v="2024-09-11T00:00:00"/>
    <x v="0"/>
    <x v="1"/>
    <x v="1"/>
    <n v="10606569.77"/>
    <x v="0"/>
    <x v="1"/>
    <x v="1"/>
    <x v="4"/>
    <x v="1"/>
    <x v="3"/>
    <x v="1"/>
    <x v="3"/>
    <x v="7"/>
    <n v="11"/>
    <x v="0"/>
  </r>
  <r>
    <d v="2024-09-11T00:00:00"/>
    <x v="3"/>
    <x v="3"/>
    <x v="0"/>
    <n v="960311195.62"/>
    <x v="3"/>
    <x v="3"/>
    <x v="0"/>
    <x v="8"/>
    <x v="1"/>
    <x v="3"/>
    <x v="1"/>
    <x v="3"/>
    <x v="7"/>
    <n v="11"/>
    <x v="0"/>
  </r>
  <r>
    <d v="2024-09-11T00:00:00"/>
    <x v="2"/>
    <x v="1"/>
    <x v="2"/>
    <n v="6645.17"/>
    <x v="2"/>
    <x v="1"/>
    <x v="2"/>
    <x v="5"/>
    <x v="1"/>
    <x v="3"/>
    <x v="1"/>
    <x v="3"/>
    <x v="7"/>
    <n v="11"/>
    <x v="0"/>
  </r>
  <r>
    <d v="2024-09-11T00:00:00"/>
    <x v="3"/>
    <x v="2"/>
    <x v="2"/>
    <n v="156464"/>
    <x v="3"/>
    <x v="2"/>
    <x v="2"/>
    <x v="6"/>
    <x v="1"/>
    <x v="3"/>
    <x v="1"/>
    <x v="3"/>
    <x v="7"/>
    <n v="11"/>
    <x v="0"/>
  </r>
  <r>
    <d v="2024-09-11T00:00:00"/>
    <x v="1"/>
    <x v="0"/>
    <x v="1"/>
    <n v="3737390036.1599998"/>
    <x v="1"/>
    <x v="0"/>
    <x v="1"/>
    <x v="10"/>
    <x v="1"/>
    <x v="3"/>
    <x v="1"/>
    <x v="3"/>
    <x v="7"/>
    <n v="11"/>
    <x v="0"/>
  </r>
  <r>
    <d v="2024-09-11T00:00:00"/>
    <x v="2"/>
    <x v="1"/>
    <x v="1"/>
    <n v="172777366.69"/>
    <x v="2"/>
    <x v="1"/>
    <x v="1"/>
    <x v="9"/>
    <x v="1"/>
    <x v="3"/>
    <x v="1"/>
    <x v="3"/>
    <x v="7"/>
    <n v="11"/>
    <x v="0"/>
  </r>
  <r>
    <d v="2024-09-11T00:00:00"/>
    <x v="1"/>
    <x v="0"/>
    <x v="0"/>
    <n v="80634249.579999998"/>
    <x v="1"/>
    <x v="0"/>
    <x v="0"/>
    <x v="11"/>
    <x v="1"/>
    <x v="3"/>
    <x v="1"/>
    <x v="3"/>
    <x v="7"/>
    <n v="11"/>
    <x v="0"/>
  </r>
  <r>
    <d v="2024-09-11T00:00:00"/>
    <x v="3"/>
    <x v="1"/>
    <x v="0"/>
    <n v="14966218.75"/>
    <x v="3"/>
    <x v="1"/>
    <x v="0"/>
    <x v="12"/>
    <x v="1"/>
    <x v="3"/>
    <x v="1"/>
    <x v="3"/>
    <x v="7"/>
    <n v="11"/>
    <x v="0"/>
  </r>
  <r>
    <d v="2024-09-11T00:00:00"/>
    <x v="3"/>
    <x v="2"/>
    <x v="1"/>
    <n v="18461139627.93"/>
    <x v="3"/>
    <x v="2"/>
    <x v="1"/>
    <x v="13"/>
    <x v="1"/>
    <x v="3"/>
    <x v="1"/>
    <x v="3"/>
    <x v="7"/>
    <n v="11"/>
    <x v="0"/>
  </r>
  <r>
    <d v="2024-09-11T00:00:00"/>
    <x v="3"/>
    <x v="2"/>
    <x v="0"/>
    <n v="515232392.81"/>
    <x v="3"/>
    <x v="2"/>
    <x v="0"/>
    <x v="14"/>
    <x v="1"/>
    <x v="3"/>
    <x v="1"/>
    <x v="3"/>
    <x v="7"/>
    <n v="11"/>
    <x v="0"/>
  </r>
  <r>
    <d v="2024-09-10T00:00:00"/>
    <x v="3"/>
    <x v="2"/>
    <x v="2"/>
    <n v="118986"/>
    <x v="3"/>
    <x v="2"/>
    <x v="2"/>
    <x v="5"/>
    <x v="1"/>
    <x v="3"/>
    <x v="1"/>
    <x v="3"/>
    <x v="7"/>
    <n v="10"/>
    <x v="0"/>
  </r>
  <r>
    <d v="2024-09-10T00:00:00"/>
    <x v="0"/>
    <x v="0"/>
    <x v="0"/>
    <n v="449.99"/>
    <x v="0"/>
    <x v="0"/>
    <x v="0"/>
    <x v="0"/>
    <x v="1"/>
    <x v="3"/>
    <x v="1"/>
    <x v="3"/>
    <x v="7"/>
    <n v="10"/>
    <x v="0"/>
  </r>
  <r>
    <d v="2024-09-10T00:00:00"/>
    <x v="0"/>
    <x v="1"/>
    <x v="0"/>
    <n v="9972544.3200000003"/>
    <x v="0"/>
    <x v="1"/>
    <x v="0"/>
    <x v="1"/>
    <x v="1"/>
    <x v="3"/>
    <x v="1"/>
    <x v="3"/>
    <x v="7"/>
    <n v="10"/>
    <x v="0"/>
  </r>
  <r>
    <d v="2024-09-10T00:00:00"/>
    <x v="2"/>
    <x v="1"/>
    <x v="2"/>
    <n v="46188.4"/>
    <x v="2"/>
    <x v="1"/>
    <x v="2"/>
    <x v="2"/>
    <x v="1"/>
    <x v="3"/>
    <x v="1"/>
    <x v="3"/>
    <x v="7"/>
    <n v="10"/>
    <x v="0"/>
  </r>
  <r>
    <d v="2024-09-10T00:00:00"/>
    <x v="3"/>
    <x v="3"/>
    <x v="0"/>
    <n v="938652162.21000004"/>
    <x v="3"/>
    <x v="3"/>
    <x v="0"/>
    <x v="6"/>
    <x v="1"/>
    <x v="3"/>
    <x v="1"/>
    <x v="3"/>
    <x v="7"/>
    <n v="10"/>
    <x v="0"/>
  </r>
  <r>
    <d v="2024-09-10T00:00:00"/>
    <x v="0"/>
    <x v="1"/>
    <x v="1"/>
    <n v="1098434.8600000001"/>
    <x v="0"/>
    <x v="1"/>
    <x v="1"/>
    <x v="3"/>
    <x v="1"/>
    <x v="3"/>
    <x v="1"/>
    <x v="3"/>
    <x v="7"/>
    <n v="10"/>
    <x v="0"/>
  </r>
  <r>
    <d v="2024-09-10T00:00:00"/>
    <x v="2"/>
    <x v="1"/>
    <x v="0"/>
    <n v="112127223.48"/>
    <x v="2"/>
    <x v="1"/>
    <x v="0"/>
    <x v="7"/>
    <x v="1"/>
    <x v="3"/>
    <x v="1"/>
    <x v="3"/>
    <x v="7"/>
    <n v="10"/>
    <x v="0"/>
  </r>
  <r>
    <d v="2024-09-10T00:00:00"/>
    <x v="1"/>
    <x v="1"/>
    <x v="0"/>
    <n v="108059.91"/>
    <x v="1"/>
    <x v="1"/>
    <x v="0"/>
    <x v="4"/>
    <x v="1"/>
    <x v="3"/>
    <x v="1"/>
    <x v="3"/>
    <x v="7"/>
    <n v="10"/>
    <x v="0"/>
  </r>
  <r>
    <d v="2024-09-10T00:00:00"/>
    <x v="2"/>
    <x v="1"/>
    <x v="1"/>
    <n v="132055578.09999999"/>
    <x v="2"/>
    <x v="1"/>
    <x v="1"/>
    <x v="8"/>
    <x v="1"/>
    <x v="3"/>
    <x v="1"/>
    <x v="3"/>
    <x v="7"/>
    <n v="10"/>
    <x v="0"/>
  </r>
  <r>
    <d v="2024-09-10T00:00:00"/>
    <x v="1"/>
    <x v="0"/>
    <x v="0"/>
    <n v="67325311.489999995"/>
    <x v="1"/>
    <x v="0"/>
    <x v="0"/>
    <x v="9"/>
    <x v="1"/>
    <x v="3"/>
    <x v="1"/>
    <x v="3"/>
    <x v="7"/>
    <n v="10"/>
    <x v="0"/>
  </r>
  <r>
    <d v="2024-09-10T00:00:00"/>
    <x v="1"/>
    <x v="0"/>
    <x v="1"/>
    <n v="950847010.94000006"/>
    <x v="1"/>
    <x v="0"/>
    <x v="1"/>
    <x v="10"/>
    <x v="1"/>
    <x v="3"/>
    <x v="1"/>
    <x v="3"/>
    <x v="7"/>
    <n v="10"/>
    <x v="0"/>
  </r>
  <r>
    <d v="2024-09-10T00:00:00"/>
    <x v="3"/>
    <x v="1"/>
    <x v="0"/>
    <n v="13149078.41"/>
    <x v="3"/>
    <x v="1"/>
    <x v="0"/>
    <x v="11"/>
    <x v="1"/>
    <x v="3"/>
    <x v="1"/>
    <x v="3"/>
    <x v="7"/>
    <n v="10"/>
    <x v="0"/>
  </r>
  <r>
    <d v="2024-09-10T00:00:00"/>
    <x v="3"/>
    <x v="2"/>
    <x v="1"/>
    <n v="14133812430.33"/>
    <x v="3"/>
    <x v="2"/>
    <x v="1"/>
    <x v="12"/>
    <x v="1"/>
    <x v="3"/>
    <x v="1"/>
    <x v="3"/>
    <x v="7"/>
    <n v="10"/>
    <x v="0"/>
  </r>
  <r>
    <d v="2024-09-10T00:00:00"/>
    <x v="3"/>
    <x v="2"/>
    <x v="0"/>
    <n v="850404501"/>
    <x v="3"/>
    <x v="2"/>
    <x v="0"/>
    <x v="13"/>
    <x v="1"/>
    <x v="3"/>
    <x v="1"/>
    <x v="3"/>
    <x v="7"/>
    <n v="10"/>
    <x v="0"/>
  </r>
  <r>
    <d v="2024-09-09T00:00:00"/>
    <x v="1"/>
    <x v="1"/>
    <x v="0"/>
    <n v="747579.36"/>
    <x v="1"/>
    <x v="1"/>
    <x v="0"/>
    <x v="0"/>
    <x v="1"/>
    <x v="3"/>
    <x v="1"/>
    <x v="3"/>
    <x v="7"/>
    <n v="9"/>
    <x v="0"/>
  </r>
  <r>
    <d v="2024-09-09T00:00:00"/>
    <x v="0"/>
    <x v="1"/>
    <x v="0"/>
    <n v="25649694.219999999"/>
    <x v="0"/>
    <x v="1"/>
    <x v="0"/>
    <x v="1"/>
    <x v="1"/>
    <x v="3"/>
    <x v="1"/>
    <x v="3"/>
    <x v="7"/>
    <n v="9"/>
    <x v="0"/>
  </r>
  <r>
    <d v="2024-09-09T00:00:00"/>
    <x v="2"/>
    <x v="1"/>
    <x v="2"/>
    <n v="5360"/>
    <x v="2"/>
    <x v="1"/>
    <x v="2"/>
    <x v="2"/>
    <x v="1"/>
    <x v="3"/>
    <x v="1"/>
    <x v="3"/>
    <x v="7"/>
    <n v="9"/>
    <x v="0"/>
  </r>
  <r>
    <d v="2024-09-09T00:00:00"/>
    <x v="3"/>
    <x v="3"/>
    <x v="1"/>
    <n v="3370627.96"/>
    <x v="3"/>
    <x v="3"/>
    <x v="1"/>
    <x v="3"/>
    <x v="1"/>
    <x v="3"/>
    <x v="1"/>
    <x v="3"/>
    <x v="7"/>
    <n v="9"/>
    <x v="0"/>
  </r>
  <r>
    <d v="2024-09-09T00:00:00"/>
    <x v="0"/>
    <x v="1"/>
    <x v="1"/>
    <n v="22540405.579999998"/>
    <x v="0"/>
    <x v="1"/>
    <x v="1"/>
    <x v="4"/>
    <x v="1"/>
    <x v="3"/>
    <x v="1"/>
    <x v="3"/>
    <x v="7"/>
    <n v="9"/>
    <x v="0"/>
  </r>
  <r>
    <d v="2024-09-09T00:00:00"/>
    <x v="2"/>
    <x v="1"/>
    <x v="0"/>
    <n v="83064963.260000005"/>
    <x v="2"/>
    <x v="1"/>
    <x v="0"/>
    <x v="6"/>
    <x v="1"/>
    <x v="3"/>
    <x v="1"/>
    <x v="3"/>
    <x v="7"/>
    <n v="9"/>
    <x v="0"/>
  </r>
  <r>
    <d v="2024-09-09T00:00:00"/>
    <x v="3"/>
    <x v="3"/>
    <x v="0"/>
    <n v="974632247.51999998"/>
    <x v="3"/>
    <x v="3"/>
    <x v="0"/>
    <x v="7"/>
    <x v="1"/>
    <x v="3"/>
    <x v="1"/>
    <x v="3"/>
    <x v="7"/>
    <n v="9"/>
    <x v="0"/>
  </r>
  <r>
    <d v="2024-09-09T00:00:00"/>
    <x v="3"/>
    <x v="2"/>
    <x v="2"/>
    <n v="176725"/>
    <x v="3"/>
    <x v="2"/>
    <x v="2"/>
    <x v="5"/>
    <x v="1"/>
    <x v="3"/>
    <x v="1"/>
    <x v="3"/>
    <x v="7"/>
    <n v="9"/>
    <x v="0"/>
  </r>
  <r>
    <d v="2024-09-09T00:00:00"/>
    <x v="2"/>
    <x v="1"/>
    <x v="1"/>
    <n v="112947920.89"/>
    <x v="2"/>
    <x v="1"/>
    <x v="1"/>
    <x v="8"/>
    <x v="1"/>
    <x v="3"/>
    <x v="1"/>
    <x v="3"/>
    <x v="7"/>
    <n v="9"/>
    <x v="0"/>
  </r>
  <r>
    <d v="2024-09-09T00:00:00"/>
    <x v="1"/>
    <x v="0"/>
    <x v="1"/>
    <n v="268042918.22"/>
    <x v="1"/>
    <x v="0"/>
    <x v="1"/>
    <x v="9"/>
    <x v="1"/>
    <x v="3"/>
    <x v="1"/>
    <x v="3"/>
    <x v="7"/>
    <n v="9"/>
    <x v="0"/>
  </r>
  <r>
    <d v="2024-09-09T00:00:00"/>
    <x v="1"/>
    <x v="0"/>
    <x v="0"/>
    <n v="39052604.07"/>
    <x v="1"/>
    <x v="0"/>
    <x v="0"/>
    <x v="10"/>
    <x v="1"/>
    <x v="3"/>
    <x v="1"/>
    <x v="3"/>
    <x v="7"/>
    <n v="9"/>
    <x v="0"/>
  </r>
  <r>
    <d v="2024-09-09T00:00:00"/>
    <x v="3"/>
    <x v="2"/>
    <x v="1"/>
    <n v="23912883589.709999"/>
    <x v="3"/>
    <x v="2"/>
    <x v="1"/>
    <x v="11"/>
    <x v="1"/>
    <x v="3"/>
    <x v="1"/>
    <x v="3"/>
    <x v="7"/>
    <n v="9"/>
    <x v="0"/>
  </r>
  <r>
    <d v="2024-09-09T00:00:00"/>
    <x v="3"/>
    <x v="2"/>
    <x v="0"/>
    <n v="1087842249.52"/>
    <x v="3"/>
    <x v="2"/>
    <x v="0"/>
    <x v="12"/>
    <x v="1"/>
    <x v="3"/>
    <x v="1"/>
    <x v="3"/>
    <x v="7"/>
    <n v="9"/>
    <x v="0"/>
  </r>
  <r>
    <d v="2024-09-09T00:00:00"/>
    <x v="3"/>
    <x v="1"/>
    <x v="0"/>
    <n v="68658648.530000001"/>
    <x v="3"/>
    <x v="1"/>
    <x v="0"/>
    <x v="13"/>
    <x v="1"/>
    <x v="3"/>
    <x v="1"/>
    <x v="3"/>
    <x v="7"/>
    <n v="9"/>
    <x v="0"/>
  </r>
  <r>
    <d v="2024-09-06T00:00:00"/>
    <x v="0"/>
    <x v="0"/>
    <x v="0"/>
    <n v="710.65"/>
    <x v="0"/>
    <x v="0"/>
    <x v="0"/>
    <x v="0"/>
    <x v="1"/>
    <x v="3"/>
    <x v="1"/>
    <x v="3"/>
    <x v="7"/>
    <n v="6"/>
    <x v="0"/>
  </r>
  <r>
    <d v="2024-09-06T00:00:00"/>
    <x v="0"/>
    <x v="1"/>
    <x v="0"/>
    <n v="13777276.449999999"/>
    <x v="0"/>
    <x v="1"/>
    <x v="0"/>
    <x v="1"/>
    <x v="1"/>
    <x v="3"/>
    <x v="1"/>
    <x v="3"/>
    <x v="7"/>
    <n v="6"/>
    <x v="0"/>
  </r>
  <r>
    <d v="2024-09-06T00:00:00"/>
    <x v="3"/>
    <x v="3"/>
    <x v="2"/>
    <n v="2"/>
    <x v="3"/>
    <x v="3"/>
    <x v="2"/>
    <x v="2"/>
    <x v="1"/>
    <x v="3"/>
    <x v="1"/>
    <x v="3"/>
    <x v="7"/>
    <n v="6"/>
    <x v="0"/>
  </r>
  <r>
    <d v="2024-09-06T00:00:00"/>
    <x v="2"/>
    <x v="1"/>
    <x v="2"/>
    <n v="9018.39"/>
    <x v="2"/>
    <x v="1"/>
    <x v="2"/>
    <x v="3"/>
    <x v="1"/>
    <x v="3"/>
    <x v="1"/>
    <x v="3"/>
    <x v="7"/>
    <n v="6"/>
    <x v="0"/>
  </r>
  <r>
    <d v="2024-09-06T00:00:00"/>
    <x v="0"/>
    <x v="1"/>
    <x v="1"/>
    <n v="21119242.68"/>
    <x v="0"/>
    <x v="1"/>
    <x v="1"/>
    <x v="4"/>
    <x v="1"/>
    <x v="3"/>
    <x v="1"/>
    <x v="3"/>
    <x v="7"/>
    <n v="6"/>
    <x v="0"/>
  </r>
  <r>
    <d v="2024-09-06T00:00:00"/>
    <x v="2"/>
    <x v="1"/>
    <x v="0"/>
    <n v="101856782.18000001"/>
    <x v="2"/>
    <x v="1"/>
    <x v="0"/>
    <x v="7"/>
    <x v="1"/>
    <x v="3"/>
    <x v="1"/>
    <x v="3"/>
    <x v="7"/>
    <n v="6"/>
    <x v="0"/>
  </r>
  <r>
    <d v="2024-09-06T00:00:00"/>
    <x v="1"/>
    <x v="1"/>
    <x v="0"/>
    <n v="249316.86"/>
    <x v="1"/>
    <x v="1"/>
    <x v="0"/>
    <x v="5"/>
    <x v="1"/>
    <x v="3"/>
    <x v="1"/>
    <x v="3"/>
    <x v="7"/>
    <n v="6"/>
    <x v="0"/>
  </r>
  <r>
    <d v="2024-09-06T00:00:00"/>
    <x v="2"/>
    <x v="1"/>
    <x v="1"/>
    <n v="482286440.94"/>
    <x v="2"/>
    <x v="1"/>
    <x v="1"/>
    <x v="8"/>
    <x v="1"/>
    <x v="3"/>
    <x v="1"/>
    <x v="3"/>
    <x v="7"/>
    <n v="6"/>
    <x v="0"/>
  </r>
  <r>
    <d v="2024-09-06T00:00:00"/>
    <x v="3"/>
    <x v="3"/>
    <x v="0"/>
    <n v="1163226194.3199999"/>
    <x v="3"/>
    <x v="3"/>
    <x v="0"/>
    <x v="9"/>
    <x v="1"/>
    <x v="3"/>
    <x v="1"/>
    <x v="3"/>
    <x v="7"/>
    <n v="6"/>
    <x v="0"/>
  </r>
  <r>
    <d v="2024-09-06T00:00:00"/>
    <x v="3"/>
    <x v="2"/>
    <x v="2"/>
    <n v="112446"/>
    <x v="3"/>
    <x v="2"/>
    <x v="2"/>
    <x v="6"/>
    <x v="1"/>
    <x v="3"/>
    <x v="1"/>
    <x v="3"/>
    <x v="7"/>
    <n v="6"/>
    <x v="0"/>
  </r>
  <r>
    <d v="2024-09-06T00:00:00"/>
    <x v="1"/>
    <x v="0"/>
    <x v="1"/>
    <n v="386077852.81"/>
    <x v="1"/>
    <x v="0"/>
    <x v="1"/>
    <x v="11"/>
    <x v="1"/>
    <x v="3"/>
    <x v="1"/>
    <x v="3"/>
    <x v="7"/>
    <n v="6"/>
    <x v="0"/>
  </r>
  <r>
    <d v="2024-09-06T00:00:00"/>
    <x v="1"/>
    <x v="0"/>
    <x v="0"/>
    <n v="51779931.030000001"/>
    <x v="1"/>
    <x v="0"/>
    <x v="0"/>
    <x v="10"/>
    <x v="1"/>
    <x v="3"/>
    <x v="1"/>
    <x v="3"/>
    <x v="7"/>
    <n v="6"/>
    <x v="0"/>
  </r>
  <r>
    <d v="2024-09-06T00:00:00"/>
    <x v="3"/>
    <x v="1"/>
    <x v="0"/>
    <n v="15449215.560000001"/>
    <x v="3"/>
    <x v="1"/>
    <x v="0"/>
    <x v="12"/>
    <x v="1"/>
    <x v="3"/>
    <x v="1"/>
    <x v="3"/>
    <x v="7"/>
    <n v="6"/>
    <x v="0"/>
  </r>
  <r>
    <d v="2024-09-06T00:00:00"/>
    <x v="3"/>
    <x v="2"/>
    <x v="1"/>
    <n v="9811315064.4899998"/>
    <x v="3"/>
    <x v="2"/>
    <x v="1"/>
    <x v="13"/>
    <x v="1"/>
    <x v="3"/>
    <x v="1"/>
    <x v="3"/>
    <x v="7"/>
    <n v="6"/>
    <x v="0"/>
  </r>
  <r>
    <d v="2024-09-06T00:00:00"/>
    <x v="3"/>
    <x v="2"/>
    <x v="0"/>
    <n v="697874777.71000004"/>
    <x v="3"/>
    <x v="2"/>
    <x v="0"/>
    <x v="14"/>
    <x v="1"/>
    <x v="3"/>
    <x v="1"/>
    <x v="3"/>
    <x v="7"/>
    <n v="6"/>
    <x v="0"/>
  </r>
  <r>
    <d v="2024-09-05T00:00:00"/>
    <x v="0"/>
    <x v="0"/>
    <x v="0"/>
    <n v="1088.9000000000001"/>
    <x v="0"/>
    <x v="0"/>
    <x v="0"/>
    <x v="0"/>
    <x v="1"/>
    <x v="3"/>
    <x v="1"/>
    <x v="3"/>
    <x v="7"/>
    <n v="5"/>
    <x v="0"/>
  </r>
  <r>
    <d v="2024-09-05T00:00:00"/>
    <x v="1"/>
    <x v="1"/>
    <x v="0"/>
    <n v="1159544.8400000001"/>
    <x v="1"/>
    <x v="1"/>
    <x v="0"/>
    <x v="1"/>
    <x v="1"/>
    <x v="3"/>
    <x v="1"/>
    <x v="3"/>
    <x v="7"/>
    <n v="5"/>
    <x v="0"/>
  </r>
  <r>
    <d v="2024-09-05T00:00:00"/>
    <x v="0"/>
    <x v="1"/>
    <x v="0"/>
    <n v="12748244.210000001"/>
    <x v="0"/>
    <x v="1"/>
    <x v="0"/>
    <x v="2"/>
    <x v="1"/>
    <x v="3"/>
    <x v="1"/>
    <x v="3"/>
    <x v="7"/>
    <n v="5"/>
    <x v="0"/>
  </r>
  <r>
    <d v="2024-09-05T00:00:00"/>
    <x v="3"/>
    <x v="2"/>
    <x v="2"/>
    <n v="196959"/>
    <x v="3"/>
    <x v="2"/>
    <x v="2"/>
    <x v="5"/>
    <x v="1"/>
    <x v="3"/>
    <x v="1"/>
    <x v="3"/>
    <x v="7"/>
    <n v="5"/>
    <x v="0"/>
  </r>
  <r>
    <d v="2024-09-05T00:00:00"/>
    <x v="2"/>
    <x v="1"/>
    <x v="2"/>
    <n v="43354.58"/>
    <x v="2"/>
    <x v="1"/>
    <x v="2"/>
    <x v="3"/>
    <x v="1"/>
    <x v="3"/>
    <x v="1"/>
    <x v="3"/>
    <x v="7"/>
    <n v="5"/>
    <x v="0"/>
  </r>
  <r>
    <d v="2024-09-05T00:00:00"/>
    <x v="0"/>
    <x v="1"/>
    <x v="1"/>
    <n v="6043389.2300000004"/>
    <x v="0"/>
    <x v="1"/>
    <x v="1"/>
    <x v="4"/>
    <x v="1"/>
    <x v="3"/>
    <x v="1"/>
    <x v="3"/>
    <x v="7"/>
    <n v="5"/>
    <x v="0"/>
  </r>
  <r>
    <d v="2024-09-05T00:00:00"/>
    <x v="2"/>
    <x v="1"/>
    <x v="0"/>
    <n v="96120464.900000006"/>
    <x v="2"/>
    <x v="1"/>
    <x v="0"/>
    <x v="6"/>
    <x v="1"/>
    <x v="3"/>
    <x v="1"/>
    <x v="3"/>
    <x v="7"/>
    <n v="5"/>
    <x v="0"/>
  </r>
  <r>
    <d v="2024-09-05T00:00:00"/>
    <x v="3"/>
    <x v="3"/>
    <x v="0"/>
    <n v="912597917.70000005"/>
    <x v="3"/>
    <x v="3"/>
    <x v="0"/>
    <x v="7"/>
    <x v="1"/>
    <x v="3"/>
    <x v="1"/>
    <x v="3"/>
    <x v="7"/>
    <n v="5"/>
    <x v="0"/>
  </r>
  <r>
    <d v="2024-09-05T00:00:00"/>
    <x v="2"/>
    <x v="1"/>
    <x v="1"/>
    <n v="278395728.42000002"/>
    <x v="2"/>
    <x v="1"/>
    <x v="1"/>
    <x v="8"/>
    <x v="1"/>
    <x v="3"/>
    <x v="1"/>
    <x v="3"/>
    <x v="7"/>
    <n v="5"/>
    <x v="0"/>
  </r>
  <r>
    <d v="2024-09-05T00:00:00"/>
    <x v="1"/>
    <x v="0"/>
    <x v="0"/>
    <n v="90550061.530000001"/>
    <x v="1"/>
    <x v="0"/>
    <x v="0"/>
    <x v="9"/>
    <x v="1"/>
    <x v="3"/>
    <x v="1"/>
    <x v="3"/>
    <x v="7"/>
    <n v="5"/>
    <x v="0"/>
  </r>
  <r>
    <d v="2024-09-05T00:00:00"/>
    <x v="1"/>
    <x v="0"/>
    <x v="1"/>
    <n v="1657751428.97"/>
    <x v="1"/>
    <x v="0"/>
    <x v="1"/>
    <x v="10"/>
    <x v="1"/>
    <x v="3"/>
    <x v="1"/>
    <x v="3"/>
    <x v="7"/>
    <n v="5"/>
    <x v="0"/>
  </r>
  <r>
    <d v="2024-09-05T00:00:00"/>
    <x v="3"/>
    <x v="1"/>
    <x v="0"/>
    <n v="15124155.439999999"/>
    <x v="3"/>
    <x v="1"/>
    <x v="0"/>
    <x v="11"/>
    <x v="1"/>
    <x v="3"/>
    <x v="1"/>
    <x v="3"/>
    <x v="7"/>
    <n v="5"/>
    <x v="0"/>
  </r>
  <r>
    <d v="2024-09-05T00:00:00"/>
    <x v="3"/>
    <x v="2"/>
    <x v="0"/>
    <n v="658891526.37"/>
    <x v="3"/>
    <x v="2"/>
    <x v="0"/>
    <x v="12"/>
    <x v="1"/>
    <x v="3"/>
    <x v="1"/>
    <x v="3"/>
    <x v="7"/>
    <n v="5"/>
    <x v="0"/>
  </r>
  <r>
    <d v="2024-09-05T00:00:00"/>
    <x v="3"/>
    <x v="2"/>
    <x v="1"/>
    <n v="13220966595.18"/>
    <x v="3"/>
    <x v="2"/>
    <x v="1"/>
    <x v="13"/>
    <x v="1"/>
    <x v="3"/>
    <x v="1"/>
    <x v="3"/>
    <x v="7"/>
    <n v="5"/>
    <x v="0"/>
  </r>
  <r>
    <d v="2024-09-04T00:00:00"/>
    <x v="0"/>
    <x v="1"/>
    <x v="0"/>
    <n v="14474898.140000001"/>
    <x v="0"/>
    <x v="1"/>
    <x v="0"/>
    <x v="0"/>
    <x v="1"/>
    <x v="3"/>
    <x v="1"/>
    <x v="3"/>
    <x v="7"/>
    <n v="4"/>
    <x v="0"/>
  </r>
  <r>
    <d v="2024-09-04T00:00:00"/>
    <x v="3"/>
    <x v="3"/>
    <x v="0"/>
    <n v="1750625524.9200001"/>
    <x v="3"/>
    <x v="3"/>
    <x v="0"/>
    <x v="5"/>
    <x v="1"/>
    <x v="3"/>
    <x v="1"/>
    <x v="3"/>
    <x v="7"/>
    <n v="4"/>
    <x v="0"/>
  </r>
  <r>
    <d v="2024-09-04T00:00:00"/>
    <x v="2"/>
    <x v="1"/>
    <x v="2"/>
    <n v="91563.88"/>
    <x v="2"/>
    <x v="1"/>
    <x v="2"/>
    <x v="1"/>
    <x v="1"/>
    <x v="3"/>
    <x v="1"/>
    <x v="3"/>
    <x v="7"/>
    <n v="4"/>
    <x v="0"/>
  </r>
  <r>
    <d v="2024-09-04T00:00:00"/>
    <x v="2"/>
    <x v="1"/>
    <x v="0"/>
    <n v="87785002.609999999"/>
    <x v="2"/>
    <x v="1"/>
    <x v="0"/>
    <x v="6"/>
    <x v="1"/>
    <x v="3"/>
    <x v="1"/>
    <x v="3"/>
    <x v="7"/>
    <n v="4"/>
    <x v="0"/>
  </r>
  <r>
    <d v="2024-09-04T00:00:00"/>
    <x v="0"/>
    <x v="1"/>
    <x v="1"/>
    <n v="508988.98"/>
    <x v="0"/>
    <x v="1"/>
    <x v="1"/>
    <x v="2"/>
    <x v="1"/>
    <x v="3"/>
    <x v="1"/>
    <x v="3"/>
    <x v="7"/>
    <n v="4"/>
    <x v="0"/>
  </r>
  <r>
    <d v="2024-09-04T00:00:00"/>
    <x v="1"/>
    <x v="1"/>
    <x v="0"/>
    <n v="237075.8"/>
    <x v="1"/>
    <x v="1"/>
    <x v="0"/>
    <x v="3"/>
    <x v="1"/>
    <x v="3"/>
    <x v="1"/>
    <x v="3"/>
    <x v="7"/>
    <n v="4"/>
    <x v="0"/>
  </r>
  <r>
    <d v="2024-09-04T00:00:00"/>
    <x v="3"/>
    <x v="2"/>
    <x v="2"/>
    <n v="301756.59000000003"/>
    <x v="3"/>
    <x v="2"/>
    <x v="2"/>
    <x v="4"/>
    <x v="1"/>
    <x v="3"/>
    <x v="1"/>
    <x v="3"/>
    <x v="7"/>
    <n v="4"/>
    <x v="0"/>
  </r>
  <r>
    <d v="2024-09-04T00:00:00"/>
    <x v="2"/>
    <x v="1"/>
    <x v="1"/>
    <n v="130476360.22"/>
    <x v="2"/>
    <x v="1"/>
    <x v="1"/>
    <x v="7"/>
    <x v="1"/>
    <x v="3"/>
    <x v="1"/>
    <x v="3"/>
    <x v="7"/>
    <n v="4"/>
    <x v="0"/>
  </r>
  <r>
    <d v="2024-09-04T00:00:00"/>
    <x v="1"/>
    <x v="0"/>
    <x v="1"/>
    <n v="392998020.88"/>
    <x v="1"/>
    <x v="0"/>
    <x v="1"/>
    <x v="8"/>
    <x v="1"/>
    <x v="3"/>
    <x v="1"/>
    <x v="3"/>
    <x v="7"/>
    <n v="4"/>
    <x v="0"/>
  </r>
  <r>
    <d v="2024-09-04T00:00:00"/>
    <x v="1"/>
    <x v="0"/>
    <x v="0"/>
    <n v="94304649.890000001"/>
    <x v="1"/>
    <x v="0"/>
    <x v="0"/>
    <x v="9"/>
    <x v="1"/>
    <x v="3"/>
    <x v="1"/>
    <x v="3"/>
    <x v="7"/>
    <n v="4"/>
    <x v="0"/>
  </r>
  <r>
    <d v="2024-09-04T00:00:00"/>
    <x v="3"/>
    <x v="1"/>
    <x v="0"/>
    <n v="15837895.800000001"/>
    <x v="3"/>
    <x v="1"/>
    <x v="0"/>
    <x v="10"/>
    <x v="1"/>
    <x v="3"/>
    <x v="1"/>
    <x v="3"/>
    <x v="7"/>
    <n v="4"/>
    <x v="0"/>
  </r>
  <r>
    <d v="2024-09-04T00:00:00"/>
    <x v="3"/>
    <x v="2"/>
    <x v="1"/>
    <n v="8327214558.3000002"/>
    <x v="3"/>
    <x v="2"/>
    <x v="1"/>
    <x v="11"/>
    <x v="1"/>
    <x v="3"/>
    <x v="1"/>
    <x v="3"/>
    <x v="7"/>
    <n v="4"/>
    <x v="0"/>
  </r>
  <r>
    <d v="2024-09-04T00:00:00"/>
    <x v="3"/>
    <x v="2"/>
    <x v="0"/>
    <n v="795370621.05999994"/>
    <x v="3"/>
    <x v="2"/>
    <x v="0"/>
    <x v="12"/>
    <x v="1"/>
    <x v="3"/>
    <x v="1"/>
    <x v="3"/>
    <x v="7"/>
    <n v="4"/>
    <x v="0"/>
  </r>
  <r>
    <d v="2024-09-03T00:00:00"/>
    <x v="0"/>
    <x v="0"/>
    <x v="0"/>
    <n v="724.48"/>
    <x v="0"/>
    <x v="0"/>
    <x v="0"/>
    <x v="0"/>
    <x v="1"/>
    <x v="3"/>
    <x v="1"/>
    <x v="3"/>
    <x v="7"/>
    <n v="3"/>
    <x v="0"/>
  </r>
  <r>
    <d v="2024-09-03T00:00:00"/>
    <x v="0"/>
    <x v="1"/>
    <x v="0"/>
    <n v="8046195.5499999998"/>
    <x v="0"/>
    <x v="1"/>
    <x v="0"/>
    <x v="1"/>
    <x v="1"/>
    <x v="3"/>
    <x v="1"/>
    <x v="3"/>
    <x v="7"/>
    <n v="3"/>
    <x v="0"/>
  </r>
  <r>
    <d v="2024-09-03T00:00:00"/>
    <x v="3"/>
    <x v="2"/>
    <x v="2"/>
    <n v="371708.07"/>
    <x v="3"/>
    <x v="2"/>
    <x v="2"/>
    <x v="7"/>
    <x v="1"/>
    <x v="3"/>
    <x v="1"/>
    <x v="3"/>
    <x v="7"/>
    <n v="3"/>
    <x v="0"/>
  </r>
  <r>
    <d v="2024-09-03T00:00:00"/>
    <x v="3"/>
    <x v="3"/>
    <x v="2"/>
    <n v="1006.28"/>
    <x v="3"/>
    <x v="3"/>
    <x v="2"/>
    <x v="2"/>
    <x v="1"/>
    <x v="3"/>
    <x v="1"/>
    <x v="3"/>
    <x v="7"/>
    <n v="3"/>
    <x v="0"/>
  </r>
  <r>
    <d v="2024-09-03T00:00:00"/>
    <x v="2"/>
    <x v="1"/>
    <x v="2"/>
    <n v="5917.94"/>
    <x v="2"/>
    <x v="1"/>
    <x v="2"/>
    <x v="3"/>
    <x v="1"/>
    <x v="3"/>
    <x v="1"/>
    <x v="3"/>
    <x v="7"/>
    <n v="3"/>
    <x v="0"/>
  </r>
  <r>
    <d v="2024-09-03T00:00:00"/>
    <x v="3"/>
    <x v="3"/>
    <x v="0"/>
    <n v="4667224638.1199999"/>
    <x v="3"/>
    <x v="3"/>
    <x v="0"/>
    <x v="8"/>
    <x v="1"/>
    <x v="3"/>
    <x v="1"/>
    <x v="3"/>
    <x v="7"/>
    <n v="3"/>
    <x v="0"/>
  </r>
  <r>
    <d v="2024-09-03T00:00:00"/>
    <x v="3"/>
    <x v="3"/>
    <x v="1"/>
    <n v="5337248.3899999997"/>
    <x v="3"/>
    <x v="3"/>
    <x v="1"/>
    <x v="4"/>
    <x v="1"/>
    <x v="3"/>
    <x v="1"/>
    <x v="3"/>
    <x v="7"/>
    <n v="3"/>
    <x v="0"/>
  </r>
  <r>
    <d v="2024-09-03T00:00:00"/>
    <x v="0"/>
    <x v="1"/>
    <x v="1"/>
    <n v="6769385.5099999998"/>
    <x v="0"/>
    <x v="1"/>
    <x v="1"/>
    <x v="5"/>
    <x v="1"/>
    <x v="3"/>
    <x v="1"/>
    <x v="3"/>
    <x v="7"/>
    <n v="3"/>
    <x v="0"/>
  </r>
  <r>
    <d v="2024-09-03T00:00:00"/>
    <x v="1"/>
    <x v="1"/>
    <x v="0"/>
    <n v="533122.44999999995"/>
    <x v="1"/>
    <x v="1"/>
    <x v="0"/>
    <x v="6"/>
    <x v="1"/>
    <x v="3"/>
    <x v="1"/>
    <x v="3"/>
    <x v="7"/>
    <n v="3"/>
    <x v="0"/>
  </r>
  <r>
    <d v="2024-09-03T00:00:00"/>
    <x v="2"/>
    <x v="1"/>
    <x v="0"/>
    <n v="100950623.44"/>
    <x v="2"/>
    <x v="1"/>
    <x v="0"/>
    <x v="9"/>
    <x v="1"/>
    <x v="3"/>
    <x v="1"/>
    <x v="3"/>
    <x v="7"/>
    <n v="3"/>
    <x v="0"/>
  </r>
  <r>
    <d v="2024-09-03T00:00:00"/>
    <x v="2"/>
    <x v="1"/>
    <x v="1"/>
    <n v="129832326.76000001"/>
    <x v="2"/>
    <x v="1"/>
    <x v="1"/>
    <x v="10"/>
    <x v="1"/>
    <x v="3"/>
    <x v="1"/>
    <x v="3"/>
    <x v="7"/>
    <n v="3"/>
    <x v="0"/>
  </r>
  <r>
    <d v="2024-09-03T00:00:00"/>
    <x v="1"/>
    <x v="0"/>
    <x v="1"/>
    <n v="331645710.62"/>
    <x v="1"/>
    <x v="0"/>
    <x v="1"/>
    <x v="11"/>
    <x v="1"/>
    <x v="3"/>
    <x v="1"/>
    <x v="3"/>
    <x v="7"/>
    <n v="3"/>
    <x v="0"/>
  </r>
  <r>
    <d v="2024-09-03T00:00:00"/>
    <x v="1"/>
    <x v="0"/>
    <x v="0"/>
    <n v="44505072.420000002"/>
    <x v="1"/>
    <x v="0"/>
    <x v="0"/>
    <x v="12"/>
    <x v="1"/>
    <x v="3"/>
    <x v="1"/>
    <x v="3"/>
    <x v="7"/>
    <n v="3"/>
    <x v="0"/>
  </r>
  <r>
    <d v="2024-09-03T00:00:00"/>
    <x v="3"/>
    <x v="2"/>
    <x v="0"/>
    <n v="1425806003.6800001"/>
    <x v="3"/>
    <x v="2"/>
    <x v="0"/>
    <x v="13"/>
    <x v="1"/>
    <x v="3"/>
    <x v="1"/>
    <x v="3"/>
    <x v="7"/>
    <n v="3"/>
    <x v="0"/>
  </r>
  <r>
    <d v="2024-09-03T00:00:00"/>
    <x v="3"/>
    <x v="2"/>
    <x v="1"/>
    <n v="52893636661.669998"/>
    <x v="3"/>
    <x v="2"/>
    <x v="1"/>
    <x v="14"/>
    <x v="1"/>
    <x v="3"/>
    <x v="1"/>
    <x v="3"/>
    <x v="7"/>
    <n v="3"/>
    <x v="0"/>
  </r>
  <r>
    <d v="2024-09-03T00:00:00"/>
    <x v="3"/>
    <x v="1"/>
    <x v="0"/>
    <n v="65264868.030000001"/>
    <x v="3"/>
    <x v="1"/>
    <x v="0"/>
    <x v="15"/>
    <x v="1"/>
    <x v="3"/>
    <x v="1"/>
    <x v="3"/>
    <x v="7"/>
    <n v="3"/>
    <x v="0"/>
  </r>
  <r>
    <d v="2024-08-30T00:00:00"/>
    <x v="0"/>
    <x v="1"/>
    <x v="0"/>
    <n v="11491999.24"/>
    <x v="0"/>
    <x v="1"/>
    <x v="0"/>
    <x v="1"/>
    <x v="1"/>
    <x v="3"/>
    <x v="1"/>
    <x v="3"/>
    <x v="8"/>
    <n v="30"/>
    <x v="0"/>
  </r>
  <r>
    <d v="2024-08-30T00:00:00"/>
    <x v="1"/>
    <x v="1"/>
    <x v="0"/>
    <n v="584638.88"/>
    <x v="1"/>
    <x v="1"/>
    <x v="0"/>
    <x v="0"/>
    <x v="1"/>
    <x v="3"/>
    <x v="1"/>
    <x v="3"/>
    <x v="8"/>
    <n v="30"/>
    <x v="0"/>
  </r>
  <r>
    <d v="2024-08-30T00:00:00"/>
    <x v="3"/>
    <x v="2"/>
    <x v="2"/>
    <n v="160543"/>
    <x v="3"/>
    <x v="2"/>
    <x v="2"/>
    <x v="6"/>
    <x v="1"/>
    <x v="3"/>
    <x v="1"/>
    <x v="3"/>
    <x v="8"/>
    <n v="30"/>
    <x v="0"/>
  </r>
  <r>
    <d v="2024-08-30T00:00:00"/>
    <x v="2"/>
    <x v="1"/>
    <x v="2"/>
    <n v="28811.77"/>
    <x v="2"/>
    <x v="1"/>
    <x v="2"/>
    <x v="2"/>
    <x v="1"/>
    <x v="3"/>
    <x v="1"/>
    <x v="3"/>
    <x v="8"/>
    <n v="30"/>
    <x v="0"/>
  </r>
  <r>
    <d v="2024-08-30T00:00:00"/>
    <x v="3"/>
    <x v="3"/>
    <x v="0"/>
    <n v="2203679795.0900002"/>
    <x v="3"/>
    <x v="3"/>
    <x v="0"/>
    <x v="7"/>
    <x v="1"/>
    <x v="3"/>
    <x v="1"/>
    <x v="3"/>
    <x v="8"/>
    <n v="30"/>
    <x v="0"/>
  </r>
  <r>
    <d v="2024-08-30T00:00:00"/>
    <x v="2"/>
    <x v="1"/>
    <x v="0"/>
    <n v="111962408.89"/>
    <x v="2"/>
    <x v="1"/>
    <x v="0"/>
    <x v="8"/>
    <x v="1"/>
    <x v="3"/>
    <x v="1"/>
    <x v="3"/>
    <x v="8"/>
    <n v="30"/>
    <x v="0"/>
  </r>
  <r>
    <d v="2024-08-30T00:00:00"/>
    <x v="3"/>
    <x v="3"/>
    <x v="1"/>
    <n v="197966.04"/>
    <x v="3"/>
    <x v="3"/>
    <x v="1"/>
    <x v="3"/>
    <x v="1"/>
    <x v="3"/>
    <x v="1"/>
    <x v="3"/>
    <x v="8"/>
    <n v="30"/>
    <x v="0"/>
  </r>
  <r>
    <d v="2024-08-30T00:00:00"/>
    <x v="0"/>
    <x v="1"/>
    <x v="1"/>
    <n v="1678314"/>
    <x v="0"/>
    <x v="1"/>
    <x v="1"/>
    <x v="4"/>
    <x v="1"/>
    <x v="3"/>
    <x v="1"/>
    <x v="3"/>
    <x v="8"/>
    <n v="30"/>
    <x v="0"/>
  </r>
  <r>
    <d v="2024-08-30T00:00:00"/>
    <x v="3"/>
    <x v="3"/>
    <x v="2"/>
    <n v="-89.79"/>
    <x v="3"/>
    <x v="3"/>
    <x v="2"/>
    <x v="5"/>
    <x v="1"/>
    <x v="3"/>
    <x v="1"/>
    <x v="3"/>
    <x v="8"/>
    <n v="30"/>
    <x v="1"/>
  </r>
  <r>
    <d v="2024-08-30T00:00:00"/>
    <x v="1"/>
    <x v="0"/>
    <x v="1"/>
    <n v="171978369.11000001"/>
    <x v="1"/>
    <x v="0"/>
    <x v="1"/>
    <x v="10"/>
    <x v="1"/>
    <x v="3"/>
    <x v="1"/>
    <x v="3"/>
    <x v="8"/>
    <n v="30"/>
    <x v="0"/>
  </r>
  <r>
    <d v="2024-08-30T00:00:00"/>
    <x v="2"/>
    <x v="1"/>
    <x v="1"/>
    <n v="109292595.79000001"/>
    <x v="2"/>
    <x v="1"/>
    <x v="1"/>
    <x v="9"/>
    <x v="1"/>
    <x v="3"/>
    <x v="1"/>
    <x v="3"/>
    <x v="8"/>
    <n v="30"/>
    <x v="0"/>
  </r>
  <r>
    <d v="2024-08-30T00:00:00"/>
    <x v="1"/>
    <x v="0"/>
    <x v="0"/>
    <n v="37328921.57"/>
    <x v="1"/>
    <x v="0"/>
    <x v="0"/>
    <x v="11"/>
    <x v="1"/>
    <x v="3"/>
    <x v="1"/>
    <x v="3"/>
    <x v="8"/>
    <n v="30"/>
    <x v="0"/>
  </r>
  <r>
    <d v="2024-08-30T00:00:00"/>
    <x v="3"/>
    <x v="1"/>
    <x v="0"/>
    <n v="17402957.359999999"/>
    <x v="3"/>
    <x v="1"/>
    <x v="0"/>
    <x v="12"/>
    <x v="1"/>
    <x v="3"/>
    <x v="1"/>
    <x v="3"/>
    <x v="8"/>
    <n v="30"/>
    <x v="0"/>
  </r>
  <r>
    <d v="2024-08-30T00:00:00"/>
    <x v="3"/>
    <x v="2"/>
    <x v="0"/>
    <n v="2836226330.6900001"/>
    <x v="3"/>
    <x v="2"/>
    <x v="0"/>
    <x v="13"/>
    <x v="1"/>
    <x v="3"/>
    <x v="1"/>
    <x v="3"/>
    <x v="8"/>
    <n v="30"/>
    <x v="0"/>
  </r>
  <r>
    <d v="2024-08-30T00:00:00"/>
    <x v="3"/>
    <x v="2"/>
    <x v="1"/>
    <n v="13783426269.82"/>
    <x v="3"/>
    <x v="2"/>
    <x v="1"/>
    <x v="14"/>
    <x v="1"/>
    <x v="3"/>
    <x v="1"/>
    <x v="3"/>
    <x v="8"/>
    <n v="30"/>
    <x v="0"/>
  </r>
  <r>
    <d v="2024-08-29T00:00:00"/>
    <x v="0"/>
    <x v="1"/>
    <x v="0"/>
    <n v="9785572.2400000002"/>
    <x v="0"/>
    <x v="1"/>
    <x v="0"/>
    <x v="0"/>
    <x v="1"/>
    <x v="3"/>
    <x v="1"/>
    <x v="3"/>
    <x v="8"/>
    <n v="29"/>
    <x v="0"/>
  </r>
  <r>
    <d v="2024-08-29T00:00:00"/>
    <x v="2"/>
    <x v="1"/>
    <x v="2"/>
    <n v="9552.2000000000007"/>
    <x v="2"/>
    <x v="1"/>
    <x v="2"/>
    <x v="1"/>
    <x v="1"/>
    <x v="3"/>
    <x v="1"/>
    <x v="3"/>
    <x v="8"/>
    <n v="29"/>
    <x v="0"/>
  </r>
  <r>
    <d v="2024-08-29T00:00:00"/>
    <x v="0"/>
    <x v="1"/>
    <x v="1"/>
    <n v="14571543.5"/>
    <x v="0"/>
    <x v="1"/>
    <x v="1"/>
    <x v="2"/>
    <x v="1"/>
    <x v="3"/>
    <x v="1"/>
    <x v="3"/>
    <x v="8"/>
    <n v="29"/>
    <x v="0"/>
  </r>
  <r>
    <d v="2024-08-29T00:00:00"/>
    <x v="2"/>
    <x v="1"/>
    <x v="0"/>
    <n v="93324883.180000007"/>
    <x v="2"/>
    <x v="1"/>
    <x v="0"/>
    <x v="5"/>
    <x v="1"/>
    <x v="3"/>
    <x v="1"/>
    <x v="3"/>
    <x v="8"/>
    <n v="29"/>
    <x v="0"/>
  </r>
  <r>
    <d v="2024-08-29T00:00:00"/>
    <x v="3"/>
    <x v="3"/>
    <x v="0"/>
    <n v="1780154337.9000001"/>
    <x v="3"/>
    <x v="3"/>
    <x v="0"/>
    <x v="6"/>
    <x v="1"/>
    <x v="3"/>
    <x v="1"/>
    <x v="3"/>
    <x v="8"/>
    <n v="29"/>
    <x v="0"/>
  </r>
  <r>
    <d v="2024-08-29T00:00:00"/>
    <x v="1"/>
    <x v="1"/>
    <x v="0"/>
    <n v="1002376.23"/>
    <x v="1"/>
    <x v="1"/>
    <x v="0"/>
    <x v="3"/>
    <x v="1"/>
    <x v="3"/>
    <x v="1"/>
    <x v="3"/>
    <x v="8"/>
    <n v="29"/>
    <x v="0"/>
  </r>
  <r>
    <d v="2024-08-29T00:00:00"/>
    <x v="2"/>
    <x v="1"/>
    <x v="1"/>
    <n v="220551931.90000001"/>
    <x v="2"/>
    <x v="1"/>
    <x v="1"/>
    <x v="7"/>
    <x v="1"/>
    <x v="3"/>
    <x v="1"/>
    <x v="3"/>
    <x v="8"/>
    <n v="29"/>
    <x v="0"/>
  </r>
  <r>
    <d v="2024-08-29T00:00:00"/>
    <x v="1"/>
    <x v="0"/>
    <x v="1"/>
    <n v="220010252.31"/>
    <x v="1"/>
    <x v="0"/>
    <x v="1"/>
    <x v="8"/>
    <x v="1"/>
    <x v="3"/>
    <x v="1"/>
    <x v="3"/>
    <x v="8"/>
    <n v="29"/>
    <x v="0"/>
  </r>
  <r>
    <d v="2024-08-29T00:00:00"/>
    <x v="3"/>
    <x v="2"/>
    <x v="2"/>
    <n v="130435"/>
    <x v="3"/>
    <x v="2"/>
    <x v="2"/>
    <x v="4"/>
    <x v="1"/>
    <x v="3"/>
    <x v="1"/>
    <x v="3"/>
    <x v="8"/>
    <n v="29"/>
    <x v="0"/>
  </r>
  <r>
    <d v="2024-08-29T00:00:00"/>
    <x v="1"/>
    <x v="0"/>
    <x v="0"/>
    <n v="50166147.07"/>
    <x v="1"/>
    <x v="0"/>
    <x v="0"/>
    <x v="9"/>
    <x v="1"/>
    <x v="3"/>
    <x v="1"/>
    <x v="3"/>
    <x v="8"/>
    <n v="29"/>
    <x v="0"/>
  </r>
  <r>
    <d v="2024-08-29T00:00:00"/>
    <x v="3"/>
    <x v="1"/>
    <x v="0"/>
    <n v="15090593.75"/>
    <x v="3"/>
    <x v="1"/>
    <x v="0"/>
    <x v="10"/>
    <x v="1"/>
    <x v="3"/>
    <x v="1"/>
    <x v="3"/>
    <x v="8"/>
    <n v="29"/>
    <x v="0"/>
  </r>
  <r>
    <d v="2024-08-29T00:00:00"/>
    <x v="3"/>
    <x v="2"/>
    <x v="0"/>
    <n v="1996130471.45"/>
    <x v="3"/>
    <x v="2"/>
    <x v="0"/>
    <x v="11"/>
    <x v="1"/>
    <x v="3"/>
    <x v="1"/>
    <x v="3"/>
    <x v="8"/>
    <n v="29"/>
    <x v="0"/>
  </r>
  <r>
    <d v="2024-08-29T00:00:00"/>
    <x v="3"/>
    <x v="2"/>
    <x v="1"/>
    <n v="5121168650.7399998"/>
    <x v="3"/>
    <x v="2"/>
    <x v="1"/>
    <x v="12"/>
    <x v="1"/>
    <x v="3"/>
    <x v="1"/>
    <x v="3"/>
    <x v="8"/>
    <n v="29"/>
    <x v="0"/>
  </r>
  <r>
    <d v="2024-08-28T00:00:00"/>
    <x v="1"/>
    <x v="1"/>
    <x v="0"/>
    <n v="149924.04999999999"/>
    <x v="1"/>
    <x v="1"/>
    <x v="0"/>
    <x v="0"/>
    <x v="1"/>
    <x v="3"/>
    <x v="1"/>
    <x v="3"/>
    <x v="8"/>
    <n v="28"/>
    <x v="0"/>
  </r>
  <r>
    <d v="2024-08-28T00:00:00"/>
    <x v="0"/>
    <x v="1"/>
    <x v="0"/>
    <n v="6179639.8499999996"/>
    <x v="0"/>
    <x v="1"/>
    <x v="0"/>
    <x v="1"/>
    <x v="1"/>
    <x v="3"/>
    <x v="1"/>
    <x v="3"/>
    <x v="8"/>
    <n v="28"/>
    <x v="0"/>
  </r>
  <r>
    <d v="2024-08-28T00:00:00"/>
    <x v="2"/>
    <x v="1"/>
    <x v="2"/>
    <n v="9889.8700000000008"/>
    <x v="2"/>
    <x v="1"/>
    <x v="2"/>
    <x v="3"/>
    <x v="1"/>
    <x v="3"/>
    <x v="1"/>
    <x v="3"/>
    <x v="8"/>
    <n v="28"/>
    <x v="0"/>
  </r>
  <r>
    <d v="2024-08-28T00:00:00"/>
    <x v="3"/>
    <x v="3"/>
    <x v="2"/>
    <n v="89.79"/>
    <x v="3"/>
    <x v="3"/>
    <x v="2"/>
    <x v="2"/>
    <x v="1"/>
    <x v="3"/>
    <x v="1"/>
    <x v="3"/>
    <x v="8"/>
    <n v="28"/>
    <x v="0"/>
  </r>
  <r>
    <d v="2024-08-28T00:00:00"/>
    <x v="2"/>
    <x v="1"/>
    <x v="0"/>
    <n v="96163473.909999996"/>
    <x v="2"/>
    <x v="1"/>
    <x v="0"/>
    <x v="7"/>
    <x v="1"/>
    <x v="3"/>
    <x v="1"/>
    <x v="3"/>
    <x v="8"/>
    <n v="28"/>
    <x v="0"/>
  </r>
  <r>
    <d v="2024-08-28T00:00:00"/>
    <x v="0"/>
    <x v="1"/>
    <x v="1"/>
    <n v="9926484.6600000001"/>
    <x v="0"/>
    <x v="1"/>
    <x v="1"/>
    <x v="4"/>
    <x v="1"/>
    <x v="3"/>
    <x v="1"/>
    <x v="3"/>
    <x v="8"/>
    <n v="28"/>
    <x v="0"/>
  </r>
  <r>
    <d v="2024-08-28T00:00:00"/>
    <x v="3"/>
    <x v="2"/>
    <x v="2"/>
    <n v="151500.82999999999"/>
    <x v="3"/>
    <x v="2"/>
    <x v="2"/>
    <x v="5"/>
    <x v="1"/>
    <x v="3"/>
    <x v="1"/>
    <x v="3"/>
    <x v="8"/>
    <n v="28"/>
    <x v="0"/>
  </r>
  <r>
    <d v="2024-08-28T00:00:00"/>
    <x v="2"/>
    <x v="1"/>
    <x v="1"/>
    <n v="258690817.41"/>
    <x v="2"/>
    <x v="1"/>
    <x v="1"/>
    <x v="8"/>
    <x v="1"/>
    <x v="3"/>
    <x v="1"/>
    <x v="3"/>
    <x v="8"/>
    <n v="28"/>
    <x v="0"/>
  </r>
  <r>
    <d v="2024-08-28T00:00:00"/>
    <x v="1"/>
    <x v="0"/>
    <x v="1"/>
    <n v="813084416.88999999"/>
    <x v="1"/>
    <x v="0"/>
    <x v="1"/>
    <x v="9"/>
    <x v="1"/>
    <x v="3"/>
    <x v="1"/>
    <x v="3"/>
    <x v="8"/>
    <n v="28"/>
    <x v="0"/>
  </r>
  <r>
    <d v="2024-08-28T00:00:00"/>
    <x v="3"/>
    <x v="3"/>
    <x v="0"/>
    <n v="1630587655.7"/>
    <x v="3"/>
    <x v="3"/>
    <x v="0"/>
    <x v="6"/>
    <x v="1"/>
    <x v="3"/>
    <x v="1"/>
    <x v="3"/>
    <x v="8"/>
    <n v="28"/>
    <x v="0"/>
  </r>
  <r>
    <d v="2024-08-28T00:00:00"/>
    <x v="1"/>
    <x v="0"/>
    <x v="0"/>
    <n v="86672834.549999997"/>
    <x v="1"/>
    <x v="0"/>
    <x v="0"/>
    <x v="10"/>
    <x v="1"/>
    <x v="3"/>
    <x v="1"/>
    <x v="3"/>
    <x v="8"/>
    <n v="28"/>
    <x v="0"/>
  </r>
  <r>
    <d v="2024-08-28T00:00:00"/>
    <x v="3"/>
    <x v="1"/>
    <x v="0"/>
    <n v="14302870.789999999"/>
    <x v="3"/>
    <x v="1"/>
    <x v="0"/>
    <x v="11"/>
    <x v="1"/>
    <x v="3"/>
    <x v="1"/>
    <x v="3"/>
    <x v="8"/>
    <n v="28"/>
    <x v="0"/>
  </r>
  <r>
    <d v="2024-08-28T00:00:00"/>
    <x v="3"/>
    <x v="2"/>
    <x v="0"/>
    <n v="837102125.47000003"/>
    <x v="3"/>
    <x v="2"/>
    <x v="0"/>
    <x v="12"/>
    <x v="1"/>
    <x v="3"/>
    <x v="1"/>
    <x v="3"/>
    <x v="8"/>
    <n v="28"/>
    <x v="0"/>
  </r>
  <r>
    <d v="2024-08-28T00:00:00"/>
    <x v="3"/>
    <x v="2"/>
    <x v="1"/>
    <n v="11131213794.540001"/>
    <x v="3"/>
    <x v="2"/>
    <x v="1"/>
    <x v="13"/>
    <x v="1"/>
    <x v="3"/>
    <x v="1"/>
    <x v="3"/>
    <x v="8"/>
    <n v="28"/>
    <x v="0"/>
  </r>
  <r>
    <d v="2024-08-27T00:00:00"/>
    <x v="1"/>
    <x v="1"/>
    <x v="0"/>
    <n v="640484.36"/>
    <x v="1"/>
    <x v="1"/>
    <x v="0"/>
    <x v="0"/>
    <x v="1"/>
    <x v="3"/>
    <x v="1"/>
    <x v="3"/>
    <x v="8"/>
    <n v="27"/>
    <x v="0"/>
  </r>
  <r>
    <d v="2024-08-27T00:00:00"/>
    <x v="0"/>
    <x v="1"/>
    <x v="0"/>
    <n v="9605009.3399999999"/>
    <x v="0"/>
    <x v="1"/>
    <x v="0"/>
    <x v="1"/>
    <x v="1"/>
    <x v="3"/>
    <x v="1"/>
    <x v="3"/>
    <x v="8"/>
    <n v="27"/>
    <x v="0"/>
  </r>
  <r>
    <d v="2024-08-27T00:00:00"/>
    <x v="2"/>
    <x v="1"/>
    <x v="2"/>
    <n v="698148.32"/>
    <x v="2"/>
    <x v="1"/>
    <x v="2"/>
    <x v="2"/>
    <x v="1"/>
    <x v="3"/>
    <x v="1"/>
    <x v="3"/>
    <x v="8"/>
    <n v="27"/>
    <x v="0"/>
  </r>
  <r>
    <d v="2024-08-27T00:00:00"/>
    <x v="0"/>
    <x v="1"/>
    <x v="1"/>
    <n v="10669283.59"/>
    <x v="0"/>
    <x v="1"/>
    <x v="1"/>
    <x v="3"/>
    <x v="1"/>
    <x v="3"/>
    <x v="1"/>
    <x v="3"/>
    <x v="8"/>
    <n v="27"/>
    <x v="0"/>
  </r>
  <r>
    <d v="2024-08-27T00:00:00"/>
    <x v="2"/>
    <x v="1"/>
    <x v="0"/>
    <n v="97638264.969999999"/>
    <x v="2"/>
    <x v="1"/>
    <x v="0"/>
    <x v="6"/>
    <x v="1"/>
    <x v="3"/>
    <x v="1"/>
    <x v="3"/>
    <x v="8"/>
    <n v="27"/>
    <x v="0"/>
  </r>
  <r>
    <d v="2024-08-27T00:00:00"/>
    <x v="2"/>
    <x v="1"/>
    <x v="1"/>
    <n v="278882422.74000001"/>
    <x v="2"/>
    <x v="1"/>
    <x v="1"/>
    <x v="7"/>
    <x v="1"/>
    <x v="3"/>
    <x v="1"/>
    <x v="3"/>
    <x v="8"/>
    <n v="27"/>
    <x v="0"/>
  </r>
  <r>
    <d v="2024-08-27T00:00:00"/>
    <x v="1"/>
    <x v="0"/>
    <x v="0"/>
    <n v="72884368.069999993"/>
    <x v="1"/>
    <x v="0"/>
    <x v="0"/>
    <x v="9"/>
    <x v="1"/>
    <x v="3"/>
    <x v="1"/>
    <x v="3"/>
    <x v="8"/>
    <n v="27"/>
    <x v="0"/>
  </r>
  <r>
    <d v="2024-08-27T00:00:00"/>
    <x v="3"/>
    <x v="2"/>
    <x v="2"/>
    <n v="186221.29"/>
    <x v="3"/>
    <x v="2"/>
    <x v="2"/>
    <x v="4"/>
    <x v="1"/>
    <x v="3"/>
    <x v="1"/>
    <x v="3"/>
    <x v="8"/>
    <n v="27"/>
    <x v="0"/>
  </r>
  <r>
    <d v="2024-08-27T00:00:00"/>
    <x v="3"/>
    <x v="3"/>
    <x v="0"/>
    <n v="1996237545.5799999"/>
    <x v="3"/>
    <x v="3"/>
    <x v="0"/>
    <x v="5"/>
    <x v="1"/>
    <x v="3"/>
    <x v="1"/>
    <x v="3"/>
    <x v="8"/>
    <n v="27"/>
    <x v="0"/>
  </r>
  <r>
    <d v="2024-08-27T00:00:00"/>
    <x v="1"/>
    <x v="0"/>
    <x v="1"/>
    <n v="206421352.00999999"/>
    <x v="1"/>
    <x v="0"/>
    <x v="1"/>
    <x v="8"/>
    <x v="1"/>
    <x v="3"/>
    <x v="1"/>
    <x v="3"/>
    <x v="8"/>
    <n v="27"/>
    <x v="0"/>
  </r>
  <r>
    <d v="2024-08-27T00:00:00"/>
    <x v="3"/>
    <x v="1"/>
    <x v="0"/>
    <n v="13095454.76"/>
    <x v="3"/>
    <x v="1"/>
    <x v="0"/>
    <x v="10"/>
    <x v="1"/>
    <x v="3"/>
    <x v="1"/>
    <x v="3"/>
    <x v="8"/>
    <n v="27"/>
    <x v="0"/>
  </r>
  <r>
    <d v="2024-08-27T00:00:00"/>
    <x v="3"/>
    <x v="2"/>
    <x v="0"/>
    <n v="1805443996.1700001"/>
    <x v="3"/>
    <x v="2"/>
    <x v="0"/>
    <x v="11"/>
    <x v="1"/>
    <x v="3"/>
    <x v="1"/>
    <x v="3"/>
    <x v="8"/>
    <n v="27"/>
    <x v="0"/>
  </r>
  <r>
    <d v="2024-08-27T00:00:00"/>
    <x v="3"/>
    <x v="2"/>
    <x v="1"/>
    <n v="3922722783.0100002"/>
    <x v="3"/>
    <x v="2"/>
    <x v="1"/>
    <x v="12"/>
    <x v="1"/>
    <x v="3"/>
    <x v="1"/>
    <x v="3"/>
    <x v="8"/>
    <n v="27"/>
    <x v="0"/>
  </r>
  <r>
    <d v="2024-08-26T00:00:00"/>
    <x v="0"/>
    <x v="1"/>
    <x v="0"/>
    <n v="8422940.8499999996"/>
    <x v="0"/>
    <x v="1"/>
    <x v="0"/>
    <x v="0"/>
    <x v="1"/>
    <x v="3"/>
    <x v="1"/>
    <x v="3"/>
    <x v="8"/>
    <n v="26"/>
    <x v="0"/>
  </r>
  <r>
    <d v="2024-08-26T00:00:00"/>
    <x v="2"/>
    <x v="1"/>
    <x v="2"/>
    <n v="5148.88"/>
    <x v="2"/>
    <x v="1"/>
    <x v="2"/>
    <x v="1"/>
    <x v="1"/>
    <x v="3"/>
    <x v="1"/>
    <x v="3"/>
    <x v="8"/>
    <n v="26"/>
    <x v="0"/>
  </r>
  <r>
    <d v="2024-08-26T00:00:00"/>
    <x v="0"/>
    <x v="1"/>
    <x v="1"/>
    <n v="10851383.74"/>
    <x v="0"/>
    <x v="1"/>
    <x v="1"/>
    <x v="2"/>
    <x v="1"/>
    <x v="3"/>
    <x v="1"/>
    <x v="3"/>
    <x v="8"/>
    <n v="26"/>
    <x v="0"/>
  </r>
  <r>
    <d v="2024-08-26T00:00:00"/>
    <x v="1"/>
    <x v="1"/>
    <x v="0"/>
    <n v="835142.32"/>
    <x v="1"/>
    <x v="1"/>
    <x v="0"/>
    <x v="3"/>
    <x v="1"/>
    <x v="3"/>
    <x v="1"/>
    <x v="3"/>
    <x v="8"/>
    <n v="26"/>
    <x v="0"/>
  </r>
  <r>
    <d v="2024-08-26T00:00:00"/>
    <x v="3"/>
    <x v="2"/>
    <x v="2"/>
    <n v="30316.67"/>
    <x v="3"/>
    <x v="2"/>
    <x v="2"/>
    <x v="4"/>
    <x v="1"/>
    <x v="3"/>
    <x v="1"/>
    <x v="3"/>
    <x v="8"/>
    <n v="26"/>
    <x v="0"/>
  </r>
  <r>
    <d v="2024-08-26T00:00:00"/>
    <x v="1"/>
    <x v="0"/>
    <x v="1"/>
    <n v="186207784.81999999"/>
    <x v="1"/>
    <x v="0"/>
    <x v="1"/>
    <x v="8"/>
    <x v="1"/>
    <x v="3"/>
    <x v="1"/>
    <x v="3"/>
    <x v="8"/>
    <n v="26"/>
    <x v="0"/>
  </r>
  <r>
    <d v="2024-08-26T00:00:00"/>
    <x v="3"/>
    <x v="3"/>
    <x v="0"/>
    <n v="1322523774.96"/>
    <x v="3"/>
    <x v="3"/>
    <x v="0"/>
    <x v="5"/>
    <x v="1"/>
    <x v="3"/>
    <x v="1"/>
    <x v="3"/>
    <x v="8"/>
    <n v="26"/>
    <x v="0"/>
  </r>
  <r>
    <d v="2024-08-26T00:00:00"/>
    <x v="2"/>
    <x v="1"/>
    <x v="0"/>
    <n v="82921476.689999998"/>
    <x v="2"/>
    <x v="1"/>
    <x v="0"/>
    <x v="6"/>
    <x v="1"/>
    <x v="3"/>
    <x v="1"/>
    <x v="3"/>
    <x v="8"/>
    <n v="26"/>
    <x v="0"/>
  </r>
  <r>
    <d v="2024-08-26T00:00:00"/>
    <x v="2"/>
    <x v="1"/>
    <x v="1"/>
    <n v="86920246.530000001"/>
    <x v="2"/>
    <x v="1"/>
    <x v="1"/>
    <x v="7"/>
    <x v="1"/>
    <x v="3"/>
    <x v="1"/>
    <x v="3"/>
    <x v="8"/>
    <n v="26"/>
    <x v="0"/>
  </r>
  <r>
    <d v="2024-08-26T00:00:00"/>
    <x v="1"/>
    <x v="0"/>
    <x v="0"/>
    <n v="53568499.030000001"/>
    <x v="1"/>
    <x v="0"/>
    <x v="0"/>
    <x v="9"/>
    <x v="1"/>
    <x v="3"/>
    <x v="1"/>
    <x v="3"/>
    <x v="8"/>
    <n v="26"/>
    <x v="0"/>
  </r>
  <r>
    <d v="2024-08-26T00:00:00"/>
    <x v="3"/>
    <x v="2"/>
    <x v="1"/>
    <n v="22928685475.869999"/>
    <x v="3"/>
    <x v="2"/>
    <x v="1"/>
    <x v="10"/>
    <x v="1"/>
    <x v="3"/>
    <x v="1"/>
    <x v="3"/>
    <x v="8"/>
    <n v="26"/>
    <x v="0"/>
  </r>
  <r>
    <d v="2024-08-26T00:00:00"/>
    <x v="3"/>
    <x v="2"/>
    <x v="0"/>
    <n v="988200272.30999994"/>
    <x v="3"/>
    <x v="2"/>
    <x v="0"/>
    <x v="11"/>
    <x v="1"/>
    <x v="3"/>
    <x v="1"/>
    <x v="3"/>
    <x v="8"/>
    <n v="26"/>
    <x v="0"/>
  </r>
  <r>
    <d v="2024-08-26T00:00:00"/>
    <x v="3"/>
    <x v="1"/>
    <x v="0"/>
    <n v="47880468.68"/>
    <x v="3"/>
    <x v="1"/>
    <x v="0"/>
    <x v="12"/>
    <x v="1"/>
    <x v="3"/>
    <x v="1"/>
    <x v="3"/>
    <x v="8"/>
    <n v="26"/>
    <x v="0"/>
  </r>
  <r>
    <d v="2024-08-23T00:00:00"/>
    <x v="0"/>
    <x v="1"/>
    <x v="0"/>
    <n v="11908997.08"/>
    <x v="0"/>
    <x v="1"/>
    <x v="0"/>
    <x v="0"/>
    <x v="1"/>
    <x v="3"/>
    <x v="1"/>
    <x v="3"/>
    <x v="8"/>
    <n v="23"/>
    <x v="0"/>
  </r>
  <r>
    <d v="2024-08-23T00:00:00"/>
    <x v="2"/>
    <x v="1"/>
    <x v="2"/>
    <n v="761416.78"/>
    <x v="2"/>
    <x v="1"/>
    <x v="2"/>
    <x v="1"/>
    <x v="1"/>
    <x v="3"/>
    <x v="1"/>
    <x v="3"/>
    <x v="8"/>
    <n v="23"/>
    <x v="0"/>
  </r>
  <r>
    <d v="2024-08-23T00:00:00"/>
    <x v="3"/>
    <x v="3"/>
    <x v="1"/>
    <n v="1953663.16"/>
    <x v="3"/>
    <x v="3"/>
    <x v="1"/>
    <x v="2"/>
    <x v="1"/>
    <x v="3"/>
    <x v="1"/>
    <x v="3"/>
    <x v="8"/>
    <n v="23"/>
    <x v="0"/>
  </r>
  <r>
    <d v="2024-08-23T00:00:00"/>
    <x v="0"/>
    <x v="1"/>
    <x v="1"/>
    <n v="17977208.73"/>
    <x v="0"/>
    <x v="1"/>
    <x v="1"/>
    <x v="3"/>
    <x v="1"/>
    <x v="3"/>
    <x v="1"/>
    <x v="3"/>
    <x v="8"/>
    <n v="23"/>
    <x v="0"/>
  </r>
  <r>
    <d v="2024-08-23T00:00:00"/>
    <x v="1"/>
    <x v="1"/>
    <x v="0"/>
    <n v="97370.52"/>
    <x v="1"/>
    <x v="1"/>
    <x v="0"/>
    <x v="4"/>
    <x v="1"/>
    <x v="3"/>
    <x v="1"/>
    <x v="3"/>
    <x v="8"/>
    <n v="23"/>
    <x v="0"/>
  </r>
  <r>
    <d v="2024-08-23T00:00:00"/>
    <x v="2"/>
    <x v="1"/>
    <x v="1"/>
    <n v="194330913.69"/>
    <x v="2"/>
    <x v="1"/>
    <x v="1"/>
    <x v="8"/>
    <x v="1"/>
    <x v="3"/>
    <x v="1"/>
    <x v="3"/>
    <x v="8"/>
    <n v="23"/>
    <x v="0"/>
  </r>
  <r>
    <d v="2024-08-23T00:00:00"/>
    <x v="1"/>
    <x v="0"/>
    <x v="1"/>
    <n v="85609987.069999993"/>
    <x v="1"/>
    <x v="0"/>
    <x v="1"/>
    <x v="9"/>
    <x v="1"/>
    <x v="3"/>
    <x v="1"/>
    <x v="3"/>
    <x v="8"/>
    <n v="23"/>
    <x v="0"/>
  </r>
  <r>
    <d v="2024-08-23T00:00:00"/>
    <x v="1"/>
    <x v="0"/>
    <x v="0"/>
    <n v="54895457.109999999"/>
    <x v="1"/>
    <x v="0"/>
    <x v="0"/>
    <x v="10"/>
    <x v="1"/>
    <x v="3"/>
    <x v="1"/>
    <x v="3"/>
    <x v="8"/>
    <n v="23"/>
    <x v="0"/>
  </r>
  <r>
    <d v="2024-08-23T00:00:00"/>
    <x v="3"/>
    <x v="2"/>
    <x v="2"/>
    <n v="108556"/>
    <x v="3"/>
    <x v="2"/>
    <x v="2"/>
    <x v="5"/>
    <x v="1"/>
    <x v="3"/>
    <x v="1"/>
    <x v="3"/>
    <x v="8"/>
    <n v="23"/>
    <x v="0"/>
  </r>
  <r>
    <d v="2024-08-23T00:00:00"/>
    <x v="3"/>
    <x v="3"/>
    <x v="0"/>
    <n v="1665552770.95"/>
    <x v="3"/>
    <x v="3"/>
    <x v="0"/>
    <x v="6"/>
    <x v="1"/>
    <x v="3"/>
    <x v="1"/>
    <x v="3"/>
    <x v="8"/>
    <n v="23"/>
    <x v="0"/>
  </r>
  <r>
    <d v="2024-08-23T00:00:00"/>
    <x v="2"/>
    <x v="1"/>
    <x v="0"/>
    <n v="115496747.98"/>
    <x v="2"/>
    <x v="1"/>
    <x v="0"/>
    <x v="7"/>
    <x v="1"/>
    <x v="3"/>
    <x v="1"/>
    <x v="3"/>
    <x v="8"/>
    <n v="23"/>
    <x v="0"/>
  </r>
  <r>
    <d v="2024-08-23T00:00:00"/>
    <x v="3"/>
    <x v="2"/>
    <x v="1"/>
    <n v="9270964772.2299995"/>
    <x v="3"/>
    <x v="2"/>
    <x v="1"/>
    <x v="11"/>
    <x v="1"/>
    <x v="3"/>
    <x v="1"/>
    <x v="3"/>
    <x v="8"/>
    <n v="23"/>
    <x v="0"/>
  </r>
  <r>
    <d v="2024-08-23T00:00:00"/>
    <x v="3"/>
    <x v="2"/>
    <x v="0"/>
    <n v="488123534.69"/>
    <x v="3"/>
    <x v="2"/>
    <x v="0"/>
    <x v="12"/>
    <x v="1"/>
    <x v="3"/>
    <x v="1"/>
    <x v="3"/>
    <x v="8"/>
    <n v="23"/>
    <x v="0"/>
  </r>
  <r>
    <d v="2024-08-23T00:00:00"/>
    <x v="3"/>
    <x v="1"/>
    <x v="0"/>
    <n v="14770579.060000001"/>
    <x v="3"/>
    <x v="1"/>
    <x v="0"/>
    <x v="13"/>
    <x v="1"/>
    <x v="3"/>
    <x v="1"/>
    <x v="3"/>
    <x v="8"/>
    <n v="23"/>
    <x v="0"/>
  </r>
  <r>
    <d v="2024-08-22T00:00:00"/>
    <x v="0"/>
    <x v="0"/>
    <x v="0"/>
    <n v="-2091.9899999999998"/>
    <x v="0"/>
    <x v="0"/>
    <x v="0"/>
    <x v="0"/>
    <x v="1"/>
    <x v="3"/>
    <x v="1"/>
    <x v="3"/>
    <x v="8"/>
    <n v="22"/>
    <x v="1"/>
  </r>
  <r>
    <d v="2024-08-22T00:00:00"/>
    <x v="0"/>
    <x v="1"/>
    <x v="0"/>
    <n v="7483125"/>
    <x v="0"/>
    <x v="1"/>
    <x v="0"/>
    <x v="1"/>
    <x v="1"/>
    <x v="3"/>
    <x v="1"/>
    <x v="3"/>
    <x v="8"/>
    <n v="22"/>
    <x v="0"/>
  </r>
  <r>
    <d v="2024-08-22T00:00:00"/>
    <x v="0"/>
    <x v="1"/>
    <x v="1"/>
    <n v="3682718.69"/>
    <x v="0"/>
    <x v="1"/>
    <x v="1"/>
    <x v="2"/>
    <x v="1"/>
    <x v="3"/>
    <x v="1"/>
    <x v="3"/>
    <x v="8"/>
    <n v="22"/>
    <x v="0"/>
  </r>
  <r>
    <d v="2024-08-22T00:00:00"/>
    <x v="2"/>
    <x v="1"/>
    <x v="0"/>
    <n v="86279041.040000007"/>
    <x v="2"/>
    <x v="1"/>
    <x v="0"/>
    <x v="6"/>
    <x v="1"/>
    <x v="3"/>
    <x v="1"/>
    <x v="3"/>
    <x v="8"/>
    <n v="22"/>
    <x v="0"/>
  </r>
  <r>
    <d v="2024-08-22T00:00:00"/>
    <x v="1"/>
    <x v="1"/>
    <x v="0"/>
    <n v="1819236.91"/>
    <x v="1"/>
    <x v="1"/>
    <x v="0"/>
    <x v="3"/>
    <x v="1"/>
    <x v="3"/>
    <x v="1"/>
    <x v="3"/>
    <x v="8"/>
    <n v="22"/>
    <x v="0"/>
  </r>
  <r>
    <d v="2024-08-22T00:00:00"/>
    <x v="2"/>
    <x v="1"/>
    <x v="2"/>
    <n v="8449.5"/>
    <x v="2"/>
    <x v="1"/>
    <x v="2"/>
    <x v="4"/>
    <x v="1"/>
    <x v="3"/>
    <x v="1"/>
    <x v="3"/>
    <x v="8"/>
    <n v="22"/>
    <x v="0"/>
  </r>
  <r>
    <d v="2024-08-22T00:00:00"/>
    <x v="3"/>
    <x v="2"/>
    <x v="2"/>
    <n v="221389"/>
    <x v="3"/>
    <x v="2"/>
    <x v="2"/>
    <x v="5"/>
    <x v="1"/>
    <x v="3"/>
    <x v="1"/>
    <x v="3"/>
    <x v="8"/>
    <n v="22"/>
    <x v="0"/>
  </r>
  <r>
    <d v="2024-08-22T00:00:00"/>
    <x v="2"/>
    <x v="1"/>
    <x v="1"/>
    <n v="208307100.61000001"/>
    <x v="2"/>
    <x v="1"/>
    <x v="1"/>
    <x v="8"/>
    <x v="1"/>
    <x v="3"/>
    <x v="1"/>
    <x v="3"/>
    <x v="8"/>
    <n v="22"/>
    <x v="0"/>
  </r>
  <r>
    <d v="2024-08-22T00:00:00"/>
    <x v="1"/>
    <x v="0"/>
    <x v="1"/>
    <n v="208794156.16"/>
    <x v="1"/>
    <x v="0"/>
    <x v="1"/>
    <x v="9"/>
    <x v="1"/>
    <x v="3"/>
    <x v="1"/>
    <x v="3"/>
    <x v="8"/>
    <n v="22"/>
    <x v="0"/>
  </r>
  <r>
    <d v="2024-08-22T00:00:00"/>
    <x v="1"/>
    <x v="0"/>
    <x v="0"/>
    <n v="44284041.670000002"/>
    <x v="1"/>
    <x v="0"/>
    <x v="0"/>
    <x v="10"/>
    <x v="1"/>
    <x v="3"/>
    <x v="1"/>
    <x v="3"/>
    <x v="8"/>
    <n v="22"/>
    <x v="0"/>
  </r>
  <r>
    <d v="2024-08-22T00:00:00"/>
    <x v="3"/>
    <x v="3"/>
    <x v="0"/>
    <n v="1885333846.79"/>
    <x v="3"/>
    <x v="3"/>
    <x v="0"/>
    <x v="7"/>
    <x v="1"/>
    <x v="3"/>
    <x v="1"/>
    <x v="3"/>
    <x v="8"/>
    <n v="22"/>
    <x v="0"/>
  </r>
  <r>
    <d v="2024-08-22T00:00:00"/>
    <x v="3"/>
    <x v="2"/>
    <x v="0"/>
    <n v="6366725487.0699997"/>
    <x v="3"/>
    <x v="2"/>
    <x v="0"/>
    <x v="11"/>
    <x v="1"/>
    <x v="3"/>
    <x v="1"/>
    <x v="3"/>
    <x v="8"/>
    <n v="22"/>
    <x v="0"/>
  </r>
  <r>
    <d v="2024-08-22T00:00:00"/>
    <x v="3"/>
    <x v="1"/>
    <x v="0"/>
    <n v="14713021.890000001"/>
    <x v="3"/>
    <x v="1"/>
    <x v="0"/>
    <x v="12"/>
    <x v="1"/>
    <x v="3"/>
    <x v="1"/>
    <x v="3"/>
    <x v="8"/>
    <n v="22"/>
    <x v="0"/>
  </r>
  <r>
    <d v="2024-08-22T00:00:00"/>
    <x v="3"/>
    <x v="2"/>
    <x v="1"/>
    <n v="4424861266.4300003"/>
    <x v="3"/>
    <x v="2"/>
    <x v="1"/>
    <x v="13"/>
    <x v="1"/>
    <x v="3"/>
    <x v="1"/>
    <x v="3"/>
    <x v="8"/>
    <n v="22"/>
    <x v="0"/>
  </r>
  <r>
    <d v="2024-08-21T00:00:00"/>
    <x v="0"/>
    <x v="0"/>
    <x v="0"/>
    <n v="500"/>
    <x v="0"/>
    <x v="0"/>
    <x v="0"/>
    <x v="0"/>
    <x v="1"/>
    <x v="3"/>
    <x v="1"/>
    <x v="3"/>
    <x v="8"/>
    <n v="21"/>
    <x v="0"/>
  </r>
  <r>
    <d v="2024-08-21T00:00:00"/>
    <x v="0"/>
    <x v="1"/>
    <x v="0"/>
    <n v="4571575.21"/>
    <x v="0"/>
    <x v="1"/>
    <x v="0"/>
    <x v="1"/>
    <x v="1"/>
    <x v="3"/>
    <x v="1"/>
    <x v="3"/>
    <x v="8"/>
    <n v="21"/>
    <x v="0"/>
  </r>
  <r>
    <d v="2024-08-21T00:00:00"/>
    <x v="2"/>
    <x v="1"/>
    <x v="2"/>
    <n v="11249.23"/>
    <x v="2"/>
    <x v="1"/>
    <x v="2"/>
    <x v="2"/>
    <x v="1"/>
    <x v="3"/>
    <x v="1"/>
    <x v="3"/>
    <x v="8"/>
    <n v="21"/>
    <x v="0"/>
  </r>
  <r>
    <d v="2024-08-21T00:00:00"/>
    <x v="0"/>
    <x v="1"/>
    <x v="1"/>
    <n v="6812641.1100000003"/>
    <x v="0"/>
    <x v="1"/>
    <x v="1"/>
    <x v="3"/>
    <x v="1"/>
    <x v="3"/>
    <x v="1"/>
    <x v="3"/>
    <x v="8"/>
    <n v="21"/>
    <x v="0"/>
  </r>
  <r>
    <d v="2024-08-21T00:00:00"/>
    <x v="1"/>
    <x v="1"/>
    <x v="0"/>
    <n v="309657.03999999998"/>
    <x v="1"/>
    <x v="1"/>
    <x v="0"/>
    <x v="4"/>
    <x v="1"/>
    <x v="3"/>
    <x v="1"/>
    <x v="3"/>
    <x v="8"/>
    <n v="21"/>
    <x v="0"/>
  </r>
  <r>
    <d v="2024-08-21T00:00:00"/>
    <x v="2"/>
    <x v="1"/>
    <x v="0"/>
    <n v="91829721.290000007"/>
    <x v="2"/>
    <x v="1"/>
    <x v="0"/>
    <x v="7"/>
    <x v="1"/>
    <x v="3"/>
    <x v="1"/>
    <x v="3"/>
    <x v="8"/>
    <n v="21"/>
    <x v="0"/>
  </r>
  <r>
    <d v="2024-08-21T00:00:00"/>
    <x v="3"/>
    <x v="2"/>
    <x v="2"/>
    <n v="72484.320000000007"/>
    <x v="3"/>
    <x v="2"/>
    <x v="2"/>
    <x v="5"/>
    <x v="1"/>
    <x v="3"/>
    <x v="1"/>
    <x v="3"/>
    <x v="8"/>
    <n v="21"/>
    <x v="0"/>
  </r>
  <r>
    <d v="2024-08-21T00:00:00"/>
    <x v="2"/>
    <x v="1"/>
    <x v="1"/>
    <n v="384765261.54000002"/>
    <x v="2"/>
    <x v="1"/>
    <x v="1"/>
    <x v="8"/>
    <x v="1"/>
    <x v="3"/>
    <x v="1"/>
    <x v="3"/>
    <x v="8"/>
    <n v="21"/>
    <x v="0"/>
  </r>
  <r>
    <d v="2024-08-21T00:00:00"/>
    <x v="3"/>
    <x v="3"/>
    <x v="0"/>
    <n v="1054984355.28"/>
    <x v="3"/>
    <x v="3"/>
    <x v="0"/>
    <x v="6"/>
    <x v="1"/>
    <x v="3"/>
    <x v="1"/>
    <x v="3"/>
    <x v="8"/>
    <n v="21"/>
    <x v="0"/>
  </r>
  <r>
    <d v="2024-08-21T00:00:00"/>
    <x v="1"/>
    <x v="0"/>
    <x v="1"/>
    <n v="596476773.02999997"/>
    <x v="1"/>
    <x v="0"/>
    <x v="1"/>
    <x v="9"/>
    <x v="1"/>
    <x v="3"/>
    <x v="1"/>
    <x v="3"/>
    <x v="8"/>
    <n v="21"/>
    <x v="0"/>
  </r>
  <r>
    <d v="2024-08-21T00:00:00"/>
    <x v="1"/>
    <x v="0"/>
    <x v="0"/>
    <n v="105336683.97"/>
    <x v="1"/>
    <x v="0"/>
    <x v="0"/>
    <x v="10"/>
    <x v="1"/>
    <x v="3"/>
    <x v="1"/>
    <x v="3"/>
    <x v="8"/>
    <n v="21"/>
    <x v="0"/>
  </r>
  <r>
    <d v="2024-08-21T00:00:00"/>
    <x v="3"/>
    <x v="1"/>
    <x v="0"/>
    <n v="14968652.300000001"/>
    <x v="3"/>
    <x v="1"/>
    <x v="0"/>
    <x v="11"/>
    <x v="1"/>
    <x v="3"/>
    <x v="1"/>
    <x v="3"/>
    <x v="8"/>
    <n v="21"/>
    <x v="0"/>
  </r>
  <r>
    <d v="2024-08-21T00:00:00"/>
    <x v="3"/>
    <x v="2"/>
    <x v="0"/>
    <n v="533168549.36000001"/>
    <x v="3"/>
    <x v="2"/>
    <x v="0"/>
    <x v="12"/>
    <x v="1"/>
    <x v="3"/>
    <x v="1"/>
    <x v="3"/>
    <x v="8"/>
    <n v="21"/>
    <x v="0"/>
  </r>
  <r>
    <d v="2024-08-21T00:00:00"/>
    <x v="3"/>
    <x v="2"/>
    <x v="1"/>
    <n v="13529366971.58"/>
    <x v="3"/>
    <x v="2"/>
    <x v="1"/>
    <x v="13"/>
    <x v="1"/>
    <x v="3"/>
    <x v="1"/>
    <x v="3"/>
    <x v="8"/>
    <n v="21"/>
    <x v="0"/>
  </r>
  <r>
    <d v="2024-08-20T00:00:00"/>
    <x v="0"/>
    <x v="0"/>
    <x v="0"/>
    <n v="2091.9899999999998"/>
    <x v="0"/>
    <x v="0"/>
    <x v="0"/>
    <x v="0"/>
    <x v="1"/>
    <x v="3"/>
    <x v="1"/>
    <x v="3"/>
    <x v="8"/>
    <n v="20"/>
    <x v="0"/>
  </r>
  <r>
    <d v="2024-08-20T00:00:00"/>
    <x v="1"/>
    <x v="1"/>
    <x v="0"/>
    <n v="139493.56"/>
    <x v="1"/>
    <x v="1"/>
    <x v="0"/>
    <x v="1"/>
    <x v="1"/>
    <x v="3"/>
    <x v="1"/>
    <x v="3"/>
    <x v="8"/>
    <n v="20"/>
    <x v="0"/>
  </r>
  <r>
    <d v="2024-08-20T00:00:00"/>
    <x v="0"/>
    <x v="1"/>
    <x v="0"/>
    <n v="33671948.520000003"/>
    <x v="0"/>
    <x v="1"/>
    <x v="0"/>
    <x v="2"/>
    <x v="1"/>
    <x v="3"/>
    <x v="1"/>
    <x v="3"/>
    <x v="8"/>
    <n v="20"/>
    <x v="0"/>
  </r>
  <r>
    <d v="2024-08-20T00:00:00"/>
    <x v="3"/>
    <x v="3"/>
    <x v="2"/>
    <n v="19"/>
    <x v="3"/>
    <x v="3"/>
    <x v="2"/>
    <x v="3"/>
    <x v="1"/>
    <x v="3"/>
    <x v="1"/>
    <x v="3"/>
    <x v="8"/>
    <n v="20"/>
    <x v="0"/>
  </r>
  <r>
    <d v="2024-08-20T00:00:00"/>
    <x v="3"/>
    <x v="3"/>
    <x v="0"/>
    <n v="1826045566.3800001"/>
    <x v="3"/>
    <x v="3"/>
    <x v="0"/>
    <x v="7"/>
    <x v="1"/>
    <x v="3"/>
    <x v="1"/>
    <x v="3"/>
    <x v="8"/>
    <n v="20"/>
    <x v="0"/>
  </r>
  <r>
    <d v="2024-08-20T00:00:00"/>
    <x v="2"/>
    <x v="1"/>
    <x v="2"/>
    <n v="9398.2099999999991"/>
    <x v="2"/>
    <x v="1"/>
    <x v="2"/>
    <x v="4"/>
    <x v="1"/>
    <x v="3"/>
    <x v="1"/>
    <x v="3"/>
    <x v="8"/>
    <n v="20"/>
    <x v="0"/>
  </r>
  <r>
    <d v="2024-08-20T00:00:00"/>
    <x v="2"/>
    <x v="1"/>
    <x v="0"/>
    <n v="81488533.109999999"/>
    <x v="2"/>
    <x v="1"/>
    <x v="0"/>
    <x v="8"/>
    <x v="1"/>
    <x v="3"/>
    <x v="1"/>
    <x v="3"/>
    <x v="8"/>
    <n v="20"/>
    <x v="0"/>
  </r>
  <r>
    <d v="2024-08-20T00:00:00"/>
    <x v="0"/>
    <x v="1"/>
    <x v="1"/>
    <n v="1129980.8899999999"/>
    <x v="0"/>
    <x v="1"/>
    <x v="1"/>
    <x v="5"/>
    <x v="1"/>
    <x v="3"/>
    <x v="1"/>
    <x v="3"/>
    <x v="8"/>
    <n v="20"/>
    <x v="0"/>
  </r>
  <r>
    <d v="2024-08-20T00:00:00"/>
    <x v="1"/>
    <x v="0"/>
    <x v="1"/>
    <n v="238386279.86000001"/>
    <x v="1"/>
    <x v="0"/>
    <x v="1"/>
    <x v="10"/>
    <x v="1"/>
    <x v="3"/>
    <x v="1"/>
    <x v="3"/>
    <x v="8"/>
    <n v="20"/>
    <x v="0"/>
  </r>
  <r>
    <d v="2024-08-20T00:00:00"/>
    <x v="1"/>
    <x v="0"/>
    <x v="0"/>
    <n v="83537822.730000004"/>
    <x v="1"/>
    <x v="0"/>
    <x v="0"/>
    <x v="11"/>
    <x v="1"/>
    <x v="3"/>
    <x v="1"/>
    <x v="3"/>
    <x v="8"/>
    <n v="20"/>
    <x v="0"/>
  </r>
  <r>
    <d v="2024-08-20T00:00:00"/>
    <x v="3"/>
    <x v="2"/>
    <x v="2"/>
    <n v="183332"/>
    <x v="3"/>
    <x v="2"/>
    <x v="2"/>
    <x v="6"/>
    <x v="1"/>
    <x v="3"/>
    <x v="1"/>
    <x v="3"/>
    <x v="8"/>
    <n v="20"/>
    <x v="0"/>
  </r>
  <r>
    <d v="2024-08-20T00:00:00"/>
    <x v="2"/>
    <x v="1"/>
    <x v="1"/>
    <n v="123057234.53"/>
    <x v="2"/>
    <x v="1"/>
    <x v="1"/>
    <x v="9"/>
    <x v="1"/>
    <x v="3"/>
    <x v="1"/>
    <x v="3"/>
    <x v="8"/>
    <n v="20"/>
    <x v="0"/>
  </r>
  <r>
    <d v="2024-08-20T00:00:00"/>
    <x v="3"/>
    <x v="1"/>
    <x v="0"/>
    <n v="13794923.84"/>
    <x v="3"/>
    <x v="1"/>
    <x v="0"/>
    <x v="12"/>
    <x v="1"/>
    <x v="3"/>
    <x v="1"/>
    <x v="3"/>
    <x v="8"/>
    <n v="20"/>
    <x v="0"/>
  </r>
  <r>
    <d v="2024-08-20T00:00:00"/>
    <x v="3"/>
    <x v="2"/>
    <x v="0"/>
    <n v="992323255.96000004"/>
    <x v="3"/>
    <x v="2"/>
    <x v="0"/>
    <x v="13"/>
    <x v="1"/>
    <x v="3"/>
    <x v="1"/>
    <x v="3"/>
    <x v="8"/>
    <n v="20"/>
    <x v="0"/>
  </r>
  <r>
    <d v="2024-08-20T00:00:00"/>
    <x v="3"/>
    <x v="2"/>
    <x v="1"/>
    <n v="4164825677.8699999"/>
    <x v="3"/>
    <x v="2"/>
    <x v="1"/>
    <x v="14"/>
    <x v="1"/>
    <x v="3"/>
    <x v="1"/>
    <x v="3"/>
    <x v="8"/>
    <n v="20"/>
    <x v="0"/>
  </r>
  <r>
    <d v="2024-08-19T00:00:00"/>
    <x v="0"/>
    <x v="0"/>
    <x v="0"/>
    <n v="1202.1600000000001"/>
    <x v="0"/>
    <x v="0"/>
    <x v="0"/>
    <x v="0"/>
    <x v="1"/>
    <x v="3"/>
    <x v="1"/>
    <x v="3"/>
    <x v="8"/>
    <n v="19"/>
    <x v="0"/>
  </r>
  <r>
    <d v="2024-08-19T00:00:00"/>
    <x v="0"/>
    <x v="1"/>
    <x v="0"/>
    <n v="12408290.43"/>
    <x v="0"/>
    <x v="1"/>
    <x v="0"/>
    <x v="1"/>
    <x v="1"/>
    <x v="3"/>
    <x v="1"/>
    <x v="3"/>
    <x v="8"/>
    <n v="19"/>
    <x v="0"/>
  </r>
  <r>
    <d v="2024-08-19T00:00:00"/>
    <x v="3"/>
    <x v="2"/>
    <x v="2"/>
    <n v="116761"/>
    <x v="3"/>
    <x v="2"/>
    <x v="2"/>
    <x v="7"/>
    <x v="1"/>
    <x v="3"/>
    <x v="1"/>
    <x v="3"/>
    <x v="8"/>
    <n v="19"/>
    <x v="0"/>
  </r>
  <r>
    <d v="2024-08-19T00:00:00"/>
    <x v="3"/>
    <x v="3"/>
    <x v="2"/>
    <n v="849.54"/>
    <x v="3"/>
    <x v="3"/>
    <x v="2"/>
    <x v="2"/>
    <x v="1"/>
    <x v="3"/>
    <x v="1"/>
    <x v="3"/>
    <x v="8"/>
    <n v="19"/>
    <x v="0"/>
  </r>
  <r>
    <d v="2024-08-19T00:00:00"/>
    <x v="2"/>
    <x v="1"/>
    <x v="2"/>
    <n v="9555.65"/>
    <x v="2"/>
    <x v="1"/>
    <x v="2"/>
    <x v="3"/>
    <x v="1"/>
    <x v="3"/>
    <x v="1"/>
    <x v="3"/>
    <x v="8"/>
    <n v="19"/>
    <x v="0"/>
  </r>
  <r>
    <d v="2024-08-19T00:00:00"/>
    <x v="3"/>
    <x v="3"/>
    <x v="1"/>
    <n v="2735394.85"/>
    <x v="3"/>
    <x v="3"/>
    <x v="1"/>
    <x v="4"/>
    <x v="1"/>
    <x v="3"/>
    <x v="1"/>
    <x v="3"/>
    <x v="8"/>
    <n v="19"/>
    <x v="0"/>
  </r>
  <r>
    <d v="2024-08-19T00:00:00"/>
    <x v="0"/>
    <x v="1"/>
    <x v="1"/>
    <n v="11753221.07"/>
    <x v="0"/>
    <x v="1"/>
    <x v="1"/>
    <x v="5"/>
    <x v="1"/>
    <x v="3"/>
    <x v="1"/>
    <x v="3"/>
    <x v="8"/>
    <n v="19"/>
    <x v="0"/>
  </r>
  <r>
    <d v="2024-08-19T00:00:00"/>
    <x v="3"/>
    <x v="3"/>
    <x v="0"/>
    <n v="1652767865.79"/>
    <x v="3"/>
    <x v="3"/>
    <x v="0"/>
    <x v="8"/>
    <x v="1"/>
    <x v="3"/>
    <x v="1"/>
    <x v="3"/>
    <x v="8"/>
    <n v="19"/>
    <x v="0"/>
  </r>
  <r>
    <d v="2024-08-19T00:00:00"/>
    <x v="2"/>
    <x v="1"/>
    <x v="0"/>
    <n v="96353708.379999995"/>
    <x v="2"/>
    <x v="1"/>
    <x v="0"/>
    <x v="9"/>
    <x v="1"/>
    <x v="3"/>
    <x v="1"/>
    <x v="3"/>
    <x v="8"/>
    <n v="19"/>
    <x v="0"/>
  </r>
  <r>
    <d v="2024-08-19T00:00:00"/>
    <x v="1"/>
    <x v="1"/>
    <x v="0"/>
    <n v="543036.22"/>
    <x v="1"/>
    <x v="1"/>
    <x v="0"/>
    <x v="6"/>
    <x v="1"/>
    <x v="3"/>
    <x v="1"/>
    <x v="3"/>
    <x v="8"/>
    <n v="19"/>
    <x v="0"/>
  </r>
  <r>
    <d v="2024-08-19T00:00:00"/>
    <x v="2"/>
    <x v="1"/>
    <x v="1"/>
    <n v="176145519.27000001"/>
    <x v="2"/>
    <x v="1"/>
    <x v="1"/>
    <x v="10"/>
    <x v="1"/>
    <x v="3"/>
    <x v="1"/>
    <x v="3"/>
    <x v="8"/>
    <n v="19"/>
    <x v="0"/>
  </r>
  <r>
    <d v="2024-08-19T00:00:00"/>
    <x v="1"/>
    <x v="0"/>
    <x v="0"/>
    <n v="60548557.450000003"/>
    <x v="1"/>
    <x v="0"/>
    <x v="0"/>
    <x v="12"/>
    <x v="1"/>
    <x v="3"/>
    <x v="1"/>
    <x v="3"/>
    <x v="8"/>
    <n v="19"/>
    <x v="0"/>
  </r>
  <r>
    <d v="2024-08-19T00:00:00"/>
    <x v="1"/>
    <x v="0"/>
    <x v="1"/>
    <n v="176739701.31999999"/>
    <x v="1"/>
    <x v="0"/>
    <x v="1"/>
    <x v="11"/>
    <x v="1"/>
    <x v="3"/>
    <x v="1"/>
    <x v="3"/>
    <x v="8"/>
    <n v="19"/>
    <x v="0"/>
  </r>
  <r>
    <d v="2024-08-19T00:00:00"/>
    <x v="3"/>
    <x v="2"/>
    <x v="0"/>
    <n v="650224780.88999999"/>
    <x v="3"/>
    <x v="2"/>
    <x v="0"/>
    <x v="13"/>
    <x v="1"/>
    <x v="3"/>
    <x v="1"/>
    <x v="3"/>
    <x v="8"/>
    <n v="19"/>
    <x v="0"/>
  </r>
  <r>
    <d v="2024-08-19T00:00:00"/>
    <x v="3"/>
    <x v="1"/>
    <x v="0"/>
    <n v="51206310.509999998"/>
    <x v="3"/>
    <x v="1"/>
    <x v="0"/>
    <x v="14"/>
    <x v="1"/>
    <x v="3"/>
    <x v="1"/>
    <x v="3"/>
    <x v="8"/>
    <n v="19"/>
    <x v="0"/>
  </r>
  <r>
    <d v="2024-08-19T00:00:00"/>
    <x v="3"/>
    <x v="2"/>
    <x v="1"/>
    <n v="27810342207"/>
    <x v="3"/>
    <x v="2"/>
    <x v="1"/>
    <x v="15"/>
    <x v="1"/>
    <x v="3"/>
    <x v="1"/>
    <x v="3"/>
    <x v="8"/>
    <n v="19"/>
    <x v="0"/>
  </r>
  <r>
    <d v="2024-08-16T00:00:00"/>
    <x v="1"/>
    <x v="1"/>
    <x v="0"/>
    <n v="59582.81"/>
    <x v="1"/>
    <x v="1"/>
    <x v="0"/>
    <x v="0"/>
    <x v="1"/>
    <x v="3"/>
    <x v="1"/>
    <x v="3"/>
    <x v="8"/>
    <n v="16"/>
    <x v="0"/>
  </r>
  <r>
    <d v="2024-08-16T00:00:00"/>
    <x v="0"/>
    <x v="1"/>
    <x v="0"/>
    <n v="13053212.76"/>
    <x v="0"/>
    <x v="1"/>
    <x v="0"/>
    <x v="1"/>
    <x v="1"/>
    <x v="3"/>
    <x v="1"/>
    <x v="3"/>
    <x v="8"/>
    <n v="16"/>
    <x v="0"/>
  </r>
  <r>
    <d v="2024-08-16T00:00:00"/>
    <x v="2"/>
    <x v="1"/>
    <x v="2"/>
    <n v="43307.199999999997"/>
    <x v="2"/>
    <x v="1"/>
    <x v="2"/>
    <x v="2"/>
    <x v="1"/>
    <x v="3"/>
    <x v="1"/>
    <x v="3"/>
    <x v="8"/>
    <n v="16"/>
    <x v="0"/>
  </r>
  <r>
    <d v="2024-08-16T00:00:00"/>
    <x v="3"/>
    <x v="3"/>
    <x v="0"/>
    <n v="1083431500.55"/>
    <x v="3"/>
    <x v="3"/>
    <x v="0"/>
    <x v="6"/>
    <x v="1"/>
    <x v="3"/>
    <x v="1"/>
    <x v="3"/>
    <x v="8"/>
    <n v="16"/>
    <x v="0"/>
  </r>
  <r>
    <d v="2024-08-16T00:00:00"/>
    <x v="3"/>
    <x v="3"/>
    <x v="1"/>
    <n v="34030401.020000003"/>
    <x v="3"/>
    <x v="3"/>
    <x v="1"/>
    <x v="3"/>
    <x v="1"/>
    <x v="3"/>
    <x v="1"/>
    <x v="3"/>
    <x v="8"/>
    <n v="16"/>
    <x v="0"/>
  </r>
  <r>
    <d v="2024-08-16T00:00:00"/>
    <x v="0"/>
    <x v="1"/>
    <x v="1"/>
    <n v="3806659.02"/>
    <x v="0"/>
    <x v="1"/>
    <x v="1"/>
    <x v="4"/>
    <x v="1"/>
    <x v="3"/>
    <x v="1"/>
    <x v="3"/>
    <x v="8"/>
    <n v="16"/>
    <x v="0"/>
  </r>
  <r>
    <d v="2024-08-16T00:00:00"/>
    <x v="2"/>
    <x v="1"/>
    <x v="0"/>
    <n v="75345608.560000002"/>
    <x v="2"/>
    <x v="1"/>
    <x v="0"/>
    <x v="7"/>
    <x v="1"/>
    <x v="3"/>
    <x v="1"/>
    <x v="3"/>
    <x v="8"/>
    <n v="16"/>
    <x v="0"/>
  </r>
  <r>
    <d v="2024-08-16T00:00:00"/>
    <x v="3"/>
    <x v="2"/>
    <x v="2"/>
    <n v="128693.36"/>
    <x v="3"/>
    <x v="2"/>
    <x v="2"/>
    <x v="5"/>
    <x v="1"/>
    <x v="3"/>
    <x v="1"/>
    <x v="3"/>
    <x v="8"/>
    <n v="16"/>
    <x v="0"/>
  </r>
  <r>
    <d v="2024-08-16T00:00:00"/>
    <x v="2"/>
    <x v="1"/>
    <x v="1"/>
    <n v="427938664.66000003"/>
    <x v="2"/>
    <x v="1"/>
    <x v="1"/>
    <x v="8"/>
    <x v="1"/>
    <x v="3"/>
    <x v="1"/>
    <x v="3"/>
    <x v="8"/>
    <n v="16"/>
    <x v="0"/>
  </r>
  <r>
    <d v="2024-08-16T00:00:00"/>
    <x v="1"/>
    <x v="0"/>
    <x v="1"/>
    <n v="61459830.689999998"/>
    <x v="1"/>
    <x v="0"/>
    <x v="1"/>
    <x v="9"/>
    <x v="1"/>
    <x v="3"/>
    <x v="1"/>
    <x v="3"/>
    <x v="8"/>
    <n v="16"/>
    <x v="0"/>
  </r>
  <r>
    <d v="2024-08-16T00:00:00"/>
    <x v="1"/>
    <x v="0"/>
    <x v="0"/>
    <n v="47280365.759999998"/>
    <x v="1"/>
    <x v="0"/>
    <x v="0"/>
    <x v="10"/>
    <x v="1"/>
    <x v="3"/>
    <x v="1"/>
    <x v="3"/>
    <x v="8"/>
    <n v="16"/>
    <x v="0"/>
  </r>
  <r>
    <d v="2024-08-16T00:00:00"/>
    <x v="3"/>
    <x v="1"/>
    <x v="0"/>
    <n v="17232157.530000001"/>
    <x v="3"/>
    <x v="1"/>
    <x v="0"/>
    <x v="11"/>
    <x v="1"/>
    <x v="3"/>
    <x v="1"/>
    <x v="3"/>
    <x v="8"/>
    <n v="16"/>
    <x v="0"/>
  </r>
  <r>
    <d v="2024-08-16T00:00:00"/>
    <x v="3"/>
    <x v="2"/>
    <x v="0"/>
    <n v="547339599.46000004"/>
    <x v="3"/>
    <x v="2"/>
    <x v="0"/>
    <x v="12"/>
    <x v="1"/>
    <x v="3"/>
    <x v="1"/>
    <x v="3"/>
    <x v="8"/>
    <n v="16"/>
    <x v="0"/>
  </r>
  <r>
    <d v="2024-08-16T00:00:00"/>
    <x v="3"/>
    <x v="2"/>
    <x v="1"/>
    <n v="22692885745.84"/>
    <x v="3"/>
    <x v="2"/>
    <x v="1"/>
    <x v="13"/>
    <x v="1"/>
    <x v="3"/>
    <x v="1"/>
    <x v="3"/>
    <x v="8"/>
    <n v="16"/>
    <x v="0"/>
  </r>
  <r>
    <d v="2024-08-15T00:00:00"/>
    <x v="0"/>
    <x v="0"/>
    <x v="0"/>
    <n v="2035"/>
    <x v="0"/>
    <x v="0"/>
    <x v="0"/>
    <x v="0"/>
    <x v="1"/>
    <x v="3"/>
    <x v="1"/>
    <x v="3"/>
    <x v="8"/>
    <n v="15"/>
    <x v="0"/>
  </r>
  <r>
    <d v="2024-08-15T00:00:00"/>
    <x v="0"/>
    <x v="1"/>
    <x v="0"/>
    <n v="17354461.620000001"/>
    <x v="0"/>
    <x v="1"/>
    <x v="0"/>
    <x v="1"/>
    <x v="1"/>
    <x v="3"/>
    <x v="1"/>
    <x v="3"/>
    <x v="8"/>
    <n v="15"/>
    <x v="0"/>
  </r>
  <r>
    <d v="2024-08-15T00:00:00"/>
    <x v="1"/>
    <x v="1"/>
    <x v="0"/>
    <n v="411120.5"/>
    <x v="1"/>
    <x v="1"/>
    <x v="0"/>
    <x v="7"/>
    <x v="1"/>
    <x v="3"/>
    <x v="1"/>
    <x v="3"/>
    <x v="8"/>
    <n v="15"/>
    <x v="0"/>
  </r>
  <r>
    <d v="2024-08-15T00:00:00"/>
    <x v="3"/>
    <x v="3"/>
    <x v="2"/>
    <n v="580557.24"/>
    <x v="3"/>
    <x v="3"/>
    <x v="2"/>
    <x v="2"/>
    <x v="1"/>
    <x v="3"/>
    <x v="1"/>
    <x v="3"/>
    <x v="8"/>
    <n v="15"/>
    <x v="0"/>
  </r>
  <r>
    <d v="2024-08-15T00:00:00"/>
    <x v="3"/>
    <x v="2"/>
    <x v="2"/>
    <n v="168032.24"/>
    <x v="3"/>
    <x v="2"/>
    <x v="2"/>
    <x v="4"/>
    <x v="1"/>
    <x v="3"/>
    <x v="1"/>
    <x v="3"/>
    <x v="8"/>
    <n v="15"/>
    <x v="0"/>
  </r>
  <r>
    <d v="2024-08-15T00:00:00"/>
    <x v="2"/>
    <x v="1"/>
    <x v="2"/>
    <n v="7027.98"/>
    <x v="2"/>
    <x v="1"/>
    <x v="2"/>
    <x v="3"/>
    <x v="1"/>
    <x v="3"/>
    <x v="1"/>
    <x v="3"/>
    <x v="8"/>
    <n v="15"/>
    <x v="0"/>
  </r>
  <r>
    <d v="2024-08-15T00:00:00"/>
    <x v="3"/>
    <x v="3"/>
    <x v="1"/>
    <n v="109347.29"/>
    <x v="3"/>
    <x v="3"/>
    <x v="1"/>
    <x v="5"/>
    <x v="1"/>
    <x v="3"/>
    <x v="1"/>
    <x v="3"/>
    <x v="8"/>
    <n v="15"/>
    <x v="0"/>
  </r>
  <r>
    <d v="2024-08-15T00:00:00"/>
    <x v="0"/>
    <x v="1"/>
    <x v="1"/>
    <n v="22217709.370000001"/>
    <x v="0"/>
    <x v="1"/>
    <x v="1"/>
    <x v="6"/>
    <x v="1"/>
    <x v="3"/>
    <x v="1"/>
    <x v="3"/>
    <x v="8"/>
    <n v="15"/>
    <x v="0"/>
  </r>
  <r>
    <d v="2024-08-15T00:00:00"/>
    <x v="2"/>
    <x v="1"/>
    <x v="0"/>
    <n v="88266449.769999996"/>
    <x v="2"/>
    <x v="1"/>
    <x v="0"/>
    <x v="8"/>
    <x v="1"/>
    <x v="3"/>
    <x v="1"/>
    <x v="3"/>
    <x v="8"/>
    <n v="15"/>
    <x v="0"/>
  </r>
  <r>
    <d v="2024-08-15T00:00:00"/>
    <x v="2"/>
    <x v="1"/>
    <x v="1"/>
    <n v="138224642.59999999"/>
    <x v="2"/>
    <x v="1"/>
    <x v="1"/>
    <x v="10"/>
    <x v="1"/>
    <x v="3"/>
    <x v="1"/>
    <x v="3"/>
    <x v="8"/>
    <n v="15"/>
    <x v="0"/>
  </r>
  <r>
    <d v="2024-08-15T00:00:00"/>
    <x v="1"/>
    <x v="0"/>
    <x v="1"/>
    <n v="151401579.05000001"/>
    <x v="1"/>
    <x v="0"/>
    <x v="1"/>
    <x v="11"/>
    <x v="1"/>
    <x v="3"/>
    <x v="1"/>
    <x v="3"/>
    <x v="8"/>
    <n v="15"/>
    <x v="0"/>
  </r>
  <r>
    <d v="2024-08-15T00:00:00"/>
    <x v="1"/>
    <x v="0"/>
    <x v="0"/>
    <n v="64137560.640000001"/>
    <x v="1"/>
    <x v="0"/>
    <x v="0"/>
    <x v="12"/>
    <x v="1"/>
    <x v="3"/>
    <x v="1"/>
    <x v="3"/>
    <x v="8"/>
    <n v="15"/>
    <x v="0"/>
  </r>
  <r>
    <d v="2024-08-15T00:00:00"/>
    <x v="3"/>
    <x v="3"/>
    <x v="0"/>
    <n v="1408163077.8599999"/>
    <x v="3"/>
    <x v="3"/>
    <x v="0"/>
    <x v="9"/>
    <x v="1"/>
    <x v="3"/>
    <x v="1"/>
    <x v="3"/>
    <x v="8"/>
    <n v="15"/>
    <x v="0"/>
  </r>
  <r>
    <d v="2024-08-15T00:00:00"/>
    <x v="3"/>
    <x v="1"/>
    <x v="0"/>
    <n v="16216670.42"/>
    <x v="3"/>
    <x v="1"/>
    <x v="0"/>
    <x v="13"/>
    <x v="1"/>
    <x v="3"/>
    <x v="1"/>
    <x v="3"/>
    <x v="8"/>
    <n v="15"/>
    <x v="0"/>
  </r>
  <r>
    <d v="2024-08-15T00:00:00"/>
    <x v="3"/>
    <x v="2"/>
    <x v="0"/>
    <n v="596085506.22000003"/>
    <x v="3"/>
    <x v="2"/>
    <x v="0"/>
    <x v="14"/>
    <x v="1"/>
    <x v="3"/>
    <x v="1"/>
    <x v="3"/>
    <x v="8"/>
    <n v="15"/>
    <x v="0"/>
  </r>
  <r>
    <d v="2024-08-15T00:00:00"/>
    <x v="3"/>
    <x v="2"/>
    <x v="1"/>
    <n v="8696737914.2399998"/>
    <x v="3"/>
    <x v="2"/>
    <x v="1"/>
    <x v="15"/>
    <x v="1"/>
    <x v="3"/>
    <x v="1"/>
    <x v="3"/>
    <x v="8"/>
    <n v="15"/>
    <x v="0"/>
  </r>
  <r>
    <d v="2024-08-14T00:00:00"/>
    <x v="0"/>
    <x v="0"/>
    <x v="0"/>
    <n v="1016.2"/>
    <x v="0"/>
    <x v="0"/>
    <x v="0"/>
    <x v="0"/>
    <x v="1"/>
    <x v="3"/>
    <x v="1"/>
    <x v="3"/>
    <x v="8"/>
    <n v="14"/>
    <x v="0"/>
  </r>
  <r>
    <d v="2024-08-14T00:00:00"/>
    <x v="1"/>
    <x v="1"/>
    <x v="0"/>
    <n v="291837.03000000003"/>
    <x v="1"/>
    <x v="1"/>
    <x v="0"/>
    <x v="1"/>
    <x v="1"/>
    <x v="3"/>
    <x v="1"/>
    <x v="3"/>
    <x v="8"/>
    <n v="14"/>
    <x v="0"/>
  </r>
  <r>
    <d v="2024-08-14T00:00:00"/>
    <x v="0"/>
    <x v="1"/>
    <x v="0"/>
    <n v="16238047.43"/>
    <x v="0"/>
    <x v="1"/>
    <x v="0"/>
    <x v="2"/>
    <x v="1"/>
    <x v="3"/>
    <x v="1"/>
    <x v="3"/>
    <x v="8"/>
    <n v="14"/>
    <x v="0"/>
  </r>
  <r>
    <d v="2024-08-14T00:00:00"/>
    <x v="2"/>
    <x v="1"/>
    <x v="2"/>
    <n v="12882.6"/>
    <x v="2"/>
    <x v="1"/>
    <x v="2"/>
    <x v="3"/>
    <x v="1"/>
    <x v="3"/>
    <x v="1"/>
    <x v="3"/>
    <x v="8"/>
    <n v="14"/>
    <x v="0"/>
  </r>
  <r>
    <d v="2024-08-14T00:00:00"/>
    <x v="3"/>
    <x v="2"/>
    <x v="2"/>
    <n v="34236.9"/>
    <x v="3"/>
    <x v="2"/>
    <x v="2"/>
    <x v="4"/>
    <x v="1"/>
    <x v="3"/>
    <x v="1"/>
    <x v="3"/>
    <x v="8"/>
    <n v="14"/>
    <x v="0"/>
  </r>
  <r>
    <d v="2024-08-14T00:00:00"/>
    <x v="3"/>
    <x v="3"/>
    <x v="0"/>
    <n v="1932858825.8399999"/>
    <x v="3"/>
    <x v="3"/>
    <x v="0"/>
    <x v="7"/>
    <x v="1"/>
    <x v="3"/>
    <x v="1"/>
    <x v="3"/>
    <x v="8"/>
    <n v="14"/>
    <x v="0"/>
  </r>
  <r>
    <d v="2024-08-14T00:00:00"/>
    <x v="3"/>
    <x v="3"/>
    <x v="1"/>
    <n v="56161.45"/>
    <x v="3"/>
    <x v="3"/>
    <x v="1"/>
    <x v="5"/>
    <x v="1"/>
    <x v="3"/>
    <x v="1"/>
    <x v="3"/>
    <x v="8"/>
    <n v="14"/>
    <x v="0"/>
  </r>
  <r>
    <d v="2024-08-14T00:00:00"/>
    <x v="0"/>
    <x v="1"/>
    <x v="1"/>
    <n v="20395794.850000001"/>
    <x v="0"/>
    <x v="1"/>
    <x v="1"/>
    <x v="6"/>
    <x v="1"/>
    <x v="3"/>
    <x v="1"/>
    <x v="3"/>
    <x v="8"/>
    <n v="14"/>
    <x v="0"/>
  </r>
  <r>
    <d v="2024-08-14T00:00:00"/>
    <x v="1"/>
    <x v="0"/>
    <x v="1"/>
    <n v="555937908.86000001"/>
    <x v="1"/>
    <x v="0"/>
    <x v="1"/>
    <x v="10"/>
    <x v="1"/>
    <x v="3"/>
    <x v="1"/>
    <x v="3"/>
    <x v="8"/>
    <n v="14"/>
    <x v="0"/>
  </r>
  <r>
    <d v="2024-08-14T00:00:00"/>
    <x v="1"/>
    <x v="0"/>
    <x v="0"/>
    <n v="97491857.370000005"/>
    <x v="1"/>
    <x v="0"/>
    <x v="0"/>
    <x v="11"/>
    <x v="1"/>
    <x v="3"/>
    <x v="1"/>
    <x v="3"/>
    <x v="8"/>
    <n v="14"/>
    <x v="0"/>
  </r>
  <r>
    <d v="2024-08-14T00:00:00"/>
    <x v="2"/>
    <x v="1"/>
    <x v="0"/>
    <n v="82195900.930000007"/>
    <x v="2"/>
    <x v="1"/>
    <x v="0"/>
    <x v="8"/>
    <x v="1"/>
    <x v="3"/>
    <x v="1"/>
    <x v="3"/>
    <x v="8"/>
    <n v="14"/>
    <x v="0"/>
  </r>
  <r>
    <d v="2024-08-14T00:00:00"/>
    <x v="2"/>
    <x v="1"/>
    <x v="1"/>
    <n v="307739191.72000003"/>
    <x v="2"/>
    <x v="1"/>
    <x v="1"/>
    <x v="9"/>
    <x v="1"/>
    <x v="3"/>
    <x v="1"/>
    <x v="3"/>
    <x v="8"/>
    <n v="14"/>
    <x v="0"/>
  </r>
  <r>
    <d v="2024-08-14T00:00:00"/>
    <x v="3"/>
    <x v="1"/>
    <x v="0"/>
    <n v="16403130.460000001"/>
    <x v="3"/>
    <x v="1"/>
    <x v="0"/>
    <x v="12"/>
    <x v="1"/>
    <x v="3"/>
    <x v="1"/>
    <x v="3"/>
    <x v="8"/>
    <n v="14"/>
    <x v="0"/>
  </r>
  <r>
    <d v="2024-08-14T00:00:00"/>
    <x v="3"/>
    <x v="2"/>
    <x v="1"/>
    <n v="13387603393.959999"/>
    <x v="3"/>
    <x v="2"/>
    <x v="1"/>
    <x v="13"/>
    <x v="1"/>
    <x v="3"/>
    <x v="1"/>
    <x v="3"/>
    <x v="8"/>
    <n v="14"/>
    <x v="0"/>
  </r>
  <r>
    <d v="2024-08-14T00:00:00"/>
    <x v="3"/>
    <x v="2"/>
    <x v="0"/>
    <n v="675072735.57000005"/>
    <x v="3"/>
    <x v="2"/>
    <x v="0"/>
    <x v="14"/>
    <x v="1"/>
    <x v="3"/>
    <x v="1"/>
    <x v="3"/>
    <x v="8"/>
    <n v="14"/>
    <x v="0"/>
  </r>
  <r>
    <d v="2024-08-13T00:00:00"/>
    <x v="1"/>
    <x v="1"/>
    <x v="0"/>
    <n v="60272.13"/>
    <x v="1"/>
    <x v="1"/>
    <x v="0"/>
    <x v="1"/>
    <x v="1"/>
    <x v="3"/>
    <x v="1"/>
    <x v="3"/>
    <x v="8"/>
    <n v="13"/>
    <x v="0"/>
  </r>
  <r>
    <d v="2024-08-13T00:00:00"/>
    <x v="0"/>
    <x v="0"/>
    <x v="0"/>
    <n v="8908.32"/>
    <x v="0"/>
    <x v="0"/>
    <x v="0"/>
    <x v="0"/>
    <x v="1"/>
    <x v="3"/>
    <x v="1"/>
    <x v="3"/>
    <x v="8"/>
    <n v="13"/>
    <x v="0"/>
  </r>
  <r>
    <d v="2024-08-13T00:00:00"/>
    <x v="0"/>
    <x v="1"/>
    <x v="0"/>
    <n v="16100272.02"/>
    <x v="0"/>
    <x v="1"/>
    <x v="0"/>
    <x v="2"/>
    <x v="1"/>
    <x v="3"/>
    <x v="1"/>
    <x v="3"/>
    <x v="8"/>
    <n v="13"/>
    <x v="0"/>
  </r>
  <r>
    <d v="2024-08-13T00:00:00"/>
    <x v="3"/>
    <x v="3"/>
    <x v="0"/>
    <n v="2162355197.02"/>
    <x v="3"/>
    <x v="3"/>
    <x v="0"/>
    <x v="7"/>
    <x v="1"/>
    <x v="3"/>
    <x v="1"/>
    <x v="3"/>
    <x v="8"/>
    <n v="13"/>
    <x v="0"/>
  </r>
  <r>
    <d v="2024-08-13T00:00:00"/>
    <x v="2"/>
    <x v="1"/>
    <x v="2"/>
    <n v="52894.13"/>
    <x v="2"/>
    <x v="1"/>
    <x v="2"/>
    <x v="3"/>
    <x v="1"/>
    <x v="3"/>
    <x v="1"/>
    <x v="3"/>
    <x v="8"/>
    <n v="13"/>
    <x v="0"/>
  </r>
  <r>
    <d v="2024-08-13T00:00:00"/>
    <x v="3"/>
    <x v="2"/>
    <x v="2"/>
    <n v="258449"/>
    <x v="3"/>
    <x v="2"/>
    <x v="2"/>
    <x v="4"/>
    <x v="1"/>
    <x v="3"/>
    <x v="1"/>
    <x v="3"/>
    <x v="8"/>
    <n v="13"/>
    <x v="0"/>
  </r>
  <r>
    <d v="2024-08-13T00:00:00"/>
    <x v="3"/>
    <x v="3"/>
    <x v="1"/>
    <n v="295043.67"/>
    <x v="3"/>
    <x v="3"/>
    <x v="1"/>
    <x v="5"/>
    <x v="1"/>
    <x v="3"/>
    <x v="1"/>
    <x v="3"/>
    <x v="8"/>
    <n v="13"/>
    <x v="0"/>
  </r>
  <r>
    <d v="2024-08-13T00:00:00"/>
    <x v="0"/>
    <x v="1"/>
    <x v="1"/>
    <n v="1471028.68"/>
    <x v="0"/>
    <x v="1"/>
    <x v="1"/>
    <x v="6"/>
    <x v="1"/>
    <x v="3"/>
    <x v="1"/>
    <x v="3"/>
    <x v="8"/>
    <n v="13"/>
    <x v="0"/>
  </r>
  <r>
    <d v="2024-08-13T00:00:00"/>
    <x v="2"/>
    <x v="1"/>
    <x v="1"/>
    <n v="71573606.019999996"/>
    <x v="2"/>
    <x v="1"/>
    <x v="1"/>
    <x v="9"/>
    <x v="1"/>
    <x v="3"/>
    <x v="1"/>
    <x v="3"/>
    <x v="8"/>
    <n v="13"/>
    <x v="0"/>
  </r>
  <r>
    <d v="2024-08-13T00:00:00"/>
    <x v="2"/>
    <x v="1"/>
    <x v="0"/>
    <n v="86853447.739999995"/>
    <x v="2"/>
    <x v="1"/>
    <x v="0"/>
    <x v="8"/>
    <x v="1"/>
    <x v="3"/>
    <x v="1"/>
    <x v="3"/>
    <x v="8"/>
    <n v="13"/>
    <x v="0"/>
  </r>
  <r>
    <d v="2024-08-13T00:00:00"/>
    <x v="1"/>
    <x v="0"/>
    <x v="1"/>
    <n v="189922587.30000001"/>
    <x v="1"/>
    <x v="0"/>
    <x v="1"/>
    <x v="10"/>
    <x v="1"/>
    <x v="3"/>
    <x v="1"/>
    <x v="3"/>
    <x v="8"/>
    <n v="13"/>
    <x v="0"/>
  </r>
  <r>
    <d v="2024-08-13T00:00:00"/>
    <x v="1"/>
    <x v="0"/>
    <x v="0"/>
    <n v="90988802.189999998"/>
    <x v="1"/>
    <x v="0"/>
    <x v="0"/>
    <x v="11"/>
    <x v="1"/>
    <x v="3"/>
    <x v="1"/>
    <x v="3"/>
    <x v="8"/>
    <n v="13"/>
    <x v="0"/>
  </r>
  <r>
    <d v="2024-08-13T00:00:00"/>
    <x v="3"/>
    <x v="1"/>
    <x v="0"/>
    <n v="13221037.439999999"/>
    <x v="3"/>
    <x v="1"/>
    <x v="0"/>
    <x v="12"/>
    <x v="1"/>
    <x v="3"/>
    <x v="1"/>
    <x v="3"/>
    <x v="8"/>
    <n v="13"/>
    <x v="0"/>
  </r>
  <r>
    <d v="2024-08-13T00:00:00"/>
    <x v="3"/>
    <x v="2"/>
    <x v="1"/>
    <n v="3914277975.1199999"/>
    <x v="3"/>
    <x v="2"/>
    <x v="1"/>
    <x v="13"/>
    <x v="1"/>
    <x v="3"/>
    <x v="1"/>
    <x v="3"/>
    <x v="8"/>
    <n v="13"/>
    <x v="0"/>
  </r>
  <r>
    <d v="2024-08-13T00:00:00"/>
    <x v="3"/>
    <x v="2"/>
    <x v="0"/>
    <n v="767314132.78999996"/>
    <x v="3"/>
    <x v="2"/>
    <x v="0"/>
    <x v="14"/>
    <x v="1"/>
    <x v="3"/>
    <x v="1"/>
    <x v="3"/>
    <x v="8"/>
    <n v="13"/>
    <x v="0"/>
  </r>
  <r>
    <d v="2024-08-12T00:00:00"/>
    <x v="0"/>
    <x v="1"/>
    <x v="0"/>
    <n v="60719158.840000004"/>
    <x v="0"/>
    <x v="1"/>
    <x v="0"/>
    <x v="0"/>
    <x v="1"/>
    <x v="3"/>
    <x v="1"/>
    <x v="3"/>
    <x v="8"/>
    <n v="12"/>
    <x v="0"/>
  </r>
  <r>
    <d v="2024-08-12T00:00:00"/>
    <x v="2"/>
    <x v="1"/>
    <x v="2"/>
    <n v="41523.47"/>
    <x v="2"/>
    <x v="1"/>
    <x v="2"/>
    <x v="1"/>
    <x v="1"/>
    <x v="3"/>
    <x v="1"/>
    <x v="3"/>
    <x v="8"/>
    <n v="12"/>
    <x v="0"/>
  </r>
  <r>
    <d v="2024-08-12T00:00:00"/>
    <x v="2"/>
    <x v="1"/>
    <x v="0"/>
    <n v="82043902.540000007"/>
    <x v="2"/>
    <x v="1"/>
    <x v="0"/>
    <x v="5"/>
    <x v="1"/>
    <x v="3"/>
    <x v="1"/>
    <x v="3"/>
    <x v="8"/>
    <n v="12"/>
    <x v="0"/>
  </r>
  <r>
    <d v="2024-08-12T00:00:00"/>
    <x v="0"/>
    <x v="1"/>
    <x v="1"/>
    <n v="13936093.779999999"/>
    <x v="0"/>
    <x v="1"/>
    <x v="1"/>
    <x v="2"/>
    <x v="1"/>
    <x v="3"/>
    <x v="1"/>
    <x v="3"/>
    <x v="8"/>
    <n v="12"/>
    <x v="0"/>
  </r>
  <r>
    <d v="2024-08-12T00:00:00"/>
    <x v="1"/>
    <x v="1"/>
    <x v="0"/>
    <n v="45004.24"/>
    <x v="1"/>
    <x v="1"/>
    <x v="0"/>
    <x v="3"/>
    <x v="1"/>
    <x v="3"/>
    <x v="1"/>
    <x v="3"/>
    <x v="8"/>
    <n v="12"/>
    <x v="0"/>
  </r>
  <r>
    <d v="2024-08-12T00:00:00"/>
    <x v="3"/>
    <x v="3"/>
    <x v="0"/>
    <n v="2124202922.49"/>
    <x v="3"/>
    <x v="3"/>
    <x v="0"/>
    <x v="6"/>
    <x v="1"/>
    <x v="3"/>
    <x v="1"/>
    <x v="3"/>
    <x v="8"/>
    <n v="12"/>
    <x v="0"/>
  </r>
  <r>
    <d v="2024-08-12T00:00:00"/>
    <x v="3"/>
    <x v="2"/>
    <x v="2"/>
    <n v="89893.13"/>
    <x v="3"/>
    <x v="2"/>
    <x v="2"/>
    <x v="4"/>
    <x v="1"/>
    <x v="3"/>
    <x v="1"/>
    <x v="3"/>
    <x v="8"/>
    <n v="12"/>
    <x v="0"/>
  </r>
  <r>
    <d v="2024-08-12T00:00:00"/>
    <x v="2"/>
    <x v="1"/>
    <x v="1"/>
    <n v="408885786.38"/>
    <x v="2"/>
    <x v="1"/>
    <x v="1"/>
    <x v="7"/>
    <x v="1"/>
    <x v="3"/>
    <x v="1"/>
    <x v="3"/>
    <x v="8"/>
    <n v="12"/>
    <x v="0"/>
  </r>
  <r>
    <d v="2024-08-12T00:00:00"/>
    <x v="1"/>
    <x v="0"/>
    <x v="1"/>
    <n v="145072735.21000001"/>
    <x v="1"/>
    <x v="0"/>
    <x v="1"/>
    <x v="8"/>
    <x v="1"/>
    <x v="3"/>
    <x v="1"/>
    <x v="3"/>
    <x v="8"/>
    <n v="12"/>
    <x v="0"/>
  </r>
  <r>
    <d v="2024-08-12T00:00:00"/>
    <x v="1"/>
    <x v="0"/>
    <x v="0"/>
    <n v="56871526.259999998"/>
    <x v="1"/>
    <x v="0"/>
    <x v="0"/>
    <x v="9"/>
    <x v="1"/>
    <x v="3"/>
    <x v="1"/>
    <x v="3"/>
    <x v="8"/>
    <n v="12"/>
    <x v="0"/>
  </r>
  <r>
    <d v="2024-08-12T00:00:00"/>
    <x v="3"/>
    <x v="2"/>
    <x v="1"/>
    <n v="22689642814.23"/>
    <x v="3"/>
    <x v="2"/>
    <x v="1"/>
    <x v="10"/>
    <x v="1"/>
    <x v="3"/>
    <x v="1"/>
    <x v="3"/>
    <x v="8"/>
    <n v="12"/>
    <x v="0"/>
  </r>
  <r>
    <d v="2024-08-12T00:00:00"/>
    <x v="3"/>
    <x v="2"/>
    <x v="0"/>
    <n v="618959493"/>
    <x v="3"/>
    <x v="2"/>
    <x v="0"/>
    <x v="11"/>
    <x v="1"/>
    <x v="3"/>
    <x v="1"/>
    <x v="3"/>
    <x v="8"/>
    <n v="12"/>
    <x v="0"/>
  </r>
  <r>
    <d v="2024-08-12T00:00:00"/>
    <x v="3"/>
    <x v="1"/>
    <x v="0"/>
    <n v="49003511.670000002"/>
    <x v="3"/>
    <x v="1"/>
    <x v="0"/>
    <x v="12"/>
    <x v="1"/>
    <x v="3"/>
    <x v="1"/>
    <x v="3"/>
    <x v="8"/>
    <n v="12"/>
    <x v="0"/>
  </r>
  <r>
    <d v="2024-08-09T00:00:00"/>
    <x v="0"/>
    <x v="1"/>
    <x v="0"/>
    <n v="8247931.4000000004"/>
    <x v="0"/>
    <x v="1"/>
    <x v="0"/>
    <x v="1"/>
    <x v="1"/>
    <x v="3"/>
    <x v="1"/>
    <x v="3"/>
    <x v="8"/>
    <n v="9"/>
    <x v="0"/>
  </r>
  <r>
    <d v="2024-08-09T00:00:00"/>
    <x v="0"/>
    <x v="0"/>
    <x v="0"/>
    <n v="35"/>
    <x v="0"/>
    <x v="0"/>
    <x v="0"/>
    <x v="0"/>
    <x v="1"/>
    <x v="3"/>
    <x v="1"/>
    <x v="3"/>
    <x v="8"/>
    <n v="9"/>
    <x v="0"/>
  </r>
  <r>
    <d v="2024-08-09T00:00:00"/>
    <x v="3"/>
    <x v="2"/>
    <x v="2"/>
    <n v="134748"/>
    <x v="3"/>
    <x v="2"/>
    <x v="2"/>
    <x v="5"/>
    <x v="1"/>
    <x v="3"/>
    <x v="1"/>
    <x v="3"/>
    <x v="8"/>
    <n v="9"/>
    <x v="0"/>
  </r>
  <r>
    <d v="2024-08-09T00:00:00"/>
    <x v="2"/>
    <x v="1"/>
    <x v="2"/>
    <n v="9776.5"/>
    <x v="2"/>
    <x v="1"/>
    <x v="2"/>
    <x v="2"/>
    <x v="1"/>
    <x v="3"/>
    <x v="1"/>
    <x v="3"/>
    <x v="8"/>
    <n v="9"/>
    <x v="0"/>
  </r>
  <r>
    <d v="2024-08-09T00:00:00"/>
    <x v="2"/>
    <x v="1"/>
    <x v="0"/>
    <n v="123621661.47"/>
    <x v="2"/>
    <x v="1"/>
    <x v="0"/>
    <x v="6"/>
    <x v="1"/>
    <x v="3"/>
    <x v="1"/>
    <x v="3"/>
    <x v="8"/>
    <n v="9"/>
    <x v="0"/>
  </r>
  <r>
    <d v="2024-08-09T00:00:00"/>
    <x v="0"/>
    <x v="1"/>
    <x v="1"/>
    <n v="1180146.1100000001"/>
    <x v="0"/>
    <x v="1"/>
    <x v="1"/>
    <x v="3"/>
    <x v="1"/>
    <x v="3"/>
    <x v="1"/>
    <x v="3"/>
    <x v="8"/>
    <n v="9"/>
    <x v="0"/>
  </r>
  <r>
    <d v="2024-08-09T00:00:00"/>
    <x v="3"/>
    <x v="3"/>
    <x v="0"/>
    <n v="1146575119.6500001"/>
    <x v="3"/>
    <x v="3"/>
    <x v="0"/>
    <x v="7"/>
    <x v="1"/>
    <x v="3"/>
    <x v="1"/>
    <x v="3"/>
    <x v="8"/>
    <n v="9"/>
    <x v="0"/>
  </r>
  <r>
    <d v="2024-08-09T00:00:00"/>
    <x v="1"/>
    <x v="1"/>
    <x v="0"/>
    <n v="121788.21"/>
    <x v="1"/>
    <x v="1"/>
    <x v="0"/>
    <x v="4"/>
    <x v="1"/>
    <x v="3"/>
    <x v="1"/>
    <x v="3"/>
    <x v="8"/>
    <n v="9"/>
    <x v="0"/>
  </r>
  <r>
    <d v="2024-08-09T00:00:00"/>
    <x v="2"/>
    <x v="1"/>
    <x v="1"/>
    <n v="109921988.70999999"/>
    <x v="2"/>
    <x v="1"/>
    <x v="1"/>
    <x v="8"/>
    <x v="1"/>
    <x v="3"/>
    <x v="1"/>
    <x v="3"/>
    <x v="8"/>
    <n v="9"/>
    <x v="0"/>
  </r>
  <r>
    <d v="2024-08-09T00:00:00"/>
    <x v="1"/>
    <x v="0"/>
    <x v="0"/>
    <n v="46059918.210000001"/>
    <x v="1"/>
    <x v="0"/>
    <x v="0"/>
    <x v="9"/>
    <x v="1"/>
    <x v="3"/>
    <x v="1"/>
    <x v="3"/>
    <x v="8"/>
    <n v="9"/>
    <x v="0"/>
  </r>
  <r>
    <d v="2024-08-09T00:00:00"/>
    <x v="1"/>
    <x v="0"/>
    <x v="1"/>
    <n v="70415845.489999995"/>
    <x v="1"/>
    <x v="0"/>
    <x v="1"/>
    <x v="10"/>
    <x v="1"/>
    <x v="3"/>
    <x v="1"/>
    <x v="3"/>
    <x v="8"/>
    <n v="9"/>
    <x v="0"/>
  </r>
  <r>
    <d v="2024-08-09T00:00:00"/>
    <x v="3"/>
    <x v="2"/>
    <x v="1"/>
    <n v="8300372024.0799999"/>
    <x v="3"/>
    <x v="2"/>
    <x v="1"/>
    <x v="11"/>
    <x v="1"/>
    <x v="3"/>
    <x v="1"/>
    <x v="3"/>
    <x v="8"/>
    <n v="9"/>
    <x v="0"/>
  </r>
  <r>
    <d v="2024-08-09T00:00:00"/>
    <x v="3"/>
    <x v="2"/>
    <x v="0"/>
    <n v="537136949.86000001"/>
    <x v="3"/>
    <x v="2"/>
    <x v="0"/>
    <x v="12"/>
    <x v="1"/>
    <x v="3"/>
    <x v="1"/>
    <x v="3"/>
    <x v="8"/>
    <n v="9"/>
    <x v="0"/>
  </r>
  <r>
    <d v="2024-08-09T00:00:00"/>
    <x v="3"/>
    <x v="1"/>
    <x v="0"/>
    <n v="15010749.26"/>
    <x v="3"/>
    <x v="1"/>
    <x v="0"/>
    <x v="13"/>
    <x v="1"/>
    <x v="3"/>
    <x v="1"/>
    <x v="3"/>
    <x v="8"/>
    <n v="9"/>
    <x v="0"/>
  </r>
  <r>
    <d v="2024-08-08T00:00:00"/>
    <x v="0"/>
    <x v="0"/>
    <x v="0"/>
    <n v="185.1"/>
    <x v="0"/>
    <x v="0"/>
    <x v="0"/>
    <x v="0"/>
    <x v="1"/>
    <x v="3"/>
    <x v="1"/>
    <x v="3"/>
    <x v="8"/>
    <n v="8"/>
    <x v="0"/>
  </r>
  <r>
    <d v="2024-08-08T00:00:00"/>
    <x v="1"/>
    <x v="1"/>
    <x v="0"/>
    <n v="291696.82"/>
    <x v="1"/>
    <x v="1"/>
    <x v="0"/>
    <x v="1"/>
    <x v="1"/>
    <x v="3"/>
    <x v="1"/>
    <x v="3"/>
    <x v="8"/>
    <n v="8"/>
    <x v="0"/>
  </r>
  <r>
    <d v="2024-08-08T00:00:00"/>
    <x v="0"/>
    <x v="1"/>
    <x v="0"/>
    <n v="57328294.729999997"/>
    <x v="0"/>
    <x v="1"/>
    <x v="0"/>
    <x v="2"/>
    <x v="1"/>
    <x v="3"/>
    <x v="1"/>
    <x v="3"/>
    <x v="8"/>
    <n v="8"/>
    <x v="0"/>
  </r>
  <r>
    <d v="2024-08-08T00:00:00"/>
    <x v="3"/>
    <x v="3"/>
    <x v="1"/>
    <n v="1446690.54"/>
    <x v="3"/>
    <x v="3"/>
    <x v="1"/>
    <x v="3"/>
    <x v="1"/>
    <x v="3"/>
    <x v="1"/>
    <x v="3"/>
    <x v="8"/>
    <n v="8"/>
    <x v="0"/>
  </r>
  <r>
    <d v="2024-08-08T00:00:00"/>
    <x v="0"/>
    <x v="1"/>
    <x v="1"/>
    <n v="10812046.800000001"/>
    <x v="0"/>
    <x v="1"/>
    <x v="1"/>
    <x v="4"/>
    <x v="1"/>
    <x v="3"/>
    <x v="1"/>
    <x v="3"/>
    <x v="8"/>
    <n v="8"/>
    <x v="0"/>
  </r>
  <r>
    <d v="2024-08-08T00:00:00"/>
    <x v="2"/>
    <x v="1"/>
    <x v="0"/>
    <n v="94096074.859999999"/>
    <x v="2"/>
    <x v="1"/>
    <x v="0"/>
    <x v="7"/>
    <x v="1"/>
    <x v="3"/>
    <x v="1"/>
    <x v="3"/>
    <x v="8"/>
    <n v="8"/>
    <x v="0"/>
  </r>
  <r>
    <d v="2024-08-08T00:00:00"/>
    <x v="2"/>
    <x v="1"/>
    <x v="2"/>
    <n v="14796.96"/>
    <x v="2"/>
    <x v="1"/>
    <x v="2"/>
    <x v="5"/>
    <x v="1"/>
    <x v="3"/>
    <x v="1"/>
    <x v="3"/>
    <x v="8"/>
    <n v="8"/>
    <x v="0"/>
  </r>
  <r>
    <d v="2024-08-08T00:00:00"/>
    <x v="3"/>
    <x v="3"/>
    <x v="0"/>
    <n v="879602171.27999997"/>
    <x v="3"/>
    <x v="3"/>
    <x v="0"/>
    <x v="8"/>
    <x v="1"/>
    <x v="3"/>
    <x v="1"/>
    <x v="3"/>
    <x v="8"/>
    <n v="8"/>
    <x v="0"/>
  </r>
  <r>
    <d v="2024-08-08T00:00:00"/>
    <x v="1"/>
    <x v="0"/>
    <x v="0"/>
    <n v="75112671.760000005"/>
    <x v="1"/>
    <x v="0"/>
    <x v="0"/>
    <x v="10"/>
    <x v="1"/>
    <x v="3"/>
    <x v="1"/>
    <x v="3"/>
    <x v="8"/>
    <n v="8"/>
    <x v="0"/>
  </r>
  <r>
    <d v="2024-08-08T00:00:00"/>
    <x v="3"/>
    <x v="2"/>
    <x v="2"/>
    <n v="145727"/>
    <x v="3"/>
    <x v="2"/>
    <x v="2"/>
    <x v="6"/>
    <x v="1"/>
    <x v="3"/>
    <x v="1"/>
    <x v="3"/>
    <x v="8"/>
    <n v="8"/>
    <x v="0"/>
  </r>
  <r>
    <d v="2024-08-08T00:00:00"/>
    <x v="2"/>
    <x v="1"/>
    <x v="1"/>
    <n v="151510421.28999999"/>
    <x v="2"/>
    <x v="1"/>
    <x v="1"/>
    <x v="9"/>
    <x v="1"/>
    <x v="3"/>
    <x v="1"/>
    <x v="3"/>
    <x v="8"/>
    <n v="8"/>
    <x v="0"/>
  </r>
  <r>
    <d v="2024-08-08T00:00:00"/>
    <x v="1"/>
    <x v="0"/>
    <x v="1"/>
    <n v="147764279.69999999"/>
    <x v="1"/>
    <x v="0"/>
    <x v="1"/>
    <x v="11"/>
    <x v="1"/>
    <x v="3"/>
    <x v="1"/>
    <x v="3"/>
    <x v="8"/>
    <n v="8"/>
    <x v="0"/>
  </r>
  <r>
    <d v="2024-08-08T00:00:00"/>
    <x v="3"/>
    <x v="2"/>
    <x v="1"/>
    <n v="4231170132.2800002"/>
    <x v="3"/>
    <x v="2"/>
    <x v="1"/>
    <x v="12"/>
    <x v="1"/>
    <x v="3"/>
    <x v="1"/>
    <x v="3"/>
    <x v="8"/>
    <n v="8"/>
    <x v="0"/>
  </r>
  <r>
    <d v="2024-08-08T00:00:00"/>
    <x v="3"/>
    <x v="2"/>
    <x v="0"/>
    <n v="719191200.17999995"/>
    <x v="3"/>
    <x v="2"/>
    <x v="0"/>
    <x v="13"/>
    <x v="1"/>
    <x v="3"/>
    <x v="1"/>
    <x v="3"/>
    <x v="8"/>
    <n v="8"/>
    <x v="0"/>
  </r>
  <r>
    <d v="2024-08-08T00:00:00"/>
    <x v="3"/>
    <x v="1"/>
    <x v="0"/>
    <n v="15572794.119999999"/>
    <x v="3"/>
    <x v="1"/>
    <x v="0"/>
    <x v="14"/>
    <x v="1"/>
    <x v="3"/>
    <x v="1"/>
    <x v="3"/>
    <x v="8"/>
    <n v="8"/>
    <x v="0"/>
  </r>
  <r>
    <d v="2024-08-07T00:00:00"/>
    <x v="3"/>
    <x v="2"/>
    <x v="2"/>
    <n v="72032.759999999995"/>
    <x v="3"/>
    <x v="2"/>
    <x v="2"/>
    <x v="4"/>
    <x v="1"/>
    <x v="3"/>
    <x v="1"/>
    <x v="3"/>
    <x v="8"/>
    <n v="7"/>
    <x v="0"/>
  </r>
  <r>
    <d v="2024-08-07T00:00:00"/>
    <x v="1"/>
    <x v="1"/>
    <x v="0"/>
    <n v="732268.63"/>
    <x v="1"/>
    <x v="1"/>
    <x v="0"/>
    <x v="0"/>
    <x v="1"/>
    <x v="3"/>
    <x v="1"/>
    <x v="3"/>
    <x v="8"/>
    <n v="7"/>
    <x v="0"/>
  </r>
  <r>
    <d v="2024-08-07T00:00:00"/>
    <x v="0"/>
    <x v="1"/>
    <x v="0"/>
    <n v="12037478.060000001"/>
    <x v="0"/>
    <x v="1"/>
    <x v="0"/>
    <x v="1"/>
    <x v="1"/>
    <x v="3"/>
    <x v="1"/>
    <x v="3"/>
    <x v="8"/>
    <n v="7"/>
    <x v="0"/>
  </r>
  <r>
    <d v="2024-08-07T00:00:00"/>
    <x v="2"/>
    <x v="1"/>
    <x v="2"/>
    <n v="13035.26"/>
    <x v="2"/>
    <x v="1"/>
    <x v="2"/>
    <x v="2"/>
    <x v="1"/>
    <x v="3"/>
    <x v="1"/>
    <x v="3"/>
    <x v="8"/>
    <n v="7"/>
    <x v="0"/>
  </r>
  <r>
    <d v="2024-08-07T00:00:00"/>
    <x v="0"/>
    <x v="1"/>
    <x v="1"/>
    <n v="2688071.67"/>
    <x v="0"/>
    <x v="1"/>
    <x v="1"/>
    <x v="3"/>
    <x v="1"/>
    <x v="3"/>
    <x v="1"/>
    <x v="3"/>
    <x v="8"/>
    <n v="7"/>
    <x v="0"/>
  </r>
  <r>
    <d v="2024-08-07T00:00:00"/>
    <x v="2"/>
    <x v="1"/>
    <x v="0"/>
    <n v="77886274.980000004"/>
    <x v="2"/>
    <x v="1"/>
    <x v="0"/>
    <x v="5"/>
    <x v="1"/>
    <x v="3"/>
    <x v="1"/>
    <x v="3"/>
    <x v="8"/>
    <n v="7"/>
    <x v="0"/>
  </r>
  <r>
    <d v="2024-08-07T00:00:00"/>
    <x v="3"/>
    <x v="3"/>
    <x v="0"/>
    <n v="1502398124.1199999"/>
    <x v="3"/>
    <x v="3"/>
    <x v="0"/>
    <x v="6"/>
    <x v="1"/>
    <x v="3"/>
    <x v="1"/>
    <x v="3"/>
    <x v="8"/>
    <n v="7"/>
    <x v="0"/>
  </r>
  <r>
    <d v="2024-08-07T00:00:00"/>
    <x v="2"/>
    <x v="1"/>
    <x v="1"/>
    <n v="104832850.44"/>
    <x v="2"/>
    <x v="1"/>
    <x v="1"/>
    <x v="7"/>
    <x v="1"/>
    <x v="3"/>
    <x v="1"/>
    <x v="3"/>
    <x v="8"/>
    <n v="7"/>
    <x v="0"/>
  </r>
  <r>
    <d v="2024-08-07T00:00:00"/>
    <x v="1"/>
    <x v="0"/>
    <x v="1"/>
    <n v="588904817.91999996"/>
    <x v="1"/>
    <x v="0"/>
    <x v="1"/>
    <x v="8"/>
    <x v="1"/>
    <x v="3"/>
    <x v="1"/>
    <x v="3"/>
    <x v="8"/>
    <n v="7"/>
    <x v="0"/>
  </r>
  <r>
    <d v="2024-08-07T00:00:00"/>
    <x v="1"/>
    <x v="0"/>
    <x v="0"/>
    <n v="92445452.900000006"/>
    <x v="1"/>
    <x v="0"/>
    <x v="0"/>
    <x v="9"/>
    <x v="1"/>
    <x v="3"/>
    <x v="1"/>
    <x v="3"/>
    <x v="8"/>
    <n v="7"/>
    <x v="0"/>
  </r>
  <r>
    <d v="2024-08-07T00:00:00"/>
    <x v="3"/>
    <x v="2"/>
    <x v="1"/>
    <n v="13602512157.41"/>
    <x v="3"/>
    <x v="2"/>
    <x v="1"/>
    <x v="10"/>
    <x v="1"/>
    <x v="3"/>
    <x v="1"/>
    <x v="3"/>
    <x v="8"/>
    <n v="7"/>
    <x v="0"/>
  </r>
  <r>
    <d v="2024-08-07T00:00:00"/>
    <x v="3"/>
    <x v="1"/>
    <x v="0"/>
    <n v="15333800.85"/>
    <x v="3"/>
    <x v="1"/>
    <x v="0"/>
    <x v="11"/>
    <x v="1"/>
    <x v="3"/>
    <x v="1"/>
    <x v="3"/>
    <x v="8"/>
    <n v="7"/>
    <x v="0"/>
  </r>
  <r>
    <d v="2024-08-07T00:00:00"/>
    <x v="3"/>
    <x v="2"/>
    <x v="0"/>
    <n v="792863184.47000003"/>
    <x v="3"/>
    <x v="2"/>
    <x v="0"/>
    <x v="12"/>
    <x v="1"/>
    <x v="3"/>
    <x v="1"/>
    <x v="3"/>
    <x v="8"/>
    <n v="7"/>
    <x v="0"/>
  </r>
  <r>
    <d v="2024-08-06T00:00:00"/>
    <x v="0"/>
    <x v="0"/>
    <x v="0"/>
    <n v="2540.44"/>
    <x v="0"/>
    <x v="0"/>
    <x v="0"/>
    <x v="0"/>
    <x v="1"/>
    <x v="3"/>
    <x v="1"/>
    <x v="3"/>
    <x v="8"/>
    <n v="6"/>
    <x v="0"/>
  </r>
  <r>
    <d v="2024-08-06T00:00:00"/>
    <x v="1"/>
    <x v="1"/>
    <x v="0"/>
    <n v="270799.83"/>
    <x v="1"/>
    <x v="1"/>
    <x v="0"/>
    <x v="1"/>
    <x v="1"/>
    <x v="3"/>
    <x v="1"/>
    <x v="3"/>
    <x v="8"/>
    <n v="6"/>
    <x v="0"/>
  </r>
  <r>
    <d v="2024-08-06T00:00:00"/>
    <x v="0"/>
    <x v="1"/>
    <x v="0"/>
    <n v="38789285.549999997"/>
    <x v="0"/>
    <x v="1"/>
    <x v="0"/>
    <x v="2"/>
    <x v="1"/>
    <x v="3"/>
    <x v="1"/>
    <x v="3"/>
    <x v="8"/>
    <n v="6"/>
    <x v="0"/>
  </r>
  <r>
    <d v="2024-08-06T00:00:00"/>
    <x v="3"/>
    <x v="2"/>
    <x v="2"/>
    <n v="146149.96"/>
    <x v="3"/>
    <x v="2"/>
    <x v="2"/>
    <x v="6"/>
    <x v="1"/>
    <x v="3"/>
    <x v="1"/>
    <x v="3"/>
    <x v="8"/>
    <n v="6"/>
    <x v="0"/>
  </r>
  <r>
    <d v="2024-08-06T00:00:00"/>
    <x v="3"/>
    <x v="3"/>
    <x v="2"/>
    <n v="155163.95000000001"/>
    <x v="3"/>
    <x v="3"/>
    <x v="2"/>
    <x v="3"/>
    <x v="1"/>
    <x v="3"/>
    <x v="1"/>
    <x v="3"/>
    <x v="8"/>
    <n v="6"/>
    <x v="0"/>
  </r>
  <r>
    <d v="2024-08-06T00:00:00"/>
    <x v="2"/>
    <x v="1"/>
    <x v="2"/>
    <n v="50762.77"/>
    <x v="2"/>
    <x v="1"/>
    <x v="2"/>
    <x v="4"/>
    <x v="1"/>
    <x v="3"/>
    <x v="1"/>
    <x v="3"/>
    <x v="8"/>
    <n v="6"/>
    <x v="0"/>
  </r>
  <r>
    <d v="2024-08-06T00:00:00"/>
    <x v="0"/>
    <x v="1"/>
    <x v="1"/>
    <n v="24329524.559999999"/>
    <x v="0"/>
    <x v="1"/>
    <x v="1"/>
    <x v="5"/>
    <x v="1"/>
    <x v="3"/>
    <x v="1"/>
    <x v="3"/>
    <x v="8"/>
    <n v="6"/>
    <x v="0"/>
  </r>
  <r>
    <d v="2024-08-06T00:00:00"/>
    <x v="2"/>
    <x v="1"/>
    <x v="0"/>
    <n v="74840278.120000005"/>
    <x v="2"/>
    <x v="1"/>
    <x v="0"/>
    <x v="7"/>
    <x v="1"/>
    <x v="3"/>
    <x v="1"/>
    <x v="3"/>
    <x v="8"/>
    <n v="6"/>
    <x v="0"/>
  </r>
  <r>
    <d v="2024-08-06T00:00:00"/>
    <x v="3"/>
    <x v="3"/>
    <x v="0"/>
    <n v="3301239125.0799999"/>
    <x v="3"/>
    <x v="3"/>
    <x v="0"/>
    <x v="8"/>
    <x v="1"/>
    <x v="3"/>
    <x v="1"/>
    <x v="3"/>
    <x v="8"/>
    <n v="6"/>
    <x v="0"/>
  </r>
  <r>
    <d v="2024-08-06T00:00:00"/>
    <x v="2"/>
    <x v="1"/>
    <x v="1"/>
    <n v="122623535.64"/>
    <x v="2"/>
    <x v="1"/>
    <x v="1"/>
    <x v="9"/>
    <x v="1"/>
    <x v="3"/>
    <x v="1"/>
    <x v="3"/>
    <x v="8"/>
    <n v="6"/>
    <x v="0"/>
  </r>
  <r>
    <d v="2024-08-06T00:00:00"/>
    <x v="1"/>
    <x v="0"/>
    <x v="1"/>
    <n v="216239753.78999999"/>
    <x v="1"/>
    <x v="0"/>
    <x v="1"/>
    <x v="10"/>
    <x v="1"/>
    <x v="3"/>
    <x v="1"/>
    <x v="3"/>
    <x v="8"/>
    <n v="6"/>
    <x v="0"/>
  </r>
  <r>
    <d v="2024-08-06T00:00:00"/>
    <x v="1"/>
    <x v="0"/>
    <x v="0"/>
    <n v="83603274.5"/>
    <x v="1"/>
    <x v="0"/>
    <x v="0"/>
    <x v="11"/>
    <x v="1"/>
    <x v="3"/>
    <x v="1"/>
    <x v="3"/>
    <x v="8"/>
    <n v="6"/>
    <x v="0"/>
  </r>
  <r>
    <d v="2024-08-06T00:00:00"/>
    <x v="3"/>
    <x v="2"/>
    <x v="1"/>
    <n v="4035089543.7800002"/>
    <x v="3"/>
    <x v="2"/>
    <x v="1"/>
    <x v="12"/>
    <x v="1"/>
    <x v="3"/>
    <x v="1"/>
    <x v="3"/>
    <x v="8"/>
    <n v="6"/>
    <x v="0"/>
  </r>
  <r>
    <d v="2024-08-06T00:00:00"/>
    <x v="3"/>
    <x v="1"/>
    <x v="0"/>
    <n v="14401413.199999999"/>
    <x v="3"/>
    <x v="1"/>
    <x v="0"/>
    <x v="13"/>
    <x v="1"/>
    <x v="3"/>
    <x v="1"/>
    <x v="3"/>
    <x v="8"/>
    <n v="6"/>
    <x v="0"/>
  </r>
  <r>
    <d v="2024-08-06T00:00:00"/>
    <x v="3"/>
    <x v="2"/>
    <x v="0"/>
    <n v="924843410.49000001"/>
    <x v="3"/>
    <x v="2"/>
    <x v="0"/>
    <x v="14"/>
    <x v="1"/>
    <x v="3"/>
    <x v="1"/>
    <x v="3"/>
    <x v="8"/>
    <n v="6"/>
    <x v="0"/>
  </r>
  <r>
    <d v="2024-08-05T00:00:00"/>
    <x v="1"/>
    <x v="1"/>
    <x v="0"/>
    <n v="537055.28"/>
    <x v="1"/>
    <x v="1"/>
    <x v="0"/>
    <x v="0"/>
    <x v="1"/>
    <x v="3"/>
    <x v="1"/>
    <x v="3"/>
    <x v="8"/>
    <n v="5"/>
    <x v="0"/>
  </r>
  <r>
    <d v="2024-08-05T00:00:00"/>
    <x v="0"/>
    <x v="1"/>
    <x v="0"/>
    <n v="12112609.5"/>
    <x v="0"/>
    <x v="1"/>
    <x v="0"/>
    <x v="1"/>
    <x v="1"/>
    <x v="3"/>
    <x v="1"/>
    <x v="3"/>
    <x v="8"/>
    <n v="5"/>
    <x v="0"/>
  </r>
  <r>
    <d v="2024-08-05T00:00:00"/>
    <x v="3"/>
    <x v="3"/>
    <x v="2"/>
    <n v="1375.51"/>
    <x v="3"/>
    <x v="3"/>
    <x v="2"/>
    <x v="2"/>
    <x v="1"/>
    <x v="3"/>
    <x v="1"/>
    <x v="3"/>
    <x v="8"/>
    <n v="5"/>
    <x v="0"/>
  </r>
  <r>
    <d v="2024-08-05T00:00:00"/>
    <x v="2"/>
    <x v="1"/>
    <x v="2"/>
    <n v="3052.06"/>
    <x v="2"/>
    <x v="1"/>
    <x v="2"/>
    <x v="3"/>
    <x v="1"/>
    <x v="3"/>
    <x v="1"/>
    <x v="3"/>
    <x v="8"/>
    <n v="5"/>
    <x v="0"/>
  </r>
  <r>
    <d v="2024-08-05T00:00:00"/>
    <x v="3"/>
    <x v="3"/>
    <x v="0"/>
    <n v="2881534407.4200001"/>
    <x v="3"/>
    <x v="3"/>
    <x v="0"/>
    <x v="6"/>
    <x v="1"/>
    <x v="3"/>
    <x v="1"/>
    <x v="3"/>
    <x v="8"/>
    <n v="5"/>
    <x v="0"/>
  </r>
  <r>
    <d v="2024-08-05T00:00:00"/>
    <x v="0"/>
    <x v="1"/>
    <x v="1"/>
    <n v="4655077.71"/>
    <x v="0"/>
    <x v="1"/>
    <x v="1"/>
    <x v="4"/>
    <x v="1"/>
    <x v="3"/>
    <x v="1"/>
    <x v="3"/>
    <x v="8"/>
    <n v="5"/>
    <x v="0"/>
  </r>
  <r>
    <d v="2024-08-05T00:00:00"/>
    <x v="1"/>
    <x v="0"/>
    <x v="1"/>
    <n v="161258231.49000001"/>
    <x v="1"/>
    <x v="0"/>
    <x v="1"/>
    <x v="9"/>
    <x v="1"/>
    <x v="3"/>
    <x v="1"/>
    <x v="3"/>
    <x v="8"/>
    <n v="5"/>
    <x v="0"/>
  </r>
  <r>
    <d v="2024-08-05T00:00:00"/>
    <x v="1"/>
    <x v="0"/>
    <x v="0"/>
    <n v="68329106.829999998"/>
    <x v="1"/>
    <x v="0"/>
    <x v="0"/>
    <x v="10"/>
    <x v="1"/>
    <x v="3"/>
    <x v="1"/>
    <x v="3"/>
    <x v="8"/>
    <n v="5"/>
    <x v="0"/>
  </r>
  <r>
    <d v="2024-08-05T00:00:00"/>
    <x v="3"/>
    <x v="2"/>
    <x v="2"/>
    <n v="101419.28"/>
    <x v="3"/>
    <x v="2"/>
    <x v="2"/>
    <x v="5"/>
    <x v="1"/>
    <x v="3"/>
    <x v="1"/>
    <x v="3"/>
    <x v="8"/>
    <n v="5"/>
    <x v="0"/>
  </r>
  <r>
    <d v="2024-08-05T00:00:00"/>
    <x v="2"/>
    <x v="1"/>
    <x v="0"/>
    <n v="183754698.84999999"/>
    <x v="2"/>
    <x v="1"/>
    <x v="0"/>
    <x v="7"/>
    <x v="1"/>
    <x v="3"/>
    <x v="1"/>
    <x v="3"/>
    <x v="8"/>
    <n v="5"/>
    <x v="0"/>
  </r>
  <r>
    <d v="2024-08-05T00:00:00"/>
    <x v="2"/>
    <x v="1"/>
    <x v="1"/>
    <n v="128758488.06999999"/>
    <x v="2"/>
    <x v="1"/>
    <x v="1"/>
    <x v="8"/>
    <x v="1"/>
    <x v="3"/>
    <x v="1"/>
    <x v="3"/>
    <x v="8"/>
    <n v="5"/>
    <x v="0"/>
  </r>
  <r>
    <d v="2024-08-05T00:00:00"/>
    <x v="3"/>
    <x v="2"/>
    <x v="0"/>
    <n v="736308958.02999997"/>
    <x v="3"/>
    <x v="2"/>
    <x v="0"/>
    <x v="11"/>
    <x v="1"/>
    <x v="3"/>
    <x v="1"/>
    <x v="3"/>
    <x v="8"/>
    <n v="5"/>
    <x v="0"/>
  </r>
  <r>
    <d v="2024-08-05T00:00:00"/>
    <x v="3"/>
    <x v="2"/>
    <x v="1"/>
    <n v="23621704393.209999"/>
    <x v="3"/>
    <x v="2"/>
    <x v="1"/>
    <x v="12"/>
    <x v="1"/>
    <x v="3"/>
    <x v="1"/>
    <x v="3"/>
    <x v="8"/>
    <n v="5"/>
    <x v="0"/>
  </r>
  <r>
    <d v="2024-08-05T00:00:00"/>
    <x v="3"/>
    <x v="1"/>
    <x v="0"/>
    <n v="52332953.469999999"/>
    <x v="3"/>
    <x v="1"/>
    <x v="0"/>
    <x v="13"/>
    <x v="1"/>
    <x v="3"/>
    <x v="1"/>
    <x v="3"/>
    <x v="8"/>
    <n v="5"/>
    <x v="0"/>
  </r>
  <r>
    <d v="2024-08-02T00:00:00"/>
    <x v="0"/>
    <x v="0"/>
    <x v="0"/>
    <n v="238.95"/>
    <x v="0"/>
    <x v="0"/>
    <x v="0"/>
    <x v="0"/>
    <x v="1"/>
    <x v="3"/>
    <x v="1"/>
    <x v="3"/>
    <x v="8"/>
    <n v="2"/>
    <x v="0"/>
  </r>
  <r>
    <d v="2024-08-02T00:00:00"/>
    <x v="1"/>
    <x v="1"/>
    <x v="0"/>
    <n v="162487.47"/>
    <x v="1"/>
    <x v="1"/>
    <x v="0"/>
    <x v="1"/>
    <x v="1"/>
    <x v="3"/>
    <x v="1"/>
    <x v="3"/>
    <x v="8"/>
    <n v="2"/>
    <x v="0"/>
  </r>
  <r>
    <d v="2024-08-02T00:00:00"/>
    <x v="0"/>
    <x v="1"/>
    <x v="0"/>
    <n v="13248814.24"/>
    <x v="0"/>
    <x v="1"/>
    <x v="0"/>
    <x v="2"/>
    <x v="1"/>
    <x v="3"/>
    <x v="1"/>
    <x v="3"/>
    <x v="8"/>
    <n v="2"/>
    <x v="0"/>
  </r>
  <r>
    <d v="2024-08-02T00:00:00"/>
    <x v="3"/>
    <x v="2"/>
    <x v="2"/>
    <n v="270560"/>
    <x v="3"/>
    <x v="2"/>
    <x v="2"/>
    <x v="7"/>
    <x v="1"/>
    <x v="3"/>
    <x v="1"/>
    <x v="3"/>
    <x v="8"/>
    <n v="2"/>
    <x v="0"/>
  </r>
  <r>
    <d v="2024-08-02T00:00:00"/>
    <x v="3"/>
    <x v="3"/>
    <x v="2"/>
    <n v="25.84"/>
    <x v="3"/>
    <x v="3"/>
    <x v="2"/>
    <x v="3"/>
    <x v="1"/>
    <x v="3"/>
    <x v="1"/>
    <x v="3"/>
    <x v="8"/>
    <n v="2"/>
    <x v="0"/>
  </r>
  <r>
    <d v="2024-08-02T00:00:00"/>
    <x v="3"/>
    <x v="3"/>
    <x v="1"/>
    <n v="4325711.0599999996"/>
    <x v="3"/>
    <x v="3"/>
    <x v="1"/>
    <x v="4"/>
    <x v="1"/>
    <x v="3"/>
    <x v="1"/>
    <x v="3"/>
    <x v="8"/>
    <n v="2"/>
    <x v="0"/>
  </r>
  <r>
    <d v="2024-08-02T00:00:00"/>
    <x v="0"/>
    <x v="1"/>
    <x v="1"/>
    <n v="6591493.9699999997"/>
    <x v="0"/>
    <x v="1"/>
    <x v="1"/>
    <x v="5"/>
    <x v="1"/>
    <x v="3"/>
    <x v="1"/>
    <x v="3"/>
    <x v="8"/>
    <n v="2"/>
    <x v="0"/>
  </r>
  <r>
    <d v="2024-08-02T00:00:00"/>
    <x v="2"/>
    <x v="1"/>
    <x v="0"/>
    <n v="90383278.189999998"/>
    <x v="2"/>
    <x v="1"/>
    <x v="0"/>
    <x v="8"/>
    <x v="1"/>
    <x v="3"/>
    <x v="1"/>
    <x v="3"/>
    <x v="8"/>
    <n v="2"/>
    <x v="0"/>
  </r>
  <r>
    <d v="2024-08-02T00:00:00"/>
    <x v="2"/>
    <x v="1"/>
    <x v="2"/>
    <n v="4539.2"/>
    <x v="2"/>
    <x v="1"/>
    <x v="2"/>
    <x v="6"/>
    <x v="1"/>
    <x v="3"/>
    <x v="1"/>
    <x v="3"/>
    <x v="8"/>
    <n v="2"/>
    <x v="0"/>
  </r>
  <r>
    <d v="2024-08-02T00:00:00"/>
    <x v="3"/>
    <x v="3"/>
    <x v="0"/>
    <n v="2025546392.73"/>
    <x v="3"/>
    <x v="3"/>
    <x v="0"/>
    <x v="9"/>
    <x v="1"/>
    <x v="3"/>
    <x v="1"/>
    <x v="3"/>
    <x v="8"/>
    <n v="2"/>
    <x v="0"/>
  </r>
  <r>
    <d v="2024-08-02T00:00:00"/>
    <x v="2"/>
    <x v="1"/>
    <x v="1"/>
    <n v="305895848.92000002"/>
    <x v="2"/>
    <x v="1"/>
    <x v="1"/>
    <x v="10"/>
    <x v="1"/>
    <x v="3"/>
    <x v="1"/>
    <x v="3"/>
    <x v="8"/>
    <n v="2"/>
    <x v="0"/>
  </r>
  <r>
    <d v="2024-08-02T00:00:00"/>
    <x v="1"/>
    <x v="0"/>
    <x v="1"/>
    <n v="43125864.020000003"/>
    <x v="1"/>
    <x v="0"/>
    <x v="1"/>
    <x v="11"/>
    <x v="1"/>
    <x v="3"/>
    <x v="1"/>
    <x v="3"/>
    <x v="8"/>
    <n v="2"/>
    <x v="0"/>
  </r>
  <r>
    <d v="2024-08-02T00:00:00"/>
    <x v="1"/>
    <x v="0"/>
    <x v="0"/>
    <n v="54842158.990000002"/>
    <x v="1"/>
    <x v="0"/>
    <x v="0"/>
    <x v="12"/>
    <x v="1"/>
    <x v="3"/>
    <x v="1"/>
    <x v="3"/>
    <x v="8"/>
    <n v="2"/>
    <x v="0"/>
  </r>
  <r>
    <d v="2024-08-02T00:00:00"/>
    <x v="3"/>
    <x v="2"/>
    <x v="0"/>
    <n v="1060537255.27"/>
    <x v="3"/>
    <x v="2"/>
    <x v="0"/>
    <x v="13"/>
    <x v="1"/>
    <x v="3"/>
    <x v="1"/>
    <x v="3"/>
    <x v="8"/>
    <n v="2"/>
    <x v="0"/>
  </r>
  <r>
    <d v="2024-08-02T00:00:00"/>
    <x v="3"/>
    <x v="1"/>
    <x v="0"/>
    <n v="18979552.41"/>
    <x v="3"/>
    <x v="1"/>
    <x v="0"/>
    <x v="14"/>
    <x v="1"/>
    <x v="3"/>
    <x v="1"/>
    <x v="3"/>
    <x v="8"/>
    <n v="2"/>
    <x v="0"/>
  </r>
  <r>
    <d v="2024-08-02T00:00:00"/>
    <x v="3"/>
    <x v="2"/>
    <x v="1"/>
    <n v="17138222970.27"/>
    <x v="3"/>
    <x v="2"/>
    <x v="1"/>
    <x v="15"/>
    <x v="1"/>
    <x v="3"/>
    <x v="1"/>
    <x v="3"/>
    <x v="8"/>
    <n v="2"/>
    <x v="0"/>
  </r>
  <r>
    <d v="2024-08-01T00:00:00"/>
    <x v="0"/>
    <x v="0"/>
    <x v="0"/>
    <n v="434.3"/>
    <x v="0"/>
    <x v="0"/>
    <x v="0"/>
    <x v="0"/>
    <x v="1"/>
    <x v="3"/>
    <x v="1"/>
    <x v="3"/>
    <x v="8"/>
    <n v="1"/>
    <x v="0"/>
  </r>
  <r>
    <d v="2024-08-01T00:00:00"/>
    <x v="3"/>
    <x v="3"/>
    <x v="1"/>
    <n v="46827.89"/>
    <x v="3"/>
    <x v="3"/>
    <x v="1"/>
    <x v="6"/>
    <x v="1"/>
    <x v="3"/>
    <x v="1"/>
    <x v="3"/>
    <x v="8"/>
    <n v="1"/>
    <x v="0"/>
  </r>
  <r>
    <d v="2024-08-01T00:00:00"/>
    <x v="0"/>
    <x v="1"/>
    <x v="0"/>
    <n v="6355141.0199999996"/>
    <x v="0"/>
    <x v="1"/>
    <x v="0"/>
    <x v="1"/>
    <x v="1"/>
    <x v="3"/>
    <x v="1"/>
    <x v="3"/>
    <x v="8"/>
    <n v="1"/>
    <x v="0"/>
  </r>
  <r>
    <d v="2024-08-01T00:00:00"/>
    <x v="2"/>
    <x v="1"/>
    <x v="2"/>
    <n v="54616.28"/>
    <x v="2"/>
    <x v="1"/>
    <x v="2"/>
    <x v="2"/>
    <x v="1"/>
    <x v="3"/>
    <x v="1"/>
    <x v="3"/>
    <x v="8"/>
    <n v="1"/>
    <x v="0"/>
  </r>
  <r>
    <d v="2024-08-01T00:00:00"/>
    <x v="0"/>
    <x v="1"/>
    <x v="1"/>
    <n v="15074227.720000001"/>
    <x v="0"/>
    <x v="1"/>
    <x v="1"/>
    <x v="3"/>
    <x v="1"/>
    <x v="3"/>
    <x v="1"/>
    <x v="3"/>
    <x v="8"/>
    <n v="1"/>
    <x v="0"/>
  </r>
  <r>
    <d v="2024-08-01T00:00:00"/>
    <x v="1"/>
    <x v="1"/>
    <x v="0"/>
    <n v="234855.72"/>
    <x v="1"/>
    <x v="1"/>
    <x v="0"/>
    <x v="4"/>
    <x v="1"/>
    <x v="3"/>
    <x v="1"/>
    <x v="3"/>
    <x v="8"/>
    <n v="1"/>
    <x v="0"/>
  </r>
  <r>
    <d v="2024-08-01T00:00:00"/>
    <x v="3"/>
    <x v="3"/>
    <x v="2"/>
    <n v="-100"/>
    <x v="3"/>
    <x v="3"/>
    <x v="2"/>
    <x v="5"/>
    <x v="1"/>
    <x v="3"/>
    <x v="1"/>
    <x v="3"/>
    <x v="8"/>
    <n v="1"/>
    <x v="1"/>
  </r>
  <r>
    <d v="2024-08-01T00:00:00"/>
    <x v="3"/>
    <x v="3"/>
    <x v="0"/>
    <n v="3417293521.3000002"/>
    <x v="3"/>
    <x v="3"/>
    <x v="0"/>
    <x v="9"/>
    <x v="1"/>
    <x v="3"/>
    <x v="1"/>
    <x v="3"/>
    <x v="8"/>
    <n v="1"/>
    <x v="0"/>
  </r>
  <r>
    <d v="2024-08-01T00:00:00"/>
    <x v="2"/>
    <x v="1"/>
    <x v="1"/>
    <n v="212669572.87"/>
    <x v="2"/>
    <x v="1"/>
    <x v="1"/>
    <x v="10"/>
    <x v="1"/>
    <x v="3"/>
    <x v="1"/>
    <x v="3"/>
    <x v="8"/>
    <n v="1"/>
    <x v="0"/>
  </r>
  <r>
    <d v="2024-08-01T00:00:00"/>
    <x v="1"/>
    <x v="0"/>
    <x v="0"/>
    <n v="53289138.649999999"/>
    <x v="1"/>
    <x v="0"/>
    <x v="0"/>
    <x v="11"/>
    <x v="1"/>
    <x v="3"/>
    <x v="1"/>
    <x v="3"/>
    <x v="8"/>
    <n v="1"/>
    <x v="0"/>
  </r>
  <r>
    <d v="2024-08-01T00:00:00"/>
    <x v="3"/>
    <x v="2"/>
    <x v="2"/>
    <n v="426043"/>
    <x v="3"/>
    <x v="2"/>
    <x v="2"/>
    <x v="7"/>
    <x v="1"/>
    <x v="3"/>
    <x v="1"/>
    <x v="3"/>
    <x v="8"/>
    <n v="1"/>
    <x v="0"/>
  </r>
  <r>
    <d v="2024-08-01T00:00:00"/>
    <x v="2"/>
    <x v="1"/>
    <x v="0"/>
    <n v="97767347.170000002"/>
    <x v="2"/>
    <x v="1"/>
    <x v="0"/>
    <x v="8"/>
    <x v="1"/>
    <x v="3"/>
    <x v="1"/>
    <x v="3"/>
    <x v="8"/>
    <n v="1"/>
    <x v="0"/>
  </r>
  <r>
    <d v="2024-08-01T00:00:00"/>
    <x v="1"/>
    <x v="0"/>
    <x v="1"/>
    <n v="142576239.74000001"/>
    <x v="1"/>
    <x v="0"/>
    <x v="1"/>
    <x v="12"/>
    <x v="1"/>
    <x v="3"/>
    <x v="1"/>
    <x v="3"/>
    <x v="8"/>
    <n v="1"/>
    <x v="0"/>
  </r>
  <r>
    <d v="2024-08-01T00:00:00"/>
    <x v="3"/>
    <x v="2"/>
    <x v="0"/>
    <n v="568813835.17999995"/>
    <x v="3"/>
    <x v="2"/>
    <x v="0"/>
    <x v="13"/>
    <x v="1"/>
    <x v="3"/>
    <x v="1"/>
    <x v="3"/>
    <x v="8"/>
    <n v="1"/>
    <x v="0"/>
  </r>
  <r>
    <d v="2024-08-01T00:00:00"/>
    <x v="3"/>
    <x v="2"/>
    <x v="1"/>
    <n v="23299107851.419998"/>
    <x v="3"/>
    <x v="2"/>
    <x v="1"/>
    <x v="14"/>
    <x v="1"/>
    <x v="3"/>
    <x v="1"/>
    <x v="3"/>
    <x v="8"/>
    <n v="1"/>
    <x v="0"/>
  </r>
  <r>
    <d v="2024-08-01T00:00:00"/>
    <x v="3"/>
    <x v="1"/>
    <x v="0"/>
    <n v="17601034.84"/>
    <x v="3"/>
    <x v="1"/>
    <x v="0"/>
    <x v="15"/>
    <x v="1"/>
    <x v="3"/>
    <x v="1"/>
    <x v="3"/>
    <x v="8"/>
    <n v="1"/>
    <x v="0"/>
  </r>
  <r>
    <d v="2024-07-31T00:00:00"/>
    <x v="0"/>
    <x v="1"/>
    <x v="0"/>
    <n v="9463566.6799999997"/>
    <x v="0"/>
    <x v="1"/>
    <x v="0"/>
    <x v="0"/>
    <x v="1"/>
    <x v="3"/>
    <x v="1"/>
    <x v="3"/>
    <x v="9"/>
    <n v="31"/>
    <x v="0"/>
  </r>
  <r>
    <d v="2024-07-31T00:00:00"/>
    <x v="3"/>
    <x v="2"/>
    <x v="2"/>
    <n v="120800.11"/>
    <x v="3"/>
    <x v="2"/>
    <x v="2"/>
    <x v="1"/>
    <x v="1"/>
    <x v="3"/>
    <x v="1"/>
    <x v="3"/>
    <x v="9"/>
    <n v="31"/>
    <x v="0"/>
  </r>
  <r>
    <d v="2024-07-31T00:00:00"/>
    <x v="0"/>
    <x v="1"/>
    <x v="1"/>
    <n v="6103693.0899999999"/>
    <x v="0"/>
    <x v="1"/>
    <x v="1"/>
    <x v="2"/>
    <x v="1"/>
    <x v="3"/>
    <x v="1"/>
    <x v="3"/>
    <x v="9"/>
    <n v="31"/>
    <x v="0"/>
  </r>
  <r>
    <d v="2024-07-31T00:00:00"/>
    <x v="2"/>
    <x v="1"/>
    <x v="0"/>
    <n v="116483148.69"/>
    <x v="2"/>
    <x v="1"/>
    <x v="0"/>
    <x v="5"/>
    <x v="1"/>
    <x v="3"/>
    <x v="1"/>
    <x v="3"/>
    <x v="9"/>
    <n v="31"/>
    <x v="0"/>
  </r>
  <r>
    <d v="2024-07-31T00:00:00"/>
    <x v="3"/>
    <x v="3"/>
    <x v="0"/>
    <n v="4669174774.79"/>
    <x v="3"/>
    <x v="3"/>
    <x v="0"/>
    <x v="6"/>
    <x v="1"/>
    <x v="3"/>
    <x v="1"/>
    <x v="3"/>
    <x v="9"/>
    <n v="31"/>
    <x v="0"/>
  </r>
  <r>
    <d v="2024-07-31T00:00:00"/>
    <x v="1"/>
    <x v="1"/>
    <x v="0"/>
    <n v="232965.66"/>
    <x v="1"/>
    <x v="1"/>
    <x v="0"/>
    <x v="3"/>
    <x v="1"/>
    <x v="3"/>
    <x v="1"/>
    <x v="3"/>
    <x v="9"/>
    <n v="31"/>
    <x v="0"/>
  </r>
  <r>
    <d v="2024-07-31T00:00:00"/>
    <x v="2"/>
    <x v="1"/>
    <x v="2"/>
    <n v="948821.32"/>
    <x v="2"/>
    <x v="1"/>
    <x v="2"/>
    <x v="4"/>
    <x v="1"/>
    <x v="3"/>
    <x v="1"/>
    <x v="3"/>
    <x v="9"/>
    <n v="31"/>
    <x v="0"/>
  </r>
  <r>
    <d v="2024-07-31T00:00:00"/>
    <x v="2"/>
    <x v="1"/>
    <x v="1"/>
    <n v="76618127.530000001"/>
    <x v="2"/>
    <x v="1"/>
    <x v="1"/>
    <x v="7"/>
    <x v="1"/>
    <x v="3"/>
    <x v="1"/>
    <x v="3"/>
    <x v="9"/>
    <n v="31"/>
    <x v="0"/>
  </r>
  <r>
    <d v="2024-07-31T00:00:00"/>
    <x v="1"/>
    <x v="0"/>
    <x v="1"/>
    <n v="505024263.56"/>
    <x v="1"/>
    <x v="0"/>
    <x v="1"/>
    <x v="8"/>
    <x v="1"/>
    <x v="3"/>
    <x v="1"/>
    <x v="3"/>
    <x v="9"/>
    <n v="31"/>
    <x v="0"/>
  </r>
  <r>
    <d v="2024-07-31T00:00:00"/>
    <x v="1"/>
    <x v="0"/>
    <x v="0"/>
    <n v="97856191.659999996"/>
    <x v="1"/>
    <x v="0"/>
    <x v="0"/>
    <x v="9"/>
    <x v="1"/>
    <x v="3"/>
    <x v="1"/>
    <x v="3"/>
    <x v="9"/>
    <n v="31"/>
    <x v="0"/>
  </r>
  <r>
    <d v="2024-07-31T00:00:00"/>
    <x v="3"/>
    <x v="1"/>
    <x v="0"/>
    <n v="16565158.609999999"/>
    <x v="3"/>
    <x v="1"/>
    <x v="0"/>
    <x v="10"/>
    <x v="1"/>
    <x v="3"/>
    <x v="1"/>
    <x v="3"/>
    <x v="9"/>
    <n v="31"/>
    <x v="0"/>
  </r>
  <r>
    <d v="2024-07-31T00:00:00"/>
    <x v="3"/>
    <x v="2"/>
    <x v="0"/>
    <n v="888897605.76999998"/>
    <x v="3"/>
    <x v="2"/>
    <x v="0"/>
    <x v="11"/>
    <x v="1"/>
    <x v="3"/>
    <x v="1"/>
    <x v="3"/>
    <x v="9"/>
    <n v="31"/>
    <x v="0"/>
  </r>
  <r>
    <d v="2024-07-31T00:00:00"/>
    <x v="3"/>
    <x v="2"/>
    <x v="1"/>
    <n v="15511682951.719999"/>
    <x v="3"/>
    <x v="2"/>
    <x v="1"/>
    <x v="12"/>
    <x v="1"/>
    <x v="3"/>
    <x v="1"/>
    <x v="3"/>
    <x v="9"/>
    <n v="31"/>
    <x v="0"/>
  </r>
  <r>
    <d v="2024-07-30T00:00:00"/>
    <x v="0"/>
    <x v="1"/>
    <x v="0"/>
    <n v="9927594.2899999991"/>
    <x v="0"/>
    <x v="1"/>
    <x v="0"/>
    <x v="1"/>
    <x v="1"/>
    <x v="3"/>
    <x v="1"/>
    <x v="3"/>
    <x v="9"/>
    <n v="30"/>
    <x v="0"/>
  </r>
  <r>
    <d v="2024-07-30T00:00:00"/>
    <x v="1"/>
    <x v="1"/>
    <x v="0"/>
    <n v="173386.04"/>
    <x v="1"/>
    <x v="1"/>
    <x v="0"/>
    <x v="0"/>
    <x v="1"/>
    <x v="3"/>
    <x v="1"/>
    <x v="3"/>
    <x v="9"/>
    <n v="30"/>
    <x v="0"/>
  </r>
  <r>
    <d v="2024-07-30T00:00:00"/>
    <x v="3"/>
    <x v="2"/>
    <x v="2"/>
    <n v="186548"/>
    <x v="3"/>
    <x v="2"/>
    <x v="2"/>
    <x v="3"/>
    <x v="1"/>
    <x v="3"/>
    <x v="1"/>
    <x v="3"/>
    <x v="9"/>
    <n v="30"/>
    <x v="0"/>
  </r>
  <r>
    <d v="2024-07-30T00:00:00"/>
    <x v="2"/>
    <x v="1"/>
    <x v="2"/>
    <n v="9591.48"/>
    <x v="2"/>
    <x v="1"/>
    <x v="2"/>
    <x v="2"/>
    <x v="1"/>
    <x v="3"/>
    <x v="1"/>
    <x v="3"/>
    <x v="9"/>
    <n v="30"/>
    <x v="0"/>
  </r>
  <r>
    <d v="2024-07-30T00:00:00"/>
    <x v="2"/>
    <x v="1"/>
    <x v="0"/>
    <n v="65743884.979999997"/>
    <x v="2"/>
    <x v="1"/>
    <x v="0"/>
    <x v="6"/>
    <x v="1"/>
    <x v="3"/>
    <x v="1"/>
    <x v="3"/>
    <x v="9"/>
    <n v="30"/>
    <x v="0"/>
  </r>
  <r>
    <d v="2024-07-30T00:00:00"/>
    <x v="0"/>
    <x v="1"/>
    <x v="1"/>
    <n v="24889758.199999999"/>
    <x v="0"/>
    <x v="1"/>
    <x v="1"/>
    <x v="4"/>
    <x v="1"/>
    <x v="3"/>
    <x v="1"/>
    <x v="3"/>
    <x v="9"/>
    <n v="30"/>
    <x v="0"/>
  </r>
  <r>
    <d v="2024-07-30T00:00:00"/>
    <x v="3"/>
    <x v="3"/>
    <x v="2"/>
    <n v="-100"/>
    <x v="3"/>
    <x v="3"/>
    <x v="2"/>
    <x v="5"/>
    <x v="1"/>
    <x v="3"/>
    <x v="1"/>
    <x v="3"/>
    <x v="9"/>
    <n v="30"/>
    <x v="1"/>
  </r>
  <r>
    <d v="2024-07-30T00:00:00"/>
    <x v="2"/>
    <x v="1"/>
    <x v="1"/>
    <n v="148068134.94"/>
    <x v="2"/>
    <x v="1"/>
    <x v="1"/>
    <x v="8"/>
    <x v="1"/>
    <x v="3"/>
    <x v="1"/>
    <x v="3"/>
    <x v="9"/>
    <n v="30"/>
    <x v="0"/>
  </r>
  <r>
    <d v="2024-07-30T00:00:00"/>
    <x v="1"/>
    <x v="0"/>
    <x v="0"/>
    <n v="87780772.420000002"/>
    <x v="1"/>
    <x v="0"/>
    <x v="0"/>
    <x v="10"/>
    <x v="1"/>
    <x v="3"/>
    <x v="1"/>
    <x v="3"/>
    <x v="9"/>
    <n v="30"/>
    <x v="0"/>
  </r>
  <r>
    <d v="2024-07-30T00:00:00"/>
    <x v="3"/>
    <x v="3"/>
    <x v="0"/>
    <n v="1929576979.6600001"/>
    <x v="3"/>
    <x v="3"/>
    <x v="0"/>
    <x v="7"/>
    <x v="1"/>
    <x v="3"/>
    <x v="1"/>
    <x v="3"/>
    <x v="9"/>
    <n v="30"/>
    <x v="0"/>
  </r>
  <r>
    <d v="2024-07-30T00:00:00"/>
    <x v="1"/>
    <x v="0"/>
    <x v="1"/>
    <n v="208512652.59999999"/>
    <x v="1"/>
    <x v="0"/>
    <x v="1"/>
    <x v="9"/>
    <x v="1"/>
    <x v="3"/>
    <x v="1"/>
    <x v="3"/>
    <x v="9"/>
    <n v="30"/>
    <x v="0"/>
  </r>
  <r>
    <d v="2024-07-30T00:00:00"/>
    <x v="3"/>
    <x v="1"/>
    <x v="0"/>
    <n v="13579484.34"/>
    <x v="3"/>
    <x v="1"/>
    <x v="0"/>
    <x v="11"/>
    <x v="1"/>
    <x v="3"/>
    <x v="1"/>
    <x v="3"/>
    <x v="9"/>
    <n v="30"/>
    <x v="0"/>
  </r>
  <r>
    <d v="2024-07-30T00:00:00"/>
    <x v="3"/>
    <x v="2"/>
    <x v="0"/>
    <n v="741327884.59000003"/>
    <x v="3"/>
    <x v="2"/>
    <x v="0"/>
    <x v="12"/>
    <x v="1"/>
    <x v="3"/>
    <x v="1"/>
    <x v="3"/>
    <x v="9"/>
    <n v="30"/>
    <x v="0"/>
  </r>
  <r>
    <d v="2024-07-30T00:00:00"/>
    <x v="3"/>
    <x v="2"/>
    <x v="1"/>
    <n v="3218010703.2800002"/>
    <x v="3"/>
    <x v="2"/>
    <x v="1"/>
    <x v="13"/>
    <x v="1"/>
    <x v="3"/>
    <x v="1"/>
    <x v="3"/>
    <x v="9"/>
    <n v="30"/>
    <x v="0"/>
  </r>
  <r>
    <d v="2024-07-29T00:00:00"/>
    <x v="0"/>
    <x v="0"/>
    <x v="0"/>
    <n v="882.43"/>
    <x v="0"/>
    <x v="0"/>
    <x v="0"/>
    <x v="0"/>
    <x v="1"/>
    <x v="3"/>
    <x v="1"/>
    <x v="3"/>
    <x v="9"/>
    <n v="29"/>
    <x v="0"/>
  </r>
  <r>
    <d v="2024-07-29T00:00:00"/>
    <x v="1"/>
    <x v="1"/>
    <x v="0"/>
    <n v="311987.07"/>
    <x v="1"/>
    <x v="1"/>
    <x v="0"/>
    <x v="1"/>
    <x v="1"/>
    <x v="3"/>
    <x v="1"/>
    <x v="3"/>
    <x v="9"/>
    <n v="29"/>
    <x v="0"/>
  </r>
  <r>
    <d v="2024-07-29T00:00:00"/>
    <x v="0"/>
    <x v="1"/>
    <x v="0"/>
    <n v="12139005.26"/>
    <x v="0"/>
    <x v="1"/>
    <x v="0"/>
    <x v="2"/>
    <x v="1"/>
    <x v="3"/>
    <x v="1"/>
    <x v="3"/>
    <x v="9"/>
    <n v="29"/>
    <x v="0"/>
  </r>
  <r>
    <d v="2024-07-29T00:00:00"/>
    <x v="2"/>
    <x v="1"/>
    <x v="2"/>
    <n v="21710.1"/>
    <x v="2"/>
    <x v="1"/>
    <x v="2"/>
    <x v="3"/>
    <x v="1"/>
    <x v="3"/>
    <x v="1"/>
    <x v="3"/>
    <x v="9"/>
    <n v="29"/>
    <x v="0"/>
  </r>
  <r>
    <d v="2024-07-29T00:00:00"/>
    <x v="3"/>
    <x v="3"/>
    <x v="0"/>
    <n v="1741644728.1500001"/>
    <x v="3"/>
    <x v="3"/>
    <x v="0"/>
    <x v="6"/>
    <x v="1"/>
    <x v="3"/>
    <x v="1"/>
    <x v="3"/>
    <x v="9"/>
    <n v="29"/>
    <x v="0"/>
  </r>
  <r>
    <d v="2024-07-29T00:00:00"/>
    <x v="0"/>
    <x v="1"/>
    <x v="1"/>
    <n v="996494.61"/>
    <x v="0"/>
    <x v="1"/>
    <x v="1"/>
    <x v="4"/>
    <x v="1"/>
    <x v="3"/>
    <x v="1"/>
    <x v="3"/>
    <x v="9"/>
    <n v="29"/>
    <x v="0"/>
  </r>
  <r>
    <d v="2024-07-29T00:00:00"/>
    <x v="2"/>
    <x v="1"/>
    <x v="0"/>
    <n v="99623773.890000001"/>
    <x v="2"/>
    <x v="1"/>
    <x v="0"/>
    <x v="7"/>
    <x v="1"/>
    <x v="3"/>
    <x v="1"/>
    <x v="3"/>
    <x v="9"/>
    <n v="29"/>
    <x v="0"/>
  </r>
  <r>
    <d v="2024-07-29T00:00:00"/>
    <x v="2"/>
    <x v="1"/>
    <x v="1"/>
    <n v="144378649.69999999"/>
    <x v="2"/>
    <x v="1"/>
    <x v="1"/>
    <x v="8"/>
    <x v="1"/>
    <x v="3"/>
    <x v="1"/>
    <x v="3"/>
    <x v="9"/>
    <n v="29"/>
    <x v="0"/>
  </r>
  <r>
    <d v="2024-07-29T00:00:00"/>
    <x v="3"/>
    <x v="2"/>
    <x v="2"/>
    <n v="164738"/>
    <x v="3"/>
    <x v="2"/>
    <x v="2"/>
    <x v="5"/>
    <x v="1"/>
    <x v="3"/>
    <x v="1"/>
    <x v="3"/>
    <x v="9"/>
    <n v="29"/>
    <x v="0"/>
  </r>
  <r>
    <d v="2024-07-29T00:00:00"/>
    <x v="1"/>
    <x v="0"/>
    <x v="1"/>
    <n v="146049901.87"/>
    <x v="1"/>
    <x v="0"/>
    <x v="1"/>
    <x v="9"/>
    <x v="1"/>
    <x v="3"/>
    <x v="1"/>
    <x v="3"/>
    <x v="9"/>
    <n v="29"/>
    <x v="0"/>
  </r>
  <r>
    <d v="2024-07-29T00:00:00"/>
    <x v="1"/>
    <x v="0"/>
    <x v="0"/>
    <n v="67369674.379999995"/>
    <x v="1"/>
    <x v="0"/>
    <x v="0"/>
    <x v="10"/>
    <x v="1"/>
    <x v="3"/>
    <x v="1"/>
    <x v="3"/>
    <x v="9"/>
    <n v="29"/>
    <x v="0"/>
  </r>
  <r>
    <d v="2024-07-29T00:00:00"/>
    <x v="3"/>
    <x v="2"/>
    <x v="0"/>
    <n v="845784359.92999995"/>
    <x v="3"/>
    <x v="2"/>
    <x v="0"/>
    <x v="11"/>
    <x v="1"/>
    <x v="3"/>
    <x v="1"/>
    <x v="3"/>
    <x v="9"/>
    <n v="29"/>
    <x v="0"/>
  </r>
  <r>
    <d v="2024-07-29T00:00:00"/>
    <x v="3"/>
    <x v="2"/>
    <x v="1"/>
    <n v="24637884133.57"/>
    <x v="3"/>
    <x v="2"/>
    <x v="1"/>
    <x v="12"/>
    <x v="1"/>
    <x v="3"/>
    <x v="1"/>
    <x v="3"/>
    <x v="9"/>
    <n v="29"/>
    <x v="0"/>
  </r>
  <r>
    <d v="2024-07-29T00:00:00"/>
    <x v="3"/>
    <x v="1"/>
    <x v="0"/>
    <n v="47437614.659999996"/>
    <x v="3"/>
    <x v="1"/>
    <x v="0"/>
    <x v="13"/>
    <x v="1"/>
    <x v="3"/>
    <x v="1"/>
    <x v="3"/>
    <x v="9"/>
    <n v="29"/>
    <x v="0"/>
  </r>
  <r>
    <d v="2024-07-26T00:00:00"/>
    <x v="3"/>
    <x v="2"/>
    <x v="2"/>
    <n v="198630.15"/>
    <x v="3"/>
    <x v="2"/>
    <x v="2"/>
    <x v="6"/>
    <x v="1"/>
    <x v="3"/>
    <x v="1"/>
    <x v="3"/>
    <x v="9"/>
    <n v="26"/>
    <x v="0"/>
  </r>
  <r>
    <d v="2024-07-26T00:00:00"/>
    <x v="0"/>
    <x v="0"/>
    <x v="0"/>
    <n v="400"/>
    <x v="0"/>
    <x v="0"/>
    <x v="0"/>
    <x v="0"/>
    <x v="1"/>
    <x v="3"/>
    <x v="1"/>
    <x v="3"/>
    <x v="9"/>
    <n v="26"/>
    <x v="0"/>
  </r>
  <r>
    <d v="2024-07-26T00:00:00"/>
    <x v="1"/>
    <x v="1"/>
    <x v="0"/>
    <n v="155727.28"/>
    <x v="1"/>
    <x v="1"/>
    <x v="0"/>
    <x v="1"/>
    <x v="1"/>
    <x v="3"/>
    <x v="1"/>
    <x v="3"/>
    <x v="9"/>
    <n v="26"/>
    <x v="0"/>
  </r>
  <r>
    <d v="2024-07-26T00:00:00"/>
    <x v="0"/>
    <x v="1"/>
    <x v="0"/>
    <n v="43056155.07"/>
    <x v="0"/>
    <x v="1"/>
    <x v="0"/>
    <x v="2"/>
    <x v="1"/>
    <x v="3"/>
    <x v="1"/>
    <x v="3"/>
    <x v="9"/>
    <n v="26"/>
    <x v="0"/>
  </r>
  <r>
    <d v="2024-07-26T00:00:00"/>
    <x v="3"/>
    <x v="3"/>
    <x v="2"/>
    <n v="100"/>
    <x v="3"/>
    <x v="3"/>
    <x v="2"/>
    <x v="3"/>
    <x v="1"/>
    <x v="3"/>
    <x v="1"/>
    <x v="3"/>
    <x v="9"/>
    <n v="26"/>
    <x v="0"/>
  </r>
  <r>
    <d v="2024-07-26T00:00:00"/>
    <x v="2"/>
    <x v="1"/>
    <x v="2"/>
    <n v="12374.75"/>
    <x v="2"/>
    <x v="1"/>
    <x v="2"/>
    <x v="4"/>
    <x v="1"/>
    <x v="3"/>
    <x v="1"/>
    <x v="3"/>
    <x v="9"/>
    <n v="26"/>
    <x v="0"/>
  </r>
  <r>
    <d v="2024-07-26T00:00:00"/>
    <x v="3"/>
    <x v="3"/>
    <x v="0"/>
    <n v="1578787976.22"/>
    <x v="3"/>
    <x v="3"/>
    <x v="0"/>
    <x v="7"/>
    <x v="1"/>
    <x v="3"/>
    <x v="1"/>
    <x v="3"/>
    <x v="9"/>
    <n v="26"/>
    <x v="0"/>
  </r>
  <r>
    <d v="2024-07-26T00:00:00"/>
    <x v="2"/>
    <x v="1"/>
    <x v="0"/>
    <n v="96159636.5"/>
    <x v="2"/>
    <x v="1"/>
    <x v="0"/>
    <x v="8"/>
    <x v="1"/>
    <x v="3"/>
    <x v="1"/>
    <x v="3"/>
    <x v="9"/>
    <n v="26"/>
    <x v="0"/>
  </r>
  <r>
    <d v="2024-07-26T00:00:00"/>
    <x v="0"/>
    <x v="1"/>
    <x v="1"/>
    <n v="10042049.73"/>
    <x v="0"/>
    <x v="1"/>
    <x v="1"/>
    <x v="5"/>
    <x v="1"/>
    <x v="3"/>
    <x v="1"/>
    <x v="3"/>
    <x v="9"/>
    <n v="26"/>
    <x v="0"/>
  </r>
  <r>
    <d v="2024-07-26T00:00:00"/>
    <x v="2"/>
    <x v="1"/>
    <x v="1"/>
    <n v="113985138.93000001"/>
    <x v="2"/>
    <x v="1"/>
    <x v="1"/>
    <x v="9"/>
    <x v="1"/>
    <x v="3"/>
    <x v="1"/>
    <x v="3"/>
    <x v="9"/>
    <n v="26"/>
    <x v="0"/>
  </r>
  <r>
    <d v="2024-07-26T00:00:00"/>
    <x v="1"/>
    <x v="0"/>
    <x v="0"/>
    <n v="55737292.780000001"/>
    <x v="1"/>
    <x v="0"/>
    <x v="0"/>
    <x v="11"/>
    <x v="1"/>
    <x v="3"/>
    <x v="1"/>
    <x v="3"/>
    <x v="9"/>
    <n v="26"/>
    <x v="0"/>
  </r>
  <r>
    <d v="2024-07-26T00:00:00"/>
    <x v="1"/>
    <x v="0"/>
    <x v="1"/>
    <n v="52885717.539999999"/>
    <x v="1"/>
    <x v="0"/>
    <x v="1"/>
    <x v="10"/>
    <x v="1"/>
    <x v="3"/>
    <x v="1"/>
    <x v="3"/>
    <x v="9"/>
    <n v="26"/>
    <x v="0"/>
  </r>
  <r>
    <d v="2024-07-26T00:00:00"/>
    <x v="3"/>
    <x v="2"/>
    <x v="0"/>
    <n v="545877783.60000002"/>
    <x v="3"/>
    <x v="2"/>
    <x v="0"/>
    <x v="12"/>
    <x v="1"/>
    <x v="3"/>
    <x v="1"/>
    <x v="3"/>
    <x v="9"/>
    <n v="26"/>
    <x v="0"/>
  </r>
  <r>
    <d v="2024-07-26T00:00:00"/>
    <x v="3"/>
    <x v="2"/>
    <x v="1"/>
    <n v="9645916826.8299999"/>
    <x v="3"/>
    <x v="2"/>
    <x v="1"/>
    <x v="13"/>
    <x v="1"/>
    <x v="3"/>
    <x v="1"/>
    <x v="3"/>
    <x v="9"/>
    <n v="26"/>
    <x v="0"/>
  </r>
  <r>
    <d v="2024-07-26T00:00:00"/>
    <x v="3"/>
    <x v="1"/>
    <x v="0"/>
    <n v="15498270.449999999"/>
    <x v="3"/>
    <x v="1"/>
    <x v="0"/>
    <x v="14"/>
    <x v="1"/>
    <x v="3"/>
    <x v="1"/>
    <x v="3"/>
    <x v="9"/>
    <n v="26"/>
    <x v="0"/>
  </r>
  <r>
    <d v="2024-07-25T00:00:00"/>
    <x v="1"/>
    <x v="1"/>
    <x v="0"/>
    <n v="143063.82999999999"/>
    <x v="1"/>
    <x v="1"/>
    <x v="0"/>
    <x v="0"/>
    <x v="1"/>
    <x v="3"/>
    <x v="1"/>
    <x v="3"/>
    <x v="9"/>
    <n v="25"/>
    <x v="0"/>
  </r>
  <r>
    <d v="2024-07-25T00:00:00"/>
    <x v="0"/>
    <x v="1"/>
    <x v="0"/>
    <n v="11393647.199999999"/>
    <x v="0"/>
    <x v="1"/>
    <x v="0"/>
    <x v="1"/>
    <x v="1"/>
    <x v="3"/>
    <x v="1"/>
    <x v="3"/>
    <x v="9"/>
    <n v="25"/>
    <x v="0"/>
  </r>
  <r>
    <d v="2024-07-25T00:00:00"/>
    <x v="3"/>
    <x v="2"/>
    <x v="2"/>
    <n v="220688"/>
    <x v="3"/>
    <x v="2"/>
    <x v="2"/>
    <x v="4"/>
    <x v="1"/>
    <x v="3"/>
    <x v="1"/>
    <x v="3"/>
    <x v="9"/>
    <n v="25"/>
    <x v="0"/>
  </r>
  <r>
    <d v="2024-07-25T00:00:00"/>
    <x v="2"/>
    <x v="1"/>
    <x v="2"/>
    <n v="50423.49"/>
    <x v="2"/>
    <x v="1"/>
    <x v="2"/>
    <x v="2"/>
    <x v="1"/>
    <x v="3"/>
    <x v="1"/>
    <x v="3"/>
    <x v="9"/>
    <n v="25"/>
    <x v="0"/>
  </r>
  <r>
    <d v="2024-07-25T00:00:00"/>
    <x v="0"/>
    <x v="1"/>
    <x v="1"/>
    <n v="7636998.2599999998"/>
    <x v="0"/>
    <x v="1"/>
    <x v="1"/>
    <x v="3"/>
    <x v="1"/>
    <x v="3"/>
    <x v="1"/>
    <x v="3"/>
    <x v="9"/>
    <n v="25"/>
    <x v="0"/>
  </r>
  <r>
    <d v="2024-07-25T00:00:00"/>
    <x v="2"/>
    <x v="1"/>
    <x v="0"/>
    <n v="80673868.909999996"/>
    <x v="2"/>
    <x v="1"/>
    <x v="0"/>
    <x v="5"/>
    <x v="1"/>
    <x v="3"/>
    <x v="1"/>
    <x v="3"/>
    <x v="9"/>
    <n v="25"/>
    <x v="0"/>
  </r>
  <r>
    <d v="2024-07-25T00:00:00"/>
    <x v="3"/>
    <x v="3"/>
    <x v="0"/>
    <n v="1581524169.7"/>
    <x v="3"/>
    <x v="3"/>
    <x v="0"/>
    <x v="6"/>
    <x v="1"/>
    <x v="3"/>
    <x v="1"/>
    <x v="3"/>
    <x v="9"/>
    <n v="25"/>
    <x v="0"/>
  </r>
  <r>
    <d v="2024-07-25T00:00:00"/>
    <x v="1"/>
    <x v="0"/>
    <x v="0"/>
    <n v="72263196.920000002"/>
    <x v="1"/>
    <x v="0"/>
    <x v="0"/>
    <x v="8"/>
    <x v="1"/>
    <x v="3"/>
    <x v="1"/>
    <x v="3"/>
    <x v="9"/>
    <n v="25"/>
    <x v="0"/>
  </r>
  <r>
    <d v="2024-07-25T00:00:00"/>
    <x v="2"/>
    <x v="1"/>
    <x v="1"/>
    <n v="137676840.36000001"/>
    <x v="2"/>
    <x v="1"/>
    <x v="1"/>
    <x v="7"/>
    <x v="1"/>
    <x v="3"/>
    <x v="1"/>
    <x v="3"/>
    <x v="9"/>
    <n v="25"/>
    <x v="0"/>
  </r>
  <r>
    <d v="2024-07-25T00:00:00"/>
    <x v="1"/>
    <x v="0"/>
    <x v="1"/>
    <n v="205958245.15000001"/>
    <x v="1"/>
    <x v="0"/>
    <x v="1"/>
    <x v="9"/>
    <x v="1"/>
    <x v="3"/>
    <x v="1"/>
    <x v="3"/>
    <x v="9"/>
    <n v="25"/>
    <x v="0"/>
  </r>
  <r>
    <d v="2024-07-25T00:00:00"/>
    <x v="3"/>
    <x v="2"/>
    <x v="1"/>
    <n v="3963295248.1300001"/>
    <x v="3"/>
    <x v="2"/>
    <x v="1"/>
    <x v="10"/>
    <x v="1"/>
    <x v="3"/>
    <x v="1"/>
    <x v="3"/>
    <x v="9"/>
    <n v="25"/>
    <x v="0"/>
  </r>
  <r>
    <d v="2024-07-25T00:00:00"/>
    <x v="3"/>
    <x v="2"/>
    <x v="0"/>
    <n v="545307223.37"/>
    <x v="3"/>
    <x v="2"/>
    <x v="0"/>
    <x v="11"/>
    <x v="1"/>
    <x v="3"/>
    <x v="1"/>
    <x v="3"/>
    <x v="9"/>
    <n v="25"/>
    <x v="0"/>
  </r>
  <r>
    <d v="2024-07-25T00:00:00"/>
    <x v="3"/>
    <x v="1"/>
    <x v="0"/>
    <n v="15298280.84"/>
    <x v="3"/>
    <x v="1"/>
    <x v="0"/>
    <x v="12"/>
    <x v="1"/>
    <x v="3"/>
    <x v="1"/>
    <x v="3"/>
    <x v="9"/>
    <n v="25"/>
    <x v="0"/>
  </r>
  <r>
    <d v="2024-07-24T00:00:00"/>
    <x v="0"/>
    <x v="1"/>
    <x v="0"/>
    <n v="11894623.810000001"/>
    <x v="0"/>
    <x v="1"/>
    <x v="0"/>
    <x v="0"/>
    <x v="1"/>
    <x v="3"/>
    <x v="1"/>
    <x v="3"/>
    <x v="9"/>
    <n v="24"/>
    <x v="0"/>
  </r>
  <r>
    <d v="2024-07-24T00:00:00"/>
    <x v="2"/>
    <x v="1"/>
    <x v="0"/>
    <n v="92082928.549999997"/>
    <x v="2"/>
    <x v="1"/>
    <x v="0"/>
    <x v="6"/>
    <x v="1"/>
    <x v="3"/>
    <x v="1"/>
    <x v="3"/>
    <x v="9"/>
    <n v="24"/>
    <x v="0"/>
  </r>
  <r>
    <d v="2024-07-24T00:00:00"/>
    <x v="2"/>
    <x v="1"/>
    <x v="2"/>
    <n v="8611.33"/>
    <x v="2"/>
    <x v="1"/>
    <x v="2"/>
    <x v="1"/>
    <x v="1"/>
    <x v="3"/>
    <x v="1"/>
    <x v="3"/>
    <x v="9"/>
    <n v="24"/>
    <x v="0"/>
  </r>
  <r>
    <d v="2024-07-24T00:00:00"/>
    <x v="3"/>
    <x v="3"/>
    <x v="0"/>
    <n v="1335121668.99"/>
    <x v="3"/>
    <x v="3"/>
    <x v="0"/>
    <x v="7"/>
    <x v="1"/>
    <x v="3"/>
    <x v="1"/>
    <x v="3"/>
    <x v="9"/>
    <n v="24"/>
    <x v="0"/>
  </r>
  <r>
    <d v="2024-07-24T00:00:00"/>
    <x v="3"/>
    <x v="3"/>
    <x v="1"/>
    <n v="1064557.8400000001"/>
    <x v="3"/>
    <x v="3"/>
    <x v="1"/>
    <x v="2"/>
    <x v="1"/>
    <x v="3"/>
    <x v="1"/>
    <x v="3"/>
    <x v="9"/>
    <n v="24"/>
    <x v="0"/>
  </r>
  <r>
    <d v="2024-07-24T00:00:00"/>
    <x v="0"/>
    <x v="1"/>
    <x v="1"/>
    <n v="8408755.5700000003"/>
    <x v="0"/>
    <x v="1"/>
    <x v="1"/>
    <x v="3"/>
    <x v="1"/>
    <x v="3"/>
    <x v="1"/>
    <x v="3"/>
    <x v="9"/>
    <n v="24"/>
    <x v="0"/>
  </r>
  <r>
    <d v="2024-07-24T00:00:00"/>
    <x v="1"/>
    <x v="1"/>
    <x v="0"/>
    <n v="68984.33"/>
    <x v="1"/>
    <x v="1"/>
    <x v="0"/>
    <x v="4"/>
    <x v="1"/>
    <x v="3"/>
    <x v="1"/>
    <x v="3"/>
    <x v="9"/>
    <n v="24"/>
    <x v="0"/>
  </r>
  <r>
    <d v="2024-07-24T00:00:00"/>
    <x v="3"/>
    <x v="2"/>
    <x v="2"/>
    <n v="172185.29"/>
    <x v="3"/>
    <x v="2"/>
    <x v="2"/>
    <x v="5"/>
    <x v="1"/>
    <x v="3"/>
    <x v="1"/>
    <x v="3"/>
    <x v="9"/>
    <n v="24"/>
    <x v="0"/>
  </r>
  <r>
    <d v="2024-07-24T00:00:00"/>
    <x v="2"/>
    <x v="1"/>
    <x v="1"/>
    <n v="176930387.19999999"/>
    <x v="2"/>
    <x v="1"/>
    <x v="1"/>
    <x v="8"/>
    <x v="1"/>
    <x v="3"/>
    <x v="1"/>
    <x v="3"/>
    <x v="9"/>
    <n v="24"/>
    <x v="0"/>
  </r>
  <r>
    <d v="2024-07-24T00:00:00"/>
    <x v="1"/>
    <x v="0"/>
    <x v="1"/>
    <n v="602999031.5"/>
    <x v="1"/>
    <x v="0"/>
    <x v="1"/>
    <x v="9"/>
    <x v="1"/>
    <x v="3"/>
    <x v="1"/>
    <x v="3"/>
    <x v="9"/>
    <n v="24"/>
    <x v="0"/>
  </r>
  <r>
    <d v="2024-07-24T00:00:00"/>
    <x v="1"/>
    <x v="0"/>
    <x v="0"/>
    <n v="104632555.03"/>
    <x v="1"/>
    <x v="0"/>
    <x v="0"/>
    <x v="10"/>
    <x v="1"/>
    <x v="3"/>
    <x v="1"/>
    <x v="3"/>
    <x v="9"/>
    <n v="24"/>
    <x v="0"/>
  </r>
  <r>
    <d v="2024-07-24T00:00:00"/>
    <x v="3"/>
    <x v="1"/>
    <x v="0"/>
    <n v="16295785.16"/>
    <x v="3"/>
    <x v="1"/>
    <x v="0"/>
    <x v="11"/>
    <x v="1"/>
    <x v="3"/>
    <x v="1"/>
    <x v="3"/>
    <x v="9"/>
    <n v="24"/>
    <x v="0"/>
  </r>
  <r>
    <d v="2024-07-24T00:00:00"/>
    <x v="3"/>
    <x v="2"/>
    <x v="1"/>
    <n v="12183234280.129999"/>
    <x v="3"/>
    <x v="2"/>
    <x v="1"/>
    <x v="12"/>
    <x v="1"/>
    <x v="3"/>
    <x v="1"/>
    <x v="3"/>
    <x v="9"/>
    <n v="24"/>
    <x v="0"/>
  </r>
  <r>
    <d v="2024-07-24T00:00:00"/>
    <x v="3"/>
    <x v="2"/>
    <x v="0"/>
    <n v="506843648.44999999"/>
    <x v="3"/>
    <x v="2"/>
    <x v="0"/>
    <x v="13"/>
    <x v="1"/>
    <x v="3"/>
    <x v="1"/>
    <x v="3"/>
    <x v="9"/>
    <n v="24"/>
    <x v="0"/>
  </r>
  <r>
    <d v="2024-07-23T00:00:00"/>
    <x v="0"/>
    <x v="1"/>
    <x v="0"/>
    <n v="24922647.16"/>
    <x v="0"/>
    <x v="1"/>
    <x v="0"/>
    <x v="0"/>
    <x v="1"/>
    <x v="3"/>
    <x v="1"/>
    <x v="3"/>
    <x v="9"/>
    <n v="23"/>
    <x v="0"/>
  </r>
  <r>
    <d v="2024-07-23T00:00:00"/>
    <x v="3"/>
    <x v="2"/>
    <x v="2"/>
    <n v="314200.5"/>
    <x v="3"/>
    <x v="2"/>
    <x v="2"/>
    <x v="2"/>
    <x v="1"/>
    <x v="3"/>
    <x v="1"/>
    <x v="3"/>
    <x v="9"/>
    <n v="23"/>
    <x v="0"/>
  </r>
  <r>
    <d v="2024-07-23T00:00:00"/>
    <x v="2"/>
    <x v="1"/>
    <x v="2"/>
    <n v="40446.269999999997"/>
    <x v="2"/>
    <x v="1"/>
    <x v="2"/>
    <x v="1"/>
    <x v="1"/>
    <x v="3"/>
    <x v="1"/>
    <x v="3"/>
    <x v="9"/>
    <n v="23"/>
    <x v="0"/>
  </r>
  <r>
    <d v="2024-07-23T00:00:00"/>
    <x v="3"/>
    <x v="3"/>
    <x v="1"/>
    <n v="3900"/>
    <x v="3"/>
    <x v="3"/>
    <x v="1"/>
    <x v="3"/>
    <x v="1"/>
    <x v="3"/>
    <x v="1"/>
    <x v="3"/>
    <x v="9"/>
    <n v="23"/>
    <x v="0"/>
  </r>
  <r>
    <d v="2024-07-23T00:00:00"/>
    <x v="0"/>
    <x v="1"/>
    <x v="1"/>
    <n v="3759189.26"/>
    <x v="0"/>
    <x v="1"/>
    <x v="1"/>
    <x v="4"/>
    <x v="1"/>
    <x v="3"/>
    <x v="1"/>
    <x v="3"/>
    <x v="9"/>
    <n v="23"/>
    <x v="0"/>
  </r>
  <r>
    <d v="2024-07-23T00:00:00"/>
    <x v="2"/>
    <x v="1"/>
    <x v="0"/>
    <n v="96019835.609999999"/>
    <x v="2"/>
    <x v="1"/>
    <x v="0"/>
    <x v="6"/>
    <x v="1"/>
    <x v="3"/>
    <x v="1"/>
    <x v="3"/>
    <x v="9"/>
    <n v="23"/>
    <x v="0"/>
  </r>
  <r>
    <d v="2024-07-23T00:00:00"/>
    <x v="1"/>
    <x v="1"/>
    <x v="0"/>
    <n v="63030.61"/>
    <x v="1"/>
    <x v="1"/>
    <x v="0"/>
    <x v="5"/>
    <x v="1"/>
    <x v="3"/>
    <x v="1"/>
    <x v="3"/>
    <x v="9"/>
    <n v="23"/>
    <x v="0"/>
  </r>
  <r>
    <d v="2024-07-23T00:00:00"/>
    <x v="2"/>
    <x v="1"/>
    <x v="1"/>
    <n v="162402902.69"/>
    <x v="2"/>
    <x v="1"/>
    <x v="1"/>
    <x v="8"/>
    <x v="1"/>
    <x v="3"/>
    <x v="1"/>
    <x v="3"/>
    <x v="9"/>
    <n v="23"/>
    <x v="0"/>
  </r>
  <r>
    <d v="2024-07-23T00:00:00"/>
    <x v="1"/>
    <x v="0"/>
    <x v="1"/>
    <n v="402863519.92000002"/>
    <x v="1"/>
    <x v="0"/>
    <x v="1"/>
    <x v="9"/>
    <x v="1"/>
    <x v="3"/>
    <x v="1"/>
    <x v="3"/>
    <x v="9"/>
    <n v="23"/>
    <x v="0"/>
  </r>
  <r>
    <d v="2024-07-23T00:00:00"/>
    <x v="1"/>
    <x v="0"/>
    <x v="0"/>
    <n v="86058190.930000007"/>
    <x v="1"/>
    <x v="0"/>
    <x v="0"/>
    <x v="10"/>
    <x v="1"/>
    <x v="3"/>
    <x v="1"/>
    <x v="3"/>
    <x v="9"/>
    <n v="23"/>
    <x v="0"/>
  </r>
  <r>
    <d v="2024-07-23T00:00:00"/>
    <x v="3"/>
    <x v="3"/>
    <x v="0"/>
    <n v="4285314235.96"/>
    <x v="3"/>
    <x v="3"/>
    <x v="0"/>
    <x v="7"/>
    <x v="1"/>
    <x v="3"/>
    <x v="1"/>
    <x v="3"/>
    <x v="9"/>
    <n v="23"/>
    <x v="0"/>
  </r>
  <r>
    <d v="2024-07-23T00:00:00"/>
    <x v="3"/>
    <x v="1"/>
    <x v="0"/>
    <n v="14293703.02"/>
    <x v="3"/>
    <x v="1"/>
    <x v="0"/>
    <x v="11"/>
    <x v="1"/>
    <x v="3"/>
    <x v="1"/>
    <x v="3"/>
    <x v="9"/>
    <n v="23"/>
    <x v="0"/>
  </r>
  <r>
    <d v="2024-07-23T00:00:00"/>
    <x v="3"/>
    <x v="2"/>
    <x v="0"/>
    <n v="5683021808.0900002"/>
    <x v="3"/>
    <x v="2"/>
    <x v="0"/>
    <x v="12"/>
    <x v="1"/>
    <x v="3"/>
    <x v="1"/>
    <x v="3"/>
    <x v="9"/>
    <n v="23"/>
    <x v="0"/>
  </r>
  <r>
    <d v="2024-07-23T00:00:00"/>
    <x v="3"/>
    <x v="2"/>
    <x v="1"/>
    <n v="3530829965.9099998"/>
    <x v="3"/>
    <x v="2"/>
    <x v="1"/>
    <x v="13"/>
    <x v="1"/>
    <x v="3"/>
    <x v="1"/>
    <x v="3"/>
    <x v="9"/>
    <n v="23"/>
    <x v="0"/>
  </r>
  <r>
    <d v="2024-07-22T00:00:00"/>
    <x v="3"/>
    <x v="2"/>
    <x v="2"/>
    <n v="104089.65"/>
    <x v="3"/>
    <x v="2"/>
    <x v="2"/>
    <x v="6"/>
    <x v="1"/>
    <x v="3"/>
    <x v="1"/>
    <x v="3"/>
    <x v="9"/>
    <n v="22"/>
    <x v="0"/>
  </r>
  <r>
    <d v="2024-07-22T00:00:00"/>
    <x v="0"/>
    <x v="1"/>
    <x v="0"/>
    <n v="13721930.039999999"/>
    <x v="0"/>
    <x v="1"/>
    <x v="0"/>
    <x v="0"/>
    <x v="1"/>
    <x v="3"/>
    <x v="1"/>
    <x v="3"/>
    <x v="9"/>
    <n v="22"/>
    <x v="0"/>
  </r>
  <r>
    <d v="2024-07-22T00:00:00"/>
    <x v="3"/>
    <x v="3"/>
    <x v="2"/>
    <n v="329.92"/>
    <x v="3"/>
    <x v="3"/>
    <x v="2"/>
    <x v="1"/>
    <x v="1"/>
    <x v="3"/>
    <x v="1"/>
    <x v="3"/>
    <x v="9"/>
    <n v="22"/>
    <x v="0"/>
  </r>
  <r>
    <d v="2024-07-22T00:00:00"/>
    <x v="2"/>
    <x v="1"/>
    <x v="2"/>
    <n v="6576.85"/>
    <x v="2"/>
    <x v="1"/>
    <x v="2"/>
    <x v="2"/>
    <x v="1"/>
    <x v="3"/>
    <x v="1"/>
    <x v="3"/>
    <x v="9"/>
    <n v="22"/>
    <x v="0"/>
  </r>
  <r>
    <d v="2024-07-22T00:00:00"/>
    <x v="3"/>
    <x v="3"/>
    <x v="1"/>
    <n v="227256.51"/>
    <x v="3"/>
    <x v="3"/>
    <x v="1"/>
    <x v="3"/>
    <x v="1"/>
    <x v="3"/>
    <x v="1"/>
    <x v="3"/>
    <x v="9"/>
    <n v="22"/>
    <x v="0"/>
  </r>
  <r>
    <d v="2024-07-22T00:00:00"/>
    <x v="0"/>
    <x v="1"/>
    <x v="1"/>
    <n v="1222976.44"/>
    <x v="0"/>
    <x v="1"/>
    <x v="1"/>
    <x v="4"/>
    <x v="1"/>
    <x v="3"/>
    <x v="1"/>
    <x v="3"/>
    <x v="9"/>
    <n v="22"/>
    <x v="0"/>
  </r>
  <r>
    <d v="2024-07-22T00:00:00"/>
    <x v="1"/>
    <x v="1"/>
    <x v="0"/>
    <n v="17343.36"/>
    <x v="1"/>
    <x v="1"/>
    <x v="0"/>
    <x v="5"/>
    <x v="1"/>
    <x v="3"/>
    <x v="1"/>
    <x v="3"/>
    <x v="9"/>
    <n v="22"/>
    <x v="0"/>
  </r>
  <r>
    <d v="2024-07-22T00:00:00"/>
    <x v="1"/>
    <x v="0"/>
    <x v="0"/>
    <n v="68848655.099999994"/>
    <x v="1"/>
    <x v="0"/>
    <x v="0"/>
    <x v="10"/>
    <x v="1"/>
    <x v="3"/>
    <x v="1"/>
    <x v="3"/>
    <x v="9"/>
    <n v="22"/>
    <x v="0"/>
  </r>
  <r>
    <d v="2024-07-22T00:00:00"/>
    <x v="3"/>
    <x v="3"/>
    <x v="0"/>
    <n v="2063271492.8800001"/>
    <x v="3"/>
    <x v="3"/>
    <x v="0"/>
    <x v="7"/>
    <x v="1"/>
    <x v="3"/>
    <x v="1"/>
    <x v="3"/>
    <x v="9"/>
    <n v="22"/>
    <x v="0"/>
  </r>
  <r>
    <d v="2024-07-22T00:00:00"/>
    <x v="2"/>
    <x v="1"/>
    <x v="0"/>
    <n v="67715717.989999995"/>
    <x v="2"/>
    <x v="1"/>
    <x v="0"/>
    <x v="8"/>
    <x v="1"/>
    <x v="3"/>
    <x v="1"/>
    <x v="3"/>
    <x v="9"/>
    <n v="22"/>
    <x v="0"/>
  </r>
  <r>
    <d v="2024-07-22T00:00:00"/>
    <x v="2"/>
    <x v="1"/>
    <x v="1"/>
    <n v="118352094.14"/>
    <x v="2"/>
    <x v="1"/>
    <x v="1"/>
    <x v="9"/>
    <x v="1"/>
    <x v="3"/>
    <x v="1"/>
    <x v="3"/>
    <x v="9"/>
    <n v="22"/>
    <x v="0"/>
  </r>
  <r>
    <d v="2024-07-22T00:00:00"/>
    <x v="1"/>
    <x v="0"/>
    <x v="1"/>
    <n v="240284855.02000001"/>
    <x v="1"/>
    <x v="0"/>
    <x v="1"/>
    <x v="11"/>
    <x v="1"/>
    <x v="3"/>
    <x v="1"/>
    <x v="3"/>
    <x v="9"/>
    <n v="22"/>
    <x v="0"/>
  </r>
  <r>
    <d v="2024-07-22T00:00:00"/>
    <x v="3"/>
    <x v="2"/>
    <x v="0"/>
    <n v="1062650348.84"/>
    <x v="3"/>
    <x v="2"/>
    <x v="0"/>
    <x v="12"/>
    <x v="1"/>
    <x v="3"/>
    <x v="1"/>
    <x v="3"/>
    <x v="9"/>
    <n v="22"/>
    <x v="0"/>
  </r>
  <r>
    <d v="2024-07-22T00:00:00"/>
    <x v="3"/>
    <x v="2"/>
    <x v="1"/>
    <n v="25784629635.02"/>
    <x v="3"/>
    <x v="2"/>
    <x v="1"/>
    <x v="13"/>
    <x v="1"/>
    <x v="3"/>
    <x v="1"/>
    <x v="3"/>
    <x v="9"/>
    <n v="22"/>
    <x v="0"/>
  </r>
  <r>
    <d v="2024-07-22T00:00:00"/>
    <x v="3"/>
    <x v="1"/>
    <x v="0"/>
    <n v="47873223.420000002"/>
    <x v="3"/>
    <x v="1"/>
    <x v="0"/>
    <x v="14"/>
    <x v="1"/>
    <x v="3"/>
    <x v="1"/>
    <x v="3"/>
    <x v="9"/>
    <n v="22"/>
    <x v="0"/>
  </r>
  <r>
    <d v="2024-07-19T00:00:00"/>
    <x v="0"/>
    <x v="0"/>
    <x v="0"/>
    <n v="1350"/>
    <x v="0"/>
    <x v="0"/>
    <x v="0"/>
    <x v="0"/>
    <x v="1"/>
    <x v="3"/>
    <x v="1"/>
    <x v="3"/>
    <x v="9"/>
    <n v="19"/>
    <x v="0"/>
  </r>
  <r>
    <d v="2024-07-19T00:00:00"/>
    <x v="0"/>
    <x v="1"/>
    <x v="0"/>
    <n v="10382807.970000001"/>
    <x v="0"/>
    <x v="1"/>
    <x v="0"/>
    <x v="1"/>
    <x v="1"/>
    <x v="3"/>
    <x v="1"/>
    <x v="3"/>
    <x v="9"/>
    <n v="19"/>
    <x v="0"/>
  </r>
  <r>
    <d v="2024-07-19T00:00:00"/>
    <x v="3"/>
    <x v="3"/>
    <x v="2"/>
    <n v="12.92"/>
    <x v="3"/>
    <x v="3"/>
    <x v="2"/>
    <x v="2"/>
    <x v="1"/>
    <x v="3"/>
    <x v="1"/>
    <x v="3"/>
    <x v="9"/>
    <n v="19"/>
    <x v="0"/>
  </r>
  <r>
    <d v="2024-07-19T00:00:00"/>
    <x v="2"/>
    <x v="1"/>
    <x v="2"/>
    <n v="7300"/>
    <x v="2"/>
    <x v="1"/>
    <x v="2"/>
    <x v="3"/>
    <x v="1"/>
    <x v="3"/>
    <x v="1"/>
    <x v="3"/>
    <x v="9"/>
    <n v="19"/>
    <x v="0"/>
  </r>
  <r>
    <d v="2024-07-19T00:00:00"/>
    <x v="0"/>
    <x v="1"/>
    <x v="1"/>
    <n v="15668436.1"/>
    <x v="0"/>
    <x v="1"/>
    <x v="1"/>
    <x v="4"/>
    <x v="1"/>
    <x v="3"/>
    <x v="1"/>
    <x v="3"/>
    <x v="9"/>
    <n v="19"/>
    <x v="0"/>
  </r>
  <r>
    <d v="2024-07-19T00:00:00"/>
    <x v="2"/>
    <x v="1"/>
    <x v="0"/>
    <n v="97647939.280000001"/>
    <x v="2"/>
    <x v="1"/>
    <x v="0"/>
    <x v="8"/>
    <x v="1"/>
    <x v="3"/>
    <x v="1"/>
    <x v="3"/>
    <x v="9"/>
    <n v="19"/>
    <x v="0"/>
  </r>
  <r>
    <d v="2024-07-19T00:00:00"/>
    <x v="1"/>
    <x v="1"/>
    <x v="0"/>
    <n v="264327.83"/>
    <x v="1"/>
    <x v="1"/>
    <x v="0"/>
    <x v="5"/>
    <x v="1"/>
    <x v="3"/>
    <x v="1"/>
    <x v="3"/>
    <x v="9"/>
    <n v="19"/>
    <x v="0"/>
  </r>
  <r>
    <d v="2024-07-19T00:00:00"/>
    <x v="1"/>
    <x v="0"/>
    <x v="0"/>
    <n v="47598905.18"/>
    <x v="1"/>
    <x v="0"/>
    <x v="0"/>
    <x v="10"/>
    <x v="1"/>
    <x v="3"/>
    <x v="1"/>
    <x v="3"/>
    <x v="9"/>
    <n v="19"/>
    <x v="0"/>
  </r>
  <r>
    <d v="2024-07-19T00:00:00"/>
    <x v="1"/>
    <x v="0"/>
    <x v="1"/>
    <n v="163944351.34999999"/>
    <x v="1"/>
    <x v="0"/>
    <x v="1"/>
    <x v="11"/>
    <x v="1"/>
    <x v="3"/>
    <x v="1"/>
    <x v="3"/>
    <x v="9"/>
    <n v="19"/>
    <x v="0"/>
  </r>
  <r>
    <d v="2024-07-19T00:00:00"/>
    <x v="3"/>
    <x v="2"/>
    <x v="2"/>
    <n v="184692"/>
    <x v="3"/>
    <x v="2"/>
    <x v="2"/>
    <x v="6"/>
    <x v="1"/>
    <x v="3"/>
    <x v="1"/>
    <x v="3"/>
    <x v="9"/>
    <n v="19"/>
    <x v="0"/>
  </r>
  <r>
    <d v="2024-07-19T00:00:00"/>
    <x v="3"/>
    <x v="3"/>
    <x v="0"/>
    <n v="1190723507.8599999"/>
    <x v="3"/>
    <x v="3"/>
    <x v="0"/>
    <x v="7"/>
    <x v="1"/>
    <x v="3"/>
    <x v="1"/>
    <x v="3"/>
    <x v="9"/>
    <n v="19"/>
    <x v="0"/>
  </r>
  <r>
    <d v="2024-07-19T00:00:00"/>
    <x v="2"/>
    <x v="1"/>
    <x v="1"/>
    <n v="132745638.39"/>
    <x v="2"/>
    <x v="1"/>
    <x v="1"/>
    <x v="9"/>
    <x v="1"/>
    <x v="3"/>
    <x v="1"/>
    <x v="3"/>
    <x v="9"/>
    <n v="19"/>
    <x v="0"/>
  </r>
  <r>
    <d v="2024-07-19T00:00:00"/>
    <x v="3"/>
    <x v="2"/>
    <x v="1"/>
    <n v="11966704789.74"/>
    <x v="3"/>
    <x v="2"/>
    <x v="1"/>
    <x v="12"/>
    <x v="1"/>
    <x v="3"/>
    <x v="1"/>
    <x v="3"/>
    <x v="9"/>
    <n v="19"/>
    <x v="0"/>
  </r>
  <r>
    <d v="2024-07-19T00:00:00"/>
    <x v="3"/>
    <x v="2"/>
    <x v="0"/>
    <n v="439736923.41000003"/>
    <x v="3"/>
    <x v="2"/>
    <x v="0"/>
    <x v="13"/>
    <x v="1"/>
    <x v="3"/>
    <x v="1"/>
    <x v="3"/>
    <x v="9"/>
    <n v="19"/>
    <x v="0"/>
  </r>
  <r>
    <d v="2024-07-19T00:00:00"/>
    <x v="3"/>
    <x v="1"/>
    <x v="0"/>
    <n v="15813630.41"/>
    <x v="3"/>
    <x v="1"/>
    <x v="0"/>
    <x v="14"/>
    <x v="1"/>
    <x v="3"/>
    <x v="1"/>
    <x v="3"/>
    <x v="9"/>
    <n v="19"/>
    <x v="0"/>
  </r>
  <r>
    <d v="2024-07-18T00:00:00"/>
    <x v="0"/>
    <x v="1"/>
    <x v="0"/>
    <n v="12901024.01"/>
    <x v="0"/>
    <x v="1"/>
    <x v="0"/>
    <x v="0"/>
    <x v="1"/>
    <x v="3"/>
    <x v="1"/>
    <x v="3"/>
    <x v="9"/>
    <n v="18"/>
    <x v="0"/>
  </r>
  <r>
    <d v="2024-07-18T00:00:00"/>
    <x v="2"/>
    <x v="1"/>
    <x v="0"/>
    <n v="91994726.540000007"/>
    <x v="2"/>
    <x v="1"/>
    <x v="0"/>
    <x v="6"/>
    <x v="1"/>
    <x v="3"/>
    <x v="1"/>
    <x v="3"/>
    <x v="9"/>
    <n v="18"/>
    <x v="0"/>
  </r>
  <r>
    <d v="2024-07-18T00:00:00"/>
    <x v="3"/>
    <x v="3"/>
    <x v="1"/>
    <n v="1874632.89"/>
    <x v="3"/>
    <x v="3"/>
    <x v="1"/>
    <x v="1"/>
    <x v="1"/>
    <x v="3"/>
    <x v="1"/>
    <x v="3"/>
    <x v="9"/>
    <n v="18"/>
    <x v="0"/>
  </r>
  <r>
    <d v="2024-07-18T00:00:00"/>
    <x v="0"/>
    <x v="1"/>
    <x v="1"/>
    <n v="9651247.2699999996"/>
    <x v="0"/>
    <x v="1"/>
    <x v="1"/>
    <x v="2"/>
    <x v="1"/>
    <x v="3"/>
    <x v="1"/>
    <x v="3"/>
    <x v="9"/>
    <n v="18"/>
    <x v="0"/>
  </r>
  <r>
    <d v="2024-07-18T00:00:00"/>
    <x v="1"/>
    <x v="1"/>
    <x v="0"/>
    <n v="208767.68"/>
    <x v="1"/>
    <x v="1"/>
    <x v="0"/>
    <x v="3"/>
    <x v="1"/>
    <x v="3"/>
    <x v="1"/>
    <x v="3"/>
    <x v="9"/>
    <n v="18"/>
    <x v="0"/>
  </r>
  <r>
    <d v="2024-07-18T00:00:00"/>
    <x v="3"/>
    <x v="3"/>
    <x v="0"/>
    <n v="1166700725.9100001"/>
    <x v="3"/>
    <x v="3"/>
    <x v="0"/>
    <x v="7"/>
    <x v="1"/>
    <x v="3"/>
    <x v="1"/>
    <x v="3"/>
    <x v="9"/>
    <n v="18"/>
    <x v="0"/>
  </r>
  <r>
    <d v="2024-07-18T00:00:00"/>
    <x v="2"/>
    <x v="1"/>
    <x v="1"/>
    <n v="249971360.68000001"/>
    <x v="2"/>
    <x v="1"/>
    <x v="1"/>
    <x v="8"/>
    <x v="1"/>
    <x v="3"/>
    <x v="1"/>
    <x v="3"/>
    <x v="9"/>
    <n v="18"/>
    <x v="0"/>
  </r>
  <r>
    <d v="2024-07-18T00:00:00"/>
    <x v="2"/>
    <x v="1"/>
    <x v="2"/>
    <n v="24142.91"/>
    <x v="2"/>
    <x v="1"/>
    <x v="2"/>
    <x v="4"/>
    <x v="1"/>
    <x v="3"/>
    <x v="1"/>
    <x v="3"/>
    <x v="9"/>
    <n v="18"/>
    <x v="0"/>
  </r>
  <r>
    <d v="2024-07-18T00:00:00"/>
    <x v="3"/>
    <x v="2"/>
    <x v="2"/>
    <n v="353318.77"/>
    <x v="3"/>
    <x v="2"/>
    <x v="2"/>
    <x v="5"/>
    <x v="1"/>
    <x v="3"/>
    <x v="1"/>
    <x v="3"/>
    <x v="9"/>
    <n v="18"/>
    <x v="0"/>
  </r>
  <r>
    <d v="2024-07-18T00:00:00"/>
    <x v="1"/>
    <x v="0"/>
    <x v="0"/>
    <n v="56437300.880000003"/>
    <x v="1"/>
    <x v="0"/>
    <x v="0"/>
    <x v="9"/>
    <x v="1"/>
    <x v="3"/>
    <x v="1"/>
    <x v="3"/>
    <x v="9"/>
    <n v="18"/>
    <x v="0"/>
  </r>
  <r>
    <d v="2024-07-18T00:00:00"/>
    <x v="1"/>
    <x v="0"/>
    <x v="1"/>
    <n v="353873768.13999999"/>
    <x v="1"/>
    <x v="0"/>
    <x v="1"/>
    <x v="10"/>
    <x v="1"/>
    <x v="3"/>
    <x v="1"/>
    <x v="3"/>
    <x v="9"/>
    <n v="18"/>
    <x v="0"/>
  </r>
  <r>
    <d v="2024-07-18T00:00:00"/>
    <x v="3"/>
    <x v="2"/>
    <x v="1"/>
    <n v="4111915471.1900001"/>
    <x v="3"/>
    <x v="2"/>
    <x v="1"/>
    <x v="11"/>
    <x v="1"/>
    <x v="3"/>
    <x v="1"/>
    <x v="3"/>
    <x v="9"/>
    <n v="18"/>
    <x v="0"/>
  </r>
  <r>
    <d v="2024-07-18T00:00:00"/>
    <x v="3"/>
    <x v="2"/>
    <x v="0"/>
    <n v="440879179.57999998"/>
    <x v="3"/>
    <x v="2"/>
    <x v="0"/>
    <x v="12"/>
    <x v="1"/>
    <x v="3"/>
    <x v="1"/>
    <x v="3"/>
    <x v="9"/>
    <n v="18"/>
    <x v="0"/>
  </r>
  <r>
    <d v="2024-07-18T00:00:00"/>
    <x v="3"/>
    <x v="1"/>
    <x v="0"/>
    <n v="15475425.16"/>
    <x v="3"/>
    <x v="1"/>
    <x v="0"/>
    <x v="13"/>
    <x v="1"/>
    <x v="3"/>
    <x v="1"/>
    <x v="3"/>
    <x v="9"/>
    <n v="18"/>
    <x v="0"/>
  </r>
  <r>
    <d v="2024-07-17T00:00:00"/>
    <x v="0"/>
    <x v="0"/>
    <x v="0"/>
    <n v="1475"/>
    <x v="0"/>
    <x v="0"/>
    <x v="0"/>
    <x v="0"/>
    <x v="1"/>
    <x v="3"/>
    <x v="1"/>
    <x v="3"/>
    <x v="9"/>
    <n v="17"/>
    <x v="0"/>
  </r>
  <r>
    <d v="2024-07-17T00:00:00"/>
    <x v="0"/>
    <x v="1"/>
    <x v="0"/>
    <n v="9763213.4900000002"/>
    <x v="0"/>
    <x v="1"/>
    <x v="0"/>
    <x v="1"/>
    <x v="1"/>
    <x v="3"/>
    <x v="1"/>
    <x v="3"/>
    <x v="9"/>
    <n v="17"/>
    <x v="0"/>
  </r>
  <r>
    <d v="2024-07-17T00:00:00"/>
    <x v="2"/>
    <x v="1"/>
    <x v="2"/>
    <n v="10031.67"/>
    <x v="2"/>
    <x v="1"/>
    <x v="2"/>
    <x v="2"/>
    <x v="1"/>
    <x v="3"/>
    <x v="1"/>
    <x v="3"/>
    <x v="9"/>
    <n v="17"/>
    <x v="0"/>
  </r>
  <r>
    <d v="2024-07-17T00:00:00"/>
    <x v="3"/>
    <x v="3"/>
    <x v="1"/>
    <n v="1430656"/>
    <x v="3"/>
    <x v="3"/>
    <x v="1"/>
    <x v="3"/>
    <x v="1"/>
    <x v="3"/>
    <x v="1"/>
    <x v="3"/>
    <x v="9"/>
    <n v="17"/>
    <x v="0"/>
  </r>
  <r>
    <d v="2024-07-17T00:00:00"/>
    <x v="0"/>
    <x v="1"/>
    <x v="1"/>
    <n v="51121163.520000003"/>
    <x v="0"/>
    <x v="1"/>
    <x v="1"/>
    <x v="4"/>
    <x v="1"/>
    <x v="3"/>
    <x v="1"/>
    <x v="3"/>
    <x v="9"/>
    <n v="17"/>
    <x v="0"/>
  </r>
  <r>
    <d v="2024-07-17T00:00:00"/>
    <x v="2"/>
    <x v="1"/>
    <x v="0"/>
    <n v="76033512.219999999"/>
    <x v="2"/>
    <x v="1"/>
    <x v="0"/>
    <x v="9"/>
    <x v="1"/>
    <x v="3"/>
    <x v="1"/>
    <x v="3"/>
    <x v="9"/>
    <n v="17"/>
    <x v="0"/>
  </r>
  <r>
    <d v="2024-07-17T00:00:00"/>
    <x v="1"/>
    <x v="1"/>
    <x v="0"/>
    <n v="876959.67"/>
    <x v="1"/>
    <x v="1"/>
    <x v="0"/>
    <x v="5"/>
    <x v="1"/>
    <x v="3"/>
    <x v="1"/>
    <x v="3"/>
    <x v="9"/>
    <n v="17"/>
    <x v="0"/>
  </r>
  <r>
    <d v="2024-07-17T00:00:00"/>
    <x v="3"/>
    <x v="3"/>
    <x v="2"/>
    <n v="-5"/>
    <x v="3"/>
    <x v="3"/>
    <x v="2"/>
    <x v="6"/>
    <x v="1"/>
    <x v="3"/>
    <x v="1"/>
    <x v="3"/>
    <x v="9"/>
    <n v="17"/>
    <x v="1"/>
  </r>
  <r>
    <d v="2024-07-17T00:00:00"/>
    <x v="3"/>
    <x v="2"/>
    <x v="2"/>
    <n v="187867"/>
    <x v="3"/>
    <x v="2"/>
    <x v="2"/>
    <x v="7"/>
    <x v="1"/>
    <x v="3"/>
    <x v="1"/>
    <x v="3"/>
    <x v="9"/>
    <n v="17"/>
    <x v="0"/>
  </r>
  <r>
    <d v="2024-07-17T00:00:00"/>
    <x v="2"/>
    <x v="1"/>
    <x v="1"/>
    <n v="128312830.8"/>
    <x v="2"/>
    <x v="1"/>
    <x v="1"/>
    <x v="10"/>
    <x v="1"/>
    <x v="3"/>
    <x v="1"/>
    <x v="3"/>
    <x v="9"/>
    <n v="17"/>
    <x v="0"/>
  </r>
  <r>
    <d v="2024-07-17T00:00:00"/>
    <x v="1"/>
    <x v="0"/>
    <x v="1"/>
    <n v="550247732.08000004"/>
    <x v="1"/>
    <x v="0"/>
    <x v="1"/>
    <x v="11"/>
    <x v="1"/>
    <x v="3"/>
    <x v="1"/>
    <x v="3"/>
    <x v="9"/>
    <n v="17"/>
    <x v="0"/>
  </r>
  <r>
    <d v="2024-07-17T00:00:00"/>
    <x v="1"/>
    <x v="0"/>
    <x v="0"/>
    <n v="94337368.150000006"/>
    <x v="1"/>
    <x v="0"/>
    <x v="0"/>
    <x v="12"/>
    <x v="1"/>
    <x v="3"/>
    <x v="1"/>
    <x v="3"/>
    <x v="9"/>
    <n v="17"/>
    <x v="0"/>
  </r>
  <r>
    <d v="2024-07-17T00:00:00"/>
    <x v="3"/>
    <x v="3"/>
    <x v="0"/>
    <n v="1191729911.99"/>
    <x v="3"/>
    <x v="3"/>
    <x v="0"/>
    <x v="8"/>
    <x v="1"/>
    <x v="3"/>
    <x v="1"/>
    <x v="3"/>
    <x v="9"/>
    <n v="17"/>
    <x v="0"/>
  </r>
  <r>
    <d v="2024-07-17T00:00:00"/>
    <x v="3"/>
    <x v="1"/>
    <x v="0"/>
    <n v="16106206.23"/>
    <x v="3"/>
    <x v="1"/>
    <x v="0"/>
    <x v="13"/>
    <x v="1"/>
    <x v="3"/>
    <x v="1"/>
    <x v="3"/>
    <x v="9"/>
    <n v="17"/>
    <x v="0"/>
  </r>
  <r>
    <d v="2024-07-17T00:00:00"/>
    <x v="3"/>
    <x v="2"/>
    <x v="0"/>
    <n v="481446627.12"/>
    <x v="3"/>
    <x v="2"/>
    <x v="0"/>
    <x v="14"/>
    <x v="1"/>
    <x v="3"/>
    <x v="1"/>
    <x v="3"/>
    <x v="9"/>
    <n v="17"/>
    <x v="0"/>
  </r>
  <r>
    <d v="2024-07-17T00:00:00"/>
    <x v="3"/>
    <x v="2"/>
    <x v="1"/>
    <n v="11190125732.85"/>
    <x v="3"/>
    <x v="2"/>
    <x v="1"/>
    <x v="15"/>
    <x v="1"/>
    <x v="3"/>
    <x v="1"/>
    <x v="3"/>
    <x v="9"/>
    <n v="17"/>
    <x v="0"/>
  </r>
  <r>
    <d v="2024-07-16T00:00:00"/>
    <x v="0"/>
    <x v="0"/>
    <x v="0"/>
    <n v="700"/>
    <x v="0"/>
    <x v="0"/>
    <x v="0"/>
    <x v="0"/>
    <x v="1"/>
    <x v="3"/>
    <x v="1"/>
    <x v="3"/>
    <x v="9"/>
    <n v="16"/>
    <x v="0"/>
  </r>
  <r>
    <d v="2024-07-16T00:00:00"/>
    <x v="1"/>
    <x v="1"/>
    <x v="0"/>
    <n v="45078.73"/>
    <x v="1"/>
    <x v="1"/>
    <x v="0"/>
    <x v="1"/>
    <x v="1"/>
    <x v="3"/>
    <x v="1"/>
    <x v="3"/>
    <x v="9"/>
    <n v="16"/>
    <x v="0"/>
  </r>
  <r>
    <d v="2024-07-16T00:00:00"/>
    <x v="0"/>
    <x v="1"/>
    <x v="0"/>
    <n v="15365471.710000001"/>
    <x v="0"/>
    <x v="1"/>
    <x v="0"/>
    <x v="2"/>
    <x v="1"/>
    <x v="3"/>
    <x v="1"/>
    <x v="3"/>
    <x v="9"/>
    <n v="16"/>
    <x v="0"/>
  </r>
  <r>
    <d v="2024-07-16T00:00:00"/>
    <x v="2"/>
    <x v="1"/>
    <x v="2"/>
    <n v="9738.34"/>
    <x v="2"/>
    <x v="1"/>
    <x v="2"/>
    <x v="3"/>
    <x v="1"/>
    <x v="3"/>
    <x v="1"/>
    <x v="3"/>
    <x v="9"/>
    <n v="16"/>
    <x v="0"/>
  </r>
  <r>
    <d v="2024-07-16T00:00:00"/>
    <x v="2"/>
    <x v="1"/>
    <x v="0"/>
    <n v="91037949.109999999"/>
    <x v="2"/>
    <x v="1"/>
    <x v="0"/>
    <x v="6"/>
    <x v="1"/>
    <x v="3"/>
    <x v="1"/>
    <x v="3"/>
    <x v="9"/>
    <n v="16"/>
    <x v="0"/>
  </r>
  <r>
    <d v="2024-07-16T00:00:00"/>
    <x v="0"/>
    <x v="1"/>
    <x v="1"/>
    <n v="26787610.559999999"/>
    <x v="0"/>
    <x v="1"/>
    <x v="1"/>
    <x v="4"/>
    <x v="1"/>
    <x v="3"/>
    <x v="1"/>
    <x v="3"/>
    <x v="9"/>
    <n v="16"/>
    <x v="0"/>
  </r>
  <r>
    <d v="2024-07-16T00:00:00"/>
    <x v="3"/>
    <x v="3"/>
    <x v="0"/>
    <n v="1507879918.8"/>
    <x v="3"/>
    <x v="3"/>
    <x v="0"/>
    <x v="7"/>
    <x v="1"/>
    <x v="3"/>
    <x v="1"/>
    <x v="3"/>
    <x v="9"/>
    <n v="16"/>
    <x v="0"/>
  </r>
  <r>
    <d v="2024-07-16T00:00:00"/>
    <x v="2"/>
    <x v="1"/>
    <x v="1"/>
    <n v="110725908.01000001"/>
    <x v="2"/>
    <x v="1"/>
    <x v="1"/>
    <x v="8"/>
    <x v="1"/>
    <x v="3"/>
    <x v="1"/>
    <x v="3"/>
    <x v="9"/>
    <n v="16"/>
    <x v="0"/>
  </r>
  <r>
    <d v="2024-07-16T00:00:00"/>
    <x v="3"/>
    <x v="2"/>
    <x v="2"/>
    <n v="261988"/>
    <x v="3"/>
    <x v="2"/>
    <x v="2"/>
    <x v="5"/>
    <x v="1"/>
    <x v="3"/>
    <x v="1"/>
    <x v="3"/>
    <x v="9"/>
    <n v="16"/>
    <x v="0"/>
  </r>
  <r>
    <d v="2024-07-16T00:00:00"/>
    <x v="1"/>
    <x v="0"/>
    <x v="1"/>
    <n v="332078932.54000002"/>
    <x v="1"/>
    <x v="0"/>
    <x v="1"/>
    <x v="9"/>
    <x v="1"/>
    <x v="3"/>
    <x v="1"/>
    <x v="3"/>
    <x v="9"/>
    <n v="16"/>
    <x v="0"/>
  </r>
  <r>
    <d v="2024-07-16T00:00:00"/>
    <x v="1"/>
    <x v="0"/>
    <x v="0"/>
    <n v="88220667.519999996"/>
    <x v="1"/>
    <x v="0"/>
    <x v="0"/>
    <x v="10"/>
    <x v="1"/>
    <x v="3"/>
    <x v="1"/>
    <x v="3"/>
    <x v="9"/>
    <n v="16"/>
    <x v="0"/>
  </r>
  <r>
    <d v="2024-07-16T00:00:00"/>
    <x v="3"/>
    <x v="1"/>
    <x v="0"/>
    <n v="15431050.52"/>
    <x v="3"/>
    <x v="1"/>
    <x v="0"/>
    <x v="11"/>
    <x v="1"/>
    <x v="3"/>
    <x v="1"/>
    <x v="3"/>
    <x v="9"/>
    <n v="16"/>
    <x v="0"/>
  </r>
  <r>
    <d v="2024-07-16T00:00:00"/>
    <x v="3"/>
    <x v="2"/>
    <x v="0"/>
    <n v="724617866.44000006"/>
    <x v="3"/>
    <x v="2"/>
    <x v="0"/>
    <x v="12"/>
    <x v="1"/>
    <x v="3"/>
    <x v="1"/>
    <x v="3"/>
    <x v="9"/>
    <n v="16"/>
    <x v="0"/>
  </r>
  <r>
    <d v="2024-07-16T00:00:00"/>
    <x v="3"/>
    <x v="2"/>
    <x v="1"/>
    <n v="17083547213.32"/>
    <x v="3"/>
    <x v="2"/>
    <x v="1"/>
    <x v="13"/>
    <x v="1"/>
    <x v="3"/>
    <x v="1"/>
    <x v="3"/>
    <x v="9"/>
    <n v="16"/>
    <x v="0"/>
  </r>
  <r>
    <d v="2024-07-15T00:00:00"/>
    <x v="1"/>
    <x v="1"/>
    <x v="0"/>
    <n v="65927.44"/>
    <x v="1"/>
    <x v="1"/>
    <x v="0"/>
    <x v="0"/>
    <x v="1"/>
    <x v="3"/>
    <x v="1"/>
    <x v="3"/>
    <x v="9"/>
    <n v="15"/>
    <x v="0"/>
  </r>
  <r>
    <d v="2024-07-15T00:00:00"/>
    <x v="0"/>
    <x v="1"/>
    <x v="0"/>
    <n v="15356105.380000001"/>
    <x v="0"/>
    <x v="1"/>
    <x v="0"/>
    <x v="1"/>
    <x v="1"/>
    <x v="3"/>
    <x v="1"/>
    <x v="3"/>
    <x v="9"/>
    <n v="15"/>
    <x v="0"/>
  </r>
  <r>
    <d v="2024-07-15T00:00:00"/>
    <x v="3"/>
    <x v="2"/>
    <x v="2"/>
    <n v="180492.02"/>
    <x v="3"/>
    <x v="2"/>
    <x v="2"/>
    <x v="6"/>
    <x v="1"/>
    <x v="3"/>
    <x v="1"/>
    <x v="3"/>
    <x v="9"/>
    <n v="15"/>
    <x v="0"/>
  </r>
  <r>
    <d v="2024-07-15T00:00:00"/>
    <x v="3"/>
    <x v="3"/>
    <x v="2"/>
    <n v="764333.13"/>
    <x v="3"/>
    <x v="3"/>
    <x v="2"/>
    <x v="2"/>
    <x v="1"/>
    <x v="3"/>
    <x v="1"/>
    <x v="3"/>
    <x v="9"/>
    <n v="15"/>
    <x v="0"/>
  </r>
  <r>
    <d v="2024-07-15T00:00:00"/>
    <x v="3"/>
    <x v="3"/>
    <x v="1"/>
    <n v="11162"/>
    <x v="3"/>
    <x v="3"/>
    <x v="1"/>
    <x v="3"/>
    <x v="1"/>
    <x v="3"/>
    <x v="1"/>
    <x v="3"/>
    <x v="9"/>
    <n v="15"/>
    <x v="0"/>
  </r>
  <r>
    <d v="2024-07-15T00:00:00"/>
    <x v="0"/>
    <x v="1"/>
    <x v="1"/>
    <n v="1567875.65"/>
    <x v="0"/>
    <x v="1"/>
    <x v="1"/>
    <x v="4"/>
    <x v="1"/>
    <x v="3"/>
    <x v="1"/>
    <x v="3"/>
    <x v="9"/>
    <n v="15"/>
    <x v="0"/>
  </r>
  <r>
    <d v="2024-07-15T00:00:00"/>
    <x v="2"/>
    <x v="1"/>
    <x v="0"/>
    <n v="76741941.099999994"/>
    <x v="2"/>
    <x v="1"/>
    <x v="0"/>
    <x v="7"/>
    <x v="1"/>
    <x v="3"/>
    <x v="1"/>
    <x v="3"/>
    <x v="9"/>
    <n v="15"/>
    <x v="0"/>
  </r>
  <r>
    <d v="2024-07-15T00:00:00"/>
    <x v="3"/>
    <x v="3"/>
    <x v="0"/>
    <n v="2161251576.8899999"/>
    <x v="3"/>
    <x v="3"/>
    <x v="0"/>
    <x v="8"/>
    <x v="1"/>
    <x v="3"/>
    <x v="1"/>
    <x v="3"/>
    <x v="9"/>
    <n v="15"/>
    <x v="0"/>
  </r>
  <r>
    <d v="2024-07-15T00:00:00"/>
    <x v="2"/>
    <x v="1"/>
    <x v="1"/>
    <n v="213856013.12"/>
    <x v="2"/>
    <x v="1"/>
    <x v="1"/>
    <x v="9"/>
    <x v="1"/>
    <x v="3"/>
    <x v="1"/>
    <x v="3"/>
    <x v="9"/>
    <n v="15"/>
    <x v="0"/>
  </r>
  <r>
    <d v="2024-07-15T00:00:00"/>
    <x v="2"/>
    <x v="1"/>
    <x v="2"/>
    <n v="8570.35"/>
    <x v="2"/>
    <x v="1"/>
    <x v="2"/>
    <x v="5"/>
    <x v="1"/>
    <x v="3"/>
    <x v="1"/>
    <x v="3"/>
    <x v="9"/>
    <n v="15"/>
    <x v="0"/>
  </r>
  <r>
    <d v="2024-07-15T00:00:00"/>
    <x v="1"/>
    <x v="0"/>
    <x v="1"/>
    <n v="290022382.42000002"/>
    <x v="1"/>
    <x v="0"/>
    <x v="1"/>
    <x v="10"/>
    <x v="1"/>
    <x v="3"/>
    <x v="1"/>
    <x v="3"/>
    <x v="9"/>
    <n v="15"/>
    <x v="0"/>
  </r>
  <r>
    <d v="2024-07-15T00:00:00"/>
    <x v="1"/>
    <x v="0"/>
    <x v="0"/>
    <n v="51897152.289999999"/>
    <x v="1"/>
    <x v="0"/>
    <x v="0"/>
    <x v="11"/>
    <x v="1"/>
    <x v="3"/>
    <x v="1"/>
    <x v="3"/>
    <x v="9"/>
    <n v="15"/>
    <x v="0"/>
  </r>
  <r>
    <d v="2024-07-15T00:00:00"/>
    <x v="3"/>
    <x v="2"/>
    <x v="0"/>
    <n v="783336553.73000002"/>
    <x v="3"/>
    <x v="2"/>
    <x v="0"/>
    <x v="12"/>
    <x v="1"/>
    <x v="3"/>
    <x v="1"/>
    <x v="3"/>
    <x v="9"/>
    <n v="15"/>
    <x v="0"/>
  </r>
  <r>
    <d v="2024-07-15T00:00:00"/>
    <x v="3"/>
    <x v="2"/>
    <x v="1"/>
    <n v="36994840194.459999"/>
    <x v="3"/>
    <x v="2"/>
    <x v="1"/>
    <x v="13"/>
    <x v="1"/>
    <x v="3"/>
    <x v="1"/>
    <x v="3"/>
    <x v="9"/>
    <n v="15"/>
    <x v="0"/>
  </r>
  <r>
    <d v="2024-07-15T00:00:00"/>
    <x v="3"/>
    <x v="1"/>
    <x v="0"/>
    <n v="52281628.240000002"/>
    <x v="3"/>
    <x v="1"/>
    <x v="0"/>
    <x v="14"/>
    <x v="1"/>
    <x v="3"/>
    <x v="1"/>
    <x v="3"/>
    <x v="9"/>
    <n v="15"/>
    <x v="0"/>
  </r>
  <r>
    <d v="2024-07-12T00:00:00"/>
    <x v="0"/>
    <x v="0"/>
    <x v="0"/>
    <n v="35"/>
    <x v="0"/>
    <x v="0"/>
    <x v="0"/>
    <x v="0"/>
    <x v="1"/>
    <x v="3"/>
    <x v="1"/>
    <x v="3"/>
    <x v="9"/>
    <n v="12"/>
    <x v="0"/>
  </r>
  <r>
    <d v="2024-07-12T00:00:00"/>
    <x v="0"/>
    <x v="1"/>
    <x v="0"/>
    <n v="38029222.259999998"/>
    <x v="0"/>
    <x v="1"/>
    <x v="0"/>
    <x v="1"/>
    <x v="1"/>
    <x v="3"/>
    <x v="1"/>
    <x v="3"/>
    <x v="9"/>
    <n v="12"/>
    <x v="0"/>
  </r>
  <r>
    <d v="2024-07-12T00:00:00"/>
    <x v="3"/>
    <x v="2"/>
    <x v="2"/>
    <n v="93848"/>
    <x v="3"/>
    <x v="2"/>
    <x v="2"/>
    <x v="6"/>
    <x v="1"/>
    <x v="3"/>
    <x v="1"/>
    <x v="3"/>
    <x v="9"/>
    <n v="12"/>
    <x v="0"/>
  </r>
  <r>
    <d v="2024-07-12T00:00:00"/>
    <x v="3"/>
    <x v="3"/>
    <x v="2"/>
    <n v="100"/>
    <x v="3"/>
    <x v="3"/>
    <x v="2"/>
    <x v="2"/>
    <x v="1"/>
    <x v="3"/>
    <x v="1"/>
    <x v="3"/>
    <x v="9"/>
    <n v="12"/>
    <x v="0"/>
  </r>
  <r>
    <d v="2024-07-12T00:00:00"/>
    <x v="2"/>
    <x v="1"/>
    <x v="2"/>
    <n v="5365"/>
    <x v="2"/>
    <x v="1"/>
    <x v="2"/>
    <x v="3"/>
    <x v="1"/>
    <x v="3"/>
    <x v="1"/>
    <x v="3"/>
    <x v="9"/>
    <n v="12"/>
    <x v="0"/>
  </r>
  <r>
    <d v="2024-07-12T00:00:00"/>
    <x v="0"/>
    <x v="1"/>
    <x v="1"/>
    <n v="1102576.3400000001"/>
    <x v="0"/>
    <x v="1"/>
    <x v="1"/>
    <x v="4"/>
    <x v="1"/>
    <x v="3"/>
    <x v="1"/>
    <x v="3"/>
    <x v="9"/>
    <n v="12"/>
    <x v="0"/>
  </r>
  <r>
    <d v="2024-07-12T00:00:00"/>
    <x v="1"/>
    <x v="1"/>
    <x v="0"/>
    <n v="223242.97"/>
    <x v="1"/>
    <x v="1"/>
    <x v="0"/>
    <x v="5"/>
    <x v="1"/>
    <x v="3"/>
    <x v="1"/>
    <x v="3"/>
    <x v="9"/>
    <n v="12"/>
    <x v="0"/>
  </r>
  <r>
    <d v="2024-07-12T00:00:00"/>
    <x v="1"/>
    <x v="0"/>
    <x v="1"/>
    <n v="145621390.84999999"/>
    <x v="1"/>
    <x v="0"/>
    <x v="1"/>
    <x v="10"/>
    <x v="1"/>
    <x v="3"/>
    <x v="1"/>
    <x v="3"/>
    <x v="9"/>
    <n v="12"/>
    <x v="0"/>
  </r>
  <r>
    <d v="2024-07-12T00:00:00"/>
    <x v="1"/>
    <x v="0"/>
    <x v="0"/>
    <n v="38260045.799999997"/>
    <x v="1"/>
    <x v="0"/>
    <x v="0"/>
    <x v="11"/>
    <x v="1"/>
    <x v="3"/>
    <x v="1"/>
    <x v="3"/>
    <x v="9"/>
    <n v="12"/>
    <x v="0"/>
  </r>
  <r>
    <d v="2024-07-12T00:00:00"/>
    <x v="3"/>
    <x v="3"/>
    <x v="0"/>
    <n v="2260981512.02"/>
    <x v="3"/>
    <x v="3"/>
    <x v="0"/>
    <x v="7"/>
    <x v="1"/>
    <x v="3"/>
    <x v="1"/>
    <x v="3"/>
    <x v="9"/>
    <n v="12"/>
    <x v="0"/>
  </r>
  <r>
    <d v="2024-07-12T00:00:00"/>
    <x v="2"/>
    <x v="1"/>
    <x v="0"/>
    <n v="85989550.659999996"/>
    <x v="2"/>
    <x v="1"/>
    <x v="0"/>
    <x v="8"/>
    <x v="1"/>
    <x v="3"/>
    <x v="1"/>
    <x v="3"/>
    <x v="9"/>
    <n v="12"/>
    <x v="0"/>
  </r>
  <r>
    <d v="2024-07-12T00:00:00"/>
    <x v="2"/>
    <x v="1"/>
    <x v="1"/>
    <n v="90302688.519999996"/>
    <x v="2"/>
    <x v="1"/>
    <x v="1"/>
    <x v="9"/>
    <x v="1"/>
    <x v="3"/>
    <x v="1"/>
    <x v="3"/>
    <x v="9"/>
    <n v="12"/>
    <x v="0"/>
  </r>
  <r>
    <d v="2024-07-12T00:00:00"/>
    <x v="3"/>
    <x v="2"/>
    <x v="1"/>
    <n v="12264919850.059999"/>
    <x v="3"/>
    <x v="2"/>
    <x v="1"/>
    <x v="12"/>
    <x v="1"/>
    <x v="3"/>
    <x v="1"/>
    <x v="3"/>
    <x v="9"/>
    <n v="12"/>
    <x v="0"/>
  </r>
  <r>
    <d v="2024-07-12T00:00:00"/>
    <x v="3"/>
    <x v="2"/>
    <x v="0"/>
    <n v="697310204.82000005"/>
    <x v="3"/>
    <x v="2"/>
    <x v="0"/>
    <x v="13"/>
    <x v="1"/>
    <x v="3"/>
    <x v="1"/>
    <x v="3"/>
    <x v="9"/>
    <n v="12"/>
    <x v="0"/>
  </r>
  <r>
    <d v="2024-07-12T00:00:00"/>
    <x v="3"/>
    <x v="1"/>
    <x v="0"/>
    <n v="16004988.82"/>
    <x v="3"/>
    <x v="1"/>
    <x v="0"/>
    <x v="14"/>
    <x v="1"/>
    <x v="3"/>
    <x v="1"/>
    <x v="3"/>
    <x v="9"/>
    <n v="12"/>
    <x v="0"/>
  </r>
  <r>
    <d v="2024-07-11T00:00:00"/>
    <x v="1"/>
    <x v="1"/>
    <x v="0"/>
    <n v="652396.68999999994"/>
    <x v="1"/>
    <x v="1"/>
    <x v="0"/>
    <x v="0"/>
    <x v="1"/>
    <x v="3"/>
    <x v="1"/>
    <x v="3"/>
    <x v="9"/>
    <n v="11"/>
    <x v="0"/>
  </r>
  <r>
    <d v="2024-07-11T00:00:00"/>
    <x v="0"/>
    <x v="1"/>
    <x v="0"/>
    <n v="16423099.060000001"/>
    <x v="0"/>
    <x v="1"/>
    <x v="0"/>
    <x v="1"/>
    <x v="1"/>
    <x v="3"/>
    <x v="1"/>
    <x v="3"/>
    <x v="9"/>
    <n v="11"/>
    <x v="0"/>
  </r>
  <r>
    <d v="2024-07-11T00:00:00"/>
    <x v="2"/>
    <x v="1"/>
    <x v="2"/>
    <n v="4755.1000000000004"/>
    <x v="2"/>
    <x v="1"/>
    <x v="2"/>
    <x v="2"/>
    <x v="1"/>
    <x v="3"/>
    <x v="1"/>
    <x v="3"/>
    <x v="9"/>
    <n v="11"/>
    <x v="0"/>
  </r>
  <r>
    <d v="2024-07-11T00:00:00"/>
    <x v="2"/>
    <x v="1"/>
    <x v="0"/>
    <n v="60018142.700000003"/>
    <x v="2"/>
    <x v="1"/>
    <x v="0"/>
    <x v="6"/>
    <x v="1"/>
    <x v="3"/>
    <x v="1"/>
    <x v="3"/>
    <x v="9"/>
    <n v="11"/>
    <x v="0"/>
  </r>
  <r>
    <d v="2024-07-11T00:00:00"/>
    <x v="3"/>
    <x v="3"/>
    <x v="1"/>
    <n v="513"/>
    <x v="3"/>
    <x v="3"/>
    <x v="1"/>
    <x v="3"/>
    <x v="1"/>
    <x v="3"/>
    <x v="1"/>
    <x v="3"/>
    <x v="9"/>
    <n v="11"/>
    <x v="0"/>
  </r>
  <r>
    <d v="2024-07-11T00:00:00"/>
    <x v="0"/>
    <x v="1"/>
    <x v="1"/>
    <n v="5073003.6500000004"/>
    <x v="0"/>
    <x v="1"/>
    <x v="1"/>
    <x v="4"/>
    <x v="1"/>
    <x v="3"/>
    <x v="1"/>
    <x v="3"/>
    <x v="9"/>
    <n v="11"/>
    <x v="0"/>
  </r>
  <r>
    <d v="2024-07-11T00:00:00"/>
    <x v="3"/>
    <x v="2"/>
    <x v="2"/>
    <n v="151419.37"/>
    <x v="3"/>
    <x v="2"/>
    <x v="2"/>
    <x v="5"/>
    <x v="1"/>
    <x v="3"/>
    <x v="1"/>
    <x v="3"/>
    <x v="9"/>
    <n v="11"/>
    <x v="0"/>
  </r>
  <r>
    <d v="2024-07-11T00:00:00"/>
    <x v="1"/>
    <x v="0"/>
    <x v="0"/>
    <n v="39361144.689999998"/>
    <x v="1"/>
    <x v="0"/>
    <x v="0"/>
    <x v="10"/>
    <x v="1"/>
    <x v="3"/>
    <x v="1"/>
    <x v="3"/>
    <x v="9"/>
    <n v="11"/>
    <x v="0"/>
  </r>
  <r>
    <d v="2024-07-11T00:00:00"/>
    <x v="2"/>
    <x v="1"/>
    <x v="1"/>
    <n v="132329515.83"/>
    <x v="2"/>
    <x v="1"/>
    <x v="1"/>
    <x v="7"/>
    <x v="1"/>
    <x v="3"/>
    <x v="1"/>
    <x v="3"/>
    <x v="9"/>
    <n v="11"/>
    <x v="0"/>
  </r>
  <r>
    <d v="2024-07-11T00:00:00"/>
    <x v="3"/>
    <x v="3"/>
    <x v="0"/>
    <n v="1544087606.76"/>
    <x v="3"/>
    <x v="3"/>
    <x v="0"/>
    <x v="8"/>
    <x v="1"/>
    <x v="3"/>
    <x v="1"/>
    <x v="3"/>
    <x v="9"/>
    <n v="11"/>
    <x v="0"/>
  </r>
  <r>
    <d v="2024-07-11T00:00:00"/>
    <x v="1"/>
    <x v="0"/>
    <x v="1"/>
    <n v="202804436.37"/>
    <x v="1"/>
    <x v="0"/>
    <x v="1"/>
    <x v="9"/>
    <x v="1"/>
    <x v="3"/>
    <x v="1"/>
    <x v="3"/>
    <x v="9"/>
    <n v="11"/>
    <x v="0"/>
  </r>
  <r>
    <d v="2024-07-11T00:00:00"/>
    <x v="3"/>
    <x v="2"/>
    <x v="1"/>
    <n v="5747010818.2700005"/>
    <x v="3"/>
    <x v="2"/>
    <x v="1"/>
    <x v="11"/>
    <x v="1"/>
    <x v="3"/>
    <x v="1"/>
    <x v="3"/>
    <x v="9"/>
    <n v="11"/>
    <x v="0"/>
  </r>
  <r>
    <d v="2024-07-11T00:00:00"/>
    <x v="3"/>
    <x v="2"/>
    <x v="0"/>
    <n v="544915465.07000005"/>
    <x v="3"/>
    <x v="2"/>
    <x v="0"/>
    <x v="12"/>
    <x v="1"/>
    <x v="3"/>
    <x v="1"/>
    <x v="3"/>
    <x v="9"/>
    <n v="11"/>
    <x v="0"/>
  </r>
  <r>
    <d v="2024-07-11T00:00:00"/>
    <x v="3"/>
    <x v="1"/>
    <x v="0"/>
    <n v="15440200.529999999"/>
    <x v="3"/>
    <x v="1"/>
    <x v="0"/>
    <x v="13"/>
    <x v="1"/>
    <x v="3"/>
    <x v="1"/>
    <x v="3"/>
    <x v="9"/>
    <n v="11"/>
    <x v="0"/>
  </r>
  <r>
    <d v="2024-07-10T00:00:00"/>
    <x v="3"/>
    <x v="2"/>
    <x v="2"/>
    <n v="10748.55"/>
    <x v="3"/>
    <x v="2"/>
    <x v="2"/>
    <x v="6"/>
    <x v="1"/>
    <x v="3"/>
    <x v="1"/>
    <x v="3"/>
    <x v="9"/>
    <n v="10"/>
    <x v="0"/>
  </r>
  <r>
    <d v="2024-07-10T00:00:00"/>
    <x v="0"/>
    <x v="0"/>
    <x v="0"/>
    <n v="474.33"/>
    <x v="0"/>
    <x v="0"/>
    <x v="0"/>
    <x v="0"/>
    <x v="1"/>
    <x v="3"/>
    <x v="1"/>
    <x v="3"/>
    <x v="9"/>
    <n v="10"/>
    <x v="0"/>
  </r>
  <r>
    <d v="2024-07-10T00:00:00"/>
    <x v="0"/>
    <x v="1"/>
    <x v="0"/>
    <n v="17734873.940000001"/>
    <x v="0"/>
    <x v="1"/>
    <x v="0"/>
    <x v="1"/>
    <x v="1"/>
    <x v="3"/>
    <x v="1"/>
    <x v="3"/>
    <x v="9"/>
    <n v="10"/>
    <x v="0"/>
  </r>
  <r>
    <d v="2024-07-10T00:00:00"/>
    <x v="2"/>
    <x v="1"/>
    <x v="2"/>
    <n v="12451.47"/>
    <x v="2"/>
    <x v="1"/>
    <x v="2"/>
    <x v="2"/>
    <x v="1"/>
    <x v="3"/>
    <x v="1"/>
    <x v="3"/>
    <x v="9"/>
    <n v="10"/>
    <x v="0"/>
  </r>
  <r>
    <d v="2024-07-10T00:00:00"/>
    <x v="3"/>
    <x v="3"/>
    <x v="1"/>
    <n v="880706.72"/>
    <x v="3"/>
    <x v="3"/>
    <x v="1"/>
    <x v="3"/>
    <x v="1"/>
    <x v="3"/>
    <x v="1"/>
    <x v="3"/>
    <x v="9"/>
    <n v="10"/>
    <x v="0"/>
  </r>
  <r>
    <d v="2024-07-10T00:00:00"/>
    <x v="0"/>
    <x v="1"/>
    <x v="1"/>
    <n v="14965201.439999999"/>
    <x v="0"/>
    <x v="1"/>
    <x v="1"/>
    <x v="4"/>
    <x v="1"/>
    <x v="3"/>
    <x v="1"/>
    <x v="3"/>
    <x v="9"/>
    <n v="10"/>
    <x v="0"/>
  </r>
  <r>
    <d v="2024-07-10T00:00:00"/>
    <x v="2"/>
    <x v="1"/>
    <x v="0"/>
    <n v="67252462.769999996"/>
    <x v="2"/>
    <x v="1"/>
    <x v="0"/>
    <x v="8"/>
    <x v="1"/>
    <x v="3"/>
    <x v="1"/>
    <x v="3"/>
    <x v="9"/>
    <n v="10"/>
    <x v="0"/>
  </r>
  <r>
    <d v="2024-07-10T00:00:00"/>
    <x v="1"/>
    <x v="1"/>
    <x v="0"/>
    <n v="586762.41"/>
    <x v="1"/>
    <x v="1"/>
    <x v="0"/>
    <x v="5"/>
    <x v="1"/>
    <x v="3"/>
    <x v="1"/>
    <x v="3"/>
    <x v="9"/>
    <n v="10"/>
    <x v="0"/>
  </r>
  <r>
    <d v="2024-07-10T00:00:00"/>
    <x v="2"/>
    <x v="1"/>
    <x v="1"/>
    <n v="223064930.78999999"/>
    <x v="2"/>
    <x v="1"/>
    <x v="1"/>
    <x v="9"/>
    <x v="1"/>
    <x v="3"/>
    <x v="1"/>
    <x v="3"/>
    <x v="9"/>
    <n v="10"/>
    <x v="0"/>
  </r>
  <r>
    <d v="2024-07-10T00:00:00"/>
    <x v="1"/>
    <x v="0"/>
    <x v="0"/>
    <n v="77625965.859999999"/>
    <x v="1"/>
    <x v="0"/>
    <x v="0"/>
    <x v="11"/>
    <x v="1"/>
    <x v="3"/>
    <x v="1"/>
    <x v="3"/>
    <x v="9"/>
    <n v="10"/>
    <x v="0"/>
  </r>
  <r>
    <d v="2024-07-10T00:00:00"/>
    <x v="3"/>
    <x v="3"/>
    <x v="0"/>
    <n v="1557296369.3599999"/>
    <x v="3"/>
    <x v="3"/>
    <x v="0"/>
    <x v="7"/>
    <x v="1"/>
    <x v="3"/>
    <x v="1"/>
    <x v="3"/>
    <x v="9"/>
    <n v="10"/>
    <x v="0"/>
  </r>
  <r>
    <d v="2024-07-10T00:00:00"/>
    <x v="1"/>
    <x v="0"/>
    <x v="1"/>
    <n v="506448511.75"/>
    <x v="1"/>
    <x v="0"/>
    <x v="1"/>
    <x v="10"/>
    <x v="1"/>
    <x v="3"/>
    <x v="1"/>
    <x v="3"/>
    <x v="9"/>
    <n v="10"/>
    <x v="0"/>
  </r>
  <r>
    <d v="2024-07-10T00:00:00"/>
    <x v="3"/>
    <x v="2"/>
    <x v="1"/>
    <n v="11615816967.73"/>
    <x v="3"/>
    <x v="2"/>
    <x v="1"/>
    <x v="12"/>
    <x v="1"/>
    <x v="3"/>
    <x v="1"/>
    <x v="3"/>
    <x v="9"/>
    <n v="10"/>
    <x v="0"/>
  </r>
  <r>
    <d v="2024-07-10T00:00:00"/>
    <x v="3"/>
    <x v="1"/>
    <x v="0"/>
    <n v="16523123.01"/>
    <x v="3"/>
    <x v="1"/>
    <x v="0"/>
    <x v="13"/>
    <x v="1"/>
    <x v="3"/>
    <x v="1"/>
    <x v="3"/>
    <x v="9"/>
    <n v="10"/>
    <x v="0"/>
  </r>
  <r>
    <d v="2024-07-10T00:00:00"/>
    <x v="3"/>
    <x v="2"/>
    <x v="0"/>
    <n v="516999310.58999997"/>
    <x v="3"/>
    <x v="2"/>
    <x v="0"/>
    <x v="14"/>
    <x v="1"/>
    <x v="3"/>
    <x v="1"/>
    <x v="3"/>
    <x v="9"/>
    <n v="10"/>
    <x v="0"/>
  </r>
  <r>
    <d v="2024-07-09T00:00:00"/>
    <x v="1"/>
    <x v="1"/>
    <x v="0"/>
    <n v="79068.38"/>
    <x v="1"/>
    <x v="1"/>
    <x v="0"/>
    <x v="1"/>
    <x v="1"/>
    <x v="3"/>
    <x v="1"/>
    <x v="3"/>
    <x v="9"/>
    <n v="9"/>
    <x v="0"/>
  </r>
  <r>
    <d v="2024-07-09T00:00:00"/>
    <x v="0"/>
    <x v="1"/>
    <x v="0"/>
    <n v="10659301.48"/>
    <x v="0"/>
    <x v="1"/>
    <x v="0"/>
    <x v="2"/>
    <x v="1"/>
    <x v="3"/>
    <x v="1"/>
    <x v="3"/>
    <x v="9"/>
    <n v="9"/>
    <x v="0"/>
  </r>
  <r>
    <d v="2024-07-09T00:00:00"/>
    <x v="0"/>
    <x v="0"/>
    <x v="0"/>
    <n v="-352"/>
    <x v="0"/>
    <x v="0"/>
    <x v="0"/>
    <x v="0"/>
    <x v="1"/>
    <x v="3"/>
    <x v="1"/>
    <x v="3"/>
    <x v="9"/>
    <n v="9"/>
    <x v="1"/>
  </r>
  <r>
    <d v="2024-07-09T00:00:00"/>
    <x v="3"/>
    <x v="3"/>
    <x v="0"/>
    <n v="1242607136.8299999"/>
    <x v="3"/>
    <x v="3"/>
    <x v="0"/>
    <x v="7"/>
    <x v="1"/>
    <x v="3"/>
    <x v="1"/>
    <x v="3"/>
    <x v="9"/>
    <n v="9"/>
    <x v="0"/>
  </r>
  <r>
    <d v="2024-07-09T00:00:00"/>
    <x v="2"/>
    <x v="1"/>
    <x v="2"/>
    <n v="9305.6299999999992"/>
    <x v="2"/>
    <x v="1"/>
    <x v="2"/>
    <x v="3"/>
    <x v="1"/>
    <x v="3"/>
    <x v="1"/>
    <x v="3"/>
    <x v="9"/>
    <n v="9"/>
    <x v="0"/>
  </r>
  <r>
    <d v="2024-07-09T00:00:00"/>
    <x v="2"/>
    <x v="1"/>
    <x v="0"/>
    <n v="93438436.780000001"/>
    <x v="2"/>
    <x v="1"/>
    <x v="0"/>
    <x v="8"/>
    <x v="1"/>
    <x v="3"/>
    <x v="1"/>
    <x v="3"/>
    <x v="9"/>
    <n v="9"/>
    <x v="0"/>
  </r>
  <r>
    <d v="2024-07-09T00:00:00"/>
    <x v="3"/>
    <x v="3"/>
    <x v="1"/>
    <n v="80242.850000000006"/>
    <x v="3"/>
    <x v="3"/>
    <x v="1"/>
    <x v="4"/>
    <x v="1"/>
    <x v="3"/>
    <x v="1"/>
    <x v="3"/>
    <x v="9"/>
    <n v="9"/>
    <x v="0"/>
  </r>
  <r>
    <d v="2024-07-09T00:00:00"/>
    <x v="0"/>
    <x v="1"/>
    <x v="1"/>
    <n v="8207403.3399999999"/>
    <x v="0"/>
    <x v="1"/>
    <x v="1"/>
    <x v="5"/>
    <x v="1"/>
    <x v="3"/>
    <x v="1"/>
    <x v="3"/>
    <x v="9"/>
    <n v="9"/>
    <x v="0"/>
  </r>
  <r>
    <d v="2024-07-09T00:00:00"/>
    <x v="2"/>
    <x v="1"/>
    <x v="1"/>
    <n v="172955305.36000001"/>
    <x v="2"/>
    <x v="1"/>
    <x v="1"/>
    <x v="9"/>
    <x v="1"/>
    <x v="3"/>
    <x v="1"/>
    <x v="3"/>
    <x v="9"/>
    <n v="9"/>
    <x v="0"/>
  </r>
  <r>
    <d v="2024-07-09T00:00:00"/>
    <x v="3"/>
    <x v="2"/>
    <x v="2"/>
    <n v="111610"/>
    <x v="3"/>
    <x v="2"/>
    <x v="2"/>
    <x v="6"/>
    <x v="1"/>
    <x v="3"/>
    <x v="1"/>
    <x v="3"/>
    <x v="9"/>
    <n v="9"/>
    <x v="0"/>
  </r>
  <r>
    <d v="2024-07-09T00:00:00"/>
    <x v="1"/>
    <x v="0"/>
    <x v="1"/>
    <n v="410798283.30000001"/>
    <x v="1"/>
    <x v="0"/>
    <x v="1"/>
    <x v="10"/>
    <x v="1"/>
    <x v="3"/>
    <x v="1"/>
    <x v="3"/>
    <x v="9"/>
    <n v="9"/>
    <x v="0"/>
  </r>
  <r>
    <d v="2024-07-09T00:00:00"/>
    <x v="1"/>
    <x v="0"/>
    <x v="0"/>
    <n v="91693686.659999996"/>
    <x v="1"/>
    <x v="0"/>
    <x v="0"/>
    <x v="11"/>
    <x v="1"/>
    <x v="3"/>
    <x v="1"/>
    <x v="3"/>
    <x v="9"/>
    <n v="9"/>
    <x v="0"/>
  </r>
  <r>
    <d v="2024-07-09T00:00:00"/>
    <x v="3"/>
    <x v="2"/>
    <x v="1"/>
    <n v="3836298710.8699999"/>
    <x v="3"/>
    <x v="2"/>
    <x v="1"/>
    <x v="12"/>
    <x v="1"/>
    <x v="3"/>
    <x v="1"/>
    <x v="3"/>
    <x v="9"/>
    <n v="9"/>
    <x v="0"/>
  </r>
  <r>
    <d v="2024-07-09T00:00:00"/>
    <x v="3"/>
    <x v="1"/>
    <x v="0"/>
    <n v="14336798.67"/>
    <x v="3"/>
    <x v="1"/>
    <x v="0"/>
    <x v="13"/>
    <x v="1"/>
    <x v="3"/>
    <x v="1"/>
    <x v="3"/>
    <x v="9"/>
    <n v="9"/>
    <x v="0"/>
  </r>
  <r>
    <d v="2024-07-09T00:00:00"/>
    <x v="3"/>
    <x v="2"/>
    <x v="0"/>
    <n v="992054484.54999995"/>
    <x v="3"/>
    <x v="2"/>
    <x v="0"/>
    <x v="14"/>
    <x v="1"/>
    <x v="3"/>
    <x v="1"/>
    <x v="3"/>
    <x v="9"/>
    <n v="9"/>
    <x v="0"/>
  </r>
  <r>
    <d v="2024-07-08T00:00:00"/>
    <x v="3"/>
    <x v="3"/>
    <x v="1"/>
    <n v="2968.6"/>
    <x v="3"/>
    <x v="3"/>
    <x v="1"/>
    <x v="2"/>
    <x v="1"/>
    <x v="3"/>
    <x v="1"/>
    <x v="3"/>
    <x v="9"/>
    <n v="8"/>
    <x v="0"/>
  </r>
  <r>
    <d v="2024-07-08T00:00:00"/>
    <x v="0"/>
    <x v="1"/>
    <x v="0"/>
    <n v="8974980.9299999997"/>
    <x v="0"/>
    <x v="1"/>
    <x v="0"/>
    <x v="0"/>
    <x v="1"/>
    <x v="3"/>
    <x v="1"/>
    <x v="3"/>
    <x v="9"/>
    <n v="8"/>
    <x v="0"/>
  </r>
  <r>
    <d v="2024-07-08T00:00:00"/>
    <x v="3"/>
    <x v="3"/>
    <x v="2"/>
    <n v="365.35"/>
    <x v="3"/>
    <x v="3"/>
    <x v="2"/>
    <x v="1"/>
    <x v="1"/>
    <x v="3"/>
    <x v="1"/>
    <x v="3"/>
    <x v="9"/>
    <n v="8"/>
    <x v="0"/>
  </r>
  <r>
    <d v="2024-07-08T00:00:00"/>
    <x v="0"/>
    <x v="1"/>
    <x v="1"/>
    <n v="13954815.23"/>
    <x v="0"/>
    <x v="1"/>
    <x v="1"/>
    <x v="3"/>
    <x v="1"/>
    <x v="3"/>
    <x v="1"/>
    <x v="3"/>
    <x v="9"/>
    <n v="8"/>
    <x v="0"/>
  </r>
  <r>
    <d v="2024-07-08T00:00:00"/>
    <x v="2"/>
    <x v="1"/>
    <x v="0"/>
    <n v="64787477.210000001"/>
    <x v="2"/>
    <x v="1"/>
    <x v="0"/>
    <x v="7"/>
    <x v="1"/>
    <x v="3"/>
    <x v="1"/>
    <x v="3"/>
    <x v="9"/>
    <n v="8"/>
    <x v="0"/>
  </r>
  <r>
    <d v="2024-07-08T00:00:00"/>
    <x v="1"/>
    <x v="1"/>
    <x v="0"/>
    <n v="144587.72"/>
    <x v="1"/>
    <x v="1"/>
    <x v="0"/>
    <x v="4"/>
    <x v="1"/>
    <x v="3"/>
    <x v="1"/>
    <x v="3"/>
    <x v="9"/>
    <n v="8"/>
    <x v="0"/>
  </r>
  <r>
    <d v="2024-07-08T00:00:00"/>
    <x v="3"/>
    <x v="3"/>
    <x v="0"/>
    <n v="937195907.38"/>
    <x v="3"/>
    <x v="3"/>
    <x v="0"/>
    <x v="8"/>
    <x v="1"/>
    <x v="3"/>
    <x v="1"/>
    <x v="3"/>
    <x v="9"/>
    <n v="8"/>
    <x v="0"/>
  </r>
  <r>
    <d v="2024-07-08T00:00:00"/>
    <x v="2"/>
    <x v="1"/>
    <x v="2"/>
    <n v="5125.5"/>
    <x v="2"/>
    <x v="1"/>
    <x v="2"/>
    <x v="5"/>
    <x v="1"/>
    <x v="3"/>
    <x v="1"/>
    <x v="3"/>
    <x v="9"/>
    <n v="8"/>
    <x v="0"/>
  </r>
  <r>
    <d v="2024-07-08T00:00:00"/>
    <x v="3"/>
    <x v="2"/>
    <x v="2"/>
    <n v="24096"/>
    <x v="3"/>
    <x v="2"/>
    <x v="2"/>
    <x v="6"/>
    <x v="1"/>
    <x v="3"/>
    <x v="1"/>
    <x v="3"/>
    <x v="9"/>
    <n v="8"/>
    <x v="0"/>
  </r>
  <r>
    <d v="2024-07-08T00:00:00"/>
    <x v="2"/>
    <x v="1"/>
    <x v="1"/>
    <n v="219086741.06"/>
    <x v="2"/>
    <x v="1"/>
    <x v="1"/>
    <x v="9"/>
    <x v="1"/>
    <x v="3"/>
    <x v="1"/>
    <x v="3"/>
    <x v="9"/>
    <n v="8"/>
    <x v="0"/>
  </r>
  <r>
    <d v="2024-07-08T00:00:00"/>
    <x v="1"/>
    <x v="0"/>
    <x v="1"/>
    <n v="140953011.09"/>
    <x v="1"/>
    <x v="0"/>
    <x v="1"/>
    <x v="10"/>
    <x v="1"/>
    <x v="3"/>
    <x v="1"/>
    <x v="3"/>
    <x v="9"/>
    <n v="8"/>
    <x v="0"/>
  </r>
  <r>
    <d v="2024-07-08T00:00:00"/>
    <x v="1"/>
    <x v="0"/>
    <x v="0"/>
    <n v="46052860.939999998"/>
    <x v="1"/>
    <x v="0"/>
    <x v="0"/>
    <x v="11"/>
    <x v="1"/>
    <x v="3"/>
    <x v="1"/>
    <x v="3"/>
    <x v="9"/>
    <n v="8"/>
    <x v="0"/>
  </r>
  <r>
    <d v="2024-07-08T00:00:00"/>
    <x v="3"/>
    <x v="2"/>
    <x v="1"/>
    <n v="25858035822.060001"/>
    <x v="3"/>
    <x v="2"/>
    <x v="1"/>
    <x v="12"/>
    <x v="1"/>
    <x v="3"/>
    <x v="1"/>
    <x v="3"/>
    <x v="9"/>
    <n v="8"/>
    <x v="0"/>
  </r>
  <r>
    <d v="2024-07-08T00:00:00"/>
    <x v="3"/>
    <x v="2"/>
    <x v="0"/>
    <n v="1007616413.3099999"/>
    <x v="3"/>
    <x v="2"/>
    <x v="0"/>
    <x v="13"/>
    <x v="1"/>
    <x v="3"/>
    <x v="1"/>
    <x v="3"/>
    <x v="9"/>
    <n v="8"/>
    <x v="0"/>
  </r>
  <r>
    <d v="2024-07-08T00:00:00"/>
    <x v="3"/>
    <x v="1"/>
    <x v="0"/>
    <n v="44369906.649999999"/>
    <x v="3"/>
    <x v="1"/>
    <x v="0"/>
    <x v="14"/>
    <x v="1"/>
    <x v="3"/>
    <x v="1"/>
    <x v="3"/>
    <x v="9"/>
    <n v="8"/>
    <x v="0"/>
  </r>
  <r>
    <d v="2024-07-05T00:00:00"/>
    <x v="0"/>
    <x v="1"/>
    <x v="1"/>
    <n v="15664795.16"/>
    <x v="0"/>
    <x v="1"/>
    <x v="1"/>
    <x v="3"/>
    <x v="1"/>
    <x v="3"/>
    <x v="1"/>
    <x v="3"/>
    <x v="9"/>
    <n v="5"/>
    <x v="0"/>
  </r>
  <r>
    <d v="2024-07-05T00:00:00"/>
    <x v="0"/>
    <x v="1"/>
    <x v="0"/>
    <n v="35167183.299999997"/>
    <x v="0"/>
    <x v="1"/>
    <x v="0"/>
    <x v="0"/>
    <x v="1"/>
    <x v="3"/>
    <x v="1"/>
    <x v="3"/>
    <x v="9"/>
    <n v="5"/>
    <x v="0"/>
  </r>
  <r>
    <d v="2024-07-05T00:00:00"/>
    <x v="2"/>
    <x v="1"/>
    <x v="2"/>
    <n v="45038.54"/>
    <x v="2"/>
    <x v="1"/>
    <x v="2"/>
    <x v="1"/>
    <x v="1"/>
    <x v="3"/>
    <x v="1"/>
    <x v="3"/>
    <x v="9"/>
    <n v="5"/>
    <x v="0"/>
  </r>
  <r>
    <d v="2024-07-05T00:00:00"/>
    <x v="3"/>
    <x v="3"/>
    <x v="0"/>
    <n v="1299799414.0599999"/>
    <x v="3"/>
    <x v="3"/>
    <x v="0"/>
    <x v="6"/>
    <x v="1"/>
    <x v="3"/>
    <x v="1"/>
    <x v="3"/>
    <x v="9"/>
    <n v="5"/>
    <x v="0"/>
  </r>
  <r>
    <d v="2024-07-05T00:00:00"/>
    <x v="3"/>
    <x v="3"/>
    <x v="1"/>
    <n v="2836387.17"/>
    <x v="3"/>
    <x v="3"/>
    <x v="1"/>
    <x v="2"/>
    <x v="1"/>
    <x v="3"/>
    <x v="1"/>
    <x v="3"/>
    <x v="9"/>
    <n v="5"/>
    <x v="0"/>
  </r>
  <r>
    <d v="2024-07-05T00:00:00"/>
    <x v="2"/>
    <x v="1"/>
    <x v="0"/>
    <n v="95749095.379999995"/>
    <x v="2"/>
    <x v="1"/>
    <x v="0"/>
    <x v="7"/>
    <x v="1"/>
    <x v="3"/>
    <x v="1"/>
    <x v="3"/>
    <x v="9"/>
    <n v="5"/>
    <x v="0"/>
  </r>
  <r>
    <d v="2024-07-05T00:00:00"/>
    <x v="3"/>
    <x v="2"/>
    <x v="2"/>
    <n v="210704"/>
    <x v="3"/>
    <x v="2"/>
    <x v="2"/>
    <x v="5"/>
    <x v="1"/>
    <x v="3"/>
    <x v="1"/>
    <x v="3"/>
    <x v="9"/>
    <n v="5"/>
    <x v="0"/>
  </r>
  <r>
    <d v="2024-07-05T00:00:00"/>
    <x v="1"/>
    <x v="1"/>
    <x v="0"/>
    <n v="3201623.48"/>
    <x v="1"/>
    <x v="1"/>
    <x v="0"/>
    <x v="4"/>
    <x v="1"/>
    <x v="3"/>
    <x v="1"/>
    <x v="3"/>
    <x v="9"/>
    <n v="5"/>
    <x v="0"/>
  </r>
  <r>
    <d v="2024-07-05T00:00:00"/>
    <x v="2"/>
    <x v="1"/>
    <x v="1"/>
    <n v="102367897.65000001"/>
    <x v="2"/>
    <x v="1"/>
    <x v="1"/>
    <x v="8"/>
    <x v="1"/>
    <x v="3"/>
    <x v="1"/>
    <x v="3"/>
    <x v="9"/>
    <n v="5"/>
    <x v="0"/>
  </r>
  <r>
    <d v="2024-07-05T00:00:00"/>
    <x v="1"/>
    <x v="0"/>
    <x v="0"/>
    <n v="58886648.670000002"/>
    <x v="1"/>
    <x v="0"/>
    <x v="0"/>
    <x v="9"/>
    <x v="1"/>
    <x v="3"/>
    <x v="1"/>
    <x v="3"/>
    <x v="9"/>
    <n v="5"/>
    <x v="0"/>
  </r>
  <r>
    <d v="2024-07-05T00:00:00"/>
    <x v="1"/>
    <x v="0"/>
    <x v="1"/>
    <n v="241894306.15000001"/>
    <x v="1"/>
    <x v="0"/>
    <x v="1"/>
    <x v="10"/>
    <x v="1"/>
    <x v="3"/>
    <x v="1"/>
    <x v="3"/>
    <x v="9"/>
    <n v="5"/>
    <x v="0"/>
  </r>
  <r>
    <d v="2024-07-05T00:00:00"/>
    <x v="3"/>
    <x v="2"/>
    <x v="1"/>
    <n v="10505026620.629999"/>
    <x v="3"/>
    <x v="2"/>
    <x v="1"/>
    <x v="11"/>
    <x v="1"/>
    <x v="3"/>
    <x v="1"/>
    <x v="3"/>
    <x v="9"/>
    <n v="5"/>
    <x v="0"/>
  </r>
  <r>
    <d v="2024-07-05T00:00:00"/>
    <x v="3"/>
    <x v="2"/>
    <x v="0"/>
    <n v="794223504.72000003"/>
    <x v="3"/>
    <x v="2"/>
    <x v="0"/>
    <x v="12"/>
    <x v="1"/>
    <x v="3"/>
    <x v="1"/>
    <x v="3"/>
    <x v="9"/>
    <n v="5"/>
    <x v="0"/>
  </r>
  <r>
    <d v="2024-07-05T00:00:00"/>
    <x v="3"/>
    <x v="1"/>
    <x v="0"/>
    <n v="32137347.280000001"/>
    <x v="3"/>
    <x v="1"/>
    <x v="0"/>
    <x v="13"/>
    <x v="1"/>
    <x v="3"/>
    <x v="1"/>
    <x v="3"/>
    <x v="9"/>
    <n v="5"/>
    <x v="0"/>
  </r>
  <r>
    <d v="2024-07-03T00:00:00"/>
    <x v="0"/>
    <x v="0"/>
    <x v="0"/>
    <n v="239.94"/>
    <x v="0"/>
    <x v="0"/>
    <x v="0"/>
    <x v="0"/>
    <x v="1"/>
    <x v="3"/>
    <x v="1"/>
    <x v="3"/>
    <x v="9"/>
    <n v="3"/>
    <x v="0"/>
  </r>
  <r>
    <d v="2024-07-03T00:00:00"/>
    <x v="1"/>
    <x v="1"/>
    <x v="0"/>
    <n v="166261.92000000001"/>
    <x v="1"/>
    <x v="1"/>
    <x v="0"/>
    <x v="1"/>
    <x v="1"/>
    <x v="3"/>
    <x v="1"/>
    <x v="3"/>
    <x v="9"/>
    <n v="3"/>
    <x v="0"/>
  </r>
  <r>
    <d v="2024-07-03T00:00:00"/>
    <x v="0"/>
    <x v="1"/>
    <x v="0"/>
    <n v="10265389.66"/>
    <x v="0"/>
    <x v="1"/>
    <x v="0"/>
    <x v="2"/>
    <x v="1"/>
    <x v="3"/>
    <x v="1"/>
    <x v="3"/>
    <x v="9"/>
    <n v="3"/>
    <x v="0"/>
  </r>
  <r>
    <d v="2024-07-03T00:00:00"/>
    <x v="3"/>
    <x v="2"/>
    <x v="2"/>
    <n v="193954.63"/>
    <x v="3"/>
    <x v="2"/>
    <x v="2"/>
    <x v="5"/>
    <x v="1"/>
    <x v="3"/>
    <x v="1"/>
    <x v="3"/>
    <x v="9"/>
    <n v="3"/>
    <x v="0"/>
  </r>
  <r>
    <d v="2024-07-03T00:00:00"/>
    <x v="2"/>
    <x v="1"/>
    <x v="2"/>
    <n v="16117.88"/>
    <x v="2"/>
    <x v="1"/>
    <x v="2"/>
    <x v="3"/>
    <x v="1"/>
    <x v="3"/>
    <x v="1"/>
    <x v="3"/>
    <x v="9"/>
    <n v="3"/>
    <x v="0"/>
  </r>
  <r>
    <d v="2024-07-03T00:00:00"/>
    <x v="0"/>
    <x v="1"/>
    <x v="1"/>
    <n v="-77367.179999999993"/>
    <x v="0"/>
    <x v="1"/>
    <x v="1"/>
    <x v="4"/>
    <x v="1"/>
    <x v="3"/>
    <x v="1"/>
    <x v="3"/>
    <x v="9"/>
    <n v="3"/>
    <x v="1"/>
  </r>
  <r>
    <d v="2024-07-03T00:00:00"/>
    <x v="2"/>
    <x v="1"/>
    <x v="0"/>
    <n v="117638141.04000001"/>
    <x v="2"/>
    <x v="1"/>
    <x v="0"/>
    <x v="6"/>
    <x v="1"/>
    <x v="3"/>
    <x v="1"/>
    <x v="3"/>
    <x v="9"/>
    <n v="3"/>
    <x v="0"/>
  </r>
  <r>
    <d v="2024-07-03T00:00:00"/>
    <x v="3"/>
    <x v="3"/>
    <x v="0"/>
    <n v="868817874.16999996"/>
    <x v="3"/>
    <x v="3"/>
    <x v="0"/>
    <x v="7"/>
    <x v="1"/>
    <x v="3"/>
    <x v="1"/>
    <x v="3"/>
    <x v="9"/>
    <n v="3"/>
    <x v="0"/>
  </r>
  <r>
    <d v="2024-07-03T00:00:00"/>
    <x v="2"/>
    <x v="1"/>
    <x v="1"/>
    <n v="198141551.28999999"/>
    <x v="2"/>
    <x v="1"/>
    <x v="1"/>
    <x v="8"/>
    <x v="1"/>
    <x v="3"/>
    <x v="1"/>
    <x v="3"/>
    <x v="9"/>
    <n v="3"/>
    <x v="0"/>
  </r>
  <r>
    <d v="2024-07-03T00:00:00"/>
    <x v="1"/>
    <x v="0"/>
    <x v="0"/>
    <n v="113878809.56999999"/>
    <x v="1"/>
    <x v="0"/>
    <x v="0"/>
    <x v="9"/>
    <x v="1"/>
    <x v="3"/>
    <x v="1"/>
    <x v="3"/>
    <x v="9"/>
    <n v="3"/>
    <x v="0"/>
  </r>
  <r>
    <d v="2024-07-03T00:00:00"/>
    <x v="1"/>
    <x v="0"/>
    <x v="1"/>
    <n v="921370561.77999997"/>
    <x v="1"/>
    <x v="0"/>
    <x v="1"/>
    <x v="10"/>
    <x v="1"/>
    <x v="3"/>
    <x v="1"/>
    <x v="3"/>
    <x v="9"/>
    <n v="3"/>
    <x v="0"/>
  </r>
  <r>
    <d v="2024-07-03T00:00:00"/>
    <x v="3"/>
    <x v="2"/>
    <x v="1"/>
    <n v="16852368638.940001"/>
    <x v="3"/>
    <x v="2"/>
    <x v="1"/>
    <x v="11"/>
    <x v="1"/>
    <x v="3"/>
    <x v="1"/>
    <x v="3"/>
    <x v="9"/>
    <n v="3"/>
    <x v="0"/>
  </r>
  <r>
    <d v="2024-07-03T00:00:00"/>
    <x v="3"/>
    <x v="1"/>
    <x v="0"/>
    <n v="19574466.02"/>
    <x v="3"/>
    <x v="1"/>
    <x v="0"/>
    <x v="12"/>
    <x v="1"/>
    <x v="3"/>
    <x v="1"/>
    <x v="3"/>
    <x v="9"/>
    <n v="3"/>
    <x v="0"/>
  </r>
  <r>
    <d v="2024-07-03T00:00:00"/>
    <x v="3"/>
    <x v="2"/>
    <x v="0"/>
    <n v="1074588779.97"/>
    <x v="3"/>
    <x v="2"/>
    <x v="0"/>
    <x v="13"/>
    <x v="1"/>
    <x v="3"/>
    <x v="1"/>
    <x v="3"/>
    <x v="9"/>
    <n v="3"/>
    <x v="0"/>
  </r>
  <r>
    <d v="2024-07-02T00:00:00"/>
    <x v="1"/>
    <x v="1"/>
    <x v="0"/>
    <n v="8416333.0999999996"/>
    <x v="1"/>
    <x v="1"/>
    <x v="0"/>
    <x v="0"/>
    <x v="1"/>
    <x v="3"/>
    <x v="1"/>
    <x v="3"/>
    <x v="9"/>
    <n v="2"/>
    <x v="0"/>
  </r>
  <r>
    <d v="2024-07-02T00:00:00"/>
    <x v="0"/>
    <x v="1"/>
    <x v="0"/>
    <n v="12612720.75"/>
    <x v="0"/>
    <x v="1"/>
    <x v="0"/>
    <x v="1"/>
    <x v="1"/>
    <x v="3"/>
    <x v="1"/>
    <x v="3"/>
    <x v="9"/>
    <n v="2"/>
    <x v="0"/>
  </r>
  <r>
    <d v="2024-07-02T00:00:00"/>
    <x v="3"/>
    <x v="2"/>
    <x v="2"/>
    <n v="79943"/>
    <x v="3"/>
    <x v="2"/>
    <x v="2"/>
    <x v="6"/>
    <x v="1"/>
    <x v="3"/>
    <x v="1"/>
    <x v="3"/>
    <x v="9"/>
    <n v="2"/>
    <x v="0"/>
  </r>
  <r>
    <d v="2024-07-02T00:00:00"/>
    <x v="3"/>
    <x v="3"/>
    <x v="2"/>
    <n v="5831.83"/>
    <x v="3"/>
    <x v="3"/>
    <x v="2"/>
    <x v="2"/>
    <x v="1"/>
    <x v="3"/>
    <x v="1"/>
    <x v="3"/>
    <x v="9"/>
    <n v="2"/>
    <x v="0"/>
  </r>
  <r>
    <d v="2024-07-02T00:00:00"/>
    <x v="2"/>
    <x v="1"/>
    <x v="2"/>
    <n v="275676.48"/>
    <x v="2"/>
    <x v="1"/>
    <x v="2"/>
    <x v="3"/>
    <x v="1"/>
    <x v="3"/>
    <x v="1"/>
    <x v="3"/>
    <x v="9"/>
    <n v="2"/>
    <x v="0"/>
  </r>
  <r>
    <d v="2024-07-02T00:00:00"/>
    <x v="3"/>
    <x v="3"/>
    <x v="1"/>
    <n v="16436.55"/>
    <x v="3"/>
    <x v="3"/>
    <x v="1"/>
    <x v="4"/>
    <x v="1"/>
    <x v="3"/>
    <x v="1"/>
    <x v="3"/>
    <x v="9"/>
    <n v="2"/>
    <x v="0"/>
  </r>
  <r>
    <d v="2024-07-02T00:00:00"/>
    <x v="0"/>
    <x v="1"/>
    <x v="1"/>
    <n v="10285150.32"/>
    <x v="0"/>
    <x v="1"/>
    <x v="1"/>
    <x v="5"/>
    <x v="1"/>
    <x v="3"/>
    <x v="1"/>
    <x v="3"/>
    <x v="9"/>
    <n v="2"/>
    <x v="0"/>
  </r>
  <r>
    <d v="2024-07-02T00:00:00"/>
    <x v="2"/>
    <x v="1"/>
    <x v="0"/>
    <n v="158874795.16999999"/>
    <x v="2"/>
    <x v="1"/>
    <x v="0"/>
    <x v="8"/>
    <x v="1"/>
    <x v="3"/>
    <x v="1"/>
    <x v="3"/>
    <x v="9"/>
    <n v="2"/>
    <x v="0"/>
  </r>
  <r>
    <d v="2024-07-02T00:00:00"/>
    <x v="2"/>
    <x v="1"/>
    <x v="1"/>
    <n v="179924489.72"/>
    <x v="2"/>
    <x v="1"/>
    <x v="1"/>
    <x v="9"/>
    <x v="1"/>
    <x v="3"/>
    <x v="1"/>
    <x v="3"/>
    <x v="9"/>
    <n v="2"/>
    <x v="0"/>
  </r>
  <r>
    <d v="2024-07-02T00:00:00"/>
    <x v="3"/>
    <x v="3"/>
    <x v="0"/>
    <n v="1037584578.16"/>
    <x v="3"/>
    <x v="3"/>
    <x v="0"/>
    <x v="7"/>
    <x v="1"/>
    <x v="3"/>
    <x v="1"/>
    <x v="3"/>
    <x v="9"/>
    <n v="2"/>
    <x v="0"/>
  </r>
  <r>
    <d v="2024-07-02T00:00:00"/>
    <x v="1"/>
    <x v="0"/>
    <x v="0"/>
    <n v="90992531.780000001"/>
    <x v="1"/>
    <x v="0"/>
    <x v="0"/>
    <x v="10"/>
    <x v="1"/>
    <x v="3"/>
    <x v="1"/>
    <x v="3"/>
    <x v="9"/>
    <n v="2"/>
    <x v="0"/>
  </r>
  <r>
    <d v="2024-07-02T00:00:00"/>
    <x v="1"/>
    <x v="0"/>
    <x v="1"/>
    <n v="472327072.36000001"/>
    <x v="1"/>
    <x v="0"/>
    <x v="1"/>
    <x v="11"/>
    <x v="1"/>
    <x v="3"/>
    <x v="1"/>
    <x v="3"/>
    <x v="9"/>
    <n v="2"/>
    <x v="0"/>
  </r>
  <r>
    <d v="2024-07-02T00:00:00"/>
    <x v="3"/>
    <x v="1"/>
    <x v="0"/>
    <n v="17052361.140000001"/>
    <x v="3"/>
    <x v="1"/>
    <x v="0"/>
    <x v="12"/>
    <x v="1"/>
    <x v="3"/>
    <x v="1"/>
    <x v="3"/>
    <x v="9"/>
    <n v="2"/>
    <x v="0"/>
  </r>
  <r>
    <d v="2024-07-02T00:00:00"/>
    <x v="3"/>
    <x v="2"/>
    <x v="0"/>
    <n v="687582780.30999994"/>
    <x v="3"/>
    <x v="2"/>
    <x v="0"/>
    <x v="13"/>
    <x v="1"/>
    <x v="3"/>
    <x v="1"/>
    <x v="3"/>
    <x v="9"/>
    <n v="2"/>
    <x v="0"/>
  </r>
  <r>
    <d v="2024-07-02T00:00:00"/>
    <x v="3"/>
    <x v="2"/>
    <x v="1"/>
    <n v="9464089679.7900009"/>
    <x v="3"/>
    <x v="2"/>
    <x v="1"/>
    <x v="14"/>
    <x v="1"/>
    <x v="3"/>
    <x v="1"/>
    <x v="3"/>
    <x v="9"/>
    <n v="2"/>
    <x v="0"/>
  </r>
  <r>
    <d v="2024-07-01T00:00:00"/>
    <x v="0"/>
    <x v="0"/>
    <x v="0"/>
    <n v="217.15"/>
    <x v="0"/>
    <x v="0"/>
    <x v="0"/>
    <x v="0"/>
    <x v="1"/>
    <x v="3"/>
    <x v="1"/>
    <x v="3"/>
    <x v="9"/>
    <n v="1"/>
    <x v="0"/>
  </r>
  <r>
    <d v="2024-07-01T00:00:00"/>
    <x v="0"/>
    <x v="1"/>
    <x v="0"/>
    <n v="11147473.039999999"/>
    <x v="0"/>
    <x v="1"/>
    <x v="0"/>
    <x v="1"/>
    <x v="1"/>
    <x v="3"/>
    <x v="1"/>
    <x v="3"/>
    <x v="9"/>
    <n v="1"/>
    <x v="0"/>
  </r>
  <r>
    <d v="2024-07-01T00:00:00"/>
    <x v="2"/>
    <x v="1"/>
    <x v="2"/>
    <n v="11915.36"/>
    <x v="2"/>
    <x v="1"/>
    <x v="2"/>
    <x v="2"/>
    <x v="1"/>
    <x v="3"/>
    <x v="1"/>
    <x v="3"/>
    <x v="9"/>
    <n v="1"/>
    <x v="0"/>
  </r>
  <r>
    <d v="2024-07-01T00:00:00"/>
    <x v="0"/>
    <x v="1"/>
    <x v="1"/>
    <n v="11812009.07"/>
    <x v="0"/>
    <x v="1"/>
    <x v="1"/>
    <x v="3"/>
    <x v="1"/>
    <x v="3"/>
    <x v="1"/>
    <x v="3"/>
    <x v="9"/>
    <n v="1"/>
    <x v="0"/>
  </r>
  <r>
    <d v="2024-07-01T00:00:00"/>
    <x v="2"/>
    <x v="1"/>
    <x v="0"/>
    <n v="80317163.030000001"/>
    <x v="2"/>
    <x v="1"/>
    <x v="0"/>
    <x v="7"/>
    <x v="1"/>
    <x v="3"/>
    <x v="1"/>
    <x v="3"/>
    <x v="9"/>
    <n v="1"/>
    <x v="0"/>
  </r>
  <r>
    <d v="2024-07-01T00:00:00"/>
    <x v="1"/>
    <x v="1"/>
    <x v="0"/>
    <n v="66074.740000000005"/>
    <x v="1"/>
    <x v="1"/>
    <x v="0"/>
    <x v="5"/>
    <x v="1"/>
    <x v="3"/>
    <x v="1"/>
    <x v="3"/>
    <x v="9"/>
    <n v="1"/>
    <x v="0"/>
  </r>
  <r>
    <d v="2024-07-01T00:00:00"/>
    <x v="2"/>
    <x v="1"/>
    <x v="1"/>
    <n v="115228272.52"/>
    <x v="2"/>
    <x v="1"/>
    <x v="1"/>
    <x v="8"/>
    <x v="1"/>
    <x v="3"/>
    <x v="1"/>
    <x v="3"/>
    <x v="9"/>
    <n v="1"/>
    <x v="0"/>
  </r>
  <r>
    <d v="2024-07-01T00:00:00"/>
    <x v="3"/>
    <x v="2"/>
    <x v="2"/>
    <n v="305802.83"/>
    <x v="3"/>
    <x v="2"/>
    <x v="2"/>
    <x v="4"/>
    <x v="1"/>
    <x v="3"/>
    <x v="1"/>
    <x v="3"/>
    <x v="9"/>
    <n v="1"/>
    <x v="0"/>
  </r>
  <r>
    <d v="2024-07-01T00:00:00"/>
    <x v="1"/>
    <x v="0"/>
    <x v="0"/>
    <n v="72253744.659999996"/>
    <x v="1"/>
    <x v="0"/>
    <x v="0"/>
    <x v="9"/>
    <x v="1"/>
    <x v="3"/>
    <x v="1"/>
    <x v="3"/>
    <x v="9"/>
    <n v="1"/>
    <x v="0"/>
  </r>
  <r>
    <d v="2024-07-01T00:00:00"/>
    <x v="3"/>
    <x v="3"/>
    <x v="0"/>
    <n v="4322821300.9200001"/>
    <x v="3"/>
    <x v="3"/>
    <x v="0"/>
    <x v="6"/>
    <x v="1"/>
    <x v="3"/>
    <x v="1"/>
    <x v="3"/>
    <x v="9"/>
    <n v="1"/>
    <x v="0"/>
  </r>
  <r>
    <d v="2024-07-01T00:00:00"/>
    <x v="1"/>
    <x v="0"/>
    <x v="1"/>
    <n v="416241623.82999998"/>
    <x v="1"/>
    <x v="0"/>
    <x v="1"/>
    <x v="10"/>
    <x v="1"/>
    <x v="3"/>
    <x v="1"/>
    <x v="3"/>
    <x v="9"/>
    <n v="1"/>
    <x v="0"/>
  </r>
  <r>
    <d v="2024-07-01T00:00:00"/>
    <x v="3"/>
    <x v="2"/>
    <x v="0"/>
    <n v="938030541.23000002"/>
    <x v="3"/>
    <x v="2"/>
    <x v="0"/>
    <x v="11"/>
    <x v="1"/>
    <x v="3"/>
    <x v="1"/>
    <x v="3"/>
    <x v="9"/>
    <n v="1"/>
    <x v="0"/>
  </r>
  <r>
    <d v="2024-07-01T00:00:00"/>
    <x v="3"/>
    <x v="2"/>
    <x v="1"/>
    <n v="42040044995.419998"/>
    <x v="3"/>
    <x v="2"/>
    <x v="1"/>
    <x v="12"/>
    <x v="1"/>
    <x v="3"/>
    <x v="1"/>
    <x v="3"/>
    <x v="9"/>
    <n v="1"/>
    <x v="0"/>
  </r>
  <r>
    <d v="2024-07-01T00:00:00"/>
    <x v="3"/>
    <x v="1"/>
    <x v="0"/>
    <n v="55025514.859999999"/>
    <x v="3"/>
    <x v="1"/>
    <x v="0"/>
    <x v="13"/>
    <x v="1"/>
    <x v="3"/>
    <x v="1"/>
    <x v="3"/>
    <x v="9"/>
    <n v="1"/>
    <x v="0"/>
  </r>
  <r>
    <d v="2024-06-28T00:00:00"/>
    <x v="3"/>
    <x v="2"/>
    <x v="2"/>
    <n v="272449"/>
    <x v="3"/>
    <x v="2"/>
    <x v="2"/>
    <x v="4"/>
    <x v="1"/>
    <x v="0"/>
    <x v="1"/>
    <x v="0"/>
    <x v="10"/>
    <n v="28"/>
    <x v="0"/>
  </r>
  <r>
    <d v="2024-06-28T00:00:00"/>
    <x v="1"/>
    <x v="1"/>
    <x v="0"/>
    <n v="120888.5"/>
    <x v="1"/>
    <x v="1"/>
    <x v="0"/>
    <x v="0"/>
    <x v="1"/>
    <x v="0"/>
    <x v="1"/>
    <x v="0"/>
    <x v="10"/>
    <n v="28"/>
    <x v="0"/>
  </r>
  <r>
    <d v="2024-06-28T00:00:00"/>
    <x v="0"/>
    <x v="1"/>
    <x v="0"/>
    <n v="20502637.300000001"/>
    <x v="0"/>
    <x v="1"/>
    <x v="0"/>
    <x v="1"/>
    <x v="1"/>
    <x v="0"/>
    <x v="1"/>
    <x v="0"/>
    <x v="10"/>
    <n v="28"/>
    <x v="0"/>
  </r>
  <r>
    <d v="2024-06-28T00:00:00"/>
    <x v="2"/>
    <x v="1"/>
    <x v="2"/>
    <n v="9887"/>
    <x v="2"/>
    <x v="1"/>
    <x v="2"/>
    <x v="2"/>
    <x v="1"/>
    <x v="0"/>
    <x v="1"/>
    <x v="0"/>
    <x v="10"/>
    <n v="28"/>
    <x v="0"/>
  </r>
  <r>
    <d v="2024-06-28T00:00:00"/>
    <x v="0"/>
    <x v="1"/>
    <x v="1"/>
    <n v="17614792.719999999"/>
    <x v="0"/>
    <x v="1"/>
    <x v="1"/>
    <x v="3"/>
    <x v="1"/>
    <x v="0"/>
    <x v="1"/>
    <x v="0"/>
    <x v="10"/>
    <n v="28"/>
    <x v="0"/>
  </r>
  <r>
    <d v="2024-06-28T00:00:00"/>
    <x v="3"/>
    <x v="3"/>
    <x v="0"/>
    <n v="4477827002.4700003"/>
    <x v="3"/>
    <x v="3"/>
    <x v="0"/>
    <x v="5"/>
    <x v="1"/>
    <x v="0"/>
    <x v="1"/>
    <x v="0"/>
    <x v="10"/>
    <n v="28"/>
    <x v="0"/>
  </r>
  <r>
    <d v="2024-06-28T00:00:00"/>
    <x v="2"/>
    <x v="1"/>
    <x v="1"/>
    <n v="310369734.36000001"/>
    <x v="2"/>
    <x v="1"/>
    <x v="1"/>
    <x v="7"/>
    <x v="1"/>
    <x v="0"/>
    <x v="1"/>
    <x v="0"/>
    <x v="10"/>
    <n v="28"/>
    <x v="0"/>
  </r>
  <r>
    <d v="2024-06-28T00:00:00"/>
    <x v="2"/>
    <x v="1"/>
    <x v="0"/>
    <n v="97167211.969999999"/>
    <x v="2"/>
    <x v="1"/>
    <x v="0"/>
    <x v="6"/>
    <x v="1"/>
    <x v="0"/>
    <x v="1"/>
    <x v="0"/>
    <x v="10"/>
    <n v="28"/>
    <x v="0"/>
  </r>
  <r>
    <d v="2024-06-28T00:00:00"/>
    <x v="1"/>
    <x v="0"/>
    <x v="0"/>
    <n v="51939926.899999999"/>
    <x v="1"/>
    <x v="0"/>
    <x v="0"/>
    <x v="8"/>
    <x v="1"/>
    <x v="0"/>
    <x v="1"/>
    <x v="0"/>
    <x v="10"/>
    <n v="28"/>
    <x v="0"/>
  </r>
  <r>
    <d v="2024-06-28T00:00:00"/>
    <x v="1"/>
    <x v="0"/>
    <x v="1"/>
    <n v="727852743.90999997"/>
    <x v="1"/>
    <x v="0"/>
    <x v="1"/>
    <x v="9"/>
    <x v="1"/>
    <x v="0"/>
    <x v="1"/>
    <x v="0"/>
    <x v="10"/>
    <n v="28"/>
    <x v="0"/>
  </r>
  <r>
    <d v="2024-06-28T00:00:00"/>
    <x v="3"/>
    <x v="2"/>
    <x v="0"/>
    <n v="1327756525.02"/>
    <x v="3"/>
    <x v="2"/>
    <x v="0"/>
    <x v="10"/>
    <x v="1"/>
    <x v="0"/>
    <x v="1"/>
    <x v="0"/>
    <x v="10"/>
    <n v="28"/>
    <x v="0"/>
  </r>
  <r>
    <d v="2024-06-28T00:00:00"/>
    <x v="3"/>
    <x v="1"/>
    <x v="0"/>
    <n v="17404569.629999999"/>
    <x v="3"/>
    <x v="1"/>
    <x v="0"/>
    <x v="11"/>
    <x v="1"/>
    <x v="0"/>
    <x v="1"/>
    <x v="0"/>
    <x v="10"/>
    <n v="28"/>
    <x v="0"/>
  </r>
  <r>
    <d v="2024-06-28T00:00:00"/>
    <x v="3"/>
    <x v="2"/>
    <x v="1"/>
    <n v="13026401838.690001"/>
    <x v="3"/>
    <x v="2"/>
    <x v="1"/>
    <x v="12"/>
    <x v="1"/>
    <x v="0"/>
    <x v="1"/>
    <x v="0"/>
    <x v="10"/>
    <n v="28"/>
    <x v="0"/>
  </r>
  <r>
    <d v="2024-06-27T00:00:00"/>
    <x v="3"/>
    <x v="2"/>
    <x v="2"/>
    <n v="194828"/>
    <x v="3"/>
    <x v="2"/>
    <x v="2"/>
    <x v="6"/>
    <x v="1"/>
    <x v="0"/>
    <x v="1"/>
    <x v="0"/>
    <x v="10"/>
    <n v="27"/>
    <x v="0"/>
  </r>
  <r>
    <d v="2024-06-27T00:00:00"/>
    <x v="0"/>
    <x v="1"/>
    <x v="0"/>
    <n v="17293883.640000001"/>
    <x v="0"/>
    <x v="1"/>
    <x v="0"/>
    <x v="0"/>
    <x v="1"/>
    <x v="0"/>
    <x v="1"/>
    <x v="0"/>
    <x v="10"/>
    <n v="27"/>
    <x v="0"/>
  </r>
  <r>
    <d v="2024-06-27T00:00:00"/>
    <x v="3"/>
    <x v="3"/>
    <x v="0"/>
    <n v="2048779094.76"/>
    <x v="3"/>
    <x v="3"/>
    <x v="0"/>
    <x v="7"/>
    <x v="1"/>
    <x v="0"/>
    <x v="1"/>
    <x v="0"/>
    <x v="10"/>
    <n v="27"/>
    <x v="0"/>
  </r>
  <r>
    <d v="2024-06-27T00:00:00"/>
    <x v="2"/>
    <x v="1"/>
    <x v="2"/>
    <n v="5685"/>
    <x v="2"/>
    <x v="1"/>
    <x v="2"/>
    <x v="1"/>
    <x v="1"/>
    <x v="0"/>
    <x v="1"/>
    <x v="0"/>
    <x v="10"/>
    <n v="27"/>
    <x v="0"/>
  </r>
  <r>
    <d v="2024-06-27T00:00:00"/>
    <x v="3"/>
    <x v="3"/>
    <x v="1"/>
    <n v="21353.040000000001"/>
    <x v="3"/>
    <x v="3"/>
    <x v="1"/>
    <x v="2"/>
    <x v="1"/>
    <x v="0"/>
    <x v="1"/>
    <x v="0"/>
    <x v="10"/>
    <n v="27"/>
    <x v="0"/>
  </r>
  <r>
    <d v="2024-06-27T00:00:00"/>
    <x v="0"/>
    <x v="1"/>
    <x v="1"/>
    <n v="11490863.529999999"/>
    <x v="0"/>
    <x v="1"/>
    <x v="1"/>
    <x v="3"/>
    <x v="1"/>
    <x v="0"/>
    <x v="1"/>
    <x v="0"/>
    <x v="10"/>
    <n v="27"/>
    <x v="0"/>
  </r>
  <r>
    <d v="2024-06-27T00:00:00"/>
    <x v="2"/>
    <x v="1"/>
    <x v="0"/>
    <n v="106219970.04000001"/>
    <x v="2"/>
    <x v="1"/>
    <x v="0"/>
    <x v="8"/>
    <x v="1"/>
    <x v="0"/>
    <x v="1"/>
    <x v="0"/>
    <x v="10"/>
    <n v="27"/>
    <x v="0"/>
  </r>
  <r>
    <d v="2024-06-27T00:00:00"/>
    <x v="1"/>
    <x v="1"/>
    <x v="0"/>
    <n v="192966.63"/>
    <x v="1"/>
    <x v="1"/>
    <x v="0"/>
    <x v="4"/>
    <x v="1"/>
    <x v="0"/>
    <x v="1"/>
    <x v="0"/>
    <x v="10"/>
    <n v="27"/>
    <x v="0"/>
  </r>
  <r>
    <d v="2024-06-27T00:00:00"/>
    <x v="2"/>
    <x v="1"/>
    <x v="1"/>
    <n v="251432106.09"/>
    <x v="2"/>
    <x v="1"/>
    <x v="1"/>
    <x v="9"/>
    <x v="1"/>
    <x v="0"/>
    <x v="1"/>
    <x v="0"/>
    <x v="10"/>
    <n v="27"/>
    <x v="0"/>
  </r>
  <r>
    <d v="2024-06-27T00:00:00"/>
    <x v="3"/>
    <x v="3"/>
    <x v="2"/>
    <n v="-336"/>
    <x v="3"/>
    <x v="3"/>
    <x v="2"/>
    <x v="5"/>
    <x v="1"/>
    <x v="0"/>
    <x v="1"/>
    <x v="0"/>
    <x v="10"/>
    <n v="27"/>
    <x v="1"/>
  </r>
  <r>
    <d v="2024-06-27T00:00:00"/>
    <x v="1"/>
    <x v="0"/>
    <x v="0"/>
    <n v="78929988.329999998"/>
    <x v="1"/>
    <x v="0"/>
    <x v="0"/>
    <x v="10"/>
    <x v="1"/>
    <x v="0"/>
    <x v="1"/>
    <x v="0"/>
    <x v="10"/>
    <n v="27"/>
    <x v="0"/>
  </r>
  <r>
    <d v="2024-06-27T00:00:00"/>
    <x v="1"/>
    <x v="0"/>
    <x v="1"/>
    <n v="1024370603.59"/>
    <x v="1"/>
    <x v="0"/>
    <x v="1"/>
    <x v="11"/>
    <x v="1"/>
    <x v="0"/>
    <x v="1"/>
    <x v="0"/>
    <x v="10"/>
    <n v="27"/>
    <x v="0"/>
  </r>
  <r>
    <d v="2024-06-27T00:00:00"/>
    <x v="3"/>
    <x v="2"/>
    <x v="0"/>
    <n v="558141846.59000003"/>
    <x v="3"/>
    <x v="2"/>
    <x v="0"/>
    <x v="12"/>
    <x v="1"/>
    <x v="0"/>
    <x v="1"/>
    <x v="0"/>
    <x v="10"/>
    <n v="27"/>
    <x v="0"/>
  </r>
  <r>
    <d v="2024-06-27T00:00:00"/>
    <x v="3"/>
    <x v="2"/>
    <x v="1"/>
    <n v="5415257538.7200003"/>
    <x v="3"/>
    <x v="2"/>
    <x v="1"/>
    <x v="13"/>
    <x v="1"/>
    <x v="0"/>
    <x v="1"/>
    <x v="0"/>
    <x v="10"/>
    <n v="27"/>
    <x v="0"/>
  </r>
  <r>
    <d v="2024-06-27T00:00:00"/>
    <x v="3"/>
    <x v="1"/>
    <x v="0"/>
    <n v="15836619.470000001"/>
    <x v="3"/>
    <x v="1"/>
    <x v="0"/>
    <x v="14"/>
    <x v="1"/>
    <x v="0"/>
    <x v="1"/>
    <x v="0"/>
    <x v="10"/>
    <n v="27"/>
    <x v="0"/>
  </r>
  <r>
    <d v="2024-06-26T00:00:00"/>
    <x v="1"/>
    <x v="1"/>
    <x v="0"/>
    <n v="194925.55"/>
    <x v="1"/>
    <x v="1"/>
    <x v="0"/>
    <x v="0"/>
    <x v="1"/>
    <x v="0"/>
    <x v="1"/>
    <x v="0"/>
    <x v="10"/>
    <n v="26"/>
    <x v="0"/>
  </r>
  <r>
    <d v="2024-06-26T00:00:00"/>
    <x v="0"/>
    <x v="1"/>
    <x v="0"/>
    <n v="11963710.970000001"/>
    <x v="0"/>
    <x v="1"/>
    <x v="0"/>
    <x v="1"/>
    <x v="1"/>
    <x v="0"/>
    <x v="1"/>
    <x v="0"/>
    <x v="10"/>
    <n v="26"/>
    <x v="0"/>
  </r>
  <r>
    <d v="2024-06-26T00:00:00"/>
    <x v="3"/>
    <x v="2"/>
    <x v="2"/>
    <n v="199615.13"/>
    <x v="3"/>
    <x v="2"/>
    <x v="2"/>
    <x v="4"/>
    <x v="1"/>
    <x v="0"/>
    <x v="1"/>
    <x v="0"/>
    <x v="10"/>
    <n v="26"/>
    <x v="0"/>
  </r>
  <r>
    <d v="2024-06-26T00:00:00"/>
    <x v="2"/>
    <x v="1"/>
    <x v="2"/>
    <n v="15403"/>
    <x v="2"/>
    <x v="1"/>
    <x v="2"/>
    <x v="2"/>
    <x v="1"/>
    <x v="0"/>
    <x v="1"/>
    <x v="0"/>
    <x v="10"/>
    <n v="26"/>
    <x v="0"/>
  </r>
  <r>
    <d v="2024-06-26T00:00:00"/>
    <x v="3"/>
    <x v="3"/>
    <x v="0"/>
    <n v="2321019132.9899998"/>
    <x v="3"/>
    <x v="3"/>
    <x v="0"/>
    <x v="5"/>
    <x v="1"/>
    <x v="0"/>
    <x v="1"/>
    <x v="0"/>
    <x v="10"/>
    <n v="26"/>
    <x v="0"/>
  </r>
  <r>
    <d v="2024-06-26T00:00:00"/>
    <x v="0"/>
    <x v="1"/>
    <x v="1"/>
    <n v="36604609.399999999"/>
    <x v="0"/>
    <x v="1"/>
    <x v="1"/>
    <x v="3"/>
    <x v="1"/>
    <x v="0"/>
    <x v="1"/>
    <x v="0"/>
    <x v="10"/>
    <n v="26"/>
    <x v="0"/>
  </r>
  <r>
    <d v="2024-06-26T00:00:00"/>
    <x v="2"/>
    <x v="1"/>
    <x v="0"/>
    <n v="95392475.129999995"/>
    <x v="2"/>
    <x v="1"/>
    <x v="0"/>
    <x v="6"/>
    <x v="1"/>
    <x v="0"/>
    <x v="1"/>
    <x v="0"/>
    <x v="10"/>
    <n v="26"/>
    <x v="0"/>
  </r>
  <r>
    <d v="2024-06-26T00:00:00"/>
    <x v="2"/>
    <x v="1"/>
    <x v="1"/>
    <n v="314618402.5"/>
    <x v="2"/>
    <x v="1"/>
    <x v="1"/>
    <x v="7"/>
    <x v="1"/>
    <x v="0"/>
    <x v="1"/>
    <x v="0"/>
    <x v="10"/>
    <n v="26"/>
    <x v="0"/>
  </r>
  <r>
    <d v="2024-06-26T00:00:00"/>
    <x v="1"/>
    <x v="0"/>
    <x v="0"/>
    <n v="102992421.93000001"/>
    <x v="1"/>
    <x v="0"/>
    <x v="0"/>
    <x v="8"/>
    <x v="1"/>
    <x v="0"/>
    <x v="1"/>
    <x v="0"/>
    <x v="10"/>
    <n v="26"/>
    <x v="0"/>
  </r>
  <r>
    <d v="2024-06-26T00:00:00"/>
    <x v="1"/>
    <x v="0"/>
    <x v="1"/>
    <n v="5058325661.3800001"/>
    <x v="1"/>
    <x v="0"/>
    <x v="1"/>
    <x v="9"/>
    <x v="1"/>
    <x v="0"/>
    <x v="1"/>
    <x v="0"/>
    <x v="10"/>
    <n v="26"/>
    <x v="0"/>
  </r>
  <r>
    <d v="2024-06-26T00:00:00"/>
    <x v="3"/>
    <x v="2"/>
    <x v="1"/>
    <n v="12254910983.01"/>
    <x v="3"/>
    <x v="2"/>
    <x v="1"/>
    <x v="10"/>
    <x v="1"/>
    <x v="0"/>
    <x v="1"/>
    <x v="0"/>
    <x v="10"/>
    <n v="26"/>
    <x v="0"/>
  </r>
  <r>
    <d v="2024-06-26T00:00:00"/>
    <x v="3"/>
    <x v="1"/>
    <x v="0"/>
    <n v="16491095.119999999"/>
    <x v="3"/>
    <x v="1"/>
    <x v="0"/>
    <x v="11"/>
    <x v="1"/>
    <x v="0"/>
    <x v="1"/>
    <x v="0"/>
    <x v="10"/>
    <n v="26"/>
    <x v="0"/>
  </r>
  <r>
    <d v="2024-06-26T00:00:00"/>
    <x v="3"/>
    <x v="2"/>
    <x v="0"/>
    <n v="505823338.17000002"/>
    <x v="3"/>
    <x v="2"/>
    <x v="0"/>
    <x v="12"/>
    <x v="1"/>
    <x v="0"/>
    <x v="1"/>
    <x v="0"/>
    <x v="10"/>
    <n v="26"/>
    <x v="0"/>
  </r>
  <r>
    <d v="2024-06-25T00:00:00"/>
    <x v="0"/>
    <x v="0"/>
    <x v="0"/>
    <n v="692.97"/>
    <x v="0"/>
    <x v="0"/>
    <x v="0"/>
    <x v="0"/>
    <x v="1"/>
    <x v="0"/>
    <x v="1"/>
    <x v="0"/>
    <x v="10"/>
    <n v="25"/>
    <x v="0"/>
  </r>
  <r>
    <d v="2024-06-25T00:00:00"/>
    <x v="3"/>
    <x v="2"/>
    <x v="2"/>
    <n v="129578.6"/>
    <x v="3"/>
    <x v="2"/>
    <x v="2"/>
    <x v="7"/>
    <x v="1"/>
    <x v="0"/>
    <x v="1"/>
    <x v="0"/>
    <x v="10"/>
    <n v="25"/>
    <x v="0"/>
  </r>
  <r>
    <d v="2024-06-25T00:00:00"/>
    <x v="1"/>
    <x v="1"/>
    <x v="0"/>
    <n v="84538.74"/>
    <x v="1"/>
    <x v="1"/>
    <x v="0"/>
    <x v="1"/>
    <x v="1"/>
    <x v="0"/>
    <x v="1"/>
    <x v="0"/>
    <x v="10"/>
    <n v="25"/>
    <x v="0"/>
  </r>
  <r>
    <d v="2024-06-25T00:00:00"/>
    <x v="0"/>
    <x v="1"/>
    <x v="0"/>
    <n v="23101632.07"/>
    <x v="0"/>
    <x v="1"/>
    <x v="0"/>
    <x v="2"/>
    <x v="1"/>
    <x v="0"/>
    <x v="1"/>
    <x v="0"/>
    <x v="10"/>
    <n v="25"/>
    <x v="0"/>
  </r>
  <r>
    <d v="2024-06-25T00:00:00"/>
    <x v="3"/>
    <x v="3"/>
    <x v="2"/>
    <n v="535.4"/>
    <x v="3"/>
    <x v="3"/>
    <x v="2"/>
    <x v="3"/>
    <x v="1"/>
    <x v="0"/>
    <x v="1"/>
    <x v="0"/>
    <x v="10"/>
    <n v="25"/>
    <x v="0"/>
  </r>
  <r>
    <d v="2024-06-25T00:00:00"/>
    <x v="2"/>
    <x v="1"/>
    <x v="2"/>
    <n v="19740.57"/>
    <x v="2"/>
    <x v="1"/>
    <x v="2"/>
    <x v="4"/>
    <x v="1"/>
    <x v="0"/>
    <x v="1"/>
    <x v="0"/>
    <x v="10"/>
    <n v="25"/>
    <x v="0"/>
  </r>
  <r>
    <d v="2024-06-25T00:00:00"/>
    <x v="0"/>
    <x v="1"/>
    <x v="1"/>
    <n v="3133490.9"/>
    <x v="0"/>
    <x v="1"/>
    <x v="1"/>
    <x v="6"/>
    <x v="1"/>
    <x v="0"/>
    <x v="1"/>
    <x v="0"/>
    <x v="10"/>
    <n v="25"/>
    <x v="0"/>
  </r>
  <r>
    <d v="2024-06-25T00:00:00"/>
    <x v="3"/>
    <x v="3"/>
    <x v="1"/>
    <n v="15108.46"/>
    <x v="3"/>
    <x v="3"/>
    <x v="1"/>
    <x v="5"/>
    <x v="1"/>
    <x v="0"/>
    <x v="1"/>
    <x v="0"/>
    <x v="10"/>
    <n v="25"/>
    <x v="0"/>
  </r>
  <r>
    <d v="2024-06-25T00:00:00"/>
    <x v="3"/>
    <x v="3"/>
    <x v="0"/>
    <n v="1794596094.8900001"/>
    <x v="3"/>
    <x v="3"/>
    <x v="0"/>
    <x v="8"/>
    <x v="1"/>
    <x v="0"/>
    <x v="1"/>
    <x v="0"/>
    <x v="10"/>
    <n v="25"/>
    <x v="0"/>
  </r>
  <r>
    <d v="2024-06-25T00:00:00"/>
    <x v="2"/>
    <x v="1"/>
    <x v="0"/>
    <n v="85293364.489999995"/>
    <x v="2"/>
    <x v="1"/>
    <x v="0"/>
    <x v="9"/>
    <x v="1"/>
    <x v="0"/>
    <x v="1"/>
    <x v="0"/>
    <x v="10"/>
    <n v="25"/>
    <x v="0"/>
  </r>
  <r>
    <d v="2024-06-25T00:00:00"/>
    <x v="2"/>
    <x v="1"/>
    <x v="1"/>
    <n v="361709616.23000002"/>
    <x v="2"/>
    <x v="1"/>
    <x v="1"/>
    <x v="10"/>
    <x v="1"/>
    <x v="0"/>
    <x v="1"/>
    <x v="0"/>
    <x v="10"/>
    <n v="25"/>
    <x v="0"/>
  </r>
  <r>
    <d v="2024-06-25T00:00:00"/>
    <x v="1"/>
    <x v="0"/>
    <x v="0"/>
    <n v="106346086.98"/>
    <x v="1"/>
    <x v="0"/>
    <x v="0"/>
    <x v="11"/>
    <x v="1"/>
    <x v="0"/>
    <x v="1"/>
    <x v="0"/>
    <x v="10"/>
    <n v="25"/>
    <x v="0"/>
  </r>
  <r>
    <d v="2024-06-25T00:00:00"/>
    <x v="1"/>
    <x v="0"/>
    <x v="1"/>
    <n v="4713298256.2200003"/>
    <x v="1"/>
    <x v="0"/>
    <x v="1"/>
    <x v="12"/>
    <x v="1"/>
    <x v="0"/>
    <x v="1"/>
    <x v="0"/>
    <x v="10"/>
    <n v="25"/>
    <x v="0"/>
  </r>
  <r>
    <d v="2024-06-25T00:00:00"/>
    <x v="3"/>
    <x v="2"/>
    <x v="1"/>
    <n v="3526761351.4499998"/>
    <x v="3"/>
    <x v="2"/>
    <x v="1"/>
    <x v="13"/>
    <x v="1"/>
    <x v="0"/>
    <x v="1"/>
    <x v="0"/>
    <x v="10"/>
    <n v="25"/>
    <x v="0"/>
  </r>
  <r>
    <d v="2024-06-25T00:00:00"/>
    <x v="3"/>
    <x v="1"/>
    <x v="0"/>
    <n v="14639894.710000001"/>
    <x v="3"/>
    <x v="1"/>
    <x v="0"/>
    <x v="14"/>
    <x v="1"/>
    <x v="0"/>
    <x v="1"/>
    <x v="0"/>
    <x v="10"/>
    <n v="25"/>
    <x v="0"/>
  </r>
  <r>
    <d v="2024-06-25T00:00:00"/>
    <x v="3"/>
    <x v="2"/>
    <x v="0"/>
    <n v="5788736604.9399996"/>
    <x v="3"/>
    <x v="2"/>
    <x v="0"/>
    <x v="15"/>
    <x v="1"/>
    <x v="0"/>
    <x v="1"/>
    <x v="0"/>
    <x v="10"/>
    <n v="25"/>
    <x v="0"/>
  </r>
  <r>
    <d v="2024-06-24T00:00:00"/>
    <x v="0"/>
    <x v="1"/>
    <x v="0"/>
    <n v="6116212.8300000001"/>
    <x v="0"/>
    <x v="1"/>
    <x v="0"/>
    <x v="1"/>
    <x v="1"/>
    <x v="0"/>
    <x v="1"/>
    <x v="0"/>
    <x v="10"/>
    <n v="24"/>
    <x v="0"/>
  </r>
  <r>
    <d v="2024-06-24T00:00:00"/>
    <x v="0"/>
    <x v="0"/>
    <x v="0"/>
    <n v="-18810.84"/>
    <x v="0"/>
    <x v="0"/>
    <x v="0"/>
    <x v="0"/>
    <x v="1"/>
    <x v="0"/>
    <x v="1"/>
    <x v="0"/>
    <x v="10"/>
    <n v="24"/>
    <x v="1"/>
  </r>
  <r>
    <d v="2024-06-24T00:00:00"/>
    <x v="3"/>
    <x v="3"/>
    <x v="2"/>
    <n v="405.23"/>
    <x v="3"/>
    <x v="3"/>
    <x v="2"/>
    <x v="2"/>
    <x v="1"/>
    <x v="0"/>
    <x v="1"/>
    <x v="0"/>
    <x v="10"/>
    <n v="24"/>
    <x v="0"/>
  </r>
  <r>
    <d v="2024-06-24T00:00:00"/>
    <x v="2"/>
    <x v="1"/>
    <x v="2"/>
    <n v="7912.06"/>
    <x v="2"/>
    <x v="1"/>
    <x v="2"/>
    <x v="3"/>
    <x v="1"/>
    <x v="0"/>
    <x v="1"/>
    <x v="0"/>
    <x v="10"/>
    <n v="24"/>
    <x v="0"/>
  </r>
  <r>
    <d v="2024-06-24T00:00:00"/>
    <x v="3"/>
    <x v="2"/>
    <x v="2"/>
    <n v="133706"/>
    <x v="3"/>
    <x v="2"/>
    <x v="2"/>
    <x v="4"/>
    <x v="1"/>
    <x v="0"/>
    <x v="1"/>
    <x v="0"/>
    <x v="10"/>
    <n v="24"/>
    <x v="0"/>
  </r>
  <r>
    <d v="2024-06-24T00:00:00"/>
    <x v="0"/>
    <x v="1"/>
    <x v="1"/>
    <n v="4283351.4000000004"/>
    <x v="0"/>
    <x v="1"/>
    <x v="1"/>
    <x v="5"/>
    <x v="1"/>
    <x v="0"/>
    <x v="1"/>
    <x v="0"/>
    <x v="10"/>
    <n v="24"/>
    <x v="0"/>
  </r>
  <r>
    <d v="2024-06-24T00:00:00"/>
    <x v="2"/>
    <x v="1"/>
    <x v="0"/>
    <n v="102232454.56999999"/>
    <x v="2"/>
    <x v="1"/>
    <x v="0"/>
    <x v="7"/>
    <x v="1"/>
    <x v="0"/>
    <x v="1"/>
    <x v="0"/>
    <x v="10"/>
    <n v="24"/>
    <x v="0"/>
  </r>
  <r>
    <d v="2024-06-24T00:00:00"/>
    <x v="1"/>
    <x v="1"/>
    <x v="0"/>
    <n v="43405.56"/>
    <x v="1"/>
    <x v="1"/>
    <x v="0"/>
    <x v="6"/>
    <x v="1"/>
    <x v="0"/>
    <x v="1"/>
    <x v="0"/>
    <x v="10"/>
    <n v="24"/>
    <x v="0"/>
  </r>
  <r>
    <d v="2024-06-24T00:00:00"/>
    <x v="3"/>
    <x v="3"/>
    <x v="0"/>
    <n v="1524422491.9100001"/>
    <x v="3"/>
    <x v="3"/>
    <x v="0"/>
    <x v="8"/>
    <x v="1"/>
    <x v="0"/>
    <x v="1"/>
    <x v="0"/>
    <x v="10"/>
    <n v="24"/>
    <x v="0"/>
  </r>
  <r>
    <d v="2024-06-24T00:00:00"/>
    <x v="2"/>
    <x v="1"/>
    <x v="1"/>
    <n v="444295611.91000003"/>
    <x v="2"/>
    <x v="1"/>
    <x v="1"/>
    <x v="9"/>
    <x v="1"/>
    <x v="0"/>
    <x v="1"/>
    <x v="0"/>
    <x v="10"/>
    <n v="24"/>
    <x v="0"/>
  </r>
  <r>
    <d v="2024-06-24T00:00:00"/>
    <x v="1"/>
    <x v="0"/>
    <x v="0"/>
    <n v="71216271.769999996"/>
    <x v="1"/>
    <x v="0"/>
    <x v="0"/>
    <x v="10"/>
    <x v="1"/>
    <x v="0"/>
    <x v="1"/>
    <x v="0"/>
    <x v="10"/>
    <n v="24"/>
    <x v="0"/>
  </r>
  <r>
    <d v="2024-06-24T00:00:00"/>
    <x v="1"/>
    <x v="0"/>
    <x v="1"/>
    <n v="9130647291.0300007"/>
    <x v="1"/>
    <x v="0"/>
    <x v="1"/>
    <x v="11"/>
    <x v="1"/>
    <x v="0"/>
    <x v="1"/>
    <x v="0"/>
    <x v="10"/>
    <n v="24"/>
    <x v="0"/>
  </r>
  <r>
    <d v="2024-06-24T00:00:00"/>
    <x v="3"/>
    <x v="2"/>
    <x v="0"/>
    <n v="618799334.15999997"/>
    <x v="3"/>
    <x v="2"/>
    <x v="0"/>
    <x v="12"/>
    <x v="1"/>
    <x v="0"/>
    <x v="1"/>
    <x v="0"/>
    <x v="10"/>
    <n v="24"/>
    <x v="0"/>
  </r>
  <r>
    <d v="2024-06-24T00:00:00"/>
    <x v="3"/>
    <x v="2"/>
    <x v="1"/>
    <n v="27267737591.139999"/>
    <x v="3"/>
    <x v="2"/>
    <x v="1"/>
    <x v="13"/>
    <x v="1"/>
    <x v="0"/>
    <x v="1"/>
    <x v="0"/>
    <x v="10"/>
    <n v="24"/>
    <x v="0"/>
  </r>
  <r>
    <d v="2024-06-24T00:00:00"/>
    <x v="3"/>
    <x v="1"/>
    <x v="0"/>
    <n v="48755625.530000001"/>
    <x v="3"/>
    <x v="1"/>
    <x v="0"/>
    <x v="14"/>
    <x v="1"/>
    <x v="0"/>
    <x v="1"/>
    <x v="0"/>
    <x v="10"/>
    <n v="24"/>
    <x v="0"/>
  </r>
  <r>
    <d v="2024-06-21T00:00:00"/>
    <x v="0"/>
    <x v="0"/>
    <x v="0"/>
    <n v="21329.25"/>
    <x v="0"/>
    <x v="0"/>
    <x v="0"/>
    <x v="0"/>
    <x v="1"/>
    <x v="0"/>
    <x v="1"/>
    <x v="0"/>
    <x v="10"/>
    <n v="21"/>
    <x v="0"/>
  </r>
  <r>
    <d v="2024-06-21T00:00:00"/>
    <x v="1"/>
    <x v="1"/>
    <x v="0"/>
    <n v="338108.96"/>
    <x v="1"/>
    <x v="1"/>
    <x v="0"/>
    <x v="1"/>
    <x v="1"/>
    <x v="0"/>
    <x v="1"/>
    <x v="0"/>
    <x v="10"/>
    <n v="21"/>
    <x v="0"/>
  </r>
  <r>
    <d v="2024-06-21T00:00:00"/>
    <x v="0"/>
    <x v="1"/>
    <x v="0"/>
    <n v="9625036.3699999992"/>
    <x v="0"/>
    <x v="1"/>
    <x v="0"/>
    <x v="2"/>
    <x v="1"/>
    <x v="0"/>
    <x v="1"/>
    <x v="0"/>
    <x v="10"/>
    <n v="21"/>
    <x v="0"/>
  </r>
  <r>
    <d v="2024-06-21T00:00:00"/>
    <x v="2"/>
    <x v="1"/>
    <x v="2"/>
    <n v="11197.05"/>
    <x v="2"/>
    <x v="1"/>
    <x v="2"/>
    <x v="3"/>
    <x v="1"/>
    <x v="0"/>
    <x v="1"/>
    <x v="0"/>
    <x v="10"/>
    <n v="21"/>
    <x v="0"/>
  </r>
  <r>
    <d v="2024-06-21T00:00:00"/>
    <x v="2"/>
    <x v="1"/>
    <x v="0"/>
    <n v="94440706.189999998"/>
    <x v="2"/>
    <x v="1"/>
    <x v="0"/>
    <x v="6"/>
    <x v="1"/>
    <x v="0"/>
    <x v="1"/>
    <x v="0"/>
    <x v="10"/>
    <n v="21"/>
    <x v="0"/>
  </r>
  <r>
    <d v="2024-06-21T00:00:00"/>
    <x v="0"/>
    <x v="1"/>
    <x v="1"/>
    <n v="14564092.17"/>
    <x v="0"/>
    <x v="1"/>
    <x v="1"/>
    <x v="4"/>
    <x v="1"/>
    <x v="0"/>
    <x v="1"/>
    <x v="0"/>
    <x v="10"/>
    <n v="21"/>
    <x v="0"/>
  </r>
  <r>
    <d v="2024-06-21T00:00:00"/>
    <x v="2"/>
    <x v="1"/>
    <x v="1"/>
    <n v="479575090.12"/>
    <x v="2"/>
    <x v="1"/>
    <x v="1"/>
    <x v="7"/>
    <x v="1"/>
    <x v="0"/>
    <x v="1"/>
    <x v="0"/>
    <x v="10"/>
    <n v="21"/>
    <x v="0"/>
  </r>
  <r>
    <d v="2024-06-21T00:00:00"/>
    <x v="3"/>
    <x v="3"/>
    <x v="0"/>
    <n v="1513690318.29"/>
    <x v="3"/>
    <x v="3"/>
    <x v="0"/>
    <x v="8"/>
    <x v="1"/>
    <x v="0"/>
    <x v="1"/>
    <x v="0"/>
    <x v="10"/>
    <n v="21"/>
    <x v="0"/>
  </r>
  <r>
    <d v="2024-06-21T00:00:00"/>
    <x v="3"/>
    <x v="2"/>
    <x v="2"/>
    <n v="267870.95"/>
    <x v="3"/>
    <x v="2"/>
    <x v="2"/>
    <x v="5"/>
    <x v="1"/>
    <x v="0"/>
    <x v="1"/>
    <x v="0"/>
    <x v="10"/>
    <n v="21"/>
    <x v="0"/>
  </r>
  <r>
    <d v="2024-06-21T00:00:00"/>
    <x v="1"/>
    <x v="0"/>
    <x v="0"/>
    <n v="70269358.969999999"/>
    <x v="1"/>
    <x v="0"/>
    <x v="0"/>
    <x v="9"/>
    <x v="1"/>
    <x v="0"/>
    <x v="1"/>
    <x v="0"/>
    <x v="10"/>
    <n v="21"/>
    <x v="0"/>
  </r>
  <r>
    <d v="2024-06-21T00:00:00"/>
    <x v="1"/>
    <x v="0"/>
    <x v="1"/>
    <n v="10191463553.690001"/>
    <x v="1"/>
    <x v="0"/>
    <x v="1"/>
    <x v="10"/>
    <x v="1"/>
    <x v="0"/>
    <x v="1"/>
    <x v="0"/>
    <x v="10"/>
    <n v="21"/>
    <x v="0"/>
  </r>
  <r>
    <d v="2024-06-21T00:00:00"/>
    <x v="3"/>
    <x v="1"/>
    <x v="0"/>
    <n v="16133061.41"/>
    <x v="3"/>
    <x v="1"/>
    <x v="0"/>
    <x v="11"/>
    <x v="1"/>
    <x v="0"/>
    <x v="1"/>
    <x v="0"/>
    <x v="10"/>
    <n v="21"/>
    <x v="0"/>
  </r>
  <r>
    <d v="2024-06-21T00:00:00"/>
    <x v="3"/>
    <x v="2"/>
    <x v="0"/>
    <n v="730732529.40999997"/>
    <x v="3"/>
    <x v="2"/>
    <x v="0"/>
    <x v="12"/>
    <x v="1"/>
    <x v="0"/>
    <x v="1"/>
    <x v="0"/>
    <x v="10"/>
    <n v="21"/>
    <x v="0"/>
  </r>
  <r>
    <d v="2024-06-21T00:00:00"/>
    <x v="3"/>
    <x v="2"/>
    <x v="1"/>
    <n v="11992915899.59"/>
    <x v="3"/>
    <x v="2"/>
    <x v="1"/>
    <x v="13"/>
    <x v="1"/>
    <x v="0"/>
    <x v="1"/>
    <x v="0"/>
    <x v="10"/>
    <n v="21"/>
    <x v="0"/>
  </r>
  <r>
    <d v="2024-06-20T00:00:00"/>
    <x v="0"/>
    <x v="0"/>
    <x v="0"/>
    <n v="309.05"/>
    <x v="0"/>
    <x v="0"/>
    <x v="0"/>
    <x v="0"/>
    <x v="1"/>
    <x v="0"/>
    <x v="1"/>
    <x v="0"/>
    <x v="10"/>
    <n v="20"/>
    <x v="0"/>
  </r>
  <r>
    <d v="2024-06-20T00:00:00"/>
    <x v="1"/>
    <x v="1"/>
    <x v="0"/>
    <n v="95294.43"/>
    <x v="1"/>
    <x v="1"/>
    <x v="0"/>
    <x v="1"/>
    <x v="1"/>
    <x v="0"/>
    <x v="1"/>
    <x v="0"/>
    <x v="10"/>
    <n v="20"/>
    <x v="0"/>
  </r>
  <r>
    <d v="2024-06-20T00:00:00"/>
    <x v="0"/>
    <x v="1"/>
    <x v="0"/>
    <n v="10927480.779999999"/>
    <x v="0"/>
    <x v="1"/>
    <x v="0"/>
    <x v="2"/>
    <x v="1"/>
    <x v="0"/>
    <x v="1"/>
    <x v="0"/>
    <x v="10"/>
    <n v="20"/>
    <x v="0"/>
  </r>
  <r>
    <d v="2024-06-20T00:00:00"/>
    <x v="2"/>
    <x v="1"/>
    <x v="2"/>
    <n v="12236"/>
    <x v="2"/>
    <x v="1"/>
    <x v="2"/>
    <x v="3"/>
    <x v="1"/>
    <x v="0"/>
    <x v="1"/>
    <x v="0"/>
    <x v="10"/>
    <n v="20"/>
    <x v="0"/>
  </r>
  <r>
    <d v="2024-06-20T00:00:00"/>
    <x v="3"/>
    <x v="3"/>
    <x v="1"/>
    <n v="1191845.17"/>
    <x v="3"/>
    <x v="3"/>
    <x v="1"/>
    <x v="4"/>
    <x v="1"/>
    <x v="0"/>
    <x v="1"/>
    <x v="0"/>
    <x v="10"/>
    <n v="20"/>
    <x v="0"/>
  </r>
  <r>
    <d v="2024-06-20T00:00:00"/>
    <x v="0"/>
    <x v="1"/>
    <x v="1"/>
    <n v="15176167.15"/>
    <x v="0"/>
    <x v="1"/>
    <x v="1"/>
    <x v="5"/>
    <x v="1"/>
    <x v="0"/>
    <x v="1"/>
    <x v="0"/>
    <x v="10"/>
    <n v="20"/>
    <x v="0"/>
  </r>
  <r>
    <d v="2024-06-20T00:00:00"/>
    <x v="2"/>
    <x v="1"/>
    <x v="0"/>
    <n v="86653562.290000007"/>
    <x v="2"/>
    <x v="1"/>
    <x v="0"/>
    <x v="8"/>
    <x v="1"/>
    <x v="0"/>
    <x v="1"/>
    <x v="0"/>
    <x v="10"/>
    <n v="20"/>
    <x v="0"/>
  </r>
  <r>
    <d v="2024-06-20T00:00:00"/>
    <x v="2"/>
    <x v="1"/>
    <x v="1"/>
    <n v="177138081.59"/>
    <x v="2"/>
    <x v="1"/>
    <x v="1"/>
    <x v="9"/>
    <x v="1"/>
    <x v="0"/>
    <x v="1"/>
    <x v="0"/>
    <x v="10"/>
    <n v="20"/>
    <x v="0"/>
  </r>
  <r>
    <d v="2024-06-20T00:00:00"/>
    <x v="1"/>
    <x v="0"/>
    <x v="0"/>
    <n v="115177640.73"/>
    <x v="1"/>
    <x v="0"/>
    <x v="0"/>
    <x v="10"/>
    <x v="1"/>
    <x v="0"/>
    <x v="1"/>
    <x v="0"/>
    <x v="10"/>
    <n v="20"/>
    <x v="0"/>
  </r>
  <r>
    <d v="2024-06-20T00:00:00"/>
    <x v="3"/>
    <x v="2"/>
    <x v="2"/>
    <n v="274902"/>
    <x v="3"/>
    <x v="2"/>
    <x v="2"/>
    <x v="6"/>
    <x v="1"/>
    <x v="0"/>
    <x v="1"/>
    <x v="0"/>
    <x v="10"/>
    <n v="20"/>
    <x v="0"/>
  </r>
  <r>
    <d v="2024-06-20T00:00:00"/>
    <x v="3"/>
    <x v="3"/>
    <x v="0"/>
    <n v="2675125864.3600001"/>
    <x v="3"/>
    <x v="3"/>
    <x v="0"/>
    <x v="7"/>
    <x v="1"/>
    <x v="0"/>
    <x v="1"/>
    <x v="0"/>
    <x v="10"/>
    <n v="20"/>
    <x v="0"/>
  </r>
  <r>
    <d v="2024-06-20T00:00:00"/>
    <x v="1"/>
    <x v="0"/>
    <x v="1"/>
    <n v="10322416536.969999"/>
    <x v="1"/>
    <x v="0"/>
    <x v="1"/>
    <x v="11"/>
    <x v="1"/>
    <x v="0"/>
    <x v="1"/>
    <x v="0"/>
    <x v="10"/>
    <n v="20"/>
    <x v="0"/>
  </r>
  <r>
    <d v="2024-06-20T00:00:00"/>
    <x v="3"/>
    <x v="2"/>
    <x v="0"/>
    <n v="983566504.73000002"/>
    <x v="3"/>
    <x v="2"/>
    <x v="0"/>
    <x v="12"/>
    <x v="1"/>
    <x v="0"/>
    <x v="1"/>
    <x v="0"/>
    <x v="10"/>
    <n v="20"/>
    <x v="0"/>
  </r>
  <r>
    <d v="2024-06-20T00:00:00"/>
    <x v="3"/>
    <x v="1"/>
    <x v="0"/>
    <n v="27755907.890000001"/>
    <x v="3"/>
    <x v="1"/>
    <x v="0"/>
    <x v="13"/>
    <x v="1"/>
    <x v="0"/>
    <x v="1"/>
    <x v="0"/>
    <x v="10"/>
    <n v="20"/>
    <x v="0"/>
  </r>
  <r>
    <d v="2024-06-20T00:00:00"/>
    <x v="3"/>
    <x v="2"/>
    <x v="1"/>
    <n v="26281474048.529999"/>
    <x v="3"/>
    <x v="2"/>
    <x v="1"/>
    <x v="14"/>
    <x v="1"/>
    <x v="0"/>
    <x v="1"/>
    <x v="0"/>
    <x v="10"/>
    <n v="20"/>
    <x v="0"/>
  </r>
  <r>
    <d v="2024-06-18T00:00:00"/>
    <x v="0"/>
    <x v="1"/>
    <x v="1"/>
    <n v="10555886.24"/>
    <x v="0"/>
    <x v="1"/>
    <x v="1"/>
    <x v="4"/>
    <x v="1"/>
    <x v="0"/>
    <x v="1"/>
    <x v="0"/>
    <x v="10"/>
    <n v="18"/>
    <x v="0"/>
  </r>
  <r>
    <d v="2024-06-18T00:00:00"/>
    <x v="0"/>
    <x v="0"/>
    <x v="0"/>
    <n v="355"/>
    <x v="0"/>
    <x v="0"/>
    <x v="0"/>
    <x v="0"/>
    <x v="1"/>
    <x v="0"/>
    <x v="1"/>
    <x v="0"/>
    <x v="10"/>
    <n v="18"/>
    <x v="0"/>
  </r>
  <r>
    <d v="2024-06-18T00:00:00"/>
    <x v="0"/>
    <x v="1"/>
    <x v="0"/>
    <n v="9121176.7699999996"/>
    <x v="0"/>
    <x v="1"/>
    <x v="0"/>
    <x v="1"/>
    <x v="1"/>
    <x v="0"/>
    <x v="1"/>
    <x v="0"/>
    <x v="10"/>
    <n v="18"/>
    <x v="0"/>
  </r>
  <r>
    <d v="2024-06-18T00:00:00"/>
    <x v="2"/>
    <x v="1"/>
    <x v="2"/>
    <n v="12774"/>
    <x v="2"/>
    <x v="1"/>
    <x v="2"/>
    <x v="2"/>
    <x v="1"/>
    <x v="0"/>
    <x v="1"/>
    <x v="0"/>
    <x v="10"/>
    <n v="18"/>
    <x v="0"/>
  </r>
  <r>
    <d v="2024-06-18T00:00:00"/>
    <x v="3"/>
    <x v="3"/>
    <x v="1"/>
    <n v="1733867.07"/>
    <x v="3"/>
    <x v="3"/>
    <x v="1"/>
    <x v="3"/>
    <x v="1"/>
    <x v="0"/>
    <x v="1"/>
    <x v="0"/>
    <x v="10"/>
    <n v="18"/>
    <x v="0"/>
  </r>
  <r>
    <d v="2024-06-18T00:00:00"/>
    <x v="2"/>
    <x v="1"/>
    <x v="0"/>
    <n v="75359589.150000006"/>
    <x v="2"/>
    <x v="1"/>
    <x v="0"/>
    <x v="8"/>
    <x v="1"/>
    <x v="0"/>
    <x v="1"/>
    <x v="0"/>
    <x v="10"/>
    <n v="18"/>
    <x v="0"/>
  </r>
  <r>
    <d v="2024-06-18T00:00:00"/>
    <x v="1"/>
    <x v="1"/>
    <x v="0"/>
    <n v="2822942.84"/>
    <x v="1"/>
    <x v="1"/>
    <x v="0"/>
    <x v="5"/>
    <x v="1"/>
    <x v="0"/>
    <x v="1"/>
    <x v="0"/>
    <x v="10"/>
    <n v="18"/>
    <x v="0"/>
  </r>
  <r>
    <d v="2024-06-18T00:00:00"/>
    <x v="3"/>
    <x v="3"/>
    <x v="0"/>
    <n v="1210610932.5599999"/>
    <x v="3"/>
    <x v="3"/>
    <x v="0"/>
    <x v="9"/>
    <x v="1"/>
    <x v="0"/>
    <x v="1"/>
    <x v="0"/>
    <x v="10"/>
    <n v="18"/>
    <x v="0"/>
  </r>
  <r>
    <d v="2024-06-18T00:00:00"/>
    <x v="3"/>
    <x v="2"/>
    <x v="2"/>
    <n v="283240.42"/>
    <x v="3"/>
    <x v="2"/>
    <x v="2"/>
    <x v="6"/>
    <x v="1"/>
    <x v="0"/>
    <x v="1"/>
    <x v="0"/>
    <x v="10"/>
    <n v="18"/>
    <x v="0"/>
  </r>
  <r>
    <d v="2024-06-18T00:00:00"/>
    <x v="2"/>
    <x v="1"/>
    <x v="1"/>
    <n v="201030316.41"/>
    <x v="2"/>
    <x v="1"/>
    <x v="1"/>
    <x v="10"/>
    <x v="1"/>
    <x v="0"/>
    <x v="1"/>
    <x v="0"/>
    <x v="10"/>
    <n v="18"/>
    <x v="0"/>
  </r>
  <r>
    <d v="2024-06-18T00:00:00"/>
    <x v="1"/>
    <x v="0"/>
    <x v="0"/>
    <n v="104572587.25"/>
    <x v="1"/>
    <x v="0"/>
    <x v="0"/>
    <x v="11"/>
    <x v="1"/>
    <x v="0"/>
    <x v="1"/>
    <x v="0"/>
    <x v="10"/>
    <n v="18"/>
    <x v="0"/>
  </r>
  <r>
    <d v="2024-06-18T00:00:00"/>
    <x v="3"/>
    <x v="2"/>
    <x v="1"/>
    <n v="1601912581.26"/>
    <x v="3"/>
    <x v="2"/>
    <x v="1"/>
    <x v="7"/>
    <x v="1"/>
    <x v="0"/>
    <x v="1"/>
    <x v="0"/>
    <x v="10"/>
    <n v="18"/>
    <x v="0"/>
  </r>
  <r>
    <d v="2024-06-18T00:00:00"/>
    <x v="1"/>
    <x v="0"/>
    <x v="1"/>
    <n v="3419196581.29"/>
    <x v="1"/>
    <x v="0"/>
    <x v="1"/>
    <x v="12"/>
    <x v="1"/>
    <x v="0"/>
    <x v="1"/>
    <x v="0"/>
    <x v="10"/>
    <n v="18"/>
    <x v="0"/>
  </r>
  <r>
    <d v="2024-06-18T00:00:00"/>
    <x v="3"/>
    <x v="2"/>
    <x v="0"/>
    <n v="620673408.58000004"/>
    <x v="3"/>
    <x v="2"/>
    <x v="0"/>
    <x v="13"/>
    <x v="1"/>
    <x v="0"/>
    <x v="1"/>
    <x v="0"/>
    <x v="10"/>
    <n v="18"/>
    <x v="0"/>
  </r>
  <r>
    <d v="2024-06-18T00:00:00"/>
    <x v="3"/>
    <x v="1"/>
    <x v="0"/>
    <n v="14103647.85"/>
    <x v="3"/>
    <x v="1"/>
    <x v="0"/>
    <x v="14"/>
    <x v="1"/>
    <x v="0"/>
    <x v="1"/>
    <x v="0"/>
    <x v="10"/>
    <n v="18"/>
    <x v="0"/>
  </r>
  <r>
    <d v="2024-06-17T00:00:00"/>
    <x v="0"/>
    <x v="1"/>
    <x v="0"/>
    <n v="12143954.720000001"/>
    <x v="0"/>
    <x v="1"/>
    <x v="0"/>
    <x v="1"/>
    <x v="1"/>
    <x v="0"/>
    <x v="1"/>
    <x v="0"/>
    <x v="10"/>
    <n v="17"/>
    <x v="0"/>
  </r>
  <r>
    <d v="2024-06-17T00:00:00"/>
    <x v="0"/>
    <x v="0"/>
    <x v="0"/>
    <n v="1260"/>
    <x v="0"/>
    <x v="0"/>
    <x v="0"/>
    <x v="0"/>
    <x v="1"/>
    <x v="0"/>
    <x v="1"/>
    <x v="0"/>
    <x v="10"/>
    <n v="17"/>
    <x v="0"/>
  </r>
  <r>
    <d v="2024-06-17T00:00:00"/>
    <x v="3"/>
    <x v="2"/>
    <x v="2"/>
    <n v="199791.41"/>
    <x v="3"/>
    <x v="2"/>
    <x v="2"/>
    <x v="5"/>
    <x v="1"/>
    <x v="0"/>
    <x v="1"/>
    <x v="0"/>
    <x v="10"/>
    <n v="17"/>
    <x v="0"/>
  </r>
  <r>
    <d v="2024-06-17T00:00:00"/>
    <x v="3"/>
    <x v="3"/>
    <x v="0"/>
    <n v="1267626113.8800001"/>
    <x v="3"/>
    <x v="3"/>
    <x v="0"/>
    <x v="6"/>
    <x v="1"/>
    <x v="0"/>
    <x v="1"/>
    <x v="0"/>
    <x v="10"/>
    <n v="17"/>
    <x v="0"/>
  </r>
  <r>
    <d v="2024-06-17T00:00:00"/>
    <x v="2"/>
    <x v="1"/>
    <x v="2"/>
    <n v="103599.6"/>
    <x v="2"/>
    <x v="1"/>
    <x v="2"/>
    <x v="2"/>
    <x v="1"/>
    <x v="0"/>
    <x v="1"/>
    <x v="0"/>
    <x v="10"/>
    <n v="17"/>
    <x v="0"/>
  </r>
  <r>
    <d v="2024-06-17T00:00:00"/>
    <x v="0"/>
    <x v="1"/>
    <x v="1"/>
    <n v="10894117.15"/>
    <x v="0"/>
    <x v="1"/>
    <x v="1"/>
    <x v="3"/>
    <x v="1"/>
    <x v="0"/>
    <x v="1"/>
    <x v="0"/>
    <x v="10"/>
    <n v="17"/>
    <x v="0"/>
  </r>
  <r>
    <d v="2024-06-17T00:00:00"/>
    <x v="1"/>
    <x v="1"/>
    <x v="0"/>
    <n v="32748.49"/>
    <x v="1"/>
    <x v="1"/>
    <x v="0"/>
    <x v="4"/>
    <x v="1"/>
    <x v="0"/>
    <x v="1"/>
    <x v="0"/>
    <x v="10"/>
    <n v="17"/>
    <x v="0"/>
  </r>
  <r>
    <d v="2024-06-17T00:00:00"/>
    <x v="2"/>
    <x v="1"/>
    <x v="0"/>
    <n v="76150380.200000003"/>
    <x v="2"/>
    <x v="1"/>
    <x v="0"/>
    <x v="7"/>
    <x v="1"/>
    <x v="0"/>
    <x v="1"/>
    <x v="0"/>
    <x v="10"/>
    <n v="17"/>
    <x v="0"/>
  </r>
  <r>
    <d v="2024-06-17T00:00:00"/>
    <x v="2"/>
    <x v="1"/>
    <x v="1"/>
    <n v="328334454.45999998"/>
    <x v="2"/>
    <x v="1"/>
    <x v="1"/>
    <x v="8"/>
    <x v="1"/>
    <x v="0"/>
    <x v="1"/>
    <x v="0"/>
    <x v="10"/>
    <n v="17"/>
    <x v="0"/>
  </r>
  <r>
    <d v="2024-06-17T00:00:00"/>
    <x v="1"/>
    <x v="0"/>
    <x v="0"/>
    <n v="78259869.180000007"/>
    <x v="1"/>
    <x v="0"/>
    <x v="0"/>
    <x v="9"/>
    <x v="1"/>
    <x v="0"/>
    <x v="1"/>
    <x v="0"/>
    <x v="10"/>
    <n v="17"/>
    <x v="0"/>
  </r>
  <r>
    <d v="2024-06-17T00:00:00"/>
    <x v="1"/>
    <x v="0"/>
    <x v="1"/>
    <n v="2503095582.0900002"/>
    <x v="1"/>
    <x v="0"/>
    <x v="1"/>
    <x v="10"/>
    <x v="1"/>
    <x v="0"/>
    <x v="1"/>
    <x v="0"/>
    <x v="10"/>
    <n v="17"/>
    <x v="0"/>
  </r>
  <r>
    <d v="2024-06-17T00:00:00"/>
    <x v="3"/>
    <x v="2"/>
    <x v="0"/>
    <n v="719498883.26999998"/>
    <x v="3"/>
    <x v="2"/>
    <x v="0"/>
    <x v="11"/>
    <x v="1"/>
    <x v="0"/>
    <x v="1"/>
    <x v="0"/>
    <x v="10"/>
    <n v="17"/>
    <x v="0"/>
  </r>
  <r>
    <d v="2024-06-17T00:00:00"/>
    <x v="3"/>
    <x v="2"/>
    <x v="1"/>
    <n v="101788081833.50999"/>
    <x v="3"/>
    <x v="2"/>
    <x v="1"/>
    <x v="12"/>
    <x v="1"/>
    <x v="0"/>
    <x v="1"/>
    <x v="0"/>
    <x v="10"/>
    <n v="17"/>
    <x v="0"/>
  </r>
  <r>
    <d v="2024-06-17T00:00:00"/>
    <x v="3"/>
    <x v="1"/>
    <x v="0"/>
    <n v="50452529.359999999"/>
    <x v="3"/>
    <x v="1"/>
    <x v="0"/>
    <x v="13"/>
    <x v="1"/>
    <x v="0"/>
    <x v="1"/>
    <x v="0"/>
    <x v="10"/>
    <n v="17"/>
    <x v="0"/>
  </r>
  <r>
    <d v="2024-06-14T00:00:00"/>
    <x v="0"/>
    <x v="1"/>
    <x v="0"/>
    <n v="9531614.5800000001"/>
    <x v="0"/>
    <x v="1"/>
    <x v="0"/>
    <x v="1"/>
    <x v="1"/>
    <x v="0"/>
    <x v="1"/>
    <x v="0"/>
    <x v="10"/>
    <n v="14"/>
    <x v="0"/>
  </r>
  <r>
    <d v="2024-06-14T00:00:00"/>
    <x v="0"/>
    <x v="1"/>
    <x v="1"/>
    <n v="7721517.7199999997"/>
    <x v="0"/>
    <x v="1"/>
    <x v="1"/>
    <x v="3"/>
    <x v="1"/>
    <x v="0"/>
    <x v="1"/>
    <x v="0"/>
    <x v="10"/>
    <n v="14"/>
    <x v="0"/>
  </r>
  <r>
    <d v="2024-06-14T00:00:00"/>
    <x v="1"/>
    <x v="1"/>
    <x v="0"/>
    <n v="662024.30000000005"/>
    <x v="1"/>
    <x v="1"/>
    <x v="0"/>
    <x v="0"/>
    <x v="1"/>
    <x v="0"/>
    <x v="1"/>
    <x v="0"/>
    <x v="10"/>
    <n v="14"/>
    <x v="0"/>
  </r>
  <r>
    <d v="2024-06-14T00:00:00"/>
    <x v="3"/>
    <x v="2"/>
    <x v="2"/>
    <n v="350992"/>
    <x v="3"/>
    <x v="2"/>
    <x v="2"/>
    <x v="4"/>
    <x v="1"/>
    <x v="0"/>
    <x v="1"/>
    <x v="0"/>
    <x v="10"/>
    <n v="14"/>
    <x v="0"/>
  </r>
  <r>
    <d v="2024-06-14T00:00:00"/>
    <x v="2"/>
    <x v="1"/>
    <x v="2"/>
    <n v="8374.0400000000009"/>
    <x v="2"/>
    <x v="1"/>
    <x v="2"/>
    <x v="2"/>
    <x v="1"/>
    <x v="0"/>
    <x v="1"/>
    <x v="0"/>
    <x v="10"/>
    <n v="14"/>
    <x v="0"/>
  </r>
  <r>
    <d v="2024-06-14T00:00:00"/>
    <x v="2"/>
    <x v="1"/>
    <x v="0"/>
    <n v="130244529.04000001"/>
    <x v="2"/>
    <x v="1"/>
    <x v="0"/>
    <x v="6"/>
    <x v="1"/>
    <x v="0"/>
    <x v="1"/>
    <x v="0"/>
    <x v="10"/>
    <n v="14"/>
    <x v="0"/>
  </r>
  <r>
    <d v="2024-06-14T00:00:00"/>
    <x v="2"/>
    <x v="1"/>
    <x v="1"/>
    <n v="121885523.91"/>
    <x v="2"/>
    <x v="1"/>
    <x v="1"/>
    <x v="7"/>
    <x v="1"/>
    <x v="0"/>
    <x v="1"/>
    <x v="0"/>
    <x v="10"/>
    <n v="14"/>
    <x v="0"/>
  </r>
  <r>
    <d v="2024-06-14T00:00:00"/>
    <x v="3"/>
    <x v="3"/>
    <x v="0"/>
    <n v="1877764162.5999999"/>
    <x v="3"/>
    <x v="3"/>
    <x v="0"/>
    <x v="5"/>
    <x v="1"/>
    <x v="0"/>
    <x v="1"/>
    <x v="0"/>
    <x v="10"/>
    <n v="14"/>
    <x v="0"/>
  </r>
  <r>
    <d v="2024-06-14T00:00:00"/>
    <x v="1"/>
    <x v="0"/>
    <x v="0"/>
    <n v="59702227.310000002"/>
    <x v="1"/>
    <x v="0"/>
    <x v="0"/>
    <x v="8"/>
    <x v="1"/>
    <x v="0"/>
    <x v="1"/>
    <x v="0"/>
    <x v="10"/>
    <n v="14"/>
    <x v="0"/>
  </r>
  <r>
    <d v="2024-06-14T00:00:00"/>
    <x v="1"/>
    <x v="0"/>
    <x v="1"/>
    <n v="641254951.29999995"/>
    <x v="1"/>
    <x v="0"/>
    <x v="1"/>
    <x v="9"/>
    <x v="1"/>
    <x v="0"/>
    <x v="1"/>
    <x v="0"/>
    <x v="10"/>
    <n v="14"/>
    <x v="0"/>
  </r>
  <r>
    <d v="2024-06-14T00:00:00"/>
    <x v="3"/>
    <x v="2"/>
    <x v="1"/>
    <n v="47451143747.029999"/>
    <x v="3"/>
    <x v="2"/>
    <x v="1"/>
    <x v="10"/>
    <x v="1"/>
    <x v="0"/>
    <x v="1"/>
    <x v="0"/>
    <x v="10"/>
    <n v="14"/>
    <x v="0"/>
  </r>
  <r>
    <d v="2024-06-14T00:00:00"/>
    <x v="3"/>
    <x v="2"/>
    <x v="0"/>
    <n v="783578177.15999997"/>
    <x v="3"/>
    <x v="2"/>
    <x v="0"/>
    <x v="11"/>
    <x v="1"/>
    <x v="0"/>
    <x v="1"/>
    <x v="0"/>
    <x v="10"/>
    <n v="14"/>
    <x v="0"/>
  </r>
  <r>
    <d v="2024-06-14T00:00:00"/>
    <x v="3"/>
    <x v="1"/>
    <x v="0"/>
    <n v="16834019.809999999"/>
    <x v="3"/>
    <x v="1"/>
    <x v="0"/>
    <x v="12"/>
    <x v="1"/>
    <x v="0"/>
    <x v="1"/>
    <x v="0"/>
    <x v="10"/>
    <n v="14"/>
    <x v="0"/>
  </r>
  <r>
    <d v="2024-06-13T00:00:00"/>
    <x v="1"/>
    <x v="1"/>
    <x v="0"/>
    <n v="76976.2"/>
    <x v="1"/>
    <x v="1"/>
    <x v="0"/>
    <x v="0"/>
    <x v="1"/>
    <x v="0"/>
    <x v="1"/>
    <x v="0"/>
    <x v="10"/>
    <n v="13"/>
    <x v="0"/>
  </r>
  <r>
    <d v="2024-06-13T00:00:00"/>
    <x v="3"/>
    <x v="3"/>
    <x v="1"/>
    <n v="21562"/>
    <x v="3"/>
    <x v="3"/>
    <x v="1"/>
    <x v="3"/>
    <x v="1"/>
    <x v="0"/>
    <x v="1"/>
    <x v="0"/>
    <x v="10"/>
    <n v="13"/>
    <x v="0"/>
  </r>
  <r>
    <d v="2024-06-13T00:00:00"/>
    <x v="0"/>
    <x v="1"/>
    <x v="1"/>
    <n v="11084969.380000001"/>
    <x v="0"/>
    <x v="1"/>
    <x v="1"/>
    <x v="4"/>
    <x v="1"/>
    <x v="0"/>
    <x v="1"/>
    <x v="0"/>
    <x v="10"/>
    <n v="13"/>
    <x v="0"/>
  </r>
  <r>
    <d v="2024-06-13T00:00:00"/>
    <x v="0"/>
    <x v="1"/>
    <x v="0"/>
    <n v="9138580.2400000002"/>
    <x v="0"/>
    <x v="1"/>
    <x v="0"/>
    <x v="1"/>
    <x v="1"/>
    <x v="0"/>
    <x v="1"/>
    <x v="0"/>
    <x v="10"/>
    <n v="13"/>
    <x v="0"/>
  </r>
  <r>
    <d v="2024-06-13T00:00:00"/>
    <x v="3"/>
    <x v="3"/>
    <x v="2"/>
    <n v="9"/>
    <x v="3"/>
    <x v="3"/>
    <x v="2"/>
    <x v="2"/>
    <x v="1"/>
    <x v="0"/>
    <x v="1"/>
    <x v="0"/>
    <x v="10"/>
    <n v="13"/>
    <x v="0"/>
  </r>
  <r>
    <d v="2024-06-13T00:00:00"/>
    <x v="2"/>
    <x v="1"/>
    <x v="0"/>
    <n v="90615809.120000005"/>
    <x v="2"/>
    <x v="1"/>
    <x v="0"/>
    <x v="7"/>
    <x v="1"/>
    <x v="0"/>
    <x v="1"/>
    <x v="0"/>
    <x v="10"/>
    <n v="13"/>
    <x v="0"/>
  </r>
  <r>
    <d v="2024-06-13T00:00:00"/>
    <x v="3"/>
    <x v="3"/>
    <x v="0"/>
    <n v="2170282787.9299998"/>
    <x v="3"/>
    <x v="3"/>
    <x v="0"/>
    <x v="8"/>
    <x v="1"/>
    <x v="0"/>
    <x v="1"/>
    <x v="0"/>
    <x v="10"/>
    <n v="13"/>
    <x v="0"/>
  </r>
  <r>
    <d v="2024-06-13T00:00:00"/>
    <x v="2"/>
    <x v="1"/>
    <x v="1"/>
    <n v="241549324.31999999"/>
    <x v="2"/>
    <x v="1"/>
    <x v="1"/>
    <x v="9"/>
    <x v="1"/>
    <x v="0"/>
    <x v="1"/>
    <x v="0"/>
    <x v="10"/>
    <n v="13"/>
    <x v="0"/>
  </r>
  <r>
    <d v="2024-06-13T00:00:00"/>
    <x v="3"/>
    <x v="2"/>
    <x v="2"/>
    <n v="187112"/>
    <x v="3"/>
    <x v="2"/>
    <x v="2"/>
    <x v="6"/>
    <x v="1"/>
    <x v="0"/>
    <x v="1"/>
    <x v="0"/>
    <x v="10"/>
    <n v="13"/>
    <x v="0"/>
  </r>
  <r>
    <d v="2024-06-13T00:00:00"/>
    <x v="2"/>
    <x v="1"/>
    <x v="2"/>
    <n v="12619.19"/>
    <x v="2"/>
    <x v="1"/>
    <x v="2"/>
    <x v="5"/>
    <x v="1"/>
    <x v="0"/>
    <x v="1"/>
    <x v="0"/>
    <x v="10"/>
    <n v="13"/>
    <x v="0"/>
  </r>
  <r>
    <d v="2024-06-13T00:00:00"/>
    <x v="1"/>
    <x v="0"/>
    <x v="0"/>
    <n v="66875057.289999999"/>
    <x v="1"/>
    <x v="0"/>
    <x v="0"/>
    <x v="10"/>
    <x v="1"/>
    <x v="0"/>
    <x v="1"/>
    <x v="0"/>
    <x v="10"/>
    <n v="13"/>
    <x v="0"/>
  </r>
  <r>
    <d v="2024-06-13T00:00:00"/>
    <x v="1"/>
    <x v="0"/>
    <x v="1"/>
    <n v="1342074060.1099999"/>
    <x v="1"/>
    <x v="0"/>
    <x v="1"/>
    <x v="11"/>
    <x v="1"/>
    <x v="0"/>
    <x v="1"/>
    <x v="0"/>
    <x v="10"/>
    <n v="13"/>
    <x v="0"/>
  </r>
  <r>
    <d v="2024-06-13T00:00:00"/>
    <x v="3"/>
    <x v="2"/>
    <x v="1"/>
    <n v="18285255138.310001"/>
    <x v="3"/>
    <x v="2"/>
    <x v="1"/>
    <x v="12"/>
    <x v="1"/>
    <x v="0"/>
    <x v="1"/>
    <x v="0"/>
    <x v="10"/>
    <n v="13"/>
    <x v="0"/>
  </r>
  <r>
    <d v="2024-06-13T00:00:00"/>
    <x v="3"/>
    <x v="1"/>
    <x v="0"/>
    <n v="15995490.1"/>
    <x v="3"/>
    <x v="1"/>
    <x v="0"/>
    <x v="13"/>
    <x v="1"/>
    <x v="0"/>
    <x v="1"/>
    <x v="0"/>
    <x v="10"/>
    <n v="13"/>
    <x v="0"/>
  </r>
  <r>
    <d v="2024-06-13T00:00:00"/>
    <x v="3"/>
    <x v="2"/>
    <x v="0"/>
    <n v="529901746.54000002"/>
    <x v="3"/>
    <x v="2"/>
    <x v="0"/>
    <x v="14"/>
    <x v="1"/>
    <x v="0"/>
    <x v="1"/>
    <x v="0"/>
    <x v="10"/>
    <n v="13"/>
    <x v="0"/>
  </r>
  <r>
    <d v="2024-06-12T00:00:00"/>
    <x v="0"/>
    <x v="1"/>
    <x v="1"/>
    <n v="7081679.1100000003"/>
    <x v="0"/>
    <x v="1"/>
    <x v="1"/>
    <x v="2"/>
    <x v="1"/>
    <x v="0"/>
    <x v="1"/>
    <x v="0"/>
    <x v="10"/>
    <n v="12"/>
    <x v="0"/>
  </r>
  <r>
    <d v="2024-06-12T00:00:00"/>
    <x v="3"/>
    <x v="2"/>
    <x v="2"/>
    <n v="34246.300000000003"/>
    <x v="3"/>
    <x v="2"/>
    <x v="2"/>
    <x v="5"/>
    <x v="1"/>
    <x v="0"/>
    <x v="1"/>
    <x v="0"/>
    <x v="10"/>
    <n v="12"/>
    <x v="0"/>
  </r>
  <r>
    <d v="2024-06-12T00:00:00"/>
    <x v="0"/>
    <x v="0"/>
    <x v="0"/>
    <n v="186.6"/>
    <x v="0"/>
    <x v="0"/>
    <x v="0"/>
    <x v="0"/>
    <x v="1"/>
    <x v="0"/>
    <x v="1"/>
    <x v="0"/>
    <x v="10"/>
    <n v="12"/>
    <x v="0"/>
  </r>
  <r>
    <d v="2024-06-12T00:00:00"/>
    <x v="0"/>
    <x v="1"/>
    <x v="0"/>
    <n v="12884844.029999999"/>
    <x v="0"/>
    <x v="1"/>
    <x v="0"/>
    <x v="1"/>
    <x v="1"/>
    <x v="0"/>
    <x v="1"/>
    <x v="0"/>
    <x v="10"/>
    <n v="12"/>
    <x v="0"/>
  </r>
  <r>
    <d v="2024-06-12T00:00:00"/>
    <x v="2"/>
    <x v="1"/>
    <x v="0"/>
    <n v="77403750.980000004"/>
    <x v="2"/>
    <x v="1"/>
    <x v="0"/>
    <x v="6"/>
    <x v="1"/>
    <x v="0"/>
    <x v="1"/>
    <x v="0"/>
    <x v="10"/>
    <n v="12"/>
    <x v="0"/>
  </r>
  <r>
    <d v="2024-06-12T00:00:00"/>
    <x v="1"/>
    <x v="1"/>
    <x v="0"/>
    <n v="206801.51"/>
    <x v="1"/>
    <x v="1"/>
    <x v="0"/>
    <x v="3"/>
    <x v="1"/>
    <x v="0"/>
    <x v="1"/>
    <x v="0"/>
    <x v="10"/>
    <n v="12"/>
    <x v="0"/>
  </r>
  <r>
    <d v="2024-06-12T00:00:00"/>
    <x v="2"/>
    <x v="1"/>
    <x v="2"/>
    <n v="1089678.8"/>
    <x v="2"/>
    <x v="1"/>
    <x v="2"/>
    <x v="4"/>
    <x v="1"/>
    <x v="0"/>
    <x v="1"/>
    <x v="0"/>
    <x v="10"/>
    <n v="12"/>
    <x v="0"/>
  </r>
  <r>
    <d v="2024-06-12T00:00:00"/>
    <x v="2"/>
    <x v="1"/>
    <x v="1"/>
    <n v="215117156.16"/>
    <x v="2"/>
    <x v="1"/>
    <x v="1"/>
    <x v="8"/>
    <x v="1"/>
    <x v="0"/>
    <x v="1"/>
    <x v="0"/>
    <x v="10"/>
    <n v="12"/>
    <x v="0"/>
  </r>
  <r>
    <d v="2024-06-12T00:00:00"/>
    <x v="3"/>
    <x v="3"/>
    <x v="0"/>
    <n v="1467525217.4200001"/>
    <x v="3"/>
    <x v="3"/>
    <x v="0"/>
    <x v="7"/>
    <x v="1"/>
    <x v="0"/>
    <x v="1"/>
    <x v="0"/>
    <x v="10"/>
    <n v="12"/>
    <x v="0"/>
  </r>
  <r>
    <d v="2024-06-12T00:00:00"/>
    <x v="1"/>
    <x v="0"/>
    <x v="0"/>
    <n v="98963597.359999999"/>
    <x v="1"/>
    <x v="0"/>
    <x v="0"/>
    <x v="9"/>
    <x v="1"/>
    <x v="0"/>
    <x v="1"/>
    <x v="0"/>
    <x v="10"/>
    <n v="12"/>
    <x v="0"/>
  </r>
  <r>
    <d v="2024-06-12T00:00:00"/>
    <x v="1"/>
    <x v="0"/>
    <x v="1"/>
    <n v="4093144558.1799998"/>
    <x v="1"/>
    <x v="0"/>
    <x v="1"/>
    <x v="10"/>
    <x v="1"/>
    <x v="0"/>
    <x v="1"/>
    <x v="0"/>
    <x v="10"/>
    <n v="12"/>
    <x v="0"/>
  </r>
  <r>
    <d v="2024-06-12T00:00:00"/>
    <x v="3"/>
    <x v="1"/>
    <x v="0"/>
    <n v="15631186.34"/>
    <x v="3"/>
    <x v="1"/>
    <x v="0"/>
    <x v="11"/>
    <x v="1"/>
    <x v="0"/>
    <x v="1"/>
    <x v="0"/>
    <x v="10"/>
    <n v="12"/>
    <x v="0"/>
  </r>
  <r>
    <d v="2024-06-12T00:00:00"/>
    <x v="3"/>
    <x v="2"/>
    <x v="1"/>
    <n v="18738864685.029999"/>
    <x v="3"/>
    <x v="2"/>
    <x v="1"/>
    <x v="12"/>
    <x v="1"/>
    <x v="0"/>
    <x v="1"/>
    <x v="0"/>
    <x v="10"/>
    <n v="12"/>
    <x v="0"/>
  </r>
  <r>
    <d v="2024-06-12T00:00:00"/>
    <x v="3"/>
    <x v="2"/>
    <x v="0"/>
    <n v="481180203.42000002"/>
    <x v="3"/>
    <x v="2"/>
    <x v="0"/>
    <x v="13"/>
    <x v="1"/>
    <x v="0"/>
    <x v="1"/>
    <x v="0"/>
    <x v="10"/>
    <n v="12"/>
    <x v="0"/>
  </r>
  <r>
    <d v="2024-06-11T00:00:00"/>
    <x v="3"/>
    <x v="3"/>
    <x v="1"/>
    <n v="912430.07999999996"/>
    <x v="3"/>
    <x v="3"/>
    <x v="1"/>
    <x v="4"/>
    <x v="1"/>
    <x v="0"/>
    <x v="1"/>
    <x v="0"/>
    <x v="10"/>
    <n v="11"/>
    <x v="0"/>
  </r>
  <r>
    <d v="2024-06-11T00:00:00"/>
    <x v="0"/>
    <x v="1"/>
    <x v="1"/>
    <n v="13335107.470000001"/>
    <x v="0"/>
    <x v="1"/>
    <x v="1"/>
    <x v="5"/>
    <x v="1"/>
    <x v="0"/>
    <x v="1"/>
    <x v="0"/>
    <x v="10"/>
    <n v="11"/>
    <x v="0"/>
  </r>
  <r>
    <d v="2024-06-11T00:00:00"/>
    <x v="0"/>
    <x v="0"/>
    <x v="0"/>
    <n v="1072"/>
    <x v="0"/>
    <x v="0"/>
    <x v="0"/>
    <x v="0"/>
    <x v="1"/>
    <x v="0"/>
    <x v="1"/>
    <x v="0"/>
    <x v="10"/>
    <n v="11"/>
    <x v="0"/>
  </r>
  <r>
    <d v="2024-06-11T00:00:00"/>
    <x v="1"/>
    <x v="1"/>
    <x v="0"/>
    <n v="852223.07"/>
    <x v="1"/>
    <x v="1"/>
    <x v="0"/>
    <x v="1"/>
    <x v="1"/>
    <x v="0"/>
    <x v="1"/>
    <x v="0"/>
    <x v="10"/>
    <n v="11"/>
    <x v="0"/>
  </r>
  <r>
    <d v="2024-06-11T00:00:00"/>
    <x v="0"/>
    <x v="1"/>
    <x v="0"/>
    <n v="9009188.4299999997"/>
    <x v="0"/>
    <x v="1"/>
    <x v="0"/>
    <x v="2"/>
    <x v="1"/>
    <x v="0"/>
    <x v="1"/>
    <x v="0"/>
    <x v="10"/>
    <n v="11"/>
    <x v="0"/>
  </r>
  <r>
    <d v="2024-06-11T00:00:00"/>
    <x v="2"/>
    <x v="1"/>
    <x v="2"/>
    <n v="16993.21"/>
    <x v="2"/>
    <x v="1"/>
    <x v="2"/>
    <x v="3"/>
    <x v="1"/>
    <x v="0"/>
    <x v="1"/>
    <x v="0"/>
    <x v="10"/>
    <n v="11"/>
    <x v="0"/>
  </r>
  <r>
    <d v="2024-06-11T00:00:00"/>
    <x v="2"/>
    <x v="1"/>
    <x v="0"/>
    <n v="79229898.769999996"/>
    <x v="2"/>
    <x v="1"/>
    <x v="0"/>
    <x v="7"/>
    <x v="1"/>
    <x v="0"/>
    <x v="1"/>
    <x v="0"/>
    <x v="10"/>
    <n v="11"/>
    <x v="0"/>
  </r>
  <r>
    <d v="2024-06-11T00:00:00"/>
    <x v="3"/>
    <x v="3"/>
    <x v="0"/>
    <n v="1330043946.71"/>
    <x v="3"/>
    <x v="3"/>
    <x v="0"/>
    <x v="8"/>
    <x v="1"/>
    <x v="0"/>
    <x v="1"/>
    <x v="0"/>
    <x v="10"/>
    <n v="11"/>
    <x v="0"/>
  </r>
  <r>
    <d v="2024-06-11T00:00:00"/>
    <x v="3"/>
    <x v="2"/>
    <x v="2"/>
    <n v="254691"/>
    <x v="3"/>
    <x v="2"/>
    <x v="2"/>
    <x v="6"/>
    <x v="1"/>
    <x v="0"/>
    <x v="1"/>
    <x v="0"/>
    <x v="10"/>
    <n v="11"/>
    <x v="0"/>
  </r>
  <r>
    <d v="2024-06-11T00:00:00"/>
    <x v="2"/>
    <x v="1"/>
    <x v="1"/>
    <n v="181339949.97"/>
    <x v="2"/>
    <x v="1"/>
    <x v="1"/>
    <x v="9"/>
    <x v="1"/>
    <x v="0"/>
    <x v="1"/>
    <x v="0"/>
    <x v="10"/>
    <n v="11"/>
    <x v="0"/>
  </r>
  <r>
    <d v="2024-06-11T00:00:00"/>
    <x v="1"/>
    <x v="0"/>
    <x v="0"/>
    <n v="83643817.799999997"/>
    <x v="1"/>
    <x v="0"/>
    <x v="0"/>
    <x v="10"/>
    <x v="1"/>
    <x v="0"/>
    <x v="1"/>
    <x v="0"/>
    <x v="10"/>
    <n v="11"/>
    <x v="0"/>
  </r>
  <r>
    <d v="2024-06-11T00:00:00"/>
    <x v="1"/>
    <x v="0"/>
    <x v="1"/>
    <n v="1202155476.4000001"/>
    <x v="1"/>
    <x v="0"/>
    <x v="1"/>
    <x v="11"/>
    <x v="1"/>
    <x v="0"/>
    <x v="1"/>
    <x v="0"/>
    <x v="10"/>
    <n v="11"/>
    <x v="0"/>
  </r>
  <r>
    <d v="2024-06-11T00:00:00"/>
    <x v="3"/>
    <x v="1"/>
    <x v="0"/>
    <n v="14356871.17"/>
    <x v="3"/>
    <x v="1"/>
    <x v="0"/>
    <x v="12"/>
    <x v="1"/>
    <x v="0"/>
    <x v="1"/>
    <x v="0"/>
    <x v="10"/>
    <n v="11"/>
    <x v="0"/>
  </r>
  <r>
    <d v="2024-06-11T00:00:00"/>
    <x v="3"/>
    <x v="2"/>
    <x v="1"/>
    <n v="7722890580.6499996"/>
    <x v="3"/>
    <x v="2"/>
    <x v="1"/>
    <x v="13"/>
    <x v="1"/>
    <x v="0"/>
    <x v="1"/>
    <x v="0"/>
    <x v="10"/>
    <n v="11"/>
    <x v="0"/>
  </r>
  <r>
    <d v="2024-06-11T00:00:00"/>
    <x v="3"/>
    <x v="2"/>
    <x v="0"/>
    <n v="750122491.02999997"/>
    <x v="3"/>
    <x v="2"/>
    <x v="0"/>
    <x v="14"/>
    <x v="1"/>
    <x v="0"/>
    <x v="1"/>
    <x v="0"/>
    <x v="10"/>
    <n v="11"/>
    <x v="0"/>
  </r>
  <r>
    <d v="2024-06-10T00:00:00"/>
    <x v="0"/>
    <x v="1"/>
    <x v="0"/>
    <n v="32810936.850000001"/>
    <x v="0"/>
    <x v="1"/>
    <x v="0"/>
    <x v="0"/>
    <x v="1"/>
    <x v="0"/>
    <x v="1"/>
    <x v="0"/>
    <x v="10"/>
    <n v="10"/>
    <x v="0"/>
  </r>
  <r>
    <d v="2024-06-10T00:00:00"/>
    <x v="2"/>
    <x v="1"/>
    <x v="2"/>
    <n v="7268.97"/>
    <x v="2"/>
    <x v="1"/>
    <x v="2"/>
    <x v="2"/>
    <x v="1"/>
    <x v="0"/>
    <x v="1"/>
    <x v="0"/>
    <x v="10"/>
    <n v="10"/>
    <x v="0"/>
  </r>
  <r>
    <d v="2024-06-10T00:00:00"/>
    <x v="3"/>
    <x v="3"/>
    <x v="2"/>
    <n v="982.63"/>
    <x v="3"/>
    <x v="3"/>
    <x v="2"/>
    <x v="1"/>
    <x v="1"/>
    <x v="0"/>
    <x v="1"/>
    <x v="0"/>
    <x v="10"/>
    <n v="10"/>
    <x v="0"/>
  </r>
  <r>
    <d v="2024-06-10T00:00:00"/>
    <x v="3"/>
    <x v="3"/>
    <x v="1"/>
    <n v="1276767.51"/>
    <x v="3"/>
    <x v="3"/>
    <x v="1"/>
    <x v="3"/>
    <x v="1"/>
    <x v="0"/>
    <x v="1"/>
    <x v="0"/>
    <x v="10"/>
    <n v="10"/>
    <x v="0"/>
  </r>
  <r>
    <d v="2024-06-10T00:00:00"/>
    <x v="0"/>
    <x v="1"/>
    <x v="1"/>
    <n v="20175602.59"/>
    <x v="0"/>
    <x v="1"/>
    <x v="1"/>
    <x v="4"/>
    <x v="1"/>
    <x v="0"/>
    <x v="1"/>
    <x v="0"/>
    <x v="10"/>
    <n v="10"/>
    <x v="0"/>
  </r>
  <r>
    <d v="2024-06-10T00:00:00"/>
    <x v="3"/>
    <x v="3"/>
    <x v="0"/>
    <n v="1352615663.73"/>
    <x v="3"/>
    <x v="3"/>
    <x v="0"/>
    <x v="7"/>
    <x v="1"/>
    <x v="0"/>
    <x v="1"/>
    <x v="0"/>
    <x v="10"/>
    <n v="10"/>
    <x v="0"/>
  </r>
  <r>
    <d v="2024-06-10T00:00:00"/>
    <x v="1"/>
    <x v="1"/>
    <x v="0"/>
    <n v="487575.63"/>
    <x v="1"/>
    <x v="1"/>
    <x v="0"/>
    <x v="5"/>
    <x v="1"/>
    <x v="0"/>
    <x v="1"/>
    <x v="0"/>
    <x v="10"/>
    <n v="10"/>
    <x v="0"/>
  </r>
  <r>
    <d v="2024-06-10T00:00:00"/>
    <x v="2"/>
    <x v="1"/>
    <x v="1"/>
    <n v="264803825.03999999"/>
    <x v="2"/>
    <x v="1"/>
    <x v="1"/>
    <x v="9"/>
    <x v="1"/>
    <x v="0"/>
    <x v="1"/>
    <x v="0"/>
    <x v="10"/>
    <n v="10"/>
    <x v="0"/>
  </r>
  <r>
    <d v="2024-06-10T00:00:00"/>
    <x v="1"/>
    <x v="0"/>
    <x v="1"/>
    <n v="891781388.05999994"/>
    <x v="1"/>
    <x v="0"/>
    <x v="1"/>
    <x v="10"/>
    <x v="1"/>
    <x v="0"/>
    <x v="1"/>
    <x v="0"/>
    <x v="10"/>
    <n v="10"/>
    <x v="0"/>
  </r>
  <r>
    <d v="2024-06-10T00:00:00"/>
    <x v="1"/>
    <x v="0"/>
    <x v="0"/>
    <n v="64439205.340000004"/>
    <x v="1"/>
    <x v="0"/>
    <x v="0"/>
    <x v="11"/>
    <x v="1"/>
    <x v="0"/>
    <x v="1"/>
    <x v="0"/>
    <x v="10"/>
    <n v="10"/>
    <x v="0"/>
  </r>
  <r>
    <d v="2024-06-10T00:00:00"/>
    <x v="3"/>
    <x v="2"/>
    <x v="2"/>
    <n v="86658"/>
    <x v="3"/>
    <x v="2"/>
    <x v="2"/>
    <x v="6"/>
    <x v="1"/>
    <x v="0"/>
    <x v="1"/>
    <x v="0"/>
    <x v="10"/>
    <n v="10"/>
    <x v="0"/>
  </r>
  <r>
    <d v="2024-06-10T00:00:00"/>
    <x v="2"/>
    <x v="1"/>
    <x v="0"/>
    <n v="85637631.219999999"/>
    <x v="2"/>
    <x v="1"/>
    <x v="0"/>
    <x v="8"/>
    <x v="1"/>
    <x v="0"/>
    <x v="1"/>
    <x v="0"/>
    <x v="10"/>
    <n v="10"/>
    <x v="0"/>
  </r>
  <r>
    <d v="2024-06-10T00:00:00"/>
    <x v="3"/>
    <x v="2"/>
    <x v="1"/>
    <n v="28616422010.869999"/>
    <x v="3"/>
    <x v="2"/>
    <x v="1"/>
    <x v="12"/>
    <x v="1"/>
    <x v="0"/>
    <x v="1"/>
    <x v="0"/>
    <x v="10"/>
    <n v="10"/>
    <x v="0"/>
  </r>
  <r>
    <d v="2024-06-10T00:00:00"/>
    <x v="3"/>
    <x v="2"/>
    <x v="0"/>
    <n v="811060502.77999997"/>
    <x v="3"/>
    <x v="2"/>
    <x v="0"/>
    <x v="13"/>
    <x v="1"/>
    <x v="0"/>
    <x v="1"/>
    <x v="0"/>
    <x v="10"/>
    <n v="10"/>
    <x v="0"/>
  </r>
  <r>
    <d v="2024-06-10T00:00:00"/>
    <x v="3"/>
    <x v="1"/>
    <x v="0"/>
    <n v="48380756.509999998"/>
    <x v="3"/>
    <x v="1"/>
    <x v="0"/>
    <x v="14"/>
    <x v="1"/>
    <x v="0"/>
    <x v="1"/>
    <x v="0"/>
    <x v="10"/>
    <n v="10"/>
    <x v="0"/>
  </r>
  <r>
    <d v="2024-06-07T00:00:00"/>
    <x v="1"/>
    <x v="1"/>
    <x v="0"/>
    <n v="380454.61"/>
    <x v="1"/>
    <x v="1"/>
    <x v="0"/>
    <x v="0"/>
    <x v="1"/>
    <x v="0"/>
    <x v="1"/>
    <x v="0"/>
    <x v="10"/>
    <n v="7"/>
    <x v="0"/>
  </r>
  <r>
    <d v="2024-06-07T00:00:00"/>
    <x v="0"/>
    <x v="1"/>
    <x v="0"/>
    <n v="16228858.550000001"/>
    <x v="0"/>
    <x v="1"/>
    <x v="0"/>
    <x v="1"/>
    <x v="1"/>
    <x v="0"/>
    <x v="1"/>
    <x v="0"/>
    <x v="10"/>
    <n v="7"/>
    <x v="0"/>
  </r>
  <r>
    <d v="2024-06-07T00:00:00"/>
    <x v="2"/>
    <x v="1"/>
    <x v="2"/>
    <n v="22050"/>
    <x v="2"/>
    <x v="1"/>
    <x v="2"/>
    <x v="2"/>
    <x v="1"/>
    <x v="0"/>
    <x v="1"/>
    <x v="0"/>
    <x v="10"/>
    <n v="7"/>
    <x v="0"/>
  </r>
  <r>
    <d v="2024-06-07T00:00:00"/>
    <x v="3"/>
    <x v="2"/>
    <x v="2"/>
    <n v="190918.95"/>
    <x v="3"/>
    <x v="2"/>
    <x v="2"/>
    <x v="4"/>
    <x v="1"/>
    <x v="0"/>
    <x v="1"/>
    <x v="0"/>
    <x v="10"/>
    <n v="7"/>
    <x v="0"/>
  </r>
  <r>
    <d v="2024-06-07T00:00:00"/>
    <x v="0"/>
    <x v="1"/>
    <x v="1"/>
    <n v="7445035.5099999998"/>
    <x v="0"/>
    <x v="1"/>
    <x v="1"/>
    <x v="3"/>
    <x v="1"/>
    <x v="0"/>
    <x v="1"/>
    <x v="0"/>
    <x v="10"/>
    <n v="7"/>
    <x v="0"/>
  </r>
  <r>
    <d v="2024-06-07T00:00:00"/>
    <x v="2"/>
    <x v="1"/>
    <x v="0"/>
    <n v="124633183.65000001"/>
    <x v="2"/>
    <x v="1"/>
    <x v="0"/>
    <x v="5"/>
    <x v="1"/>
    <x v="0"/>
    <x v="1"/>
    <x v="0"/>
    <x v="10"/>
    <n v="7"/>
    <x v="0"/>
  </r>
  <r>
    <d v="2024-06-07T00:00:00"/>
    <x v="3"/>
    <x v="3"/>
    <x v="0"/>
    <n v="1483768211.8"/>
    <x v="3"/>
    <x v="3"/>
    <x v="0"/>
    <x v="6"/>
    <x v="1"/>
    <x v="0"/>
    <x v="1"/>
    <x v="0"/>
    <x v="10"/>
    <n v="7"/>
    <x v="0"/>
  </r>
  <r>
    <d v="2024-06-07T00:00:00"/>
    <x v="1"/>
    <x v="0"/>
    <x v="0"/>
    <n v="49746185.229999997"/>
    <x v="1"/>
    <x v="0"/>
    <x v="0"/>
    <x v="7"/>
    <x v="1"/>
    <x v="0"/>
    <x v="1"/>
    <x v="0"/>
    <x v="10"/>
    <n v="7"/>
    <x v="0"/>
  </r>
  <r>
    <d v="2024-06-07T00:00:00"/>
    <x v="2"/>
    <x v="1"/>
    <x v="1"/>
    <n v="149753426.31999999"/>
    <x v="2"/>
    <x v="1"/>
    <x v="1"/>
    <x v="8"/>
    <x v="1"/>
    <x v="0"/>
    <x v="1"/>
    <x v="0"/>
    <x v="10"/>
    <n v="7"/>
    <x v="0"/>
  </r>
  <r>
    <d v="2024-06-07T00:00:00"/>
    <x v="1"/>
    <x v="0"/>
    <x v="1"/>
    <n v="263845329.47999999"/>
    <x v="1"/>
    <x v="0"/>
    <x v="1"/>
    <x v="9"/>
    <x v="1"/>
    <x v="0"/>
    <x v="1"/>
    <x v="0"/>
    <x v="10"/>
    <n v="7"/>
    <x v="0"/>
  </r>
  <r>
    <d v="2024-06-07T00:00:00"/>
    <x v="3"/>
    <x v="2"/>
    <x v="1"/>
    <n v="11754891668.16"/>
    <x v="3"/>
    <x v="2"/>
    <x v="1"/>
    <x v="10"/>
    <x v="1"/>
    <x v="0"/>
    <x v="1"/>
    <x v="0"/>
    <x v="10"/>
    <n v="7"/>
    <x v="0"/>
  </r>
  <r>
    <d v="2024-06-07T00:00:00"/>
    <x v="3"/>
    <x v="2"/>
    <x v="0"/>
    <n v="952963066.46000004"/>
    <x v="3"/>
    <x v="2"/>
    <x v="0"/>
    <x v="11"/>
    <x v="1"/>
    <x v="0"/>
    <x v="1"/>
    <x v="0"/>
    <x v="10"/>
    <n v="7"/>
    <x v="0"/>
  </r>
  <r>
    <d v="2024-06-07T00:00:00"/>
    <x v="3"/>
    <x v="1"/>
    <x v="0"/>
    <n v="15396195.460000001"/>
    <x v="3"/>
    <x v="1"/>
    <x v="0"/>
    <x v="12"/>
    <x v="1"/>
    <x v="0"/>
    <x v="1"/>
    <x v="0"/>
    <x v="10"/>
    <n v="7"/>
    <x v="0"/>
  </r>
  <r>
    <d v="2024-06-06T00:00:00"/>
    <x v="0"/>
    <x v="0"/>
    <x v="0"/>
    <n v="-1500"/>
    <x v="0"/>
    <x v="0"/>
    <x v="0"/>
    <x v="0"/>
    <x v="1"/>
    <x v="0"/>
    <x v="1"/>
    <x v="0"/>
    <x v="10"/>
    <n v="6"/>
    <x v="1"/>
  </r>
  <r>
    <d v="2024-06-06T00:00:00"/>
    <x v="1"/>
    <x v="1"/>
    <x v="0"/>
    <n v="635537.46"/>
    <x v="1"/>
    <x v="1"/>
    <x v="0"/>
    <x v="1"/>
    <x v="1"/>
    <x v="0"/>
    <x v="1"/>
    <x v="0"/>
    <x v="10"/>
    <n v="6"/>
    <x v="0"/>
  </r>
  <r>
    <d v="2024-06-06T00:00:00"/>
    <x v="0"/>
    <x v="1"/>
    <x v="0"/>
    <n v="19899208.140000001"/>
    <x v="0"/>
    <x v="1"/>
    <x v="0"/>
    <x v="2"/>
    <x v="1"/>
    <x v="0"/>
    <x v="1"/>
    <x v="0"/>
    <x v="10"/>
    <n v="6"/>
    <x v="0"/>
  </r>
  <r>
    <d v="2024-06-06T00:00:00"/>
    <x v="2"/>
    <x v="1"/>
    <x v="2"/>
    <n v="10789.85"/>
    <x v="2"/>
    <x v="1"/>
    <x v="2"/>
    <x v="3"/>
    <x v="1"/>
    <x v="0"/>
    <x v="1"/>
    <x v="0"/>
    <x v="10"/>
    <n v="6"/>
    <x v="0"/>
  </r>
  <r>
    <d v="2024-06-06T00:00:00"/>
    <x v="3"/>
    <x v="3"/>
    <x v="1"/>
    <n v="41217.279999999999"/>
    <x v="3"/>
    <x v="3"/>
    <x v="1"/>
    <x v="4"/>
    <x v="1"/>
    <x v="0"/>
    <x v="1"/>
    <x v="0"/>
    <x v="10"/>
    <n v="6"/>
    <x v="0"/>
  </r>
  <r>
    <d v="2024-06-06T00:00:00"/>
    <x v="0"/>
    <x v="1"/>
    <x v="1"/>
    <n v="10477735.57"/>
    <x v="0"/>
    <x v="1"/>
    <x v="1"/>
    <x v="5"/>
    <x v="1"/>
    <x v="0"/>
    <x v="1"/>
    <x v="0"/>
    <x v="10"/>
    <n v="6"/>
    <x v="0"/>
  </r>
  <r>
    <d v="2024-06-06T00:00:00"/>
    <x v="2"/>
    <x v="1"/>
    <x v="1"/>
    <n v="251258496.66999999"/>
    <x v="2"/>
    <x v="1"/>
    <x v="1"/>
    <x v="9"/>
    <x v="1"/>
    <x v="0"/>
    <x v="1"/>
    <x v="0"/>
    <x v="10"/>
    <n v="6"/>
    <x v="0"/>
  </r>
  <r>
    <d v="2024-06-06T00:00:00"/>
    <x v="1"/>
    <x v="0"/>
    <x v="0"/>
    <n v="61708301.140000001"/>
    <x v="1"/>
    <x v="0"/>
    <x v="0"/>
    <x v="10"/>
    <x v="1"/>
    <x v="0"/>
    <x v="1"/>
    <x v="0"/>
    <x v="10"/>
    <n v="6"/>
    <x v="0"/>
  </r>
  <r>
    <d v="2024-06-06T00:00:00"/>
    <x v="1"/>
    <x v="0"/>
    <x v="1"/>
    <n v="449329146.19"/>
    <x v="1"/>
    <x v="0"/>
    <x v="1"/>
    <x v="11"/>
    <x v="1"/>
    <x v="0"/>
    <x v="1"/>
    <x v="0"/>
    <x v="10"/>
    <n v="6"/>
    <x v="0"/>
  </r>
  <r>
    <d v="2024-06-06T00:00:00"/>
    <x v="3"/>
    <x v="2"/>
    <x v="2"/>
    <n v="93186"/>
    <x v="3"/>
    <x v="2"/>
    <x v="2"/>
    <x v="6"/>
    <x v="1"/>
    <x v="0"/>
    <x v="1"/>
    <x v="0"/>
    <x v="10"/>
    <n v="6"/>
    <x v="0"/>
  </r>
  <r>
    <d v="2024-06-06T00:00:00"/>
    <x v="2"/>
    <x v="1"/>
    <x v="0"/>
    <n v="114480690.38"/>
    <x v="2"/>
    <x v="1"/>
    <x v="0"/>
    <x v="7"/>
    <x v="1"/>
    <x v="0"/>
    <x v="1"/>
    <x v="0"/>
    <x v="10"/>
    <n v="6"/>
    <x v="0"/>
  </r>
  <r>
    <d v="2024-06-06T00:00:00"/>
    <x v="3"/>
    <x v="3"/>
    <x v="0"/>
    <n v="1055463305.59"/>
    <x v="3"/>
    <x v="3"/>
    <x v="0"/>
    <x v="8"/>
    <x v="1"/>
    <x v="0"/>
    <x v="1"/>
    <x v="0"/>
    <x v="10"/>
    <n v="6"/>
    <x v="0"/>
  </r>
  <r>
    <d v="2024-06-06T00:00:00"/>
    <x v="3"/>
    <x v="2"/>
    <x v="1"/>
    <n v="5378944550"/>
    <x v="3"/>
    <x v="2"/>
    <x v="1"/>
    <x v="12"/>
    <x v="1"/>
    <x v="0"/>
    <x v="1"/>
    <x v="0"/>
    <x v="10"/>
    <n v="6"/>
    <x v="0"/>
  </r>
  <r>
    <d v="2024-06-06T00:00:00"/>
    <x v="3"/>
    <x v="1"/>
    <x v="0"/>
    <n v="15631951.369999999"/>
    <x v="3"/>
    <x v="1"/>
    <x v="0"/>
    <x v="13"/>
    <x v="1"/>
    <x v="0"/>
    <x v="1"/>
    <x v="0"/>
    <x v="10"/>
    <n v="6"/>
    <x v="0"/>
  </r>
  <r>
    <d v="2024-06-06T00:00:00"/>
    <x v="3"/>
    <x v="2"/>
    <x v="0"/>
    <n v="645514865.22000003"/>
    <x v="3"/>
    <x v="2"/>
    <x v="0"/>
    <x v="14"/>
    <x v="1"/>
    <x v="0"/>
    <x v="1"/>
    <x v="0"/>
    <x v="10"/>
    <n v="6"/>
    <x v="0"/>
  </r>
  <r>
    <d v="2024-06-05T00:00:00"/>
    <x v="1"/>
    <x v="1"/>
    <x v="0"/>
    <n v="545372.53"/>
    <x v="1"/>
    <x v="1"/>
    <x v="0"/>
    <x v="1"/>
    <x v="1"/>
    <x v="0"/>
    <x v="1"/>
    <x v="0"/>
    <x v="10"/>
    <n v="5"/>
    <x v="0"/>
  </r>
  <r>
    <d v="2024-06-05T00:00:00"/>
    <x v="0"/>
    <x v="0"/>
    <x v="0"/>
    <n v="238.95"/>
    <x v="0"/>
    <x v="0"/>
    <x v="0"/>
    <x v="0"/>
    <x v="1"/>
    <x v="0"/>
    <x v="1"/>
    <x v="0"/>
    <x v="10"/>
    <n v="5"/>
    <x v="0"/>
  </r>
  <r>
    <d v="2024-06-05T00:00:00"/>
    <x v="0"/>
    <x v="1"/>
    <x v="0"/>
    <n v="9007430.6899999995"/>
    <x v="0"/>
    <x v="1"/>
    <x v="0"/>
    <x v="2"/>
    <x v="1"/>
    <x v="0"/>
    <x v="1"/>
    <x v="0"/>
    <x v="10"/>
    <n v="5"/>
    <x v="0"/>
  </r>
  <r>
    <d v="2024-06-05T00:00:00"/>
    <x v="3"/>
    <x v="3"/>
    <x v="2"/>
    <n v="0.33"/>
    <x v="3"/>
    <x v="3"/>
    <x v="2"/>
    <x v="3"/>
    <x v="1"/>
    <x v="0"/>
    <x v="1"/>
    <x v="0"/>
    <x v="10"/>
    <n v="5"/>
    <x v="0"/>
  </r>
  <r>
    <d v="2024-06-05T00:00:00"/>
    <x v="2"/>
    <x v="1"/>
    <x v="0"/>
    <n v="92477041.799999997"/>
    <x v="2"/>
    <x v="1"/>
    <x v="0"/>
    <x v="8"/>
    <x v="1"/>
    <x v="0"/>
    <x v="1"/>
    <x v="0"/>
    <x v="10"/>
    <n v="5"/>
    <x v="0"/>
  </r>
  <r>
    <d v="2024-06-05T00:00:00"/>
    <x v="3"/>
    <x v="3"/>
    <x v="1"/>
    <n v="13061.9"/>
    <x v="3"/>
    <x v="3"/>
    <x v="1"/>
    <x v="4"/>
    <x v="1"/>
    <x v="0"/>
    <x v="1"/>
    <x v="0"/>
    <x v="10"/>
    <n v="5"/>
    <x v="0"/>
  </r>
  <r>
    <d v="2024-06-05T00:00:00"/>
    <x v="0"/>
    <x v="1"/>
    <x v="1"/>
    <n v="14789094.369999999"/>
    <x v="0"/>
    <x v="1"/>
    <x v="1"/>
    <x v="5"/>
    <x v="1"/>
    <x v="0"/>
    <x v="1"/>
    <x v="0"/>
    <x v="10"/>
    <n v="5"/>
    <x v="0"/>
  </r>
  <r>
    <d v="2024-06-05T00:00:00"/>
    <x v="3"/>
    <x v="3"/>
    <x v="0"/>
    <n v="1445325942.0599999"/>
    <x v="3"/>
    <x v="3"/>
    <x v="0"/>
    <x v="9"/>
    <x v="1"/>
    <x v="0"/>
    <x v="1"/>
    <x v="0"/>
    <x v="10"/>
    <n v="5"/>
    <x v="0"/>
  </r>
  <r>
    <d v="2024-06-05T00:00:00"/>
    <x v="2"/>
    <x v="1"/>
    <x v="2"/>
    <n v="18376.87"/>
    <x v="2"/>
    <x v="1"/>
    <x v="2"/>
    <x v="6"/>
    <x v="1"/>
    <x v="0"/>
    <x v="1"/>
    <x v="0"/>
    <x v="10"/>
    <n v="5"/>
    <x v="0"/>
  </r>
  <r>
    <d v="2024-06-05T00:00:00"/>
    <x v="3"/>
    <x v="2"/>
    <x v="2"/>
    <n v="106813.25"/>
    <x v="3"/>
    <x v="2"/>
    <x v="2"/>
    <x v="7"/>
    <x v="1"/>
    <x v="0"/>
    <x v="1"/>
    <x v="0"/>
    <x v="10"/>
    <n v="5"/>
    <x v="0"/>
  </r>
  <r>
    <d v="2024-06-05T00:00:00"/>
    <x v="1"/>
    <x v="0"/>
    <x v="1"/>
    <n v="1288518345.3199999"/>
    <x v="1"/>
    <x v="0"/>
    <x v="1"/>
    <x v="10"/>
    <x v="1"/>
    <x v="0"/>
    <x v="1"/>
    <x v="0"/>
    <x v="10"/>
    <n v="5"/>
    <x v="0"/>
  </r>
  <r>
    <d v="2024-06-05T00:00:00"/>
    <x v="2"/>
    <x v="1"/>
    <x v="1"/>
    <n v="323941963.39999998"/>
    <x v="2"/>
    <x v="1"/>
    <x v="1"/>
    <x v="11"/>
    <x v="1"/>
    <x v="0"/>
    <x v="1"/>
    <x v="0"/>
    <x v="10"/>
    <n v="5"/>
    <x v="0"/>
  </r>
  <r>
    <d v="2024-06-05T00:00:00"/>
    <x v="1"/>
    <x v="0"/>
    <x v="0"/>
    <n v="92718991.560000002"/>
    <x v="1"/>
    <x v="0"/>
    <x v="0"/>
    <x v="12"/>
    <x v="1"/>
    <x v="0"/>
    <x v="1"/>
    <x v="0"/>
    <x v="10"/>
    <n v="5"/>
    <x v="0"/>
  </r>
  <r>
    <d v="2024-06-05T00:00:00"/>
    <x v="3"/>
    <x v="1"/>
    <x v="0"/>
    <n v="16514820.390000001"/>
    <x v="3"/>
    <x v="1"/>
    <x v="0"/>
    <x v="13"/>
    <x v="1"/>
    <x v="0"/>
    <x v="1"/>
    <x v="0"/>
    <x v="10"/>
    <n v="5"/>
    <x v="0"/>
  </r>
  <r>
    <d v="2024-06-05T00:00:00"/>
    <x v="3"/>
    <x v="2"/>
    <x v="1"/>
    <n v="14003069245.290001"/>
    <x v="3"/>
    <x v="2"/>
    <x v="1"/>
    <x v="14"/>
    <x v="1"/>
    <x v="0"/>
    <x v="1"/>
    <x v="0"/>
    <x v="10"/>
    <n v="5"/>
    <x v="0"/>
  </r>
  <r>
    <d v="2024-06-05T00:00:00"/>
    <x v="3"/>
    <x v="2"/>
    <x v="0"/>
    <n v="611836172.12"/>
    <x v="3"/>
    <x v="2"/>
    <x v="0"/>
    <x v="15"/>
    <x v="1"/>
    <x v="0"/>
    <x v="1"/>
    <x v="0"/>
    <x v="10"/>
    <n v="5"/>
    <x v="0"/>
  </r>
  <r>
    <d v="2024-06-04T00:00:00"/>
    <x v="0"/>
    <x v="0"/>
    <x v="0"/>
    <n v="1007.8"/>
    <x v="0"/>
    <x v="0"/>
    <x v="0"/>
    <x v="0"/>
    <x v="1"/>
    <x v="0"/>
    <x v="1"/>
    <x v="0"/>
    <x v="10"/>
    <n v="4"/>
    <x v="0"/>
  </r>
  <r>
    <d v="2024-06-04T00:00:00"/>
    <x v="0"/>
    <x v="1"/>
    <x v="0"/>
    <n v="6598872.9500000002"/>
    <x v="0"/>
    <x v="1"/>
    <x v="0"/>
    <x v="1"/>
    <x v="1"/>
    <x v="0"/>
    <x v="1"/>
    <x v="0"/>
    <x v="10"/>
    <n v="4"/>
    <x v="0"/>
  </r>
  <r>
    <d v="2024-06-04T00:00:00"/>
    <x v="2"/>
    <x v="1"/>
    <x v="2"/>
    <n v="10476.26"/>
    <x v="2"/>
    <x v="1"/>
    <x v="2"/>
    <x v="2"/>
    <x v="1"/>
    <x v="0"/>
    <x v="1"/>
    <x v="0"/>
    <x v="10"/>
    <n v="4"/>
    <x v="0"/>
  </r>
  <r>
    <d v="2024-06-04T00:00:00"/>
    <x v="0"/>
    <x v="1"/>
    <x v="1"/>
    <n v="13039613.960000001"/>
    <x v="0"/>
    <x v="1"/>
    <x v="1"/>
    <x v="3"/>
    <x v="1"/>
    <x v="0"/>
    <x v="1"/>
    <x v="0"/>
    <x v="10"/>
    <n v="4"/>
    <x v="0"/>
  </r>
  <r>
    <d v="2024-06-04T00:00:00"/>
    <x v="2"/>
    <x v="1"/>
    <x v="0"/>
    <n v="107713581.84"/>
    <x v="2"/>
    <x v="1"/>
    <x v="0"/>
    <x v="6"/>
    <x v="1"/>
    <x v="0"/>
    <x v="1"/>
    <x v="0"/>
    <x v="10"/>
    <n v="4"/>
    <x v="0"/>
  </r>
  <r>
    <d v="2024-06-04T00:00:00"/>
    <x v="1"/>
    <x v="1"/>
    <x v="0"/>
    <n v="1060045.8700000001"/>
    <x v="1"/>
    <x v="1"/>
    <x v="0"/>
    <x v="4"/>
    <x v="1"/>
    <x v="0"/>
    <x v="1"/>
    <x v="0"/>
    <x v="10"/>
    <n v="4"/>
    <x v="0"/>
  </r>
  <r>
    <d v="2024-06-04T00:00:00"/>
    <x v="3"/>
    <x v="2"/>
    <x v="2"/>
    <n v="27792"/>
    <x v="3"/>
    <x v="2"/>
    <x v="2"/>
    <x v="5"/>
    <x v="1"/>
    <x v="0"/>
    <x v="1"/>
    <x v="0"/>
    <x v="10"/>
    <n v="4"/>
    <x v="0"/>
  </r>
  <r>
    <d v="2024-06-04T00:00:00"/>
    <x v="1"/>
    <x v="0"/>
    <x v="1"/>
    <n v="365941986.75"/>
    <x v="1"/>
    <x v="0"/>
    <x v="1"/>
    <x v="8"/>
    <x v="1"/>
    <x v="0"/>
    <x v="1"/>
    <x v="0"/>
    <x v="10"/>
    <n v="4"/>
    <x v="0"/>
  </r>
  <r>
    <d v="2024-06-04T00:00:00"/>
    <x v="1"/>
    <x v="0"/>
    <x v="0"/>
    <n v="76894879.129999995"/>
    <x v="1"/>
    <x v="0"/>
    <x v="0"/>
    <x v="9"/>
    <x v="1"/>
    <x v="0"/>
    <x v="1"/>
    <x v="0"/>
    <x v="10"/>
    <n v="4"/>
    <x v="0"/>
  </r>
  <r>
    <d v="2024-06-04T00:00:00"/>
    <x v="3"/>
    <x v="3"/>
    <x v="0"/>
    <n v="1488912517.3199999"/>
    <x v="3"/>
    <x v="3"/>
    <x v="0"/>
    <x v="7"/>
    <x v="1"/>
    <x v="0"/>
    <x v="1"/>
    <x v="0"/>
    <x v="10"/>
    <n v="4"/>
    <x v="0"/>
  </r>
  <r>
    <d v="2024-06-04T00:00:00"/>
    <x v="2"/>
    <x v="1"/>
    <x v="1"/>
    <n v="189944999.99000001"/>
    <x v="2"/>
    <x v="1"/>
    <x v="1"/>
    <x v="10"/>
    <x v="1"/>
    <x v="0"/>
    <x v="1"/>
    <x v="0"/>
    <x v="10"/>
    <n v="4"/>
    <x v="0"/>
  </r>
  <r>
    <d v="2024-06-04T00:00:00"/>
    <x v="3"/>
    <x v="2"/>
    <x v="1"/>
    <n v="5311843232.8400002"/>
    <x v="3"/>
    <x v="2"/>
    <x v="1"/>
    <x v="11"/>
    <x v="1"/>
    <x v="0"/>
    <x v="1"/>
    <x v="0"/>
    <x v="10"/>
    <n v="4"/>
    <x v="0"/>
  </r>
  <r>
    <d v="2024-06-04T00:00:00"/>
    <x v="3"/>
    <x v="1"/>
    <x v="0"/>
    <n v="14290086.310000001"/>
    <x v="3"/>
    <x v="1"/>
    <x v="0"/>
    <x v="12"/>
    <x v="1"/>
    <x v="0"/>
    <x v="1"/>
    <x v="0"/>
    <x v="10"/>
    <n v="4"/>
    <x v="0"/>
  </r>
  <r>
    <d v="2024-06-04T00:00:00"/>
    <x v="3"/>
    <x v="2"/>
    <x v="0"/>
    <n v="728308427.65999997"/>
    <x v="3"/>
    <x v="2"/>
    <x v="0"/>
    <x v="13"/>
    <x v="1"/>
    <x v="0"/>
    <x v="1"/>
    <x v="0"/>
    <x v="10"/>
    <n v="4"/>
    <x v="0"/>
  </r>
  <r>
    <d v="2024-06-03T00:00:00"/>
    <x v="1"/>
    <x v="1"/>
    <x v="0"/>
    <n v="98411.56"/>
    <x v="1"/>
    <x v="1"/>
    <x v="0"/>
    <x v="0"/>
    <x v="1"/>
    <x v="0"/>
    <x v="1"/>
    <x v="0"/>
    <x v="10"/>
    <n v="3"/>
    <x v="0"/>
  </r>
  <r>
    <d v="2024-06-03T00:00:00"/>
    <x v="3"/>
    <x v="2"/>
    <x v="2"/>
    <n v="173476.9"/>
    <x v="3"/>
    <x v="2"/>
    <x v="2"/>
    <x v="5"/>
    <x v="1"/>
    <x v="0"/>
    <x v="1"/>
    <x v="0"/>
    <x v="10"/>
    <n v="3"/>
    <x v="0"/>
  </r>
  <r>
    <d v="2024-06-03T00:00:00"/>
    <x v="0"/>
    <x v="1"/>
    <x v="0"/>
    <n v="11147921.960000001"/>
    <x v="0"/>
    <x v="1"/>
    <x v="0"/>
    <x v="1"/>
    <x v="1"/>
    <x v="0"/>
    <x v="1"/>
    <x v="0"/>
    <x v="10"/>
    <n v="3"/>
    <x v="0"/>
  </r>
  <r>
    <d v="2024-06-03T00:00:00"/>
    <x v="2"/>
    <x v="1"/>
    <x v="2"/>
    <n v="8254.84"/>
    <x v="2"/>
    <x v="1"/>
    <x v="2"/>
    <x v="2"/>
    <x v="1"/>
    <x v="0"/>
    <x v="1"/>
    <x v="0"/>
    <x v="10"/>
    <n v="3"/>
    <x v="0"/>
  </r>
  <r>
    <d v="2024-06-03T00:00:00"/>
    <x v="3"/>
    <x v="3"/>
    <x v="1"/>
    <n v="1423871.47"/>
    <x v="3"/>
    <x v="3"/>
    <x v="1"/>
    <x v="3"/>
    <x v="1"/>
    <x v="0"/>
    <x v="1"/>
    <x v="0"/>
    <x v="10"/>
    <n v="3"/>
    <x v="0"/>
  </r>
  <r>
    <d v="2024-06-03T00:00:00"/>
    <x v="0"/>
    <x v="1"/>
    <x v="1"/>
    <n v="357494.85"/>
    <x v="0"/>
    <x v="1"/>
    <x v="1"/>
    <x v="4"/>
    <x v="1"/>
    <x v="0"/>
    <x v="1"/>
    <x v="0"/>
    <x v="10"/>
    <n v="3"/>
    <x v="0"/>
  </r>
  <r>
    <d v="2024-06-03T00:00:00"/>
    <x v="1"/>
    <x v="0"/>
    <x v="0"/>
    <n v="55215345.149999999"/>
    <x v="1"/>
    <x v="0"/>
    <x v="0"/>
    <x v="8"/>
    <x v="1"/>
    <x v="0"/>
    <x v="1"/>
    <x v="0"/>
    <x v="10"/>
    <n v="3"/>
    <x v="0"/>
  </r>
  <r>
    <d v="2024-06-03T00:00:00"/>
    <x v="1"/>
    <x v="0"/>
    <x v="1"/>
    <n v="96742334.799999997"/>
    <x v="1"/>
    <x v="0"/>
    <x v="1"/>
    <x v="9"/>
    <x v="1"/>
    <x v="0"/>
    <x v="1"/>
    <x v="0"/>
    <x v="10"/>
    <n v="3"/>
    <x v="0"/>
  </r>
  <r>
    <d v="2024-06-03T00:00:00"/>
    <x v="2"/>
    <x v="1"/>
    <x v="1"/>
    <n v="103829817.09"/>
    <x v="2"/>
    <x v="1"/>
    <x v="1"/>
    <x v="10"/>
    <x v="1"/>
    <x v="0"/>
    <x v="1"/>
    <x v="0"/>
    <x v="10"/>
    <n v="3"/>
    <x v="0"/>
  </r>
  <r>
    <d v="2024-06-03T00:00:00"/>
    <x v="3"/>
    <x v="3"/>
    <x v="0"/>
    <n v="2010313478.8900001"/>
    <x v="3"/>
    <x v="3"/>
    <x v="0"/>
    <x v="6"/>
    <x v="1"/>
    <x v="0"/>
    <x v="1"/>
    <x v="0"/>
    <x v="10"/>
    <n v="3"/>
    <x v="0"/>
  </r>
  <r>
    <d v="2024-06-03T00:00:00"/>
    <x v="2"/>
    <x v="1"/>
    <x v="0"/>
    <n v="125227582.48999999"/>
    <x v="2"/>
    <x v="1"/>
    <x v="0"/>
    <x v="7"/>
    <x v="1"/>
    <x v="0"/>
    <x v="1"/>
    <x v="0"/>
    <x v="10"/>
    <n v="3"/>
    <x v="0"/>
  </r>
  <r>
    <d v="2024-06-03T00:00:00"/>
    <x v="3"/>
    <x v="2"/>
    <x v="1"/>
    <n v="46564848908.099998"/>
    <x v="3"/>
    <x v="2"/>
    <x v="1"/>
    <x v="11"/>
    <x v="1"/>
    <x v="0"/>
    <x v="1"/>
    <x v="0"/>
    <x v="10"/>
    <n v="3"/>
    <x v="0"/>
  </r>
  <r>
    <d v="2024-06-03T00:00:00"/>
    <x v="3"/>
    <x v="2"/>
    <x v="0"/>
    <n v="1165363363.0599999"/>
    <x v="3"/>
    <x v="2"/>
    <x v="0"/>
    <x v="12"/>
    <x v="1"/>
    <x v="0"/>
    <x v="1"/>
    <x v="0"/>
    <x v="10"/>
    <n v="3"/>
    <x v="0"/>
  </r>
  <r>
    <d v="2024-06-03T00:00:00"/>
    <x v="3"/>
    <x v="1"/>
    <x v="0"/>
    <n v="53184800.539999999"/>
    <x v="3"/>
    <x v="1"/>
    <x v="0"/>
    <x v="13"/>
    <x v="1"/>
    <x v="0"/>
    <x v="1"/>
    <x v="0"/>
    <x v="10"/>
    <n v="3"/>
    <x v="0"/>
  </r>
  <r>
    <d v="2024-05-31T00:00:00"/>
    <x v="0"/>
    <x v="0"/>
    <x v="0"/>
    <n v="500"/>
    <x v="0"/>
    <x v="0"/>
    <x v="0"/>
    <x v="0"/>
    <x v="1"/>
    <x v="0"/>
    <x v="1"/>
    <x v="0"/>
    <x v="11"/>
    <n v="31"/>
    <x v="0"/>
  </r>
  <r>
    <d v="2024-05-31T00:00:00"/>
    <x v="0"/>
    <x v="1"/>
    <x v="0"/>
    <n v="6559365.4800000004"/>
    <x v="0"/>
    <x v="1"/>
    <x v="0"/>
    <x v="1"/>
    <x v="1"/>
    <x v="0"/>
    <x v="1"/>
    <x v="0"/>
    <x v="11"/>
    <n v="31"/>
    <x v="0"/>
  </r>
  <r>
    <d v="2024-05-31T00:00:00"/>
    <x v="2"/>
    <x v="1"/>
    <x v="2"/>
    <n v="754605.38"/>
    <x v="2"/>
    <x v="1"/>
    <x v="2"/>
    <x v="2"/>
    <x v="1"/>
    <x v="0"/>
    <x v="1"/>
    <x v="0"/>
    <x v="11"/>
    <n v="31"/>
    <x v="0"/>
  </r>
  <r>
    <d v="2024-05-31T00:00:00"/>
    <x v="3"/>
    <x v="3"/>
    <x v="1"/>
    <n v="162537.23000000001"/>
    <x v="3"/>
    <x v="3"/>
    <x v="1"/>
    <x v="3"/>
    <x v="1"/>
    <x v="0"/>
    <x v="1"/>
    <x v="0"/>
    <x v="11"/>
    <n v="31"/>
    <x v="0"/>
  </r>
  <r>
    <d v="2024-05-31T00:00:00"/>
    <x v="0"/>
    <x v="1"/>
    <x v="1"/>
    <n v="2245532.87"/>
    <x v="0"/>
    <x v="1"/>
    <x v="1"/>
    <x v="4"/>
    <x v="1"/>
    <x v="0"/>
    <x v="1"/>
    <x v="0"/>
    <x v="11"/>
    <n v="31"/>
    <x v="0"/>
  </r>
  <r>
    <d v="2024-05-31T00:00:00"/>
    <x v="2"/>
    <x v="1"/>
    <x v="0"/>
    <n v="83272274.209999993"/>
    <x v="2"/>
    <x v="1"/>
    <x v="0"/>
    <x v="7"/>
    <x v="1"/>
    <x v="0"/>
    <x v="1"/>
    <x v="0"/>
    <x v="11"/>
    <n v="31"/>
    <x v="0"/>
  </r>
  <r>
    <d v="2024-05-31T00:00:00"/>
    <x v="1"/>
    <x v="1"/>
    <x v="0"/>
    <n v="103428.97"/>
    <x v="1"/>
    <x v="1"/>
    <x v="0"/>
    <x v="5"/>
    <x v="1"/>
    <x v="0"/>
    <x v="1"/>
    <x v="0"/>
    <x v="11"/>
    <n v="31"/>
    <x v="0"/>
  </r>
  <r>
    <d v="2024-05-31T00:00:00"/>
    <x v="3"/>
    <x v="3"/>
    <x v="0"/>
    <n v="2553649346.75"/>
    <x v="3"/>
    <x v="3"/>
    <x v="0"/>
    <x v="8"/>
    <x v="1"/>
    <x v="0"/>
    <x v="1"/>
    <x v="0"/>
    <x v="11"/>
    <n v="31"/>
    <x v="0"/>
  </r>
  <r>
    <d v="2024-05-31T00:00:00"/>
    <x v="3"/>
    <x v="2"/>
    <x v="2"/>
    <n v="320207"/>
    <x v="3"/>
    <x v="2"/>
    <x v="2"/>
    <x v="6"/>
    <x v="1"/>
    <x v="0"/>
    <x v="1"/>
    <x v="0"/>
    <x v="11"/>
    <n v="31"/>
    <x v="0"/>
  </r>
  <r>
    <d v="2024-05-31T00:00:00"/>
    <x v="2"/>
    <x v="1"/>
    <x v="1"/>
    <n v="185711270.59"/>
    <x v="2"/>
    <x v="1"/>
    <x v="1"/>
    <x v="9"/>
    <x v="1"/>
    <x v="0"/>
    <x v="1"/>
    <x v="0"/>
    <x v="11"/>
    <n v="31"/>
    <x v="0"/>
  </r>
  <r>
    <d v="2024-05-31T00:00:00"/>
    <x v="1"/>
    <x v="0"/>
    <x v="1"/>
    <n v="156170422.49000001"/>
    <x v="1"/>
    <x v="0"/>
    <x v="1"/>
    <x v="11"/>
    <x v="1"/>
    <x v="0"/>
    <x v="1"/>
    <x v="0"/>
    <x v="11"/>
    <n v="31"/>
    <x v="0"/>
  </r>
  <r>
    <d v="2024-05-31T00:00:00"/>
    <x v="1"/>
    <x v="0"/>
    <x v="0"/>
    <n v="46173110.280000001"/>
    <x v="1"/>
    <x v="0"/>
    <x v="0"/>
    <x v="10"/>
    <x v="1"/>
    <x v="0"/>
    <x v="1"/>
    <x v="0"/>
    <x v="11"/>
    <n v="31"/>
    <x v="0"/>
  </r>
  <r>
    <d v="2024-05-31T00:00:00"/>
    <x v="3"/>
    <x v="2"/>
    <x v="1"/>
    <n v="12281265461.07"/>
    <x v="3"/>
    <x v="2"/>
    <x v="1"/>
    <x v="12"/>
    <x v="1"/>
    <x v="0"/>
    <x v="1"/>
    <x v="0"/>
    <x v="11"/>
    <n v="31"/>
    <x v="0"/>
  </r>
  <r>
    <d v="2024-05-31T00:00:00"/>
    <x v="3"/>
    <x v="1"/>
    <x v="0"/>
    <n v="16870382.989999998"/>
    <x v="3"/>
    <x v="1"/>
    <x v="0"/>
    <x v="13"/>
    <x v="1"/>
    <x v="0"/>
    <x v="1"/>
    <x v="0"/>
    <x v="11"/>
    <n v="31"/>
    <x v="0"/>
  </r>
  <r>
    <d v="2024-05-31T00:00:00"/>
    <x v="3"/>
    <x v="2"/>
    <x v="0"/>
    <n v="712712433.76999998"/>
    <x v="3"/>
    <x v="2"/>
    <x v="0"/>
    <x v="14"/>
    <x v="1"/>
    <x v="0"/>
    <x v="1"/>
    <x v="0"/>
    <x v="11"/>
    <n v="31"/>
    <x v="0"/>
  </r>
  <r>
    <d v="2024-05-30T00:00:00"/>
    <x v="0"/>
    <x v="1"/>
    <x v="0"/>
    <n v="11474107.4"/>
    <x v="0"/>
    <x v="1"/>
    <x v="0"/>
    <x v="1"/>
    <x v="1"/>
    <x v="0"/>
    <x v="1"/>
    <x v="0"/>
    <x v="11"/>
    <n v="30"/>
    <x v="0"/>
  </r>
  <r>
    <d v="2024-05-30T00:00:00"/>
    <x v="0"/>
    <x v="0"/>
    <x v="0"/>
    <n v="422"/>
    <x v="0"/>
    <x v="0"/>
    <x v="0"/>
    <x v="0"/>
    <x v="1"/>
    <x v="0"/>
    <x v="1"/>
    <x v="0"/>
    <x v="11"/>
    <n v="30"/>
    <x v="0"/>
  </r>
  <r>
    <d v="2024-05-30T00:00:00"/>
    <x v="3"/>
    <x v="2"/>
    <x v="2"/>
    <n v="284615.08"/>
    <x v="3"/>
    <x v="2"/>
    <x v="2"/>
    <x v="6"/>
    <x v="1"/>
    <x v="0"/>
    <x v="1"/>
    <x v="0"/>
    <x v="11"/>
    <n v="30"/>
    <x v="0"/>
  </r>
  <r>
    <d v="2024-05-30T00:00:00"/>
    <x v="3"/>
    <x v="3"/>
    <x v="1"/>
    <n v="936416.31"/>
    <x v="3"/>
    <x v="3"/>
    <x v="1"/>
    <x v="2"/>
    <x v="1"/>
    <x v="0"/>
    <x v="1"/>
    <x v="0"/>
    <x v="11"/>
    <n v="30"/>
    <x v="0"/>
  </r>
  <r>
    <d v="2024-05-30T00:00:00"/>
    <x v="0"/>
    <x v="1"/>
    <x v="1"/>
    <n v="9694760.6300000008"/>
    <x v="0"/>
    <x v="1"/>
    <x v="1"/>
    <x v="3"/>
    <x v="1"/>
    <x v="0"/>
    <x v="1"/>
    <x v="0"/>
    <x v="11"/>
    <n v="30"/>
    <x v="0"/>
  </r>
  <r>
    <d v="2024-05-30T00:00:00"/>
    <x v="1"/>
    <x v="1"/>
    <x v="0"/>
    <n v="320279.82"/>
    <x v="1"/>
    <x v="1"/>
    <x v="0"/>
    <x v="5"/>
    <x v="1"/>
    <x v="0"/>
    <x v="1"/>
    <x v="0"/>
    <x v="11"/>
    <n v="30"/>
    <x v="0"/>
  </r>
  <r>
    <d v="2024-05-30T00:00:00"/>
    <x v="2"/>
    <x v="1"/>
    <x v="2"/>
    <n v="17922.09"/>
    <x v="2"/>
    <x v="1"/>
    <x v="2"/>
    <x v="4"/>
    <x v="1"/>
    <x v="0"/>
    <x v="1"/>
    <x v="0"/>
    <x v="11"/>
    <n v="30"/>
    <x v="0"/>
  </r>
  <r>
    <d v="2024-05-30T00:00:00"/>
    <x v="1"/>
    <x v="0"/>
    <x v="1"/>
    <n v="798282135.55999994"/>
    <x v="1"/>
    <x v="0"/>
    <x v="1"/>
    <x v="9"/>
    <x v="1"/>
    <x v="0"/>
    <x v="1"/>
    <x v="0"/>
    <x v="11"/>
    <n v="30"/>
    <x v="0"/>
  </r>
  <r>
    <d v="2024-05-30T00:00:00"/>
    <x v="2"/>
    <x v="1"/>
    <x v="1"/>
    <n v="246955528.87"/>
    <x v="2"/>
    <x v="1"/>
    <x v="1"/>
    <x v="10"/>
    <x v="1"/>
    <x v="0"/>
    <x v="1"/>
    <x v="0"/>
    <x v="11"/>
    <n v="30"/>
    <x v="0"/>
  </r>
  <r>
    <d v="2024-05-30T00:00:00"/>
    <x v="2"/>
    <x v="1"/>
    <x v="0"/>
    <n v="93918603.829999998"/>
    <x v="2"/>
    <x v="1"/>
    <x v="0"/>
    <x v="7"/>
    <x v="1"/>
    <x v="0"/>
    <x v="1"/>
    <x v="0"/>
    <x v="11"/>
    <n v="30"/>
    <x v="0"/>
  </r>
  <r>
    <d v="2024-05-30T00:00:00"/>
    <x v="3"/>
    <x v="3"/>
    <x v="0"/>
    <n v="910409832.99000001"/>
    <x v="3"/>
    <x v="3"/>
    <x v="0"/>
    <x v="8"/>
    <x v="1"/>
    <x v="0"/>
    <x v="1"/>
    <x v="0"/>
    <x v="11"/>
    <n v="30"/>
    <x v="0"/>
  </r>
  <r>
    <d v="2024-05-30T00:00:00"/>
    <x v="1"/>
    <x v="0"/>
    <x v="0"/>
    <n v="98497510.340000004"/>
    <x v="1"/>
    <x v="0"/>
    <x v="0"/>
    <x v="11"/>
    <x v="1"/>
    <x v="0"/>
    <x v="1"/>
    <x v="0"/>
    <x v="11"/>
    <n v="30"/>
    <x v="0"/>
  </r>
  <r>
    <d v="2024-05-30T00:00:00"/>
    <x v="3"/>
    <x v="1"/>
    <x v="0"/>
    <n v="15511361.43"/>
    <x v="3"/>
    <x v="1"/>
    <x v="0"/>
    <x v="12"/>
    <x v="1"/>
    <x v="0"/>
    <x v="1"/>
    <x v="0"/>
    <x v="11"/>
    <n v="30"/>
    <x v="0"/>
  </r>
  <r>
    <d v="2024-05-30T00:00:00"/>
    <x v="3"/>
    <x v="2"/>
    <x v="0"/>
    <n v="461752052.76999998"/>
    <x v="3"/>
    <x v="2"/>
    <x v="0"/>
    <x v="13"/>
    <x v="1"/>
    <x v="0"/>
    <x v="1"/>
    <x v="0"/>
    <x v="11"/>
    <n v="30"/>
    <x v="0"/>
  </r>
  <r>
    <d v="2024-05-30T00:00:00"/>
    <x v="3"/>
    <x v="2"/>
    <x v="1"/>
    <n v="10935627582.91"/>
    <x v="3"/>
    <x v="2"/>
    <x v="1"/>
    <x v="14"/>
    <x v="1"/>
    <x v="0"/>
    <x v="1"/>
    <x v="0"/>
    <x v="11"/>
    <n v="30"/>
    <x v="0"/>
  </r>
  <r>
    <d v="2024-05-29T00:00:00"/>
    <x v="3"/>
    <x v="2"/>
    <x v="2"/>
    <n v="318526.03999999998"/>
    <x v="3"/>
    <x v="2"/>
    <x v="2"/>
    <x v="5"/>
    <x v="1"/>
    <x v="0"/>
    <x v="1"/>
    <x v="0"/>
    <x v="11"/>
    <n v="29"/>
    <x v="0"/>
  </r>
  <r>
    <d v="2024-05-29T00:00:00"/>
    <x v="1"/>
    <x v="1"/>
    <x v="0"/>
    <n v="70613.86"/>
    <x v="1"/>
    <x v="1"/>
    <x v="0"/>
    <x v="0"/>
    <x v="1"/>
    <x v="0"/>
    <x v="1"/>
    <x v="0"/>
    <x v="11"/>
    <n v="29"/>
    <x v="0"/>
  </r>
  <r>
    <d v="2024-05-29T00:00:00"/>
    <x v="0"/>
    <x v="1"/>
    <x v="0"/>
    <n v="6845879.8200000003"/>
    <x v="0"/>
    <x v="1"/>
    <x v="0"/>
    <x v="1"/>
    <x v="1"/>
    <x v="0"/>
    <x v="1"/>
    <x v="0"/>
    <x v="11"/>
    <n v="29"/>
    <x v="0"/>
  </r>
  <r>
    <d v="2024-05-29T00:00:00"/>
    <x v="2"/>
    <x v="1"/>
    <x v="2"/>
    <n v="8525.51"/>
    <x v="2"/>
    <x v="1"/>
    <x v="2"/>
    <x v="2"/>
    <x v="1"/>
    <x v="0"/>
    <x v="1"/>
    <x v="0"/>
    <x v="11"/>
    <n v="29"/>
    <x v="0"/>
  </r>
  <r>
    <d v="2024-05-29T00:00:00"/>
    <x v="3"/>
    <x v="3"/>
    <x v="1"/>
    <n v="360217.84"/>
    <x v="3"/>
    <x v="3"/>
    <x v="1"/>
    <x v="3"/>
    <x v="1"/>
    <x v="0"/>
    <x v="1"/>
    <x v="0"/>
    <x v="11"/>
    <n v="29"/>
    <x v="0"/>
  </r>
  <r>
    <d v="2024-05-29T00:00:00"/>
    <x v="0"/>
    <x v="1"/>
    <x v="1"/>
    <n v="11406974.93"/>
    <x v="0"/>
    <x v="1"/>
    <x v="1"/>
    <x v="4"/>
    <x v="1"/>
    <x v="0"/>
    <x v="1"/>
    <x v="0"/>
    <x v="11"/>
    <n v="29"/>
    <x v="0"/>
  </r>
  <r>
    <d v="2024-05-29T00:00:00"/>
    <x v="2"/>
    <x v="1"/>
    <x v="0"/>
    <n v="96141683.510000005"/>
    <x v="2"/>
    <x v="1"/>
    <x v="0"/>
    <x v="6"/>
    <x v="1"/>
    <x v="0"/>
    <x v="1"/>
    <x v="0"/>
    <x v="11"/>
    <n v="29"/>
    <x v="0"/>
  </r>
  <r>
    <d v="2024-05-29T00:00:00"/>
    <x v="3"/>
    <x v="3"/>
    <x v="0"/>
    <n v="4901271902.5299997"/>
    <x v="3"/>
    <x v="3"/>
    <x v="0"/>
    <x v="7"/>
    <x v="1"/>
    <x v="0"/>
    <x v="1"/>
    <x v="0"/>
    <x v="11"/>
    <n v="29"/>
    <x v="0"/>
  </r>
  <r>
    <d v="2024-05-29T00:00:00"/>
    <x v="1"/>
    <x v="0"/>
    <x v="1"/>
    <n v="229238990.63"/>
    <x v="1"/>
    <x v="0"/>
    <x v="1"/>
    <x v="8"/>
    <x v="1"/>
    <x v="0"/>
    <x v="1"/>
    <x v="0"/>
    <x v="11"/>
    <n v="29"/>
    <x v="0"/>
  </r>
  <r>
    <d v="2024-05-29T00:00:00"/>
    <x v="2"/>
    <x v="1"/>
    <x v="1"/>
    <n v="149106810.53999999"/>
    <x v="2"/>
    <x v="1"/>
    <x v="1"/>
    <x v="9"/>
    <x v="1"/>
    <x v="0"/>
    <x v="1"/>
    <x v="0"/>
    <x v="11"/>
    <n v="29"/>
    <x v="0"/>
  </r>
  <r>
    <d v="2024-05-29T00:00:00"/>
    <x v="1"/>
    <x v="0"/>
    <x v="0"/>
    <n v="96325010.709999993"/>
    <x v="1"/>
    <x v="0"/>
    <x v="0"/>
    <x v="10"/>
    <x v="1"/>
    <x v="0"/>
    <x v="1"/>
    <x v="0"/>
    <x v="11"/>
    <n v="29"/>
    <x v="0"/>
  </r>
  <r>
    <d v="2024-05-29T00:00:00"/>
    <x v="3"/>
    <x v="1"/>
    <x v="0"/>
    <n v="14841858.51"/>
    <x v="3"/>
    <x v="1"/>
    <x v="0"/>
    <x v="11"/>
    <x v="1"/>
    <x v="0"/>
    <x v="1"/>
    <x v="0"/>
    <x v="11"/>
    <n v="29"/>
    <x v="0"/>
  </r>
  <r>
    <d v="2024-05-29T00:00:00"/>
    <x v="3"/>
    <x v="2"/>
    <x v="0"/>
    <n v="1231391480.21"/>
    <x v="3"/>
    <x v="2"/>
    <x v="0"/>
    <x v="12"/>
    <x v="1"/>
    <x v="0"/>
    <x v="1"/>
    <x v="0"/>
    <x v="11"/>
    <n v="29"/>
    <x v="0"/>
  </r>
  <r>
    <d v="2024-05-29T00:00:00"/>
    <x v="3"/>
    <x v="2"/>
    <x v="1"/>
    <n v="5834595433.0799999"/>
    <x v="3"/>
    <x v="2"/>
    <x v="1"/>
    <x v="13"/>
    <x v="1"/>
    <x v="0"/>
    <x v="1"/>
    <x v="0"/>
    <x v="11"/>
    <n v="29"/>
    <x v="0"/>
  </r>
  <r>
    <d v="2024-05-28T00:00:00"/>
    <x v="3"/>
    <x v="3"/>
    <x v="1"/>
    <n v="278406.95"/>
    <x v="3"/>
    <x v="3"/>
    <x v="1"/>
    <x v="5"/>
    <x v="1"/>
    <x v="0"/>
    <x v="1"/>
    <x v="0"/>
    <x v="11"/>
    <n v="28"/>
    <x v="0"/>
  </r>
  <r>
    <d v="2024-05-28T00:00:00"/>
    <x v="0"/>
    <x v="0"/>
    <x v="0"/>
    <n v="186.6"/>
    <x v="0"/>
    <x v="0"/>
    <x v="0"/>
    <x v="0"/>
    <x v="1"/>
    <x v="0"/>
    <x v="1"/>
    <x v="0"/>
    <x v="11"/>
    <n v="28"/>
    <x v="0"/>
  </r>
  <r>
    <d v="2024-05-28T00:00:00"/>
    <x v="1"/>
    <x v="1"/>
    <x v="0"/>
    <n v="54770.01"/>
    <x v="1"/>
    <x v="1"/>
    <x v="0"/>
    <x v="1"/>
    <x v="1"/>
    <x v="0"/>
    <x v="1"/>
    <x v="0"/>
    <x v="11"/>
    <n v="28"/>
    <x v="0"/>
  </r>
  <r>
    <d v="2024-05-28T00:00:00"/>
    <x v="0"/>
    <x v="1"/>
    <x v="0"/>
    <n v="19408779.559999999"/>
    <x v="0"/>
    <x v="1"/>
    <x v="0"/>
    <x v="2"/>
    <x v="1"/>
    <x v="0"/>
    <x v="1"/>
    <x v="0"/>
    <x v="11"/>
    <n v="28"/>
    <x v="0"/>
  </r>
  <r>
    <d v="2024-05-28T00:00:00"/>
    <x v="3"/>
    <x v="3"/>
    <x v="2"/>
    <n v="1712.12"/>
    <x v="3"/>
    <x v="3"/>
    <x v="2"/>
    <x v="3"/>
    <x v="1"/>
    <x v="0"/>
    <x v="1"/>
    <x v="0"/>
    <x v="11"/>
    <n v="28"/>
    <x v="0"/>
  </r>
  <r>
    <d v="2024-05-28T00:00:00"/>
    <x v="2"/>
    <x v="1"/>
    <x v="2"/>
    <n v="12601.87"/>
    <x v="2"/>
    <x v="1"/>
    <x v="2"/>
    <x v="4"/>
    <x v="1"/>
    <x v="0"/>
    <x v="1"/>
    <x v="0"/>
    <x v="11"/>
    <n v="28"/>
    <x v="0"/>
  </r>
  <r>
    <d v="2024-05-28T00:00:00"/>
    <x v="0"/>
    <x v="1"/>
    <x v="1"/>
    <n v="11760352.529999999"/>
    <x v="0"/>
    <x v="1"/>
    <x v="1"/>
    <x v="6"/>
    <x v="1"/>
    <x v="0"/>
    <x v="1"/>
    <x v="0"/>
    <x v="11"/>
    <n v="28"/>
    <x v="0"/>
  </r>
  <r>
    <d v="2024-05-28T00:00:00"/>
    <x v="2"/>
    <x v="1"/>
    <x v="0"/>
    <n v="121955429.94"/>
    <x v="2"/>
    <x v="1"/>
    <x v="0"/>
    <x v="8"/>
    <x v="1"/>
    <x v="0"/>
    <x v="1"/>
    <x v="0"/>
    <x v="11"/>
    <n v="28"/>
    <x v="0"/>
  </r>
  <r>
    <d v="2024-05-28T00:00:00"/>
    <x v="3"/>
    <x v="2"/>
    <x v="2"/>
    <n v="164653.4"/>
    <x v="3"/>
    <x v="2"/>
    <x v="2"/>
    <x v="7"/>
    <x v="1"/>
    <x v="0"/>
    <x v="1"/>
    <x v="0"/>
    <x v="11"/>
    <n v="28"/>
    <x v="0"/>
  </r>
  <r>
    <d v="2024-05-28T00:00:00"/>
    <x v="3"/>
    <x v="3"/>
    <x v="0"/>
    <n v="1471144260.79"/>
    <x v="3"/>
    <x v="3"/>
    <x v="0"/>
    <x v="9"/>
    <x v="1"/>
    <x v="0"/>
    <x v="1"/>
    <x v="0"/>
    <x v="11"/>
    <n v="28"/>
    <x v="0"/>
  </r>
  <r>
    <d v="2024-05-28T00:00:00"/>
    <x v="2"/>
    <x v="1"/>
    <x v="1"/>
    <n v="319829441.44999999"/>
    <x v="2"/>
    <x v="1"/>
    <x v="1"/>
    <x v="10"/>
    <x v="1"/>
    <x v="0"/>
    <x v="1"/>
    <x v="0"/>
    <x v="11"/>
    <n v="28"/>
    <x v="0"/>
  </r>
  <r>
    <d v="2024-05-28T00:00:00"/>
    <x v="1"/>
    <x v="0"/>
    <x v="0"/>
    <n v="59176695.460000001"/>
    <x v="1"/>
    <x v="0"/>
    <x v="0"/>
    <x v="11"/>
    <x v="1"/>
    <x v="0"/>
    <x v="1"/>
    <x v="0"/>
    <x v="11"/>
    <n v="28"/>
    <x v="0"/>
  </r>
  <r>
    <d v="2024-05-28T00:00:00"/>
    <x v="1"/>
    <x v="0"/>
    <x v="1"/>
    <n v="201358169.28999999"/>
    <x v="1"/>
    <x v="0"/>
    <x v="1"/>
    <x v="12"/>
    <x v="1"/>
    <x v="0"/>
    <x v="1"/>
    <x v="0"/>
    <x v="11"/>
    <n v="28"/>
    <x v="0"/>
  </r>
  <r>
    <d v="2024-05-28T00:00:00"/>
    <x v="3"/>
    <x v="2"/>
    <x v="0"/>
    <n v="706374061.24000001"/>
    <x v="3"/>
    <x v="2"/>
    <x v="0"/>
    <x v="13"/>
    <x v="1"/>
    <x v="0"/>
    <x v="1"/>
    <x v="0"/>
    <x v="11"/>
    <n v="28"/>
    <x v="0"/>
  </r>
  <r>
    <d v="2024-05-28T00:00:00"/>
    <x v="3"/>
    <x v="2"/>
    <x v="1"/>
    <n v="27390174537.189999"/>
    <x v="3"/>
    <x v="2"/>
    <x v="1"/>
    <x v="14"/>
    <x v="1"/>
    <x v="0"/>
    <x v="1"/>
    <x v="0"/>
    <x v="11"/>
    <n v="28"/>
    <x v="0"/>
  </r>
  <r>
    <d v="2024-05-28T00:00:00"/>
    <x v="3"/>
    <x v="1"/>
    <x v="0"/>
    <n v="58861596.420000002"/>
    <x v="3"/>
    <x v="1"/>
    <x v="0"/>
    <x v="15"/>
    <x v="1"/>
    <x v="0"/>
    <x v="1"/>
    <x v="0"/>
    <x v="11"/>
    <n v="28"/>
    <x v="0"/>
  </r>
  <r>
    <d v="2024-05-24T00:00:00"/>
    <x v="0"/>
    <x v="1"/>
    <x v="1"/>
    <n v="2000274.09"/>
    <x v="0"/>
    <x v="1"/>
    <x v="1"/>
    <x v="1"/>
    <x v="1"/>
    <x v="0"/>
    <x v="1"/>
    <x v="0"/>
    <x v="11"/>
    <n v="24"/>
    <x v="0"/>
  </r>
  <r>
    <d v="2024-05-24T00:00:00"/>
    <x v="0"/>
    <x v="1"/>
    <x v="0"/>
    <n v="32389721.870000001"/>
    <x v="0"/>
    <x v="1"/>
    <x v="0"/>
    <x v="0"/>
    <x v="1"/>
    <x v="0"/>
    <x v="1"/>
    <x v="0"/>
    <x v="11"/>
    <n v="24"/>
    <x v="0"/>
  </r>
  <r>
    <d v="2024-05-24T00:00:00"/>
    <x v="2"/>
    <x v="1"/>
    <x v="0"/>
    <n v="78333738.810000002"/>
    <x v="2"/>
    <x v="1"/>
    <x v="0"/>
    <x v="5"/>
    <x v="1"/>
    <x v="0"/>
    <x v="1"/>
    <x v="0"/>
    <x v="11"/>
    <n v="24"/>
    <x v="0"/>
  </r>
  <r>
    <d v="2024-05-24T00:00:00"/>
    <x v="3"/>
    <x v="3"/>
    <x v="0"/>
    <n v="1033399299.15"/>
    <x v="3"/>
    <x v="3"/>
    <x v="0"/>
    <x v="6"/>
    <x v="1"/>
    <x v="0"/>
    <x v="1"/>
    <x v="0"/>
    <x v="11"/>
    <n v="24"/>
    <x v="0"/>
  </r>
  <r>
    <d v="2024-05-24T00:00:00"/>
    <x v="2"/>
    <x v="1"/>
    <x v="2"/>
    <n v="8054.2"/>
    <x v="2"/>
    <x v="1"/>
    <x v="2"/>
    <x v="3"/>
    <x v="1"/>
    <x v="0"/>
    <x v="1"/>
    <x v="0"/>
    <x v="11"/>
    <n v="24"/>
    <x v="0"/>
  </r>
  <r>
    <d v="2024-05-24T00:00:00"/>
    <x v="1"/>
    <x v="1"/>
    <x v="0"/>
    <n v="-1146569.55"/>
    <x v="1"/>
    <x v="1"/>
    <x v="0"/>
    <x v="2"/>
    <x v="1"/>
    <x v="0"/>
    <x v="1"/>
    <x v="0"/>
    <x v="11"/>
    <n v="24"/>
    <x v="1"/>
  </r>
  <r>
    <d v="2024-05-24T00:00:00"/>
    <x v="1"/>
    <x v="0"/>
    <x v="0"/>
    <n v="45024046.200000003"/>
    <x v="1"/>
    <x v="0"/>
    <x v="0"/>
    <x v="7"/>
    <x v="1"/>
    <x v="0"/>
    <x v="1"/>
    <x v="0"/>
    <x v="11"/>
    <n v="24"/>
    <x v="0"/>
  </r>
  <r>
    <d v="2024-05-24T00:00:00"/>
    <x v="2"/>
    <x v="1"/>
    <x v="1"/>
    <n v="234234951.38999999"/>
    <x v="2"/>
    <x v="1"/>
    <x v="1"/>
    <x v="8"/>
    <x v="1"/>
    <x v="0"/>
    <x v="1"/>
    <x v="0"/>
    <x v="11"/>
    <n v="24"/>
    <x v="0"/>
  </r>
  <r>
    <d v="2024-05-24T00:00:00"/>
    <x v="3"/>
    <x v="2"/>
    <x v="2"/>
    <n v="727771"/>
    <x v="3"/>
    <x v="2"/>
    <x v="2"/>
    <x v="4"/>
    <x v="1"/>
    <x v="0"/>
    <x v="1"/>
    <x v="0"/>
    <x v="11"/>
    <n v="24"/>
    <x v="0"/>
  </r>
  <r>
    <d v="2024-05-24T00:00:00"/>
    <x v="1"/>
    <x v="0"/>
    <x v="1"/>
    <n v="146467016.80000001"/>
    <x v="1"/>
    <x v="0"/>
    <x v="1"/>
    <x v="9"/>
    <x v="1"/>
    <x v="0"/>
    <x v="1"/>
    <x v="0"/>
    <x v="11"/>
    <n v="24"/>
    <x v="0"/>
  </r>
  <r>
    <d v="2024-05-24T00:00:00"/>
    <x v="3"/>
    <x v="2"/>
    <x v="1"/>
    <n v="10600456049.9"/>
    <x v="3"/>
    <x v="2"/>
    <x v="1"/>
    <x v="10"/>
    <x v="1"/>
    <x v="0"/>
    <x v="1"/>
    <x v="0"/>
    <x v="11"/>
    <n v="24"/>
    <x v="0"/>
  </r>
  <r>
    <d v="2024-05-24T00:00:00"/>
    <x v="3"/>
    <x v="2"/>
    <x v="0"/>
    <n v="465056820.99000001"/>
    <x v="3"/>
    <x v="2"/>
    <x v="0"/>
    <x v="11"/>
    <x v="1"/>
    <x v="0"/>
    <x v="1"/>
    <x v="0"/>
    <x v="11"/>
    <n v="24"/>
    <x v="0"/>
  </r>
  <r>
    <d v="2024-05-24T00:00:00"/>
    <x v="3"/>
    <x v="1"/>
    <x v="0"/>
    <n v="16180019.6"/>
    <x v="3"/>
    <x v="1"/>
    <x v="0"/>
    <x v="12"/>
    <x v="1"/>
    <x v="0"/>
    <x v="1"/>
    <x v="0"/>
    <x v="11"/>
    <n v="24"/>
    <x v="0"/>
  </r>
  <r>
    <d v="2024-05-23T00:00:00"/>
    <x v="0"/>
    <x v="0"/>
    <x v="0"/>
    <n v="1062.05"/>
    <x v="0"/>
    <x v="0"/>
    <x v="0"/>
    <x v="0"/>
    <x v="1"/>
    <x v="0"/>
    <x v="1"/>
    <x v="0"/>
    <x v="11"/>
    <n v="23"/>
    <x v="0"/>
  </r>
  <r>
    <d v="2024-05-23T00:00:00"/>
    <x v="0"/>
    <x v="1"/>
    <x v="0"/>
    <n v="15057262.52"/>
    <x v="0"/>
    <x v="1"/>
    <x v="0"/>
    <x v="1"/>
    <x v="1"/>
    <x v="0"/>
    <x v="1"/>
    <x v="0"/>
    <x v="11"/>
    <n v="23"/>
    <x v="0"/>
  </r>
  <r>
    <d v="2024-05-23T00:00:00"/>
    <x v="3"/>
    <x v="2"/>
    <x v="2"/>
    <n v="604971.55000000005"/>
    <x v="3"/>
    <x v="2"/>
    <x v="2"/>
    <x v="6"/>
    <x v="1"/>
    <x v="0"/>
    <x v="1"/>
    <x v="0"/>
    <x v="11"/>
    <n v="23"/>
    <x v="0"/>
  </r>
  <r>
    <d v="2024-05-23T00:00:00"/>
    <x v="2"/>
    <x v="1"/>
    <x v="2"/>
    <n v="5419"/>
    <x v="2"/>
    <x v="1"/>
    <x v="2"/>
    <x v="2"/>
    <x v="1"/>
    <x v="0"/>
    <x v="1"/>
    <x v="0"/>
    <x v="11"/>
    <n v="23"/>
    <x v="0"/>
  </r>
  <r>
    <d v="2024-05-23T00:00:00"/>
    <x v="3"/>
    <x v="3"/>
    <x v="1"/>
    <n v="41213.699999999997"/>
    <x v="3"/>
    <x v="3"/>
    <x v="1"/>
    <x v="3"/>
    <x v="1"/>
    <x v="0"/>
    <x v="1"/>
    <x v="0"/>
    <x v="11"/>
    <n v="23"/>
    <x v="0"/>
  </r>
  <r>
    <d v="2024-05-23T00:00:00"/>
    <x v="0"/>
    <x v="1"/>
    <x v="1"/>
    <n v="28623940.149999999"/>
    <x v="0"/>
    <x v="1"/>
    <x v="1"/>
    <x v="4"/>
    <x v="1"/>
    <x v="0"/>
    <x v="1"/>
    <x v="0"/>
    <x v="11"/>
    <n v="23"/>
    <x v="0"/>
  </r>
  <r>
    <d v="2024-05-23T00:00:00"/>
    <x v="1"/>
    <x v="1"/>
    <x v="0"/>
    <n v="159419.41"/>
    <x v="1"/>
    <x v="1"/>
    <x v="0"/>
    <x v="5"/>
    <x v="1"/>
    <x v="0"/>
    <x v="1"/>
    <x v="0"/>
    <x v="11"/>
    <n v="23"/>
    <x v="0"/>
  </r>
  <r>
    <d v="2024-05-23T00:00:00"/>
    <x v="2"/>
    <x v="1"/>
    <x v="0"/>
    <n v="71158279.540000007"/>
    <x v="2"/>
    <x v="1"/>
    <x v="0"/>
    <x v="7"/>
    <x v="1"/>
    <x v="0"/>
    <x v="1"/>
    <x v="0"/>
    <x v="11"/>
    <n v="23"/>
    <x v="0"/>
  </r>
  <r>
    <d v="2024-05-23T00:00:00"/>
    <x v="3"/>
    <x v="3"/>
    <x v="0"/>
    <n v="1925934131.0799999"/>
    <x v="3"/>
    <x v="3"/>
    <x v="0"/>
    <x v="8"/>
    <x v="1"/>
    <x v="0"/>
    <x v="1"/>
    <x v="0"/>
    <x v="11"/>
    <n v="23"/>
    <x v="0"/>
  </r>
  <r>
    <d v="2024-05-23T00:00:00"/>
    <x v="1"/>
    <x v="0"/>
    <x v="1"/>
    <n v="224818671.18000001"/>
    <x v="1"/>
    <x v="0"/>
    <x v="1"/>
    <x v="10"/>
    <x v="1"/>
    <x v="0"/>
    <x v="1"/>
    <x v="0"/>
    <x v="11"/>
    <n v="23"/>
    <x v="0"/>
  </r>
  <r>
    <d v="2024-05-23T00:00:00"/>
    <x v="2"/>
    <x v="1"/>
    <x v="1"/>
    <n v="305919786.25999999"/>
    <x v="2"/>
    <x v="1"/>
    <x v="1"/>
    <x v="11"/>
    <x v="1"/>
    <x v="0"/>
    <x v="1"/>
    <x v="0"/>
    <x v="11"/>
    <n v="23"/>
    <x v="0"/>
  </r>
  <r>
    <d v="2024-05-23T00:00:00"/>
    <x v="1"/>
    <x v="0"/>
    <x v="0"/>
    <n v="56107336.619999997"/>
    <x v="1"/>
    <x v="0"/>
    <x v="0"/>
    <x v="9"/>
    <x v="1"/>
    <x v="0"/>
    <x v="1"/>
    <x v="0"/>
    <x v="11"/>
    <n v="23"/>
    <x v="0"/>
  </r>
  <r>
    <d v="2024-05-23T00:00:00"/>
    <x v="3"/>
    <x v="2"/>
    <x v="1"/>
    <n v="5856053118.9099998"/>
    <x v="3"/>
    <x v="2"/>
    <x v="1"/>
    <x v="12"/>
    <x v="1"/>
    <x v="0"/>
    <x v="1"/>
    <x v="0"/>
    <x v="11"/>
    <n v="23"/>
    <x v="0"/>
  </r>
  <r>
    <d v="2024-05-23T00:00:00"/>
    <x v="3"/>
    <x v="2"/>
    <x v="0"/>
    <n v="474477888.32999998"/>
    <x v="3"/>
    <x v="2"/>
    <x v="0"/>
    <x v="13"/>
    <x v="1"/>
    <x v="0"/>
    <x v="1"/>
    <x v="0"/>
    <x v="11"/>
    <n v="23"/>
    <x v="0"/>
  </r>
  <r>
    <d v="2024-05-23T00:00:00"/>
    <x v="3"/>
    <x v="1"/>
    <x v="0"/>
    <n v="14850479.48"/>
    <x v="3"/>
    <x v="1"/>
    <x v="0"/>
    <x v="14"/>
    <x v="1"/>
    <x v="0"/>
    <x v="1"/>
    <x v="0"/>
    <x v="11"/>
    <n v="23"/>
    <x v="0"/>
  </r>
  <r>
    <d v="2024-05-22T00:00:00"/>
    <x v="0"/>
    <x v="1"/>
    <x v="1"/>
    <n v="10012775.99"/>
    <x v="0"/>
    <x v="1"/>
    <x v="1"/>
    <x v="2"/>
    <x v="1"/>
    <x v="0"/>
    <x v="1"/>
    <x v="0"/>
    <x v="11"/>
    <n v="22"/>
    <x v="0"/>
  </r>
  <r>
    <d v="2024-05-22T00:00:00"/>
    <x v="0"/>
    <x v="0"/>
    <x v="0"/>
    <n v="355"/>
    <x v="0"/>
    <x v="0"/>
    <x v="0"/>
    <x v="0"/>
    <x v="1"/>
    <x v="0"/>
    <x v="1"/>
    <x v="0"/>
    <x v="11"/>
    <n v="22"/>
    <x v="0"/>
  </r>
  <r>
    <d v="2024-05-22T00:00:00"/>
    <x v="0"/>
    <x v="1"/>
    <x v="0"/>
    <n v="24335480.77"/>
    <x v="0"/>
    <x v="1"/>
    <x v="0"/>
    <x v="1"/>
    <x v="1"/>
    <x v="0"/>
    <x v="1"/>
    <x v="0"/>
    <x v="11"/>
    <n v="22"/>
    <x v="0"/>
  </r>
  <r>
    <d v="2024-05-22T00:00:00"/>
    <x v="3"/>
    <x v="2"/>
    <x v="2"/>
    <n v="304280.77"/>
    <x v="3"/>
    <x v="2"/>
    <x v="2"/>
    <x v="5"/>
    <x v="1"/>
    <x v="0"/>
    <x v="1"/>
    <x v="0"/>
    <x v="11"/>
    <n v="22"/>
    <x v="0"/>
  </r>
  <r>
    <d v="2024-05-22T00:00:00"/>
    <x v="2"/>
    <x v="1"/>
    <x v="0"/>
    <n v="89807146.739999995"/>
    <x v="2"/>
    <x v="1"/>
    <x v="0"/>
    <x v="6"/>
    <x v="1"/>
    <x v="0"/>
    <x v="1"/>
    <x v="0"/>
    <x v="11"/>
    <n v="22"/>
    <x v="0"/>
  </r>
  <r>
    <d v="2024-05-22T00:00:00"/>
    <x v="1"/>
    <x v="1"/>
    <x v="0"/>
    <n v="3220586.7"/>
    <x v="1"/>
    <x v="1"/>
    <x v="0"/>
    <x v="3"/>
    <x v="1"/>
    <x v="0"/>
    <x v="1"/>
    <x v="0"/>
    <x v="11"/>
    <n v="22"/>
    <x v="0"/>
  </r>
  <r>
    <d v="2024-05-22T00:00:00"/>
    <x v="2"/>
    <x v="1"/>
    <x v="2"/>
    <n v="14588.59"/>
    <x v="2"/>
    <x v="1"/>
    <x v="2"/>
    <x v="4"/>
    <x v="1"/>
    <x v="0"/>
    <x v="1"/>
    <x v="0"/>
    <x v="11"/>
    <n v="22"/>
    <x v="0"/>
  </r>
  <r>
    <d v="2024-05-22T00:00:00"/>
    <x v="2"/>
    <x v="1"/>
    <x v="1"/>
    <n v="198365330.83000001"/>
    <x v="2"/>
    <x v="1"/>
    <x v="1"/>
    <x v="8"/>
    <x v="1"/>
    <x v="0"/>
    <x v="1"/>
    <x v="0"/>
    <x v="11"/>
    <n v="22"/>
    <x v="0"/>
  </r>
  <r>
    <d v="2024-05-22T00:00:00"/>
    <x v="3"/>
    <x v="3"/>
    <x v="0"/>
    <n v="1069597794.47"/>
    <x v="3"/>
    <x v="3"/>
    <x v="0"/>
    <x v="7"/>
    <x v="1"/>
    <x v="0"/>
    <x v="1"/>
    <x v="0"/>
    <x v="11"/>
    <n v="22"/>
    <x v="0"/>
  </r>
  <r>
    <d v="2024-05-22T00:00:00"/>
    <x v="1"/>
    <x v="0"/>
    <x v="0"/>
    <n v="96884162.909999996"/>
    <x v="1"/>
    <x v="0"/>
    <x v="0"/>
    <x v="9"/>
    <x v="1"/>
    <x v="0"/>
    <x v="1"/>
    <x v="0"/>
    <x v="11"/>
    <n v="22"/>
    <x v="0"/>
  </r>
  <r>
    <d v="2024-05-22T00:00:00"/>
    <x v="1"/>
    <x v="0"/>
    <x v="1"/>
    <n v="605738893.92999995"/>
    <x v="1"/>
    <x v="0"/>
    <x v="1"/>
    <x v="10"/>
    <x v="1"/>
    <x v="0"/>
    <x v="1"/>
    <x v="0"/>
    <x v="11"/>
    <n v="22"/>
    <x v="0"/>
  </r>
  <r>
    <d v="2024-05-22T00:00:00"/>
    <x v="3"/>
    <x v="1"/>
    <x v="0"/>
    <n v="15115735.890000001"/>
    <x v="3"/>
    <x v="1"/>
    <x v="0"/>
    <x v="11"/>
    <x v="1"/>
    <x v="0"/>
    <x v="1"/>
    <x v="0"/>
    <x v="11"/>
    <n v="22"/>
    <x v="0"/>
  </r>
  <r>
    <d v="2024-05-22T00:00:00"/>
    <x v="3"/>
    <x v="2"/>
    <x v="1"/>
    <n v="13043366532.67"/>
    <x v="3"/>
    <x v="2"/>
    <x v="1"/>
    <x v="12"/>
    <x v="1"/>
    <x v="0"/>
    <x v="1"/>
    <x v="0"/>
    <x v="11"/>
    <n v="22"/>
    <x v="0"/>
  </r>
  <r>
    <d v="2024-05-22T00:00:00"/>
    <x v="3"/>
    <x v="2"/>
    <x v="0"/>
    <n v="5420673840.5100002"/>
    <x v="3"/>
    <x v="2"/>
    <x v="0"/>
    <x v="13"/>
    <x v="1"/>
    <x v="0"/>
    <x v="1"/>
    <x v="0"/>
    <x v="11"/>
    <n v="22"/>
    <x v="0"/>
  </r>
  <r>
    <d v="2024-05-21T00:00:00"/>
    <x v="0"/>
    <x v="0"/>
    <x v="0"/>
    <n v="2190"/>
    <x v="0"/>
    <x v="0"/>
    <x v="0"/>
    <x v="0"/>
    <x v="1"/>
    <x v="0"/>
    <x v="1"/>
    <x v="0"/>
    <x v="11"/>
    <n v="21"/>
    <x v="0"/>
  </r>
  <r>
    <d v="2024-05-21T00:00:00"/>
    <x v="0"/>
    <x v="1"/>
    <x v="0"/>
    <n v="12401230.949999999"/>
    <x v="0"/>
    <x v="1"/>
    <x v="0"/>
    <x v="1"/>
    <x v="1"/>
    <x v="0"/>
    <x v="1"/>
    <x v="0"/>
    <x v="11"/>
    <n v="21"/>
    <x v="0"/>
  </r>
  <r>
    <d v="2024-05-21T00:00:00"/>
    <x v="3"/>
    <x v="2"/>
    <x v="2"/>
    <n v="595299.49"/>
    <x v="3"/>
    <x v="2"/>
    <x v="2"/>
    <x v="7"/>
    <x v="1"/>
    <x v="0"/>
    <x v="1"/>
    <x v="0"/>
    <x v="11"/>
    <n v="21"/>
    <x v="0"/>
  </r>
  <r>
    <d v="2024-05-21T00:00:00"/>
    <x v="3"/>
    <x v="3"/>
    <x v="2"/>
    <n v="133"/>
    <x v="3"/>
    <x v="3"/>
    <x v="2"/>
    <x v="2"/>
    <x v="1"/>
    <x v="0"/>
    <x v="1"/>
    <x v="0"/>
    <x v="11"/>
    <n v="21"/>
    <x v="0"/>
  </r>
  <r>
    <d v="2024-05-21T00:00:00"/>
    <x v="2"/>
    <x v="1"/>
    <x v="2"/>
    <n v="13942.4"/>
    <x v="2"/>
    <x v="1"/>
    <x v="2"/>
    <x v="3"/>
    <x v="1"/>
    <x v="0"/>
    <x v="1"/>
    <x v="0"/>
    <x v="11"/>
    <n v="21"/>
    <x v="0"/>
  </r>
  <r>
    <d v="2024-05-21T00:00:00"/>
    <x v="2"/>
    <x v="1"/>
    <x v="0"/>
    <n v="80403080.579999998"/>
    <x v="2"/>
    <x v="1"/>
    <x v="0"/>
    <x v="8"/>
    <x v="1"/>
    <x v="0"/>
    <x v="1"/>
    <x v="0"/>
    <x v="11"/>
    <n v="21"/>
    <x v="0"/>
  </r>
  <r>
    <d v="2024-05-21T00:00:00"/>
    <x v="3"/>
    <x v="3"/>
    <x v="1"/>
    <n v="59876.87"/>
    <x v="3"/>
    <x v="3"/>
    <x v="1"/>
    <x v="4"/>
    <x v="1"/>
    <x v="0"/>
    <x v="1"/>
    <x v="0"/>
    <x v="11"/>
    <n v="21"/>
    <x v="0"/>
  </r>
  <r>
    <d v="2024-05-21T00:00:00"/>
    <x v="0"/>
    <x v="1"/>
    <x v="1"/>
    <n v="9690620.2300000004"/>
    <x v="0"/>
    <x v="1"/>
    <x v="1"/>
    <x v="5"/>
    <x v="1"/>
    <x v="0"/>
    <x v="1"/>
    <x v="0"/>
    <x v="11"/>
    <n v="21"/>
    <x v="0"/>
  </r>
  <r>
    <d v="2024-05-21T00:00:00"/>
    <x v="1"/>
    <x v="1"/>
    <x v="0"/>
    <n v="40839.769999999997"/>
    <x v="1"/>
    <x v="1"/>
    <x v="0"/>
    <x v="6"/>
    <x v="1"/>
    <x v="0"/>
    <x v="1"/>
    <x v="0"/>
    <x v="11"/>
    <n v="21"/>
    <x v="0"/>
  </r>
  <r>
    <d v="2024-05-21T00:00:00"/>
    <x v="3"/>
    <x v="3"/>
    <x v="0"/>
    <n v="1740688967.7"/>
    <x v="3"/>
    <x v="3"/>
    <x v="0"/>
    <x v="9"/>
    <x v="1"/>
    <x v="0"/>
    <x v="1"/>
    <x v="0"/>
    <x v="11"/>
    <n v="21"/>
    <x v="0"/>
  </r>
  <r>
    <d v="2024-05-21T00:00:00"/>
    <x v="1"/>
    <x v="0"/>
    <x v="1"/>
    <n v="358156019.23000002"/>
    <x v="1"/>
    <x v="0"/>
    <x v="1"/>
    <x v="10"/>
    <x v="1"/>
    <x v="0"/>
    <x v="1"/>
    <x v="0"/>
    <x v="11"/>
    <n v="21"/>
    <x v="0"/>
  </r>
  <r>
    <d v="2024-05-21T00:00:00"/>
    <x v="1"/>
    <x v="0"/>
    <x v="0"/>
    <n v="95070111.689999998"/>
    <x v="1"/>
    <x v="0"/>
    <x v="0"/>
    <x v="11"/>
    <x v="1"/>
    <x v="0"/>
    <x v="1"/>
    <x v="0"/>
    <x v="11"/>
    <n v="21"/>
    <x v="0"/>
  </r>
  <r>
    <d v="2024-05-21T00:00:00"/>
    <x v="2"/>
    <x v="1"/>
    <x v="1"/>
    <n v="488332547.49000001"/>
    <x v="2"/>
    <x v="1"/>
    <x v="1"/>
    <x v="12"/>
    <x v="1"/>
    <x v="0"/>
    <x v="1"/>
    <x v="0"/>
    <x v="11"/>
    <n v="21"/>
    <x v="0"/>
  </r>
  <r>
    <d v="2024-05-21T00:00:00"/>
    <x v="3"/>
    <x v="1"/>
    <x v="0"/>
    <n v="13673656.529999999"/>
    <x v="3"/>
    <x v="1"/>
    <x v="0"/>
    <x v="13"/>
    <x v="1"/>
    <x v="0"/>
    <x v="1"/>
    <x v="0"/>
    <x v="11"/>
    <n v="21"/>
    <x v="0"/>
  </r>
  <r>
    <d v="2024-05-21T00:00:00"/>
    <x v="3"/>
    <x v="2"/>
    <x v="1"/>
    <n v="4233038905.5100002"/>
    <x v="3"/>
    <x v="2"/>
    <x v="1"/>
    <x v="14"/>
    <x v="1"/>
    <x v="0"/>
    <x v="1"/>
    <x v="0"/>
    <x v="11"/>
    <n v="21"/>
    <x v="0"/>
  </r>
  <r>
    <d v="2024-05-21T00:00:00"/>
    <x v="3"/>
    <x v="2"/>
    <x v="0"/>
    <n v="763067612.79999995"/>
    <x v="3"/>
    <x v="2"/>
    <x v="0"/>
    <x v="15"/>
    <x v="1"/>
    <x v="0"/>
    <x v="1"/>
    <x v="0"/>
    <x v="11"/>
    <n v="21"/>
    <x v="0"/>
  </r>
  <r>
    <d v="2024-05-20T00:00:00"/>
    <x v="0"/>
    <x v="0"/>
    <x v="0"/>
    <n v="1500"/>
    <x v="0"/>
    <x v="0"/>
    <x v="0"/>
    <x v="0"/>
    <x v="1"/>
    <x v="0"/>
    <x v="1"/>
    <x v="0"/>
    <x v="11"/>
    <n v="20"/>
    <x v="0"/>
  </r>
  <r>
    <d v="2024-05-20T00:00:00"/>
    <x v="1"/>
    <x v="1"/>
    <x v="0"/>
    <n v="84392.49"/>
    <x v="1"/>
    <x v="1"/>
    <x v="0"/>
    <x v="1"/>
    <x v="1"/>
    <x v="0"/>
    <x v="1"/>
    <x v="0"/>
    <x v="11"/>
    <n v="20"/>
    <x v="0"/>
  </r>
  <r>
    <d v="2024-05-20T00:00:00"/>
    <x v="0"/>
    <x v="1"/>
    <x v="0"/>
    <n v="28054236.710000001"/>
    <x v="0"/>
    <x v="1"/>
    <x v="0"/>
    <x v="2"/>
    <x v="1"/>
    <x v="0"/>
    <x v="1"/>
    <x v="0"/>
    <x v="11"/>
    <n v="20"/>
    <x v="0"/>
  </r>
  <r>
    <d v="2024-05-20T00:00:00"/>
    <x v="3"/>
    <x v="2"/>
    <x v="2"/>
    <n v="190514.44"/>
    <x v="3"/>
    <x v="2"/>
    <x v="2"/>
    <x v="6"/>
    <x v="1"/>
    <x v="0"/>
    <x v="1"/>
    <x v="0"/>
    <x v="11"/>
    <n v="20"/>
    <x v="0"/>
  </r>
  <r>
    <d v="2024-05-20T00:00:00"/>
    <x v="2"/>
    <x v="1"/>
    <x v="2"/>
    <n v="9958.3799999999992"/>
    <x v="2"/>
    <x v="1"/>
    <x v="2"/>
    <x v="3"/>
    <x v="1"/>
    <x v="0"/>
    <x v="1"/>
    <x v="0"/>
    <x v="11"/>
    <n v="20"/>
    <x v="0"/>
  </r>
  <r>
    <d v="2024-05-20T00:00:00"/>
    <x v="3"/>
    <x v="3"/>
    <x v="1"/>
    <n v="382467.16"/>
    <x v="3"/>
    <x v="3"/>
    <x v="1"/>
    <x v="4"/>
    <x v="1"/>
    <x v="0"/>
    <x v="1"/>
    <x v="0"/>
    <x v="11"/>
    <n v="20"/>
    <x v="0"/>
  </r>
  <r>
    <d v="2024-05-20T00:00:00"/>
    <x v="0"/>
    <x v="1"/>
    <x v="1"/>
    <n v="25335665.84"/>
    <x v="0"/>
    <x v="1"/>
    <x v="1"/>
    <x v="5"/>
    <x v="1"/>
    <x v="0"/>
    <x v="1"/>
    <x v="0"/>
    <x v="11"/>
    <n v="20"/>
    <x v="0"/>
  </r>
  <r>
    <d v="2024-05-20T00:00:00"/>
    <x v="3"/>
    <x v="3"/>
    <x v="0"/>
    <n v="1299126782.8699999"/>
    <x v="3"/>
    <x v="3"/>
    <x v="0"/>
    <x v="7"/>
    <x v="1"/>
    <x v="0"/>
    <x v="1"/>
    <x v="0"/>
    <x v="11"/>
    <n v="20"/>
    <x v="0"/>
  </r>
  <r>
    <d v="2024-05-20T00:00:00"/>
    <x v="2"/>
    <x v="1"/>
    <x v="0"/>
    <n v="97878751.480000004"/>
    <x v="2"/>
    <x v="1"/>
    <x v="0"/>
    <x v="8"/>
    <x v="1"/>
    <x v="0"/>
    <x v="1"/>
    <x v="0"/>
    <x v="11"/>
    <n v="20"/>
    <x v="0"/>
  </r>
  <r>
    <d v="2024-05-20T00:00:00"/>
    <x v="1"/>
    <x v="0"/>
    <x v="0"/>
    <n v="64631213.549999997"/>
    <x v="1"/>
    <x v="0"/>
    <x v="0"/>
    <x v="9"/>
    <x v="1"/>
    <x v="0"/>
    <x v="1"/>
    <x v="0"/>
    <x v="11"/>
    <n v="20"/>
    <x v="0"/>
  </r>
  <r>
    <d v="2024-05-20T00:00:00"/>
    <x v="1"/>
    <x v="0"/>
    <x v="1"/>
    <n v="205487434.59"/>
    <x v="1"/>
    <x v="0"/>
    <x v="1"/>
    <x v="10"/>
    <x v="1"/>
    <x v="0"/>
    <x v="1"/>
    <x v="0"/>
    <x v="11"/>
    <n v="20"/>
    <x v="0"/>
  </r>
  <r>
    <d v="2024-05-20T00:00:00"/>
    <x v="2"/>
    <x v="1"/>
    <x v="1"/>
    <n v="563860036.72000003"/>
    <x v="2"/>
    <x v="1"/>
    <x v="1"/>
    <x v="11"/>
    <x v="1"/>
    <x v="0"/>
    <x v="1"/>
    <x v="0"/>
    <x v="11"/>
    <n v="20"/>
    <x v="0"/>
  </r>
  <r>
    <d v="2024-05-20T00:00:00"/>
    <x v="3"/>
    <x v="2"/>
    <x v="1"/>
    <n v="21224986739.830002"/>
    <x v="3"/>
    <x v="2"/>
    <x v="1"/>
    <x v="12"/>
    <x v="1"/>
    <x v="0"/>
    <x v="1"/>
    <x v="0"/>
    <x v="11"/>
    <n v="20"/>
    <x v="0"/>
  </r>
  <r>
    <d v="2024-05-20T00:00:00"/>
    <x v="3"/>
    <x v="2"/>
    <x v="0"/>
    <n v="820227124.24000001"/>
    <x v="3"/>
    <x v="2"/>
    <x v="0"/>
    <x v="13"/>
    <x v="1"/>
    <x v="0"/>
    <x v="1"/>
    <x v="0"/>
    <x v="11"/>
    <n v="20"/>
    <x v="0"/>
  </r>
  <r>
    <d v="2024-05-20T00:00:00"/>
    <x v="3"/>
    <x v="1"/>
    <x v="0"/>
    <n v="48881582.670000002"/>
    <x v="3"/>
    <x v="1"/>
    <x v="0"/>
    <x v="14"/>
    <x v="1"/>
    <x v="0"/>
    <x v="1"/>
    <x v="0"/>
    <x v="11"/>
    <n v="20"/>
    <x v="0"/>
  </r>
  <r>
    <d v="2024-05-17T00:00:00"/>
    <x v="0"/>
    <x v="0"/>
    <x v="0"/>
    <n v="1038.3699999999999"/>
    <x v="0"/>
    <x v="0"/>
    <x v="0"/>
    <x v="0"/>
    <x v="1"/>
    <x v="0"/>
    <x v="1"/>
    <x v="0"/>
    <x v="11"/>
    <n v="17"/>
    <x v="0"/>
  </r>
  <r>
    <d v="2024-05-17T00:00:00"/>
    <x v="1"/>
    <x v="1"/>
    <x v="0"/>
    <n v="73137.67"/>
    <x v="1"/>
    <x v="1"/>
    <x v="0"/>
    <x v="1"/>
    <x v="1"/>
    <x v="0"/>
    <x v="1"/>
    <x v="0"/>
    <x v="11"/>
    <n v="17"/>
    <x v="0"/>
  </r>
  <r>
    <d v="2024-05-17T00:00:00"/>
    <x v="0"/>
    <x v="1"/>
    <x v="0"/>
    <n v="12932817.16"/>
    <x v="0"/>
    <x v="1"/>
    <x v="0"/>
    <x v="2"/>
    <x v="1"/>
    <x v="0"/>
    <x v="1"/>
    <x v="0"/>
    <x v="11"/>
    <n v="17"/>
    <x v="0"/>
  </r>
  <r>
    <d v="2024-05-17T00:00:00"/>
    <x v="3"/>
    <x v="3"/>
    <x v="1"/>
    <n v="2895421.42"/>
    <x v="3"/>
    <x v="3"/>
    <x v="1"/>
    <x v="3"/>
    <x v="1"/>
    <x v="0"/>
    <x v="1"/>
    <x v="0"/>
    <x v="11"/>
    <n v="17"/>
    <x v="0"/>
  </r>
  <r>
    <d v="2024-05-17T00:00:00"/>
    <x v="0"/>
    <x v="1"/>
    <x v="1"/>
    <n v="17670119.219999999"/>
    <x v="0"/>
    <x v="1"/>
    <x v="1"/>
    <x v="4"/>
    <x v="1"/>
    <x v="0"/>
    <x v="1"/>
    <x v="0"/>
    <x v="11"/>
    <n v="17"/>
    <x v="0"/>
  </r>
  <r>
    <d v="2024-05-17T00:00:00"/>
    <x v="2"/>
    <x v="1"/>
    <x v="0"/>
    <n v="76375222.640000001"/>
    <x v="2"/>
    <x v="1"/>
    <x v="0"/>
    <x v="7"/>
    <x v="1"/>
    <x v="0"/>
    <x v="1"/>
    <x v="0"/>
    <x v="11"/>
    <n v="17"/>
    <x v="0"/>
  </r>
  <r>
    <d v="2024-05-17T00:00:00"/>
    <x v="3"/>
    <x v="2"/>
    <x v="2"/>
    <n v="401104.54"/>
    <x v="3"/>
    <x v="2"/>
    <x v="2"/>
    <x v="6"/>
    <x v="1"/>
    <x v="0"/>
    <x v="1"/>
    <x v="0"/>
    <x v="11"/>
    <n v="17"/>
    <x v="0"/>
  </r>
  <r>
    <d v="2024-05-17T00:00:00"/>
    <x v="3"/>
    <x v="3"/>
    <x v="0"/>
    <n v="1772697484.8299999"/>
    <x v="3"/>
    <x v="3"/>
    <x v="0"/>
    <x v="8"/>
    <x v="1"/>
    <x v="0"/>
    <x v="1"/>
    <x v="0"/>
    <x v="11"/>
    <n v="17"/>
    <x v="0"/>
  </r>
  <r>
    <d v="2024-05-17T00:00:00"/>
    <x v="1"/>
    <x v="0"/>
    <x v="0"/>
    <n v="61327804.219999999"/>
    <x v="1"/>
    <x v="0"/>
    <x v="0"/>
    <x v="10"/>
    <x v="1"/>
    <x v="0"/>
    <x v="1"/>
    <x v="0"/>
    <x v="11"/>
    <n v="17"/>
    <x v="0"/>
  </r>
  <r>
    <d v="2024-05-17T00:00:00"/>
    <x v="2"/>
    <x v="1"/>
    <x v="2"/>
    <n v="506258.51"/>
    <x v="2"/>
    <x v="1"/>
    <x v="2"/>
    <x v="5"/>
    <x v="1"/>
    <x v="0"/>
    <x v="1"/>
    <x v="0"/>
    <x v="11"/>
    <n v="17"/>
    <x v="0"/>
  </r>
  <r>
    <d v="2024-05-17T00:00:00"/>
    <x v="1"/>
    <x v="0"/>
    <x v="1"/>
    <n v="131263694.42"/>
    <x v="1"/>
    <x v="0"/>
    <x v="1"/>
    <x v="11"/>
    <x v="1"/>
    <x v="0"/>
    <x v="1"/>
    <x v="0"/>
    <x v="11"/>
    <n v="17"/>
    <x v="0"/>
  </r>
  <r>
    <d v="2024-05-17T00:00:00"/>
    <x v="2"/>
    <x v="1"/>
    <x v="1"/>
    <n v="1119946985.49"/>
    <x v="2"/>
    <x v="1"/>
    <x v="1"/>
    <x v="9"/>
    <x v="1"/>
    <x v="0"/>
    <x v="1"/>
    <x v="0"/>
    <x v="11"/>
    <n v="17"/>
    <x v="0"/>
  </r>
  <r>
    <d v="2024-05-17T00:00:00"/>
    <x v="3"/>
    <x v="1"/>
    <x v="0"/>
    <n v="15632311.140000001"/>
    <x v="3"/>
    <x v="1"/>
    <x v="0"/>
    <x v="12"/>
    <x v="1"/>
    <x v="0"/>
    <x v="1"/>
    <x v="0"/>
    <x v="11"/>
    <n v="17"/>
    <x v="0"/>
  </r>
  <r>
    <d v="2024-05-17T00:00:00"/>
    <x v="3"/>
    <x v="2"/>
    <x v="0"/>
    <n v="494154530.88"/>
    <x v="3"/>
    <x v="2"/>
    <x v="0"/>
    <x v="13"/>
    <x v="1"/>
    <x v="0"/>
    <x v="1"/>
    <x v="0"/>
    <x v="11"/>
    <n v="17"/>
    <x v="0"/>
  </r>
  <r>
    <d v="2024-05-17T00:00:00"/>
    <x v="3"/>
    <x v="2"/>
    <x v="1"/>
    <n v="13731746381.559999"/>
    <x v="3"/>
    <x v="2"/>
    <x v="1"/>
    <x v="14"/>
    <x v="1"/>
    <x v="0"/>
    <x v="1"/>
    <x v="0"/>
    <x v="11"/>
    <n v="17"/>
    <x v="0"/>
  </r>
  <r>
    <d v="2024-05-16T00:00:00"/>
    <x v="0"/>
    <x v="1"/>
    <x v="1"/>
    <n v="17067218.780000001"/>
    <x v="0"/>
    <x v="1"/>
    <x v="1"/>
    <x v="5"/>
    <x v="1"/>
    <x v="0"/>
    <x v="1"/>
    <x v="0"/>
    <x v="11"/>
    <n v="16"/>
    <x v="0"/>
  </r>
  <r>
    <d v="2024-05-16T00:00:00"/>
    <x v="0"/>
    <x v="0"/>
    <x v="0"/>
    <n v="213.6"/>
    <x v="0"/>
    <x v="0"/>
    <x v="0"/>
    <x v="0"/>
    <x v="1"/>
    <x v="0"/>
    <x v="1"/>
    <x v="0"/>
    <x v="11"/>
    <n v="16"/>
    <x v="0"/>
  </r>
  <r>
    <d v="2024-05-16T00:00:00"/>
    <x v="1"/>
    <x v="1"/>
    <x v="0"/>
    <n v="349608.07"/>
    <x v="1"/>
    <x v="1"/>
    <x v="0"/>
    <x v="1"/>
    <x v="1"/>
    <x v="0"/>
    <x v="1"/>
    <x v="0"/>
    <x v="11"/>
    <n v="16"/>
    <x v="0"/>
  </r>
  <r>
    <d v="2024-05-16T00:00:00"/>
    <x v="0"/>
    <x v="1"/>
    <x v="0"/>
    <n v="13042901.09"/>
    <x v="0"/>
    <x v="1"/>
    <x v="0"/>
    <x v="2"/>
    <x v="1"/>
    <x v="0"/>
    <x v="1"/>
    <x v="0"/>
    <x v="11"/>
    <n v="16"/>
    <x v="0"/>
  </r>
  <r>
    <d v="2024-05-16T00:00:00"/>
    <x v="3"/>
    <x v="2"/>
    <x v="2"/>
    <n v="255534"/>
    <x v="3"/>
    <x v="2"/>
    <x v="2"/>
    <x v="6"/>
    <x v="1"/>
    <x v="0"/>
    <x v="1"/>
    <x v="0"/>
    <x v="11"/>
    <n v="16"/>
    <x v="0"/>
  </r>
  <r>
    <d v="2024-05-16T00:00:00"/>
    <x v="2"/>
    <x v="1"/>
    <x v="2"/>
    <n v="511954.9"/>
    <x v="2"/>
    <x v="1"/>
    <x v="2"/>
    <x v="3"/>
    <x v="1"/>
    <x v="0"/>
    <x v="1"/>
    <x v="0"/>
    <x v="11"/>
    <n v="16"/>
    <x v="0"/>
  </r>
  <r>
    <d v="2024-05-16T00:00:00"/>
    <x v="3"/>
    <x v="3"/>
    <x v="1"/>
    <n v="3202684.67"/>
    <x v="3"/>
    <x v="3"/>
    <x v="1"/>
    <x v="4"/>
    <x v="1"/>
    <x v="0"/>
    <x v="1"/>
    <x v="0"/>
    <x v="11"/>
    <n v="16"/>
    <x v="0"/>
  </r>
  <r>
    <d v="2024-05-16T00:00:00"/>
    <x v="2"/>
    <x v="1"/>
    <x v="0"/>
    <n v="90608611.530000001"/>
    <x v="2"/>
    <x v="1"/>
    <x v="0"/>
    <x v="7"/>
    <x v="1"/>
    <x v="0"/>
    <x v="1"/>
    <x v="0"/>
    <x v="11"/>
    <n v="16"/>
    <x v="0"/>
  </r>
  <r>
    <d v="2024-05-16T00:00:00"/>
    <x v="3"/>
    <x v="3"/>
    <x v="0"/>
    <n v="1196461787.03"/>
    <x v="3"/>
    <x v="3"/>
    <x v="0"/>
    <x v="8"/>
    <x v="1"/>
    <x v="0"/>
    <x v="1"/>
    <x v="0"/>
    <x v="11"/>
    <n v="16"/>
    <x v="0"/>
  </r>
  <r>
    <d v="2024-05-16T00:00:00"/>
    <x v="1"/>
    <x v="0"/>
    <x v="0"/>
    <n v="61171446.289999999"/>
    <x v="1"/>
    <x v="0"/>
    <x v="0"/>
    <x v="10"/>
    <x v="1"/>
    <x v="0"/>
    <x v="1"/>
    <x v="0"/>
    <x v="11"/>
    <n v="16"/>
    <x v="0"/>
  </r>
  <r>
    <d v="2024-05-16T00:00:00"/>
    <x v="2"/>
    <x v="1"/>
    <x v="1"/>
    <n v="374877410.31"/>
    <x v="2"/>
    <x v="1"/>
    <x v="1"/>
    <x v="9"/>
    <x v="1"/>
    <x v="0"/>
    <x v="1"/>
    <x v="0"/>
    <x v="11"/>
    <n v="16"/>
    <x v="0"/>
  </r>
  <r>
    <d v="2024-05-16T00:00:00"/>
    <x v="1"/>
    <x v="0"/>
    <x v="1"/>
    <n v="217293070.90000001"/>
    <x v="1"/>
    <x v="0"/>
    <x v="1"/>
    <x v="11"/>
    <x v="1"/>
    <x v="0"/>
    <x v="1"/>
    <x v="0"/>
    <x v="11"/>
    <n v="16"/>
    <x v="0"/>
  </r>
  <r>
    <d v="2024-05-16T00:00:00"/>
    <x v="3"/>
    <x v="1"/>
    <x v="0"/>
    <n v="16081170.16"/>
    <x v="3"/>
    <x v="1"/>
    <x v="0"/>
    <x v="12"/>
    <x v="1"/>
    <x v="0"/>
    <x v="1"/>
    <x v="0"/>
    <x v="11"/>
    <n v="16"/>
    <x v="0"/>
  </r>
  <r>
    <d v="2024-05-16T00:00:00"/>
    <x v="3"/>
    <x v="2"/>
    <x v="0"/>
    <n v="463409549.92000002"/>
    <x v="3"/>
    <x v="2"/>
    <x v="0"/>
    <x v="13"/>
    <x v="1"/>
    <x v="0"/>
    <x v="1"/>
    <x v="0"/>
    <x v="11"/>
    <n v="16"/>
    <x v="0"/>
  </r>
  <r>
    <d v="2024-05-16T00:00:00"/>
    <x v="3"/>
    <x v="2"/>
    <x v="1"/>
    <n v="18329387949.110001"/>
    <x v="3"/>
    <x v="2"/>
    <x v="1"/>
    <x v="14"/>
    <x v="1"/>
    <x v="0"/>
    <x v="1"/>
    <x v="0"/>
    <x v="11"/>
    <n v="16"/>
    <x v="0"/>
  </r>
  <r>
    <d v="2024-05-15T00:00:00"/>
    <x v="0"/>
    <x v="0"/>
    <x v="0"/>
    <n v="-169.99"/>
    <x v="0"/>
    <x v="0"/>
    <x v="0"/>
    <x v="0"/>
    <x v="1"/>
    <x v="0"/>
    <x v="1"/>
    <x v="0"/>
    <x v="11"/>
    <n v="15"/>
    <x v="1"/>
  </r>
  <r>
    <d v="2024-05-15T00:00:00"/>
    <x v="0"/>
    <x v="1"/>
    <x v="0"/>
    <n v="6006013.5099999998"/>
    <x v="0"/>
    <x v="1"/>
    <x v="0"/>
    <x v="1"/>
    <x v="1"/>
    <x v="0"/>
    <x v="1"/>
    <x v="0"/>
    <x v="11"/>
    <n v="15"/>
    <x v="0"/>
  </r>
  <r>
    <d v="2024-05-15T00:00:00"/>
    <x v="2"/>
    <x v="1"/>
    <x v="2"/>
    <n v="19948.25"/>
    <x v="2"/>
    <x v="1"/>
    <x v="2"/>
    <x v="2"/>
    <x v="1"/>
    <x v="0"/>
    <x v="1"/>
    <x v="0"/>
    <x v="11"/>
    <n v="15"/>
    <x v="0"/>
  </r>
  <r>
    <d v="2024-05-15T00:00:00"/>
    <x v="2"/>
    <x v="1"/>
    <x v="0"/>
    <n v="95553469.680000007"/>
    <x v="2"/>
    <x v="1"/>
    <x v="0"/>
    <x v="7"/>
    <x v="1"/>
    <x v="0"/>
    <x v="1"/>
    <x v="0"/>
    <x v="11"/>
    <n v="15"/>
    <x v="0"/>
  </r>
  <r>
    <d v="2024-05-15T00:00:00"/>
    <x v="3"/>
    <x v="3"/>
    <x v="1"/>
    <n v="1251794.3600000001"/>
    <x v="3"/>
    <x v="3"/>
    <x v="1"/>
    <x v="3"/>
    <x v="1"/>
    <x v="0"/>
    <x v="1"/>
    <x v="0"/>
    <x v="11"/>
    <n v="15"/>
    <x v="0"/>
  </r>
  <r>
    <d v="2024-05-15T00:00:00"/>
    <x v="0"/>
    <x v="1"/>
    <x v="1"/>
    <n v="2351764.35"/>
    <x v="0"/>
    <x v="1"/>
    <x v="1"/>
    <x v="4"/>
    <x v="1"/>
    <x v="0"/>
    <x v="1"/>
    <x v="0"/>
    <x v="11"/>
    <n v="15"/>
    <x v="0"/>
  </r>
  <r>
    <d v="2024-05-15T00:00:00"/>
    <x v="3"/>
    <x v="3"/>
    <x v="0"/>
    <n v="995141243.46000004"/>
    <x v="3"/>
    <x v="3"/>
    <x v="0"/>
    <x v="8"/>
    <x v="1"/>
    <x v="0"/>
    <x v="1"/>
    <x v="0"/>
    <x v="11"/>
    <n v="15"/>
    <x v="0"/>
  </r>
  <r>
    <d v="2024-05-15T00:00:00"/>
    <x v="1"/>
    <x v="0"/>
    <x v="0"/>
    <n v="117848339.39"/>
    <x v="1"/>
    <x v="0"/>
    <x v="0"/>
    <x v="10"/>
    <x v="1"/>
    <x v="0"/>
    <x v="1"/>
    <x v="0"/>
    <x v="11"/>
    <n v="15"/>
    <x v="0"/>
  </r>
  <r>
    <d v="2024-05-15T00:00:00"/>
    <x v="1"/>
    <x v="1"/>
    <x v="0"/>
    <n v="62887.74"/>
    <x v="1"/>
    <x v="1"/>
    <x v="0"/>
    <x v="5"/>
    <x v="1"/>
    <x v="0"/>
    <x v="1"/>
    <x v="0"/>
    <x v="11"/>
    <n v="15"/>
    <x v="0"/>
  </r>
  <r>
    <d v="2024-05-15T00:00:00"/>
    <x v="3"/>
    <x v="2"/>
    <x v="2"/>
    <n v="421939"/>
    <x v="3"/>
    <x v="2"/>
    <x v="2"/>
    <x v="6"/>
    <x v="1"/>
    <x v="0"/>
    <x v="1"/>
    <x v="0"/>
    <x v="11"/>
    <n v="15"/>
    <x v="0"/>
  </r>
  <r>
    <d v="2024-05-15T00:00:00"/>
    <x v="1"/>
    <x v="0"/>
    <x v="1"/>
    <n v="736283714.24000001"/>
    <x v="1"/>
    <x v="0"/>
    <x v="1"/>
    <x v="11"/>
    <x v="1"/>
    <x v="0"/>
    <x v="1"/>
    <x v="0"/>
    <x v="11"/>
    <n v="15"/>
    <x v="0"/>
  </r>
  <r>
    <d v="2024-05-15T00:00:00"/>
    <x v="2"/>
    <x v="1"/>
    <x v="1"/>
    <n v="519536654.38999999"/>
    <x v="2"/>
    <x v="1"/>
    <x v="1"/>
    <x v="9"/>
    <x v="1"/>
    <x v="0"/>
    <x v="1"/>
    <x v="0"/>
    <x v="11"/>
    <n v="15"/>
    <x v="0"/>
  </r>
  <r>
    <d v="2024-05-15T00:00:00"/>
    <x v="3"/>
    <x v="1"/>
    <x v="0"/>
    <n v="17042825.899999999"/>
    <x v="3"/>
    <x v="1"/>
    <x v="0"/>
    <x v="12"/>
    <x v="1"/>
    <x v="0"/>
    <x v="1"/>
    <x v="0"/>
    <x v="11"/>
    <n v="15"/>
    <x v="0"/>
  </r>
  <r>
    <d v="2024-05-15T00:00:00"/>
    <x v="3"/>
    <x v="2"/>
    <x v="1"/>
    <n v="21539407582.59"/>
    <x v="3"/>
    <x v="2"/>
    <x v="1"/>
    <x v="13"/>
    <x v="1"/>
    <x v="0"/>
    <x v="1"/>
    <x v="0"/>
    <x v="11"/>
    <n v="15"/>
    <x v="0"/>
  </r>
  <r>
    <d v="2024-05-15T00:00:00"/>
    <x v="3"/>
    <x v="2"/>
    <x v="0"/>
    <n v="702046546.27999997"/>
    <x v="3"/>
    <x v="2"/>
    <x v="0"/>
    <x v="14"/>
    <x v="1"/>
    <x v="0"/>
    <x v="1"/>
    <x v="0"/>
    <x v="11"/>
    <n v="15"/>
    <x v="0"/>
  </r>
  <r>
    <d v="2024-05-14T00:00:00"/>
    <x v="0"/>
    <x v="1"/>
    <x v="0"/>
    <n v="13577642.26"/>
    <x v="0"/>
    <x v="1"/>
    <x v="0"/>
    <x v="0"/>
    <x v="1"/>
    <x v="0"/>
    <x v="1"/>
    <x v="0"/>
    <x v="11"/>
    <n v="14"/>
    <x v="0"/>
  </r>
  <r>
    <d v="2024-05-14T00:00:00"/>
    <x v="2"/>
    <x v="1"/>
    <x v="2"/>
    <n v="9575.52"/>
    <x v="2"/>
    <x v="1"/>
    <x v="2"/>
    <x v="1"/>
    <x v="1"/>
    <x v="0"/>
    <x v="1"/>
    <x v="0"/>
    <x v="11"/>
    <n v="14"/>
    <x v="0"/>
  </r>
  <r>
    <d v="2024-05-14T00:00:00"/>
    <x v="3"/>
    <x v="2"/>
    <x v="2"/>
    <n v="302818.52"/>
    <x v="3"/>
    <x v="2"/>
    <x v="2"/>
    <x v="2"/>
    <x v="1"/>
    <x v="0"/>
    <x v="1"/>
    <x v="0"/>
    <x v="11"/>
    <n v="14"/>
    <x v="0"/>
  </r>
  <r>
    <d v="2024-05-14T00:00:00"/>
    <x v="2"/>
    <x v="1"/>
    <x v="0"/>
    <n v="82834599.900000006"/>
    <x v="2"/>
    <x v="1"/>
    <x v="0"/>
    <x v="5"/>
    <x v="1"/>
    <x v="0"/>
    <x v="1"/>
    <x v="0"/>
    <x v="11"/>
    <n v="14"/>
    <x v="0"/>
  </r>
  <r>
    <d v="2024-05-14T00:00:00"/>
    <x v="0"/>
    <x v="1"/>
    <x v="1"/>
    <n v="8264255.6500000004"/>
    <x v="0"/>
    <x v="1"/>
    <x v="1"/>
    <x v="3"/>
    <x v="1"/>
    <x v="0"/>
    <x v="1"/>
    <x v="0"/>
    <x v="11"/>
    <n v="14"/>
    <x v="0"/>
  </r>
  <r>
    <d v="2024-05-14T00:00:00"/>
    <x v="1"/>
    <x v="1"/>
    <x v="0"/>
    <n v="33053"/>
    <x v="1"/>
    <x v="1"/>
    <x v="0"/>
    <x v="4"/>
    <x v="1"/>
    <x v="0"/>
    <x v="1"/>
    <x v="0"/>
    <x v="11"/>
    <n v="14"/>
    <x v="0"/>
  </r>
  <r>
    <d v="2024-05-14T00:00:00"/>
    <x v="3"/>
    <x v="3"/>
    <x v="0"/>
    <n v="1130372384.53"/>
    <x v="3"/>
    <x v="3"/>
    <x v="0"/>
    <x v="6"/>
    <x v="1"/>
    <x v="0"/>
    <x v="1"/>
    <x v="0"/>
    <x v="11"/>
    <n v="14"/>
    <x v="0"/>
  </r>
  <r>
    <d v="2024-05-14T00:00:00"/>
    <x v="2"/>
    <x v="1"/>
    <x v="1"/>
    <n v="816795223.84000003"/>
    <x v="2"/>
    <x v="1"/>
    <x v="1"/>
    <x v="7"/>
    <x v="1"/>
    <x v="0"/>
    <x v="1"/>
    <x v="0"/>
    <x v="11"/>
    <n v="14"/>
    <x v="0"/>
  </r>
  <r>
    <d v="2024-05-14T00:00:00"/>
    <x v="1"/>
    <x v="0"/>
    <x v="0"/>
    <n v="98464957.090000004"/>
    <x v="1"/>
    <x v="0"/>
    <x v="0"/>
    <x v="8"/>
    <x v="1"/>
    <x v="0"/>
    <x v="1"/>
    <x v="0"/>
    <x v="11"/>
    <n v="14"/>
    <x v="0"/>
  </r>
  <r>
    <d v="2024-05-14T00:00:00"/>
    <x v="1"/>
    <x v="0"/>
    <x v="1"/>
    <n v="196082046.65000001"/>
    <x v="1"/>
    <x v="0"/>
    <x v="1"/>
    <x v="9"/>
    <x v="1"/>
    <x v="0"/>
    <x v="1"/>
    <x v="0"/>
    <x v="11"/>
    <n v="14"/>
    <x v="0"/>
  </r>
  <r>
    <d v="2024-05-14T00:00:00"/>
    <x v="3"/>
    <x v="2"/>
    <x v="1"/>
    <n v="6012612911.54"/>
    <x v="3"/>
    <x v="2"/>
    <x v="1"/>
    <x v="10"/>
    <x v="1"/>
    <x v="0"/>
    <x v="1"/>
    <x v="0"/>
    <x v="11"/>
    <n v="14"/>
    <x v="0"/>
  </r>
  <r>
    <d v="2024-05-14T00:00:00"/>
    <x v="3"/>
    <x v="1"/>
    <x v="0"/>
    <n v="12741112.1"/>
    <x v="3"/>
    <x v="1"/>
    <x v="0"/>
    <x v="11"/>
    <x v="1"/>
    <x v="0"/>
    <x v="1"/>
    <x v="0"/>
    <x v="11"/>
    <n v="14"/>
    <x v="0"/>
  </r>
  <r>
    <d v="2024-05-14T00:00:00"/>
    <x v="3"/>
    <x v="2"/>
    <x v="0"/>
    <n v="795558172.63"/>
    <x v="3"/>
    <x v="2"/>
    <x v="0"/>
    <x v="12"/>
    <x v="1"/>
    <x v="0"/>
    <x v="1"/>
    <x v="0"/>
    <x v="11"/>
    <n v="14"/>
    <x v="0"/>
  </r>
  <r>
    <d v="2024-05-13T00:00:00"/>
    <x v="0"/>
    <x v="0"/>
    <x v="0"/>
    <n v="184.92"/>
    <x v="0"/>
    <x v="0"/>
    <x v="0"/>
    <x v="0"/>
    <x v="1"/>
    <x v="0"/>
    <x v="1"/>
    <x v="0"/>
    <x v="11"/>
    <n v="13"/>
    <x v="0"/>
  </r>
  <r>
    <d v="2024-05-13T00:00:00"/>
    <x v="1"/>
    <x v="1"/>
    <x v="0"/>
    <n v="127286.64"/>
    <x v="1"/>
    <x v="1"/>
    <x v="0"/>
    <x v="1"/>
    <x v="1"/>
    <x v="0"/>
    <x v="1"/>
    <x v="0"/>
    <x v="11"/>
    <n v="13"/>
    <x v="0"/>
  </r>
  <r>
    <d v="2024-05-13T00:00:00"/>
    <x v="0"/>
    <x v="1"/>
    <x v="0"/>
    <n v="3498773.36"/>
    <x v="0"/>
    <x v="1"/>
    <x v="0"/>
    <x v="2"/>
    <x v="1"/>
    <x v="0"/>
    <x v="1"/>
    <x v="0"/>
    <x v="11"/>
    <n v="13"/>
    <x v="0"/>
  </r>
  <r>
    <d v="2024-05-13T00:00:00"/>
    <x v="3"/>
    <x v="3"/>
    <x v="2"/>
    <n v="380.08"/>
    <x v="3"/>
    <x v="3"/>
    <x v="2"/>
    <x v="3"/>
    <x v="1"/>
    <x v="0"/>
    <x v="1"/>
    <x v="0"/>
    <x v="11"/>
    <n v="13"/>
    <x v="0"/>
  </r>
  <r>
    <d v="2024-05-13T00:00:00"/>
    <x v="0"/>
    <x v="1"/>
    <x v="1"/>
    <n v="20081365.640000001"/>
    <x v="0"/>
    <x v="1"/>
    <x v="1"/>
    <x v="4"/>
    <x v="1"/>
    <x v="0"/>
    <x v="1"/>
    <x v="0"/>
    <x v="11"/>
    <n v="13"/>
    <x v="0"/>
  </r>
  <r>
    <d v="2024-05-13T00:00:00"/>
    <x v="2"/>
    <x v="1"/>
    <x v="0"/>
    <n v="89745294.709999993"/>
    <x v="2"/>
    <x v="1"/>
    <x v="0"/>
    <x v="8"/>
    <x v="1"/>
    <x v="0"/>
    <x v="1"/>
    <x v="0"/>
    <x v="11"/>
    <n v="13"/>
    <x v="0"/>
  </r>
  <r>
    <d v="2024-05-13T00:00:00"/>
    <x v="3"/>
    <x v="2"/>
    <x v="2"/>
    <n v="228118"/>
    <x v="3"/>
    <x v="2"/>
    <x v="2"/>
    <x v="6"/>
    <x v="1"/>
    <x v="0"/>
    <x v="1"/>
    <x v="0"/>
    <x v="11"/>
    <n v="13"/>
    <x v="0"/>
  </r>
  <r>
    <d v="2024-05-13T00:00:00"/>
    <x v="2"/>
    <x v="1"/>
    <x v="2"/>
    <n v="8005"/>
    <x v="2"/>
    <x v="1"/>
    <x v="2"/>
    <x v="5"/>
    <x v="1"/>
    <x v="0"/>
    <x v="1"/>
    <x v="0"/>
    <x v="11"/>
    <n v="13"/>
    <x v="0"/>
  </r>
  <r>
    <d v="2024-05-13T00:00:00"/>
    <x v="2"/>
    <x v="1"/>
    <x v="1"/>
    <n v="1088897959.4100001"/>
    <x v="2"/>
    <x v="1"/>
    <x v="1"/>
    <x v="9"/>
    <x v="1"/>
    <x v="0"/>
    <x v="1"/>
    <x v="0"/>
    <x v="11"/>
    <n v="13"/>
    <x v="0"/>
  </r>
  <r>
    <d v="2024-05-13T00:00:00"/>
    <x v="1"/>
    <x v="0"/>
    <x v="0"/>
    <n v="56991718.810000002"/>
    <x v="1"/>
    <x v="0"/>
    <x v="0"/>
    <x v="10"/>
    <x v="1"/>
    <x v="0"/>
    <x v="1"/>
    <x v="0"/>
    <x v="11"/>
    <n v="13"/>
    <x v="0"/>
  </r>
  <r>
    <d v="2024-05-13T00:00:00"/>
    <x v="3"/>
    <x v="3"/>
    <x v="0"/>
    <n v="1352970136.6199999"/>
    <x v="3"/>
    <x v="3"/>
    <x v="0"/>
    <x v="7"/>
    <x v="1"/>
    <x v="0"/>
    <x v="1"/>
    <x v="0"/>
    <x v="11"/>
    <n v="13"/>
    <x v="0"/>
  </r>
  <r>
    <d v="2024-05-13T00:00:00"/>
    <x v="1"/>
    <x v="0"/>
    <x v="1"/>
    <n v="190831903.00999999"/>
    <x v="1"/>
    <x v="0"/>
    <x v="1"/>
    <x v="11"/>
    <x v="1"/>
    <x v="0"/>
    <x v="1"/>
    <x v="0"/>
    <x v="11"/>
    <n v="13"/>
    <x v="0"/>
  </r>
  <r>
    <d v="2024-05-13T00:00:00"/>
    <x v="3"/>
    <x v="2"/>
    <x v="1"/>
    <n v="25804593129.59"/>
    <x v="3"/>
    <x v="2"/>
    <x v="1"/>
    <x v="12"/>
    <x v="1"/>
    <x v="0"/>
    <x v="1"/>
    <x v="0"/>
    <x v="11"/>
    <n v="13"/>
    <x v="0"/>
  </r>
  <r>
    <d v="2024-05-13T00:00:00"/>
    <x v="3"/>
    <x v="2"/>
    <x v="0"/>
    <n v="664454558.05999994"/>
    <x v="3"/>
    <x v="2"/>
    <x v="0"/>
    <x v="13"/>
    <x v="1"/>
    <x v="0"/>
    <x v="1"/>
    <x v="0"/>
    <x v="11"/>
    <n v="13"/>
    <x v="0"/>
  </r>
  <r>
    <d v="2024-05-13T00:00:00"/>
    <x v="3"/>
    <x v="1"/>
    <x v="0"/>
    <n v="45742657.630000003"/>
    <x v="3"/>
    <x v="1"/>
    <x v="0"/>
    <x v="14"/>
    <x v="1"/>
    <x v="0"/>
    <x v="1"/>
    <x v="0"/>
    <x v="11"/>
    <n v="13"/>
    <x v="0"/>
  </r>
  <r>
    <d v="2024-05-10T00:00:00"/>
    <x v="0"/>
    <x v="1"/>
    <x v="0"/>
    <n v="43754186.039999999"/>
    <x v="0"/>
    <x v="1"/>
    <x v="0"/>
    <x v="0"/>
    <x v="1"/>
    <x v="0"/>
    <x v="1"/>
    <x v="0"/>
    <x v="11"/>
    <n v="10"/>
    <x v="0"/>
  </r>
  <r>
    <d v="2024-05-10T00:00:00"/>
    <x v="3"/>
    <x v="2"/>
    <x v="2"/>
    <n v="130761.61"/>
    <x v="3"/>
    <x v="2"/>
    <x v="2"/>
    <x v="6"/>
    <x v="1"/>
    <x v="0"/>
    <x v="1"/>
    <x v="0"/>
    <x v="11"/>
    <n v="10"/>
    <x v="0"/>
  </r>
  <r>
    <d v="2024-05-10T00:00:00"/>
    <x v="2"/>
    <x v="1"/>
    <x v="2"/>
    <n v="805756.6"/>
    <x v="2"/>
    <x v="1"/>
    <x v="2"/>
    <x v="2"/>
    <x v="1"/>
    <x v="0"/>
    <x v="1"/>
    <x v="0"/>
    <x v="11"/>
    <n v="10"/>
    <x v="0"/>
  </r>
  <r>
    <d v="2024-05-10T00:00:00"/>
    <x v="3"/>
    <x v="3"/>
    <x v="2"/>
    <n v="6102.9"/>
    <x v="3"/>
    <x v="3"/>
    <x v="2"/>
    <x v="1"/>
    <x v="1"/>
    <x v="0"/>
    <x v="1"/>
    <x v="0"/>
    <x v="11"/>
    <n v="10"/>
    <x v="0"/>
  </r>
  <r>
    <d v="2024-05-10T00:00:00"/>
    <x v="3"/>
    <x v="3"/>
    <x v="1"/>
    <n v="1197566.4099999999"/>
    <x v="3"/>
    <x v="3"/>
    <x v="1"/>
    <x v="3"/>
    <x v="1"/>
    <x v="0"/>
    <x v="1"/>
    <x v="0"/>
    <x v="11"/>
    <n v="10"/>
    <x v="0"/>
  </r>
  <r>
    <d v="2024-05-10T00:00:00"/>
    <x v="0"/>
    <x v="1"/>
    <x v="1"/>
    <n v="48727366.880000003"/>
    <x v="0"/>
    <x v="1"/>
    <x v="1"/>
    <x v="4"/>
    <x v="1"/>
    <x v="0"/>
    <x v="1"/>
    <x v="0"/>
    <x v="11"/>
    <n v="10"/>
    <x v="0"/>
  </r>
  <r>
    <d v="2024-05-10T00:00:00"/>
    <x v="3"/>
    <x v="3"/>
    <x v="0"/>
    <n v="1155679141.8399999"/>
    <x v="3"/>
    <x v="3"/>
    <x v="0"/>
    <x v="7"/>
    <x v="1"/>
    <x v="0"/>
    <x v="1"/>
    <x v="0"/>
    <x v="11"/>
    <n v="10"/>
    <x v="0"/>
  </r>
  <r>
    <d v="2024-05-10T00:00:00"/>
    <x v="1"/>
    <x v="1"/>
    <x v="0"/>
    <n v="70836.81"/>
    <x v="1"/>
    <x v="1"/>
    <x v="0"/>
    <x v="5"/>
    <x v="1"/>
    <x v="0"/>
    <x v="1"/>
    <x v="0"/>
    <x v="11"/>
    <n v="10"/>
    <x v="0"/>
  </r>
  <r>
    <d v="2024-05-10T00:00:00"/>
    <x v="2"/>
    <x v="1"/>
    <x v="0"/>
    <n v="84243892.120000005"/>
    <x v="2"/>
    <x v="1"/>
    <x v="0"/>
    <x v="8"/>
    <x v="1"/>
    <x v="0"/>
    <x v="1"/>
    <x v="0"/>
    <x v="11"/>
    <n v="10"/>
    <x v="0"/>
  </r>
  <r>
    <d v="2024-05-10T00:00:00"/>
    <x v="1"/>
    <x v="0"/>
    <x v="0"/>
    <n v="44311442.960000001"/>
    <x v="1"/>
    <x v="0"/>
    <x v="0"/>
    <x v="9"/>
    <x v="1"/>
    <x v="0"/>
    <x v="1"/>
    <x v="0"/>
    <x v="11"/>
    <n v="10"/>
    <x v="0"/>
  </r>
  <r>
    <d v="2024-05-10T00:00:00"/>
    <x v="2"/>
    <x v="1"/>
    <x v="1"/>
    <n v="528344839.52999997"/>
    <x v="2"/>
    <x v="1"/>
    <x v="1"/>
    <x v="10"/>
    <x v="1"/>
    <x v="0"/>
    <x v="1"/>
    <x v="0"/>
    <x v="11"/>
    <n v="10"/>
    <x v="0"/>
  </r>
  <r>
    <d v="2024-05-10T00:00:00"/>
    <x v="1"/>
    <x v="0"/>
    <x v="1"/>
    <n v="126190891.26000001"/>
    <x v="1"/>
    <x v="0"/>
    <x v="1"/>
    <x v="11"/>
    <x v="1"/>
    <x v="0"/>
    <x v="1"/>
    <x v="0"/>
    <x v="11"/>
    <n v="10"/>
    <x v="0"/>
  </r>
  <r>
    <d v="2024-05-10T00:00:00"/>
    <x v="3"/>
    <x v="2"/>
    <x v="1"/>
    <n v="11578453549.65"/>
    <x v="3"/>
    <x v="2"/>
    <x v="1"/>
    <x v="12"/>
    <x v="1"/>
    <x v="0"/>
    <x v="1"/>
    <x v="0"/>
    <x v="11"/>
    <n v="10"/>
    <x v="0"/>
  </r>
  <r>
    <d v="2024-05-10T00:00:00"/>
    <x v="3"/>
    <x v="1"/>
    <x v="0"/>
    <n v="15289347.369999999"/>
    <x v="3"/>
    <x v="1"/>
    <x v="0"/>
    <x v="13"/>
    <x v="1"/>
    <x v="0"/>
    <x v="1"/>
    <x v="0"/>
    <x v="11"/>
    <n v="10"/>
    <x v="0"/>
  </r>
  <r>
    <d v="2024-05-10T00:00:00"/>
    <x v="3"/>
    <x v="2"/>
    <x v="0"/>
    <n v="524706745.31"/>
    <x v="3"/>
    <x v="2"/>
    <x v="0"/>
    <x v="14"/>
    <x v="1"/>
    <x v="0"/>
    <x v="1"/>
    <x v="0"/>
    <x v="11"/>
    <n v="10"/>
    <x v="0"/>
  </r>
  <r>
    <d v="2024-05-09T00:00:00"/>
    <x v="1"/>
    <x v="1"/>
    <x v="0"/>
    <n v="680301.78"/>
    <x v="1"/>
    <x v="1"/>
    <x v="0"/>
    <x v="0"/>
    <x v="1"/>
    <x v="0"/>
    <x v="1"/>
    <x v="0"/>
    <x v="11"/>
    <n v="9"/>
    <x v="0"/>
  </r>
  <r>
    <d v="2024-05-09T00:00:00"/>
    <x v="0"/>
    <x v="1"/>
    <x v="0"/>
    <n v="7696199.1900000004"/>
    <x v="0"/>
    <x v="1"/>
    <x v="0"/>
    <x v="1"/>
    <x v="1"/>
    <x v="0"/>
    <x v="1"/>
    <x v="0"/>
    <x v="11"/>
    <n v="9"/>
    <x v="0"/>
  </r>
  <r>
    <d v="2024-05-09T00:00:00"/>
    <x v="3"/>
    <x v="2"/>
    <x v="2"/>
    <n v="317960.43"/>
    <x v="3"/>
    <x v="2"/>
    <x v="2"/>
    <x v="5"/>
    <x v="1"/>
    <x v="0"/>
    <x v="1"/>
    <x v="0"/>
    <x v="11"/>
    <n v="9"/>
    <x v="0"/>
  </r>
  <r>
    <d v="2024-05-09T00:00:00"/>
    <x v="3"/>
    <x v="3"/>
    <x v="2"/>
    <n v="153.5"/>
    <x v="3"/>
    <x v="3"/>
    <x v="2"/>
    <x v="2"/>
    <x v="1"/>
    <x v="0"/>
    <x v="1"/>
    <x v="0"/>
    <x v="11"/>
    <n v="9"/>
    <x v="0"/>
  </r>
  <r>
    <d v="2024-05-09T00:00:00"/>
    <x v="0"/>
    <x v="1"/>
    <x v="1"/>
    <n v="3887249.15"/>
    <x v="0"/>
    <x v="1"/>
    <x v="1"/>
    <x v="3"/>
    <x v="1"/>
    <x v="0"/>
    <x v="1"/>
    <x v="0"/>
    <x v="11"/>
    <n v="9"/>
    <x v="0"/>
  </r>
  <r>
    <d v="2024-05-09T00:00:00"/>
    <x v="2"/>
    <x v="1"/>
    <x v="2"/>
    <n v="13920.98"/>
    <x v="2"/>
    <x v="1"/>
    <x v="2"/>
    <x v="4"/>
    <x v="1"/>
    <x v="0"/>
    <x v="1"/>
    <x v="0"/>
    <x v="11"/>
    <n v="9"/>
    <x v="0"/>
  </r>
  <r>
    <d v="2024-05-09T00:00:00"/>
    <x v="2"/>
    <x v="1"/>
    <x v="0"/>
    <n v="87837668.579999998"/>
    <x v="2"/>
    <x v="1"/>
    <x v="0"/>
    <x v="6"/>
    <x v="1"/>
    <x v="0"/>
    <x v="1"/>
    <x v="0"/>
    <x v="11"/>
    <n v="9"/>
    <x v="0"/>
  </r>
  <r>
    <d v="2024-05-09T00:00:00"/>
    <x v="3"/>
    <x v="3"/>
    <x v="0"/>
    <n v="1175140648.3599999"/>
    <x v="3"/>
    <x v="3"/>
    <x v="0"/>
    <x v="7"/>
    <x v="1"/>
    <x v="0"/>
    <x v="1"/>
    <x v="0"/>
    <x v="11"/>
    <n v="9"/>
    <x v="0"/>
  </r>
  <r>
    <d v="2024-05-09T00:00:00"/>
    <x v="2"/>
    <x v="1"/>
    <x v="1"/>
    <n v="757519865.21000004"/>
    <x v="2"/>
    <x v="1"/>
    <x v="1"/>
    <x v="8"/>
    <x v="1"/>
    <x v="0"/>
    <x v="1"/>
    <x v="0"/>
    <x v="11"/>
    <n v="9"/>
    <x v="0"/>
  </r>
  <r>
    <d v="2024-05-09T00:00:00"/>
    <x v="1"/>
    <x v="0"/>
    <x v="0"/>
    <n v="51849978.030000001"/>
    <x v="1"/>
    <x v="0"/>
    <x v="0"/>
    <x v="9"/>
    <x v="1"/>
    <x v="0"/>
    <x v="1"/>
    <x v="0"/>
    <x v="11"/>
    <n v="9"/>
    <x v="0"/>
  </r>
  <r>
    <d v="2024-05-09T00:00:00"/>
    <x v="1"/>
    <x v="0"/>
    <x v="1"/>
    <n v="262811902.74000001"/>
    <x v="1"/>
    <x v="0"/>
    <x v="1"/>
    <x v="10"/>
    <x v="1"/>
    <x v="0"/>
    <x v="1"/>
    <x v="0"/>
    <x v="11"/>
    <n v="9"/>
    <x v="0"/>
  </r>
  <r>
    <d v="2024-05-09T00:00:00"/>
    <x v="3"/>
    <x v="2"/>
    <x v="1"/>
    <n v="3215016221.2600002"/>
    <x v="3"/>
    <x v="2"/>
    <x v="1"/>
    <x v="11"/>
    <x v="1"/>
    <x v="0"/>
    <x v="1"/>
    <x v="0"/>
    <x v="11"/>
    <n v="9"/>
    <x v="0"/>
  </r>
  <r>
    <d v="2024-05-09T00:00:00"/>
    <x v="3"/>
    <x v="1"/>
    <x v="0"/>
    <n v="14531564.550000001"/>
    <x v="3"/>
    <x v="1"/>
    <x v="0"/>
    <x v="12"/>
    <x v="1"/>
    <x v="0"/>
    <x v="1"/>
    <x v="0"/>
    <x v="11"/>
    <n v="9"/>
    <x v="0"/>
  </r>
  <r>
    <d v="2024-05-09T00:00:00"/>
    <x v="3"/>
    <x v="2"/>
    <x v="0"/>
    <n v="581387643.89999998"/>
    <x v="3"/>
    <x v="2"/>
    <x v="0"/>
    <x v="13"/>
    <x v="1"/>
    <x v="0"/>
    <x v="1"/>
    <x v="0"/>
    <x v="11"/>
    <n v="9"/>
    <x v="0"/>
  </r>
  <r>
    <d v="2024-05-08T00:00:00"/>
    <x v="0"/>
    <x v="0"/>
    <x v="0"/>
    <n v="415.95"/>
    <x v="0"/>
    <x v="0"/>
    <x v="0"/>
    <x v="0"/>
    <x v="1"/>
    <x v="0"/>
    <x v="1"/>
    <x v="0"/>
    <x v="11"/>
    <n v="8"/>
    <x v="0"/>
  </r>
  <r>
    <d v="2024-05-08T00:00:00"/>
    <x v="1"/>
    <x v="1"/>
    <x v="0"/>
    <n v="480508.44"/>
    <x v="1"/>
    <x v="1"/>
    <x v="0"/>
    <x v="1"/>
    <x v="1"/>
    <x v="0"/>
    <x v="1"/>
    <x v="0"/>
    <x v="11"/>
    <n v="8"/>
    <x v="0"/>
  </r>
  <r>
    <d v="2024-05-08T00:00:00"/>
    <x v="0"/>
    <x v="1"/>
    <x v="0"/>
    <n v="8973280.6899999995"/>
    <x v="0"/>
    <x v="1"/>
    <x v="0"/>
    <x v="2"/>
    <x v="1"/>
    <x v="0"/>
    <x v="1"/>
    <x v="0"/>
    <x v="11"/>
    <n v="8"/>
    <x v="0"/>
  </r>
  <r>
    <d v="2024-05-08T00:00:00"/>
    <x v="3"/>
    <x v="3"/>
    <x v="2"/>
    <n v="5"/>
    <x v="3"/>
    <x v="3"/>
    <x v="2"/>
    <x v="3"/>
    <x v="1"/>
    <x v="0"/>
    <x v="1"/>
    <x v="0"/>
    <x v="11"/>
    <n v="8"/>
    <x v="0"/>
  </r>
  <r>
    <d v="2024-05-08T00:00:00"/>
    <x v="2"/>
    <x v="1"/>
    <x v="2"/>
    <n v="22156.959999999999"/>
    <x v="2"/>
    <x v="1"/>
    <x v="2"/>
    <x v="4"/>
    <x v="1"/>
    <x v="0"/>
    <x v="1"/>
    <x v="0"/>
    <x v="11"/>
    <n v="8"/>
    <x v="0"/>
  </r>
  <r>
    <d v="2024-05-08T00:00:00"/>
    <x v="2"/>
    <x v="1"/>
    <x v="0"/>
    <n v="103284840.92"/>
    <x v="2"/>
    <x v="1"/>
    <x v="0"/>
    <x v="8"/>
    <x v="1"/>
    <x v="0"/>
    <x v="1"/>
    <x v="0"/>
    <x v="11"/>
    <n v="8"/>
    <x v="0"/>
  </r>
  <r>
    <d v="2024-05-08T00:00:00"/>
    <x v="3"/>
    <x v="3"/>
    <x v="1"/>
    <n v="8824.42"/>
    <x v="3"/>
    <x v="3"/>
    <x v="1"/>
    <x v="5"/>
    <x v="1"/>
    <x v="0"/>
    <x v="1"/>
    <x v="0"/>
    <x v="11"/>
    <n v="8"/>
    <x v="0"/>
  </r>
  <r>
    <d v="2024-05-08T00:00:00"/>
    <x v="0"/>
    <x v="1"/>
    <x v="1"/>
    <n v="26379977.390000001"/>
    <x v="0"/>
    <x v="1"/>
    <x v="1"/>
    <x v="6"/>
    <x v="1"/>
    <x v="0"/>
    <x v="1"/>
    <x v="0"/>
    <x v="11"/>
    <n v="8"/>
    <x v="0"/>
  </r>
  <r>
    <d v="2024-05-08T00:00:00"/>
    <x v="3"/>
    <x v="3"/>
    <x v="0"/>
    <n v="2219917584.3299999"/>
    <x v="3"/>
    <x v="3"/>
    <x v="0"/>
    <x v="9"/>
    <x v="1"/>
    <x v="0"/>
    <x v="1"/>
    <x v="0"/>
    <x v="11"/>
    <n v="8"/>
    <x v="0"/>
  </r>
  <r>
    <d v="2024-05-08T00:00:00"/>
    <x v="3"/>
    <x v="2"/>
    <x v="2"/>
    <n v="279364.95"/>
    <x v="3"/>
    <x v="2"/>
    <x v="2"/>
    <x v="7"/>
    <x v="1"/>
    <x v="0"/>
    <x v="1"/>
    <x v="0"/>
    <x v="11"/>
    <n v="8"/>
    <x v="0"/>
  </r>
  <r>
    <d v="2024-05-08T00:00:00"/>
    <x v="2"/>
    <x v="1"/>
    <x v="1"/>
    <n v="595493828.35000002"/>
    <x v="2"/>
    <x v="1"/>
    <x v="1"/>
    <x v="10"/>
    <x v="1"/>
    <x v="0"/>
    <x v="1"/>
    <x v="0"/>
    <x v="11"/>
    <n v="8"/>
    <x v="0"/>
  </r>
  <r>
    <d v="2024-05-08T00:00:00"/>
    <x v="1"/>
    <x v="0"/>
    <x v="0"/>
    <n v="118579727.37"/>
    <x v="1"/>
    <x v="0"/>
    <x v="0"/>
    <x v="11"/>
    <x v="1"/>
    <x v="0"/>
    <x v="1"/>
    <x v="0"/>
    <x v="11"/>
    <n v="8"/>
    <x v="0"/>
  </r>
  <r>
    <d v="2024-05-08T00:00:00"/>
    <x v="1"/>
    <x v="0"/>
    <x v="1"/>
    <n v="933154583.21000004"/>
    <x v="1"/>
    <x v="0"/>
    <x v="1"/>
    <x v="12"/>
    <x v="1"/>
    <x v="0"/>
    <x v="1"/>
    <x v="0"/>
    <x v="11"/>
    <n v="8"/>
    <x v="0"/>
  </r>
  <r>
    <d v="2024-05-08T00:00:00"/>
    <x v="3"/>
    <x v="2"/>
    <x v="1"/>
    <n v="11685666103.74"/>
    <x v="3"/>
    <x v="2"/>
    <x v="1"/>
    <x v="13"/>
    <x v="1"/>
    <x v="0"/>
    <x v="1"/>
    <x v="0"/>
    <x v="11"/>
    <n v="8"/>
    <x v="0"/>
  </r>
  <r>
    <d v="2024-05-08T00:00:00"/>
    <x v="3"/>
    <x v="1"/>
    <x v="0"/>
    <n v="15211391.9"/>
    <x v="3"/>
    <x v="1"/>
    <x v="0"/>
    <x v="14"/>
    <x v="1"/>
    <x v="0"/>
    <x v="1"/>
    <x v="0"/>
    <x v="11"/>
    <n v="8"/>
    <x v="0"/>
  </r>
  <r>
    <d v="2024-05-08T00:00:00"/>
    <x v="3"/>
    <x v="2"/>
    <x v="0"/>
    <n v="696361374.24000001"/>
    <x v="3"/>
    <x v="2"/>
    <x v="0"/>
    <x v="15"/>
    <x v="1"/>
    <x v="0"/>
    <x v="1"/>
    <x v="0"/>
    <x v="11"/>
    <n v="8"/>
    <x v="0"/>
  </r>
  <r>
    <d v="2024-05-07T00:00:00"/>
    <x v="0"/>
    <x v="1"/>
    <x v="0"/>
    <n v="7453780.8399999999"/>
    <x v="0"/>
    <x v="1"/>
    <x v="0"/>
    <x v="0"/>
    <x v="1"/>
    <x v="0"/>
    <x v="1"/>
    <x v="0"/>
    <x v="11"/>
    <n v="7"/>
    <x v="0"/>
  </r>
  <r>
    <d v="2024-05-07T00:00:00"/>
    <x v="3"/>
    <x v="2"/>
    <x v="2"/>
    <n v="268572.31"/>
    <x v="3"/>
    <x v="2"/>
    <x v="2"/>
    <x v="2"/>
    <x v="1"/>
    <x v="0"/>
    <x v="1"/>
    <x v="0"/>
    <x v="11"/>
    <n v="7"/>
    <x v="0"/>
  </r>
  <r>
    <d v="2024-05-07T00:00:00"/>
    <x v="2"/>
    <x v="1"/>
    <x v="2"/>
    <n v="10015.86"/>
    <x v="2"/>
    <x v="1"/>
    <x v="2"/>
    <x v="1"/>
    <x v="1"/>
    <x v="0"/>
    <x v="1"/>
    <x v="0"/>
    <x v="11"/>
    <n v="7"/>
    <x v="0"/>
  </r>
  <r>
    <d v="2024-05-07T00:00:00"/>
    <x v="2"/>
    <x v="1"/>
    <x v="0"/>
    <n v="83517641.010000005"/>
    <x v="2"/>
    <x v="1"/>
    <x v="0"/>
    <x v="6"/>
    <x v="1"/>
    <x v="0"/>
    <x v="1"/>
    <x v="0"/>
    <x v="11"/>
    <n v="7"/>
    <x v="0"/>
  </r>
  <r>
    <d v="2024-05-07T00:00:00"/>
    <x v="3"/>
    <x v="3"/>
    <x v="1"/>
    <n v="19331.060000000001"/>
    <x v="3"/>
    <x v="3"/>
    <x v="1"/>
    <x v="3"/>
    <x v="1"/>
    <x v="0"/>
    <x v="1"/>
    <x v="0"/>
    <x v="11"/>
    <n v="7"/>
    <x v="0"/>
  </r>
  <r>
    <d v="2024-05-07T00:00:00"/>
    <x v="0"/>
    <x v="1"/>
    <x v="1"/>
    <n v="23479101.109999999"/>
    <x v="0"/>
    <x v="1"/>
    <x v="1"/>
    <x v="4"/>
    <x v="1"/>
    <x v="0"/>
    <x v="1"/>
    <x v="0"/>
    <x v="11"/>
    <n v="7"/>
    <x v="0"/>
  </r>
  <r>
    <d v="2024-05-07T00:00:00"/>
    <x v="1"/>
    <x v="1"/>
    <x v="0"/>
    <n v="94075.64"/>
    <x v="1"/>
    <x v="1"/>
    <x v="0"/>
    <x v="5"/>
    <x v="1"/>
    <x v="0"/>
    <x v="1"/>
    <x v="0"/>
    <x v="11"/>
    <n v="7"/>
    <x v="0"/>
  </r>
  <r>
    <d v="2024-05-07T00:00:00"/>
    <x v="3"/>
    <x v="3"/>
    <x v="0"/>
    <n v="2510337358.5500002"/>
    <x v="3"/>
    <x v="3"/>
    <x v="0"/>
    <x v="7"/>
    <x v="1"/>
    <x v="0"/>
    <x v="1"/>
    <x v="0"/>
    <x v="11"/>
    <n v="7"/>
    <x v="0"/>
  </r>
  <r>
    <d v="2024-05-07T00:00:00"/>
    <x v="2"/>
    <x v="1"/>
    <x v="1"/>
    <n v="686773197.03999996"/>
    <x v="2"/>
    <x v="1"/>
    <x v="1"/>
    <x v="8"/>
    <x v="1"/>
    <x v="0"/>
    <x v="1"/>
    <x v="0"/>
    <x v="11"/>
    <n v="7"/>
    <x v="0"/>
  </r>
  <r>
    <d v="2024-05-07T00:00:00"/>
    <x v="1"/>
    <x v="0"/>
    <x v="0"/>
    <n v="107800694.18000001"/>
    <x v="1"/>
    <x v="0"/>
    <x v="0"/>
    <x v="9"/>
    <x v="1"/>
    <x v="0"/>
    <x v="1"/>
    <x v="0"/>
    <x v="11"/>
    <n v="7"/>
    <x v="0"/>
  </r>
  <r>
    <d v="2024-05-07T00:00:00"/>
    <x v="1"/>
    <x v="0"/>
    <x v="1"/>
    <n v="350543148.80000001"/>
    <x v="1"/>
    <x v="0"/>
    <x v="1"/>
    <x v="10"/>
    <x v="1"/>
    <x v="0"/>
    <x v="1"/>
    <x v="0"/>
    <x v="11"/>
    <n v="7"/>
    <x v="0"/>
  </r>
  <r>
    <d v="2024-05-07T00:00:00"/>
    <x v="3"/>
    <x v="2"/>
    <x v="1"/>
    <n v="3454060867.6700001"/>
    <x v="3"/>
    <x v="2"/>
    <x v="1"/>
    <x v="11"/>
    <x v="1"/>
    <x v="0"/>
    <x v="1"/>
    <x v="0"/>
    <x v="11"/>
    <n v="7"/>
    <x v="0"/>
  </r>
  <r>
    <d v="2024-05-07T00:00:00"/>
    <x v="3"/>
    <x v="1"/>
    <x v="0"/>
    <n v="13008783.789999999"/>
    <x v="3"/>
    <x v="1"/>
    <x v="0"/>
    <x v="12"/>
    <x v="1"/>
    <x v="0"/>
    <x v="1"/>
    <x v="0"/>
    <x v="11"/>
    <n v="7"/>
    <x v="0"/>
  </r>
  <r>
    <d v="2024-05-07T00:00:00"/>
    <x v="3"/>
    <x v="2"/>
    <x v="0"/>
    <n v="1125534250.8299999"/>
    <x v="3"/>
    <x v="2"/>
    <x v="0"/>
    <x v="13"/>
    <x v="1"/>
    <x v="0"/>
    <x v="1"/>
    <x v="0"/>
    <x v="11"/>
    <n v="7"/>
    <x v="0"/>
  </r>
  <r>
    <d v="2024-05-06T00:00:00"/>
    <x v="0"/>
    <x v="0"/>
    <x v="0"/>
    <n v="169.99"/>
    <x v="0"/>
    <x v="0"/>
    <x v="0"/>
    <x v="0"/>
    <x v="1"/>
    <x v="0"/>
    <x v="1"/>
    <x v="0"/>
    <x v="11"/>
    <n v="6"/>
    <x v="0"/>
  </r>
  <r>
    <d v="2024-05-06T00:00:00"/>
    <x v="0"/>
    <x v="1"/>
    <x v="0"/>
    <n v="25532396.82"/>
    <x v="0"/>
    <x v="1"/>
    <x v="0"/>
    <x v="1"/>
    <x v="1"/>
    <x v="0"/>
    <x v="1"/>
    <x v="0"/>
    <x v="11"/>
    <n v="6"/>
    <x v="0"/>
  </r>
  <r>
    <d v="2024-05-06T00:00:00"/>
    <x v="2"/>
    <x v="1"/>
    <x v="2"/>
    <n v="5206.01"/>
    <x v="2"/>
    <x v="1"/>
    <x v="2"/>
    <x v="2"/>
    <x v="1"/>
    <x v="0"/>
    <x v="1"/>
    <x v="0"/>
    <x v="11"/>
    <n v="6"/>
    <x v="0"/>
  </r>
  <r>
    <d v="2024-05-06T00:00:00"/>
    <x v="3"/>
    <x v="3"/>
    <x v="1"/>
    <n v="39517.85"/>
    <x v="3"/>
    <x v="3"/>
    <x v="1"/>
    <x v="3"/>
    <x v="1"/>
    <x v="0"/>
    <x v="1"/>
    <x v="0"/>
    <x v="11"/>
    <n v="6"/>
    <x v="0"/>
  </r>
  <r>
    <d v="2024-05-06T00:00:00"/>
    <x v="0"/>
    <x v="1"/>
    <x v="1"/>
    <n v="7049992.7300000004"/>
    <x v="0"/>
    <x v="1"/>
    <x v="1"/>
    <x v="4"/>
    <x v="1"/>
    <x v="0"/>
    <x v="1"/>
    <x v="0"/>
    <x v="11"/>
    <n v="6"/>
    <x v="0"/>
  </r>
  <r>
    <d v="2024-05-06T00:00:00"/>
    <x v="1"/>
    <x v="1"/>
    <x v="0"/>
    <n v="1256796.02"/>
    <x v="1"/>
    <x v="1"/>
    <x v="0"/>
    <x v="5"/>
    <x v="1"/>
    <x v="0"/>
    <x v="1"/>
    <x v="0"/>
    <x v="11"/>
    <n v="6"/>
    <x v="0"/>
  </r>
  <r>
    <d v="2024-05-06T00:00:00"/>
    <x v="2"/>
    <x v="1"/>
    <x v="0"/>
    <n v="79220533.019999996"/>
    <x v="2"/>
    <x v="1"/>
    <x v="0"/>
    <x v="8"/>
    <x v="1"/>
    <x v="0"/>
    <x v="1"/>
    <x v="0"/>
    <x v="11"/>
    <n v="6"/>
    <x v="0"/>
  </r>
  <r>
    <d v="2024-05-06T00:00:00"/>
    <x v="2"/>
    <x v="1"/>
    <x v="1"/>
    <n v="801325212.20000005"/>
    <x v="2"/>
    <x v="1"/>
    <x v="1"/>
    <x v="9"/>
    <x v="1"/>
    <x v="0"/>
    <x v="1"/>
    <x v="0"/>
    <x v="11"/>
    <n v="6"/>
    <x v="0"/>
  </r>
  <r>
    <d v="2024-05-06T00:00:00"/>
    <x v="1"/>
    <x v="0"/>
    <x v="0"/>
    <n v="68729198.780000001"/>
    <x v="1"/>
    <x v="0"/>
    <x v="0"/>
    <x v="10"/>
    <x v="1"/>
    <x v="0"/>
    <x v="1"/>
    <x v="0"/>
    <x v="11"/>
    <n v="6"/>
    <x v="0"/>
  </r>
  <r>
    <d v="2024-05-06T00:00:00"/>
    <x v="3"/>
    <x v="2"/>
    <x v="2"/>
    <n v="-4466"/>
    <x v="3"/>
    <x v="2"/>
    <x v="2"/>
    <x v="6"/>
    <x v="1"/>
    <x v="0"/>
    <x v="1"/>
    <x v="0"/>
    <x v="11"/>
    <n v="6"/>
    <x v="1"/>
  </r>
  <r>
    <d v="2024-05-06T00:00:00"/>
    <x v="3"/>
    <x v="3"/>
    <x v="0"/>
    <n v="3684254674.5100002"/>
    <x v="3"/>
    <x v="3"/>
    <x v="0"/>
    <x v="7"/>
    <x v="1"/>
    <x v="0"/>
    <x v="1"/>
    <x v="0"/>
    <x v="11"/>
    <n v="6"/>
    <x v="0"/>
  </r>
  <r>
    <d v="2024-05-06T00:00:00"/>
    <x v="1"/>
    <x v="0"/>
    <x v="1"/>
    <n v="875037115.90999997"/>
    <x v="1"/>
    <x v="0"/>
    <x v="1"/>
    <x v="11"/>
    <x v="1"/>
    <x v="0"/>
    <x v="1"/>
    <x v="0"/>
    <x v="11"/>
    <n v="6"/>
    <x v="0"/>
  </r>
  <r>
    <d v="2024-05-06T00:00:00"/>
    <x v="3"/>
    <x v="2"/>
    <x v="1"/>
    <n v="21196207894.639999"/>
    <x v="3"/>
    <x v="2"/>
    <x v="1"/>
    <x v="12"/>
    <x v="1"/>
    <x v="0"/>
    <x v="1"/>
    <x v="0"/>
    <x v="11"/>
    <n v="6"/>
    <x v="0"/>
  </r>
  <r>
    <d v="2024-05-06T00:00:00"/>
    <x v="3"/>
    <x v="2"/>
    <x v="0"/>
    <n v="734125371.09000003"/>
    <x v="3"/>
    <x v="2"/>
    <x v="0"/>
    <x v="13"/>
    <x v="1"/>
    <x v="0"/>
    <x v="1"/>
    <x v="0"/>
    <x v="11"/>
    <n v="6"/>
    <x v="0"/>
  </r>
  <r>
    <d v="2024-05-06T00:00:00"/>
    <x v="3"/>
    <x v="1"/>
    <x v="0"/>
    <n v="49496231.030000001"/>
    <x v="3"/>
    <x v="1"/>
    <x v="0"/>
    <x v="14"/>
    <x v="1"/>
    <x v="0"/>
    <x v="1"/>
    <x v="0"/>
    <x v="11"/>
    <n v="6"/>
    <x v="0"/>
  </r>
  <r>
    <d v="2024-05-03T00:00:00"/>
    <x v="0"/>
    <x v="0"/>
    <x v="0"/>
    <n v="517.15"/>
    <x v="0"/>
    <x v="0"/>
    <x v="0"/>
    <x v="0"/>
    <x v="1"/>
    <x v="0"/>
    <x v="1"/>
    <x v="0"/>
    <x v="11"/>
    <n v="3"/>
    <x v="0"/>
  </r>
  <r>
    <d v="2024-05-03T00:00:00"/>
    <x v="1"/>
    <x v="1"/>
    <x v="0"/>
    <n v="359455.78"/>
    <x v="1"/>
    <x v="1"/>
    <x v="0"/>
    <x v="1"/>
    <x v="1"/>
    <x v="0"/>
    <x v="1"/>
    <x v="0"/>
    <x v="11"/>
    <n v="3"/>
    <x v="0"/>
  </r>
  <r>
    <d v="2024-05-03T00:00:00"/>
    <x v="0"/>
    <x v="1"/>
    <x v="0"/>
    <n v="16800798.129999999"/>
    <x v="0"/>
    <x v="1"/>
    <x v="0"/>
    <x v="2"/>
    <x v="1"/>
    <x v="0"/>
    <x v="1"/>
    <x v="0"/>
    <x v="11"/>
    <n v="3"/>
    <x v="0"/>
  </r>
  <r>
    <d v="2024-05-03T00:00:00"/>
    <x v="2"/>
    <x v="1"/>
    <x v="2"/>
    <n v="3469.1"/>
    <x v="2"/>
    <x v="1"/>
    <x v="2"/>
    <x v="3"/>
    <x v="1"/>
    <x v="0"/>
    <x v="1"/>
    <x v="0"/>
    <x v="11"/>
    <n v="3"/>
    <x v="0"/>
  </r>
  <r>
    <d v="2024-05-03T00:00:00"/>
    <x v="3"/>
    <x v="3"/>
    <x v="1"/>
    <n v="193708.09"/>
    <x v="3"/>
    <x v="3"/>
    <x v="1"/>
    <x v="4"/>
    <x v="1"/>
    <x v="0"/>
    <x v="1"/>
    <x v="0"/>
    <x v="11"/>
    <n v="3"/>
    <x v="0"/>
  </r>
  <r>
    <d v="2024-05-03T00:00:00"/>
    <x v="0"/>
    <x v="1"/>
    <x v="1"/>
    <n v="7089940.1500000004"/>
    <x v="0"/>
    <x v="1"/>
    <x v="1"/>
    <x v="5"/>
    <x v="1"/>
    <x v="0"/>
    <x v="1"/>
    <x v="0"/>
    <x v="11"/>
    <n v="3"/>
    <x v="0"/>
  </r>
  <r>
    <d v="2024-05-03T00:00:00"/>
    <x v="3"/>
    <x v="3"/>
    <x v="0"/>
    <n v="6364237924.46"/>
    <x v="3"/>
    <x v="3"/>
    <x v="0"/>
    <x v="7"/>
    <x v="1"/>
    <x v="0"/>
    <x v="1"/>
    <x v="0"/>
    <x v="11"/>
    <n v="3"/>
    <x v="0"/>
  </r>
  <r>
    <d v="2024-05-03T00:00:00"/>
    <x v="2"/>
    <x v="1"/>
    <x v="0"/>
    <n v="157894417.28999999"/>
    <x v="2"/>
    <x v="1"/>
    <x v="0"/>
    <x v="8"/>
    <x v="1"/>
    <x v="0"/>
    <x v="1"/>
    <x v="0"/>
    <x v="11"/>
    <n v="3"/>
    <x v="0"/>
  </r>
  <r>
    <d v="2024-05-03T00:00:00"/>
    <x v="2"/>
    <x v="1"/>
    <x v="1"/>
    <n v="610207278.46000004"/>
    <x v="2"/>
    <x v="1"/>
    <x v="1"/>
    <x v="9"/>
    <x v="1"/>
    <x v="0"/>
    <x v="1"/>
    <x v="0"/>
    <x v="11"/>
    <n v="3"/>
    <x v="0"/>
  </r>
  <r>
    <d v="2024-05-03T00:00:00"/>
    <x v="1"/>
    <x v="0"/>
    <x v="0"/>
    <n v="56060354.710000001"/>
    <x v="1"/>
    <x v="0"/>
    <x v="0"/>
    <x v="10"/>
    <x v="1"/>
    <x v="0"/>
    <x v="1"/>
    <x v="0"/>
    <x v="11"/>
    <n v="3"/>
    <x v="0"/>
  </r>
  <r>
    <d v="2024-05-03T00:00:00"/>
    <x v="3"/>
    <x v="2"/>
    <x v="2"/>
    <n v="399949"/>
    <x v="3"/>
    <x v="2"/>
    <x v="2"/>
    <x v="6"/>
    <x v="1"/>
    <x v="0"/>
    <x v="1"/>
    <x v="0"/>
    <x v="11"/>
    <n v="3"/>
    <x v="0"/>
  </r>
  <r>
    <d v="2024-05-03T00:00:00"/>
    <x v="1"/>
    <x v="0"/>
    <x v="1"/>
    <n v="1681800763.3399999"/>
    <x v="1"/>
    <x v="0"/>
    <x v="1"/>
    <x v="11"/>
    <x v="1"/>
    <x v="0"/>
    <x v="1"/>
    <x v="0"/>
    <x v="11"/>
    <n v="3"/>
    <x v="0"/>
  </r>
  <r>
    <d v="2024-05-03T00:00:00"/>
    <x v="3"/>
    <x v="1"/>
    <x v="0"/>
    <n v="16247390.189999999"/>
    <x v="3"/>
    <x v="1"/>
    <x v="0"/>
    <x v="12"/>
    <x v="1"/>
    <x v="0"/>
    <x v="1"/>
    <x v="0"/>
    <x v="11"/>
    <n v="3"/>
    <x v="0"/>
  </r>
  <r>
    <d v="2024-05-03T00:00:00"/>
    <x v="3"/>
    <x v="2"/>
    <x v="0"/>
    <n v="1007917260.87"/>
    <x v="3"/>
    <x v="2"/>
    <x v="0"/>
    <x v="13"/>
    <x v="1"/>
    <x v="0"/>
    <x v="1"/>
    <x v="0"/>
    <x v="11"/>
    <n v="3"/>
    <x v="0"/>
  </r>
  <r>
    <d v="2024-05-03T00:00:00"/>
    <x v="3"/>
    <x v="2"/>
    <x v="1"/>
    <n v="13587456930.59"/>
    <x v="3"/>
    <x v="2"/>
    <x v="1"/>
    <x v="14"/>
    <x v="1"/>
    <x v="0"/>
    <x v="1"/>
    <x v="0"/>
    <x v="11"/>
    <n v="3"/>
    <x v="0"/>
  </r>
  <r>
    <d v="2024-05-02T00:00:00"/>
    <x v="0"/>
    <x v="0"/>
    <x v="0"/>
    <n v="527.48"/>
    <x v="0"/>
    <x v="0"/>
    <x v="0"/>
    <x v="0"/>
    <x v="1"/>
    <x v="0"/>
    <x v="1"/>
    <x v="0"/>
    <x v="11"/>
    <n v="2"/>
    <x v="0"/>
  </r>
  <r>
    <d v="2024-05-02T00:00:00"/>
    <x v="1"/>
    <x v="1"/>
    <x v="0"/>
    <n v="178075.82"/>
    <x v="1"/>
    <x v="1"/>
    <x v="0"/>
    <x v="1"/>
    <x v="1"/>
    <x v="0"/>
    <x v="1"/>
    <x v="0"/>
    <x v="11"/>
    <n v="2"/>
    <x v="0"/>
  </r>
  <r>
    <d v="2024-05-02T00:00:00"/>
    <x v="0"/>
    <x v="1"/>
    <x v="0"/>
    <n v="14037021.529999999"/>
    <x v="0"/>
    <x v="1"/>
    <x v="0"/>
    <x v="2"/>
    <x v="1"/>
    <x v="0"/>
    <x v="1"/>
    <x v="0"/>
    <x v="11"/>
    <n v="2"/>
    <x v="0"/>
  </r>
  <r>
    <d v="2024-05-02T00:00:00"/>
    <x v="2"/>
    <x v="1"/>
    <x v="2"/>
    <n v="10305"/>
    <x v="2"/>
    <x v="1"/>
    <x v="2"/>
    <x v="6"/>
    <x v="1"/>
    <x v="0"/>
    <x v="1"/>
    <x v="0"/>
    <x v="11"/>
    <n v="2"/>
    <x v="0"/>
  </r>
  <r>
    <d v="2024-05-02T00:00:00"/>
    <x v="3"/>
    <x v="3"/>
    <x v="1"/>
    <n v="1658450.85"/>
    <x v="3"/>
    <x v="3"/>
    <x v="1"/>
    <x v="3"/>
    <x v="1"/>
    <x v="0"/>
    <x v="1"/>
    <x v="0"/>
    <x v="11"/>
    <n v="2"/>
    <x v="0"/>
  </r>
  <r>
    <d v="2024-05-02T00:00:00"/>
    <x v="0"/>
    <x v="1"/>
    <x v="1"/>
    <n v="166500718.44"/>
    <x v="0"/>
    <x v="1"/>
    <x v="1"/>
    <x v="4"/>
    <x v="1"/>
    <x v="0"/>
    <x v="1"/>
    <x v="0"/>
    <x v="11"/>
    <n v="2"/>
    <x v="0"/>
  </r>
  <r>
    <d v="2024-05-02T00:00:00"/>
    <x v="3"/>
    <x v="2"/>
    <x v="2"/>
    <n v="343288"/>
    <x v="3"/>
    <x v="2"/>
    <x v="2"/>
    <x v="5"/>
    <x v="1"/>
    <x v="0"/>
    <x v="1"/>
    <x v="0"/>
    <x v="11"/>
    <n v="2"/>
    <x v="0"/>
  </r>
  <r>
    <d v="2024-05-02T00:00:00"/>
    <x v="2"/>
    <x v="1"/>
    <x v="0"/>
    <n v="228809836.05000001"/>
    <x v="2"/>
    <x v="1"/>
    <x v="0"/>
    <x v="8"/>
    <x v="1"/>
    <x v="0"/>
    <x v="1"/>
    <x v="0"/>
    <x v="11"/>
    <n v="2"/>
    <x v="0"/>
  </r>
  <r>
    <d v="2024-05-02T00:00:00"/>
    <x v="3"/>
    <x v="3"/>
    <x v="0"/>
    <n v="3875089748.2399998"/>
    <x v="3"/>
    <x v="3"/>
    <x v="0"/>
    <x v="7"/>
    <x v="1"/>
    <x v="0"/>
    <x v="1"/>
    <x v="0"/>
    <x v="11"/>
    <n v="2"/>
    <x v="0"/>
  </r>
  <r>
    <d v="2024-05-02T00:00:00"/>
    <x v="2"/>
    <x v="1"/>
    <x v="1"/>
    <n v="920386449.89999998"/>
    <x v="2"/>
    <x v="1"/>
    <x v="1"/>
    <x v="9"/>
    <x v="1"/>
    <x v="0"/>
    <x v="1"/>
    <x v="0"/>
    <x v="11"/>
    <n v="2"/>
    <x v="0"/>
  </r>
  <r>
    <d v="2024-05-02T00:00:00"/>
    <x v="1"/>
    <x v="0"/>
    <x v="0"/>
    <n v="59250944.200000003"/>
    <x v="1"/>
    <x v="0"/>
    <x v="0"/>
    <x v="10"/>
    <x v="1"/>
    <x v="0"/>
    <x v="1"/>
    <x v="0"/>
    <x v="11"/>
    <n v="2"/>
    <x v="0"/>
  </r>
  <r>
    <d v="2024-05-02T00:00:00"/>
    <x v="1"/>
    <x v="0"/>
    <x v="1"/>
    <n v="2142836504.0799999"/>
    <x v="1"/>
    <x v="0"/>
    <x v="1"/>
    <x v="11"/>
    <x v="1"/>
    <x v="0"/>
    <x v="1"/>
    <x v="0"/>
    <x v="11"/>
    <n v="2"/>
    <x v="0"/>
  </r>
  <r>
    <d v="2024-05-02T00:00:00"/>
    <x v="3"/>
    <x v="1"/>
    <x v="0"/>
    <n v="17729974.920000002"/>
    <x v="3"/>
    <x v="1"/>
    <x v="0"/>
    <x v="12"/>
    <x v="1"/>
    <x v="0"/>
    <x v="1"/>
    <x v="0"/>
    <x v="11"/>
    <n v="2"/>
    <x v="0"/>
  </r>
  <r>
    <d v="2024-05-02T00:00:00"/>
    <x v="3"/>
    <x v="2"/>
    <x v="0"/>
    <n v="517196172.25999999"/>
    <x v="3"/>
    <x v="2"/>
    <x v="0"/>
    <x v="13"/>
    <x v="1"/>
    <x v="0"/>
    <x v="1"/>
    <x v="0"/>
    <x v="11"/>
    <n v="2"/>
    <x v="0"/>
  </r>
  <r>
    <d v="2024-05-02T00:00:00"/>
    <x v="3"/>
    <x v="2"/>
    <x v="1"/>
    <n v="8781786414.9799995"/>
    <x v="3"/>
    <x v="2"/>
    <x v="1"/>
    <x v="14"/>
    <x v="1"/>
    <x v="0"/>
    <x v="1"/>
    <x v="0"/>
    <x v="11"/>
    <n v="2"/>
    <x v="0"/>
  </r>
  <r>
    <d v="2024-05-01T00:00:00"/>
    <x v="0"/>
    <x v="0"/>
    <x v="0"/>
    <n v="475"/>
    <x v="0"/>
    <x v="0"/>
    <x v="0"/>
    <x v="0"/>
    <x v="1"/>
    <x v="0"/>
    <x v="1"/>
    <x v="0"/>
    <x v="11"/>
    <n v="1"/>
    <x v="0"/>
  </r>
  <r>
    <d v="2024-05-01T00:00:00"/>
    <x v="1"/>
    <x v="1"/>
    <x v="0"/>
    <n v="474719.6"/>
    <x v="1"/>
    <x v="1"/>
    <x v="0"/>
    <x v="1"/>
    <x v="1"/>
    <x v="0"/>
    <x v="1"/>
    <x v="0"/>
    <x v="11"/>
    <n v="1"/>
    <x v="0"/>
  </r>
  <r>
    <d v="2024-05-01T00:00:00"/>
    <x v="0"/>
    <x v="1"/>
    <x v="0"/>
    <n v="8730693.5800000001"/>
    <x v="0"/>
    <x v="1"/>
    <x v="0"/>
    <x v="2"/>
    <x v="1"/>
    <x v="0"/>
    <x v="1"/>
    <x v="0"/>
    <x v="11"/>
    <n v="1"/>
    <x v="0"/>
  </r>
  <r>
    <d v="2024-05-01T00:00:00"/>
    <x v="3"/>
    <x v="2"/>
    <x v="2"/>
    <n v="319826.88"/>
    <x v="3"/>
    <x v="2"/>
    <x v="2"/>
    <x v="5"/>
    <x v="1"/>
    <x v="0"/>
    <x v="1"/>
    <x v="0"/>
    <x v="11"/>
    <n v="1"/>
    <x v="0"/>
  </r>
  <r>
    <d v="2024-05-01T00:00:00"/>
    <x v="2"/>
    <x v="1"/>
    <x v="2"/>
    <n v="32926.29"/>
    <x v="2"/>
    <x v="1"/>
    <x v="2"/>
    <x v="3"/>
    <x v="1"/>
    <x v="0"/>
    <x v="1"/>
    <x v="0"/>
    <x v="11"/>
    <n v="1"/>
    <x v="0"/>
  </r>
  <r>
    <d v="2024-05-01T00:00:00"/>
    <x v="0"/>
    <x v="1"/>
    <x v="1"/>
    <n v="7760245.7599999998"/>
    <x v="0"/>
    <x v="1"/>
    <x v="1"/>
    <x v="4"/>
    <x v="1"/>
    <x v="0"/>
    <x v="1"/>
    <x v="0"/>
    <x v="11"/>
    <n v="1"/>
    <x v="0"/>
  </r>
  <r>
    <d v="2024-05-01T00:00:00"/>
    <x v="2"/>
    <x v="1"/>
    <x v="0"/>
    <n v="91182221.019999996"/>
    <x v="2"/>
    <x v="1"/>
    <x v="0"/>
    <x v="7"/>
    <x v="1"/>
    <x v="0"/>
    <x v="1"/>
    <x v="0"/>
    <x v="11"/>
    <n v="1"/>
    <x v="0"/>
  </r>
  <r>
    <d v="2024-05-01T00:00:00"/>
    <x v="2"/>
    <x v="1"/>
    <x v="1"/>
    <n v="727816615.75"/>
    <x v="2"/>
    <x v="1"/>
    <x v="1"/>
    <x v="8"/>
    <x v="1"/>
    <x v="0"/>
    <x v="1"/>
    <x v="0"/>
    <x v="11"/>
    <n v="1"/>
    <x v="0"/>
  </r>
  <r>
    <d v="2024-05-01T00:00:00"/>
    <x v="1"/>
    <x v="0"/>
    <x v="0"/>
    <n v="111166707.45"/>
    <x v="1"/>
    <x v="0"/>
    <x v="0"/>
    <x v="9"/>
    <x v="1"/>
    <x v="0"/>
    <x v="1"/>
    <x v="0"/>
    <x v="11"/>
    <n v="1"/>
    <x v="0"/>
  </r>
  <r>
    <d v="2024-05-01T00:00:00"/>
    <x v="3"/>
    <x v="3"/>
    <x v="0"/>
    <n v="6545983544.4200001"/>
    <x v="3"/>
    <x v="3"/>
    <x v="0"/>
    <x v="6"/>
    <x v="1"/>
    <x v="0"/>
    <x v="1"/>
    <x v="0"/>
    <x v="11"/>
    <n v="1"/>
    <x v="0"/>
  </r>
  <r>
    <d v="2024-05-01T00:00:00"/>
    <x v="1"/>
    <x v="0"/>
    <x v="1"/>
    <n v="3922117953.7800002"/>
    <x v="1"/>
    <x v="0"/>
    <x v="1"/>
    <x v="10"/>
    <x v="1"/>
    <x v="0"/>
    <x v="1"/>
    <x v="0"/>
    <x v="11"/>
    <n v="1"/>
    <x v="0"/>
  </r>
  <r>
    <d v="2024-05-01T00:00:00"/>
    <x v="3"/>
    <x v="1"/>
    <x v="0"/>
    <n v="16720050.539999999"/>
    <x v="3"/>
    <x v="1"/>
    <x v="0"/>
    <x v="11"/>
    <x v="1"/>
    <x v="0"/>
    <x v="1"/>
    <x v="0"/>
    <x v="11"/>
    <n v="1"/>
    <x v="0"/>
  </r>
  <r>
    <d v="2024-05-01T00:00:00"/>
    <x v="3"/>
    <x v="2"/>
    <x v="0"/>
    <n v="696017995.87"/>
    <x v="3"/>
    <x v="2"/>
    <x v="0"/>
    <x v="12"/>
    <x v="1"/>
    <x v="0"/>
    <x v="1"/>
    <x v="0"/>
    <x v="11"/>
    <n v="1"/>
    <x v="0"/>
  </r>
  <r>
    <d v="2024-05-01T00:00:00"/>
    <x v="3"/>
    <x v="2"/>
    <x v="1"/>
    <n v="31603035359.68"/>
    <x v="3"/>
    <x v="2"/>
    <x v="1"/>
    <x v="13"/>
    <x v="1"/>
    <x v="0"/>
    <x v="1"/>
    <x v="0"/>
    <x v="11"/>
    <n v="1"/>
    <x v="0"/>
  </r>
  <r>
    <d v="2024-04-30T00:00:00"/>
    <x v="0"/>
    <x v="0"/>
    <x v="0"/>
    <n v="350.07"/>
    <x v="0"/>
    <x v="0"/>
    <x v="0"/>
    <x v="0"/>
    <x v="1"/>
    <x v="0"/>
    <x v="1"/>
    <x v="0"/>
    <x v="0"/>
    <n v="30"/>
    <x v="0"/>
  </r>
  <r>
    <d v="2024-04-30T00:00:00"/>
    <x v="0"/>
    <x v="1"/>
    <x v="0"/>
    <n v="90655363.659999996"/>
    <x v="0"/>
    <x v="1"/>
    <x v="0"/>
    <x v="1"/>
    <x v="1"/>
    <x v="0"/>
    <x v="1"/>
    <x v="0"/>
    <x v="0"/>
    <n v="30"/>
    <x v="0"/>
  </r>
  <r>
    <d v="2024-04-30T00:00:00"/>
    <x v="3"/>
    <x v="2"/>
    <x v="2"/>
    <n v="203845.16"/>
    <x v="3"/>
    <x v="2"/>
    <x v="2"/>
    <x v="6"/>
    <x v="1"/>
    <x v="0"/>
    <x v="1"/>
    <x v="0"/>
    <x v="0"/>
    <n v="30"/>
    <x v="0"/>
  </r>
  <r>
    <d v="2024-04-30T00:00:00"/>
    <x v="1"/>
    <x v="1"/>
    <x v="0"/>
    <n v="162650.49"/>
    <x v="1"/>
    <x v="1"/>
    <x v="0"/>
    <x v="7"/>
    <x v="1"/>
    <x v="0"/>
    <x v="1"/>
    <x v="0"/>
    <x v="0"/>
    <n v="30"/>
    <x v="0"/>
  </r>
  <r>
    <d v="2024-04-30T00:00:00"/>
    <x v="3"/>
    <x v="3"/>
    <x v="2"/>
    <n v="225"/>
    <x v="3"/>
    <x v="3"/>
    <x v="2"/>
    <x v="2"/>
    <x v="1"/>
    <x v="0"/>
    <x v="1"/>
    <x v="0"/>
    <x v="0"/>
    <n v="30"/>
    <x v="0"/>
  </r>
  <r>
    <d v="2024-04-30T00:00:00"/>
    <x v="2"/>
    <x v="1"/>
    <x v="2"/>
    <n v="15409.53"/>
    <x v="2"/>
    <x v="1"/>
    <x v="2"/>
    <x v="3"/>
    <x v="1"/>
    <x v="0"/>
    <x v="1"/>
    <x v="0"/>
    <x v="0"/>
    <n v="30"/>
    <x v="0"/>
  </r>
  <r>
    <d v="2024-04-30T00:00:00"/>
    <x v="3"/>
    <x v="3"/>
    <x v="0"/>
    <n v="12325492721.43"/>
    <x v="3"/>
    <x v="3"/>
    <x v="0"/>
    <x v="8"/>
    <x v="1"/>
    <x v="0"/>
    <x v="1"/>
    <x v="0"/>
    <x v="0"/>
    <n v="30"/>
    <x v="0"/>
  </r>
  <r>
    <d v="2024-04-30T00:00:00"/>
    <x v="3"/>
    <x v="3"/>
    <x v="1"/>
    <n v="13534.26"/>
    <x v="3"/>
    <x v="3"/>
    <x v="1"/>
    <x v="4"/>
    <x v="1"/>
    <x v="0"/>
    <x v="1"/>
    <x v="0"/>
    <x v="0"/>
    <n v="30"/>
    <x v="0"/>
  </r>
  <r>
    <d v="2024-04-30T00:00:00"/>
    <x v="0"/>
    <x v="1"/>
    <x v="1"/>
    <n v="18252755.109999999"/>
    <x v="0"/>
    <x v="1"/>
    <x v="1"/>
    <x v="5"/>
    <x v="1"/>
    <x v="0"/>
    <x v="1"/>
    <x v="0"/>
    <x v="0"/>
    <n v="30"/>
    <x v="0"/>
  </r>
  <r>
    <d v="2024-04-30T00:00:00"/>
    <x v="2"/>
    <x v="1"/>
    <x v="0"/>
    <n v="61975806.68"/>
    <x v="2"/>
    <x v="1"/>
    <x v="0"/>
    <x v="9"/>
    <x v="1"/>
    <x v="0"/>
    <x v="1"/>
    <x v="0"/>
    <x v="0"/>
    <n v="30"/>
    <x v="0"/>
  </r>
  <r>
    <d v="2024-04-30T00:00:00"/>
    <x v="2"/>
    <x v="1"/>
    <x v="1"/>
    <n v="1086303569.0599999"/>
    <x v="2"/>
    <x v="1"/>
    <x v="1"/>
    <x v="10"/>
    <x v="1"/>
    <x v="0"/>
    <x v="1"/>
    <x v="0"/>
    <x v="0"/>
    <n v="30"/>
    <x v="0"/>
  </r>
  <r>
    <d v="2024-04-30T00:00:00"/>
    <x v="1"/>
    <x v="0"/>
    <x v="0"/>
    <n v="85950845.549999997"/>
    <x v="1"/>
    <x v="0"/>
    <x v="0"/>
    <x v="11"/>
    <x v="1"/>
    <x v="0"/>
    <x v="1"/>
    <x v="0"/>
    <x v="0"/>
    <n v="30"/>
    <x v="0"/>
  </r>
  <r>
    <d v="2024-04-30T00:00:00"/>
    <x v="1"/>
    <x v="0"/>
    <x v="1"/>
    <n v="12271215260.82"/>
    <x v="1"/>
    <x v="0"/>
    <x v="1"/>
    <x v="12"/>
    <x v="1"/>
    <x v="0"/>
    <x v="1"/>
    <x v="0"/>
    <x v="0"/>
    <n v="30"/>
    <x v="0"/>
  </r>
  <r>
    <d v="2024-04-30T00:00:00"/>
    <x v="3"/>
    <x v="1"/>
    <x v="0"/>
    <n v="13830190.189999999"/>
    <x v="3"/>
    <x v="1"/>
    <x v="0"/>
    <x v="13"/>
    <x v="1"/>
    <x v="0"/>
    <x v="1"/>
    <x v="0"/>
    <x v="0"/>
    <n v="30"/>
    <x v="0"/>
  </r>
  <r>
    <d v="2024-04-30T00:00:00"/>
    <x v="3"/>
    <x v="2"/>
    <x v="0"/>
    <n v="1128318328.3099999"/>
    <x v="3"/>
    <x v="2"/>
    <x v="0"/>
    <x v="14"/>
    <x v="1"/>
    <x v="0"/>
    <x v="1"/>
    <x v="0"/>
    <x v="0"/>
    <n v="30"/>
    <x v="0"/>
  </r>
  <r>
    <d v="2024-04-30T00:00:00"/>
    <x v="3"/>
    <x v="2"/>
    <x v="1"/>
    <n v="10638293014.26"/>
    <x v="3"/>
    <x v="2"/>
    <x v="1"/>
    <x v="15"/>
    <x v="1"/>
    <x v="0"/>
    <x v="1"/>
    <x v="0"/>
    <x v="0"/>
    <n v="30"/>
    <x v="0"/>
  </r>
  <r>
    <d v="2024-04-29T00:00:00"/>
    <x v="0"/>
    <x v="0"/>
    <x v="0"/>
    <n v="0"/>
    <x v="0"/>
    <x v="0"/>
    <x v="0"/>
    <x v="0"/>
    <x v="1"/>
    <x v="0"/>
    <x v="1"/>
    <x v="0"/>
    <x v="0"/>
    <n v="29"/>
    <x v="0"/>
  </r>
  <r>
    <d v="2024-04-29T00:00:00"/>
    <x v="0"/>
    <x v="1"/>
    <x v="0"/>
    <n v="9797081.4199999999"/>
    <x v="0"/>
    <x v="1"/>
    <x v="0"/>
    <x v="1"/>
    <x v="1"/>
    <x v="0"/>
    <x v="1"/>
    <x v="0"/>
    <x v="0"/>
    <n v="29"/>
    <x v="0"/>
  </r>
  <r>
    <d v="2024-04-29T00:00:00"/>
    <x v="2"/>
    <x v="1"/>
    <x v="2"/>
    <n v="98376.68"/>
    <x v="2"/>
    <x v="1"/>
    <x v="2"/>
    <x v="3"/>
    <x v="1"/>
    <x v="0"/>
    <x v="1"/>
    <x v="0"/>
    <x v="0"/>
    <n v="29"/>
    <x v="0"/>
  </r>
  <r>
    <d v="2024-04-29T00:00:00"/>
    <x v="3"/>
    <x v="3"/>
    <x v="2"/>
    <n v="564.1"/>
    <x v="3"/>
    <x v="3"/>
    <x v="2"/>
    <x v="2"/>
    <x v="1"/>
    <x v="0"/>
    <x v="1"/>
    <x v="0"/>
    <x v="0"/>
    <n v="29"/>
    <x v="0"/>
  </r>
  <r>
    <d v="2024-04-29T00:00:00"/>
    <x v="3"/>
    <x v="3"/>
    <x v="1"/>
    <n v="1265630.1599999999"/>
    <x v="3"/>
    <x v="3"/>
    <x v="1"/>
    <x v="4"/>
    <x v="1"/>
    <x v="0"/>
    <x v="1"/>
    <x v="0"/>
    <x v="0"/>
    <n v="29"/>
    <x v="0"/>
  </r>
  <r>
    <d v="2024-04-29T00:00:00"/>
    <x v="0"/>
    <x v="1"/>
    <x v="1"/>
    <n v="2403961.7999999998"/>
    <x v="0"/>
    <x v="1"/>
    <x v="1"/>
    <x v="5"/>
    <x v="1"/>
    <x v="0"/>
    <x v="1"/>
    <x v="0"/>
    <x v="0"/>
    <n v="29"/>
    <x v="0"/>
  </r>
  <r>
    <d v="2024-04-29T00:00:00"/>
    <x v="1"/>
    <x v="1"/>
    <x v="0"/>
    <n v="107554.09"/>
    <x v="1"/>
    <x v="1"/>
    <x v="0"/>
    <x v="6"/>
    <x v="1"/>
    <x v="0"/>
    <x v="1"/>
    <x v="0"/>
    <x v="0"/>
    <n v="29"/>
    <x v="0"/>
  </r>
  <r>
    <d v="2024-04-29T00:00:00"/>
    <x v="3"/>
    <x v="3"/>
    <x v="0"/>
    <n v="2116484030.1199999"/>
    <x v="3"/>
    <x v="3"/>
    <x v="0"/>
    <x v="8"/>
    <x v="1"/>
    <x v="0"/>
    <x v="1"/>
    <x v="0"/>
    <x v="0"/>
    <n v="29"/>
    <x v="0"/>
  </r>
  <r>
    <d v="2024-04-29T00:00:00"/>
    <x v="2"/>
    <x v="1"/>
    <x v="0"/>
    <n v="68164348.989999995"/>
    <x v="2"/>
    <x v="1"/>
    <x v="0"/>
    <x v="9"/>
    <x v="1"/>
    <x v="0"/>
    <x v="1"/>
    <x v="0"/>
    <x v="0"/>
    <n v="29"/>
    <x v="0"/>
  </r>
  <r>
    <d v="2024-04-29T00:00:00"/>
    <x v="2"/>
    <x v="1"/>
    <x v="1"/>
    <n v="1016917730.05"/>
    <x v="2"/>
    <x v="1"/>
    <x v="1"/>
    <x v="10"/>
    <x v="1"/>
    <x v="0"/>
    <x v="1"/>
    <x v="0"/>
    <x v="0"/>
    <n v="29"/>
    <x v="0"/>
  </r>
  <r>
    <d v="2024-04-29T00:00:00"/>
    <x v="3"/>
    <x v="2"/>
    <x v="2"/>
    <n v="49698"/>
    <x v="3"/>
    <x v="2"/>
    <x v="2"/>
    <x v="7"/>
    <x v="1"/>
    <x v="0"/>
    <x v="1"/>
    <x v="0"/>
    <x v="0"/>
    <n v="29"/>
    <x v="0"/>
  </r>
  <r>
    <d v="2024-04-29T00:00:00"/>
    <x v="1"/>
    <x v="0"/>
    <x v="1"/>
    <n v="6593302972.1000004"/>
    <x v="1"/>
    <x v="0"/>
    <x v="1"/>
    <x v="11"/>
    <x v="1"/>
    <x v="0"/>
    <x v="1"/>
    <x v="0"/>
    <x v="0"/>
    <n v="29"/>
    <x v="0"/>
  </r>
  <r>
    <d v="2024-04-29T00:00:00"/>
    <x v="1"/>
    <x v="0"/>
    <x v="0"/>
    <n v="77131169.670000002"/>
    <x v="1"/>
    <x v="0"/>
    <x v="0"/>
    <x v="12"/>
    <x v="1"/>
    <x v="0"/>
    <x v="1"/>
    <x v="0"/>
    <x v="0"/>
    <n v="29"/>
    <x v="0"/>
  </r>
  <r>
    <d v="2024-04-29T00:00:00"/>
    <x v="3"/>
    <x v="2"/>
    <x v="0"/>
    <n v="848292325.32000005"/>
    <x v="3"/>
    <x v="2"/>
    <x v="0"/>
    <x v="13"/>
    <x v="1"/>
    <x v="0"/>
    <x v="1"/>
    <x v="0"/>
    <x v="0"/>
    <n v="29"/>
    <x v="0"/>
  </r>
  <r>
    <d v="2024-04-29T00:00:00"/>
    <x v="3"/>
    <x v="2"/>
    <x v="1"/>
    <n v="28092335181.959999"/>
    <x v="3"/>
    <x v="2"/>
    <x v="1"/>
    <x v="14"/>
    <x v="1"/>
    <x v="0"/>
    <x v="1"/>
    <x v="0"/>
    <x v="0"/>
    <n v="29"/>
    <x v="0"/>
  </r>
  <r>
    <d v="2024-04-29T00:00:00"/>
    <x v="3"/>
    <x v="1"/>
    <x v="0"/>
    <n v="47186358.539999999"/>
    <x v="3"/>
    <x v="1"/>
    <x v="0"/>
    <x v="15"/>
    <x v="1"/>
    <x v="0"/>
    <x v="1"/>
    <x v="0"/>
    <x v="0"/>
    <n v="29"/>
    <x v="0"/>
  </r>
  <r>
    <d v="2024-04-26T00:00:00"/>
    <x v="1"/>
    <x v="1"/>
    <x v="0"/>
    <n v="529194.28"/>
    <x v="1"/>
    <x v="1"/>
    <x v="0"/>
    <x v="0"/>
    <x v="1"/>
    <x v="0"/>
    <x v="1"/>
    <x v="0"/>
    <x v="0"/>
    <n v="26"/>
    <x v="0"/>
  </r>
  <r>
    <d v="2024-04-26T00:00:00"/>
    <x v="0"/>
    <x v="1"/>
    <x v="0"/>
    <n v="16022743.560000001"/>
    <x v="0"/>
    <x v="1"/>
    <x v="0"/>
    <x v="1"/>
    <x v="1"/>
    <x v="0"/>
    <x v="1"/>
    <x v="0"/>
    <x v="0"/>
    <n v="26"/>
    <x v="0"/>
  </r>
  <r>
    <d v="2024-04-26T00:00:00"/>
    <x v="3"/>
    <x v="3"/>
    <x v="1"/>
    <n v="401946.36"/>
    <x v="3"/>
    <x v="3"/>
    <x v="1"/>
    <x v="2"/>
    <x v="1"/>
    <x v="0"/>
    <x v="1"/>
    <x v="0"/>
    <x v="0"/>
    <n v="26"/>
    <x v="0"/>
  </r>
  <r>
    <d v="2024-04-26T00:00:00"/>
    <x v="0"/>
    <x v="1"/>
    <x v="1"/>
    <n v="2236094.65"/>
    <x v="0"/>
    <x v="1"/>
    <x v="1"/>
    <x v="3"/>
    <x v="1"/>
    <x v="0"/>
    <x v="1"/>
    <x v="0"/>
    <x v="0"/>
    <n v="26"/>
    <x v="0"/>
  </r>
  <r>
    <d v="2024-04-26T00:00:00"/>
    <x v="2"/>
    <x v="1"/>
    <x v="0"/>
    <n v="121045198.93000001"/>
    <x v="2"/>
    <x v="1"/>
    <x v="0"/>
    <x v="6"/>
    <x v="1"/>
    <x v="0"/>
    <x v="1"/>
    <x v="0"/>
    <x v="0"/>
    <n v="26"/>
    <x v="0"/>
  </r>
  <r>
    <d v="2024-04-26T00:00:00"/>
    <x v="3"/>
    <x v="2"/>
    <x v="2"/>
    <n v="397179.02"/>
    <x v="3"/>
    <x v="2"/>
    <x v="2"/>
    <x v="5"/>
    <x v="1"/>
    <x v="0"/>
    <x v="1"/>
    <x v="0"/>
    <x v="0"/>
    <n v="26"/>
    <x v="0"/>
  </r>
  <r>
    <d v="2024-04-26T00:00:00"/>
    <x v="3"/>
    <x v="3"/>
    <x v="0"/>
    <n v="1744056114.02"/>
    <x v="3"/>
    <x v="3"/>
    <x v="0"/>
    <x v="7"/>
    <x v="1"/>
    <x v="0"/>
    <x v="1"/>
    <x v="0"/>
    <x v="0"/>
    <n v="26"/>
    <x v="0"/>
  </r>
  <r>
    <d v="2024-04-26T00:00:00"/>
    <x v="2"/>
    <x v="1"/>
    <x v="2"/>
    <n v="5581.8"/>
    <x v="2"/>
    <x v="1"/>
    <x v="2"/>
    <x v="4"/>
    <x v="1"/>
    <x v="0"/>
    <x v="1"/>
    <x v="0"/>
    <x v="0"/>
    <n v="26"/>
    <x v="0"/>
  </r>
  <r>
    <d v="2024-04-26T00:00:00"/>
    <x v="1"/>
    <x v="0"/>
    <x v="0"/>
    <n v="52293184.57"/>
    <x v="1"/>
    <x v="0"/>
    <x v="0"/>
    <x v="9"/>
    <x v="1"/>
    <x v="0"/>
    <x v="1"/>
    <x v="0"/>
    <x v="0"/>
    <n v="26"/>
    <x v="0"/>
  </r>
  <r>
    <d v="2024-04-26T00:00:00"/>
    <x v="2"/>
    <x v="1"/>
    <x v="1"/>
    <n v="910922144.22000003"/>
    <x v="2"/>
    <x v="1"/>
    <x v="1"/>
    <x v="8"/>
    <x v="1"/>
    <x v="0"/>
    <x v="1"/>
    <x v="0"/>
    <x v="0"/>
    <n v="26"/>
    <x v="0"/>
  </r>
  <r>
    <d v="2024-04-26T00:00:00"/>
    <x v="1"/>
    <x v="0"/>
    <x v="1"/>
    <n v="8008829805.0600004"/>
    <x v="1"/>
    <x v="0"/>
    <x v="1"/>
    <x v="10"/>
    <x v="1"/>
    <x v="0"/>
    <x v="1"/>
    <x v="0"/>
    <x v="0"/>
    <n v="26"/>
    <x v="0"/>
  </r>
  <r>
    <d v="2024-04-26T00:00:00"/>
    <x v="3"/>
    <x v="1"/>
    <x v="0"/>
    <n v="14616454.85"/>
    <x v="3"/>
    <x v="1"/>
    <x v="0"/>
    <x v="11"/>
    <x v="1"/>
    <x v="0"/>
    <x v="1"/>
    <x v="0"/>
    <x v="0"/>
    <n v="26"/>
    <x v="0"/>
  </r>
  <r>
    <d v="2024-04-26T00:00:00"/>
    <x v="3"/>
    <x v="2"/>
    <x v="0"/>
    <n v="515369510.39999998"/>
    <x v="3"/>
    <x v="2"/>
    <x v="0"/>
    <x v="12"/>
    <x v="1"/>
    <x v="0"/>
    <x v="1"/>
    <x v="0"/>
    <x v="0"/>
    <n v="26"/>
    <x v="0"/>
  </r>
  <r>
    <d v="2024-04-26T00:00:00"/>
    <x v="3"/>
    <x v="2"/>
    <x v="1"/>
    <n v="12124412689.309999"/>
    <x v="3"/>
    <x v="2"/>
    <x v="1"/>
    <x v="13"/>
    <x v="1"/>
    <x v="0"/>
    <x v="1"/>
    <x v="0"/>
    <x v="0"/>
    <n v="26"/>
    <x v="0"/>
  </r>
  <r>
    <d v="2024-04-25T00:00:00"/>
    <x v="0"/>
    <x v="0"/>
    <x v="0"/>
    <n v="789"/>
    <x v="0"/>
    <x v="0"/>
    <x v="0"/>
    <x v="0"/>
    <x v="1"/>
    <x v="0"/>
    <x v="1"/>
    <x v="0"/>
    <x v="0"/>
    <n v="25"/>
    <x v="0"/>
  </r>
  <r>
    <d v="2024-04-25T00:00:00"/>
    <x v="0"/>
    <x v="1"/>
    <x v="0"/>
    <n v="59595474.759999998"/>
    <x v="0"/>
    <x v="1"/>
    <x v="0"/>
    <x v="1"/>
    <x v="1"/>
    <x v="0"/>
    <x v="1"/>
    <x v="0"/>
    <x v="0"/>
    <n v="25"/>
    <x v="0"/>
  </r>
  <r>
    <d v="2024-04-25T00:00:00"/>
    <x v="3"/>
    <x v="3"/>
    <x v="2"/>
    <n v="160.80000000000001"/>
    <x v="3"/>
    <x v="3"/>
    <x v="2"/>
    <x v="2"/>
    <x v="1"/>
    <x v="0"/>
    <x v="1"/>
    <x v="0"/>
    <x v="0"/>
    <n v="25"/>
    <x v="0"/>
  </r>
  <r>
    <d v="2024-04-25T00:00:00"/>
    <x v="3"/>
    <x v="3"/>
    <x v="1"/>
    <n v="14273.17"/>
    <x v="3"/>
    <x v="3"/>
    <x v="1"/>
    <x v="3"/>
    <x v="1"/>
    <x v="0"/>
    <x v="1"/>
    <x v="0"/>
    <x v="0"/>
    <n v="25"/>
    <x v="0"/>
  </r>
  <r>
    <d v="2024-04-25T00:00:00"/>
    <x v="0"/>
    <x v="1"/>
    <x v="1"/>
    <n v="12702992.4"/>
    <x v="0"/>
    <x v="1"/>
    <x v="1"/>
    <x v="4"/>
    <x v="1"/>
    <x v="0"/>
    <x v="1"/>
    <x v="0"/>
    <x v="0"/>
    <n v="25"/>
    <x v="0"/>
  </r>
  <r>
    <d v="2024-04-25T00:00:00"/>
    <x v="1"/>
    <x v="1"/>
    <x v="0"/>
    <n v="268992.11"/>
    <x v="1"/>
    <x v="1"/>
    <x v="0"/>
    <x v="5"/>
    <x v="1"/>
    <x v="0"/>
    <x v="1"/>
    <x v="0"/>
    <x v="0"/>
    <n v="25"/>
    <x v="0"/>
  </r>
  <r>
    <d v="2024-04-25T00:00:00"/>
    <x v="2"/>
    <x v="1"/>
    <x v="0"/>
    <n v="88006943.900000006"/>
    <x v="2"/>
    <x v="1"/>
    <x v="0"/>
    <x v="8"/>
    <x v="1"/>
    <x v="0"/>
    <x v="1"/>
    <x v="0"/>
    <x v="0"/>
    <n v="25"/>
    <x v="0"/>
  </r>
  <r>
    <d v="2024-04-25T00:00:00"/>
    <x v="2"/>
    <x v="1"/>
    <x v="2"/>
    <n v="8453.1"/>
    <x v="2"/>
    <x v="1"/>
    <x v="2"/>
    <x v="6"/>
    <x v="1"/>
    <x v="0"/>
    <x v="1"/>
    <x v="0"/>
    <x v="0"/>
    <n v="25"/>
    <x v="0"/>
  </r>
  <r>
    <d v="2024-04-25T00:00:00"/>
    <x v="3"/>
    <x v="2"/>
    <x v="2"/>
    <n v="167947.51"/>
    <x v="3"/>
    <x v="2"/>
    <x v="2"/>
    <x v="7"/>
    <x v="1"/>
    <x v="0"/>
    <x v="1"/>
    <x v="0"/>
    <x v="0"/>
    <n v="25"/>
    <x v="0"/>
  </r>
  <r>
    <d v="2024-04-25T00:00:00"/>
    <x v="3"/>
    <x v="3"/>
    <x v="0"/>
    <n v="2568599705.0999999"/>
    <x v="3"/>
    <x v="3"/>
    <x v="0"/>
    <x v="9"/>
    <x v="1"/>
    <x v="0"/>
    <x v="1"/>
    <x v="0"/>
    <x v="0"/>
    <n v="25"/>
    <x v="0"/>
  </r>
  <r>
    <d v="2024-04-25T00:00:00"/>
    <x v="2"/>
    <x v="1"/>
    <x v="1"/>
    <n v="994447439.67999995"/>
    <x v="2"/>
    <x v="1"/>
    <x v="1"/>
    <x v="10"/>
    <x v="1"/>
    <x v="0"/>
    <x v="1"/>
    <x v="0"/>
    <x v="0"/>
    <n v="25"/>
    <x v="0"/>
  </r>
  <r>
    <d v="2024-04-25T00:00:00"/>
    <x v="1"/>
    <x v="0"/>
    <x v="0"/>
    <n v="65845288.649999999"/>
    <x v="1"/>
    <x v="0"/>
    <x v="0"/>
    <x v="11"/>
    <x v="1"/>
    <x v="0"/>
    <x v="1"/>
    <x v="0"/>
    <x v="0"/>
    <n v="25"/>
    <x v="0"/>
  </r>
  <r>
    <d v="2024-04-25T00:00:00"/>
    <x v="1"/>
    <x v="0"/>
    <x v="1"/>
    <n v="11795790229.040001"/>
    <x v="1"/>
    <x v="0"/>
    <x v="1"/>
    <x v="12"/>
    <x v="1"/>
    <x v="0"/>
    <x v="1"/>
    <x v="0"/>
    <x v="0"/>
    <n v="25"/>
    <x v="0"/>
  </r>
  <r>
    <d v="2024-04-25T00:00:00"/>
    <x v="3"/>
    <x v="1"/>
    <x v="0"/>
    <n v="14208189.41"/>
    <x v="3"/>
    <x v="1"/>
    <x v="0"/>
    <x v="13"/>
    <x v="1"/>
    <x v="0"/>
    <x v="1"/>
    <x v="0"/>
    <x v="0"/>
    <n v="25"/>
    <x v="0"/>
  </r>
  <r>
    <d v="2024-04-25T00:00:00"/>
    <x v="3"/>
    <x v="2"/>
    <x v="1"/>
    <n v="4133898168.77"/>
    <x v="3"/>
    <x v="2"/>
    <x v="1"/>
    <x v="14"/>
    <x v="1"/>
    <x v="0"/>
    <x v="1"/>
    <x v="0"/>
    <x v="0"/>
    <n v="25"/>
    <x v="0"/>
  </r>
  <r>
    <d v="2024-04-25T00:00:00"/>
    <x v="3"/>
    <x v="2"/>
    <x v="0"/>
    <n v="616088063.40999997"/>
    <x v="3"/>
    <x v="2"/>
    <x v="0"/>
    <x v="15"/>
    <x v="1"/>
    <x v="0"/>
    <x v="1"/>
    <x v="0"/>
    <x v="0"/>
    <n v="25"/>
    <x v="0"/>
  </r>
  <r>
    <d v="2024-04-24T00:00:00"/>
    <x v="3"/>
    <x v="2"/>
    <x v="2"/>
    <n v="128761.19"/>
    <x v="3"/>
    <x v="2"/>
    <x v="2"/>
    <x v="6"/>
    <x v="1"/>
    <x v="0"/>
    <x v="1"/>
    <x v="0"/>
    <x v="0"/>
    <n v="24"/>
    <x v="0"/>
  </r>
  <r>
    <d v="2024-04-24T00:00:00"/>
    <x v="0"/>
    <x v="0"/>
    <x v="0"/>
    <n v="8899.89"/>
    <x v="0"/>
    <x v="0"/>
    <x v="0"/>
    <x v="0"/>
    <x v="1"/>
    <x v="0"/>
    <x v="1"/>
    <x v="0"/>
    <x v="0"/>
    <n v="24"/>
    <x v="0"/>
  </r>
  <r>
    <d v="2024-04-24T00:00:00"/>
    <x v="1"/>
    <x v="1"/>
    <x v="0"/>
    <n v="475206.48"/>
    <x v="1"/>
    <x v="1"/>
    <x v="0"/>
    <x v="1"/>
    <x v="1"/>
    <x v="0"/>
    <x v="1"/>
    <x v="0"/>
    <x v="0"/>
    <n v="24"/>
    <x v="0"/>
  </r>
  <r>
    <d v="2024-04-24T00:00:00"/>
    <x v="0"/>
    <x v="1"/>
    <x v="0"/>
    <n v="10372174.369999999"/>
    <x v="0"/>
    <x v="1"/>
    <x v="0"/>
    <x v="2"/>
    <x v="1"/>
    <x v="0"/>
    <x v="1"/>
    <x v="0"/>
    <x v="0"/>
    <n v="24"/>
    <x v="0"/>
  </r>
  <r>
    <d v="2024-04-24T00:00:00"/>
    <x v="2"/>
    <x v="1"/>
    <x v="2"/>
    <n v="17260.82"/>
    <x v="2"/>
    <x v="1"/>
    <x v="2"/>
    <x v="3"/>
    <x v="1"/>
    <x v="0"/>
    <x v="1"/>
    <x v="0"/>
    <x v="0"/>
    <n v="24"/>
    <x v="0"/>
  </r>
  <r>
    <d v="2024-04-24T00:00:00"/>
    <x v="3"/>
    <x v="3"/>
    <x v="1"/>
    <n v="3142124.02"/>
    <x v="3"/>
    <x v="3"/>
    <x v="1"/>
    <x v="4"/>
    <x v="1"/>
    <x v="0"/>
    <x v="1"/>
    <x v="0"/>
    <x v="0"/>
    <n v="24"/>
    <x v="0"/>
  </r>
  <r>
    <d v="2024-04-24T00:00:00"/>
    <x v="0"/>
    <x v="1"/>
    <x v="1"/>
    <n v="15269821.869999999"/>
    <x v="0"/>
    <x v="1"/>
    <x v="1"/>
    <x v="5"/>
    <x v="1"/>
    <x v="0"/>
    <x v="1"/>
    <x v="0"/>
    <x v="0"/>
    <n v="24"/>
    <x v="0"/>
  </r>
  <r>
    <d v="2024-04-24T00:00:00"/>
    <x v="2"/>
    <x v="1"/>
    <x v="0"/>
    <n v="98242484.459999993"/>
    <x v="2"/>
    <x v="1"/>
    <x v="0"/>
    <x v="7"/>
    <x v="1"/>
    <x v="0"/>
    <x v="1"/>
    <x v="0"/>
    <x v="0"/>
    <n v="24"/>
    <x v="0"/>
  </r>
  <r>
    <d v="2024-04-24T00:00:00"/>
    <x v="2"/>
    <x v="1"/>
    <x v="1"/>
    <n v="1160351496.9100001"/>
    <x v="2"/>
    <x v="1"/>
    <x v="1"/>
    <x v="9"/>
    <x v="1"/>
    <x v="0"/>
    <x v="1"/>
    <x v="0"/>
    <x v="0"/>
    <n v="24"/>
    <x v="0"/>
  </r>
  <r>
    <d v="2024-04-24T00:00:00"/>
    <x v="3"/>
    <x v="3"/>
    <x v="0"/>
    <n v="1813652390.3299999"/>
    <x v="3"/>
    <x v="3"/>
    <x v="0"/>
    <x v="8"/>
    <x v="1"/>
    <x v="0"/>
    <x v="1"/>
    <x v="0"/>
    <x v="0"/>
    <n v="24"/>
    <x v="0"/>
  </r>
  <r>
    <d v="2024-04-24T00:00:00"/>
    <x v="1"/>
    <x v="0"/>
    <x v="0"/>
    <n v="117345464.04000001"/>
    <x v="1"/>
    <x v="0"/>
    <x v="0"/>
    <x v="10"/>
    <x v="1"/>
    <x v="0"/>
    <x v="1"/>
    <x v="0"/>
    <x v="0"/>
    <n v="24"/>
    <x v="0"/>
  </r>
  <r>
    <d v="2024-04-24T00:00:00"/>
    <x v="1"/>
    <x v="0"/>
    <x v="1"/>
    <n v="12510733974.450001"/>
    <x v="1"/>
    <x v="0"/>
    <x v="1"/>
    <x v="11"/>
    <x v="1"/>
    <x v="0"/>
    <x v="1"/>
    <x v="0"/>
    <x v="0"/>
    <n v="24"/>
    <x v="0"/>
  </r>
  <r>
    <d v="2024-04-24T00:00:00"/>
    <x v="3"/>
    <x v="1"/>
    <x v="0"/>
    <n v="14518255.24"/>
    <x v="3"/>
    <x v="1"/>
    <x v="0"/>
    <x v="12"/>
    <x v="1"/>
    <x v="0"/>
    <x v="1"/>
    <x v="0"/>
    <x v="0"/>
    <n v="24"/>
    <x v="0"/>
  </r>
  <r>
    <d v="2024-04-24T00:00:00"/>
    <x v="3"/>
    <x v="2"/>
    <x v="1"/>
    <n v="10507178565.27"/>
    <x v="3"/>
    <x v="2"/>
    <x v="1"/>
    <x v="13"/>
    <x v="1"/>
    <x v="0"/>
    <x v="1"/>
    <x v="0"/>
    <x v="0"/>
    <n v="24"/>
    <x v="0"/>
  </r>
  <r>
    <d v="2024-04-24T00:00:00"/>
    <x v="3"/>
    <x v="2"/>
    <x v="0"/>
    <n v="393864746.44"/>
    <x v="3"/>
    <x v="2"/>
    <x v="0"/>
    <x v="14"/>
    <x v="1"/>
    <x v="0"/>
    <x v="1"/>
    <x v="0"/>
    <x v="0"/>
    <n v="24"/>
    <x v="0"/>
  </r>
  <r>
    <d v="2024-04-23T00:00:00"/>
    <x v="0"/>
    <x v="1"/>
    <x v="1"/>
    <n v="2519538.39"/>
    <x v="0"/>
    <x v="1"/>
    <x v="1"/>
    <x v="4"/>
    <x v="1"/>
    <x v="0"/>
    <x v="1"/>
    <x v="0"/>
    <x v="0"/>
    <n v="23"/>
    <x v="0"/>
  </r>
  <r>
    <d v="2024-04-23T00:00:00"/>
    <x v="3"/>
    <x v="2"/>
    <x v="2"/>
    <n v="86358.42"/>
    <x v="3"/>
    <x v="2"/>
    <x v="2"/>
    <x v="6"/>
    <x v="1"/>
    <x v="0"/>
    <x v="1"/>
    <x v="0"/>
    <x v="0"/>
    <n v="23"/>
    <x v="0"/>
  </r>
  <r>
    <d v="2024-04-23T00:00:00"/>
    <x v="0"/>
    <x v="0"/>
    <x v="0"/>
    <n v="310"/>
    <x v="0"/>
    <x v="0"/>
    <x v="0"/>
    <x v="0"/>
    <x v="1"/>
    <x v="0"/>
    <x v="1"/>
    <x v="0"/>
    <x v="0"/>
    <n v="23"/>
    <x v="0"/>
  </r>
  <r>
    <d v="2024-04-23T00:00:00"/>
    <x v="1"/>
    <x v="1"/>
    <x v="0"/>
    <n v="330896.90000000002"/>
    <x v="1"/>
    <x v="1"/>
    <x v="0"/>
    <x v="1"/>
    <x v="1"/>
    <x v="0"/>
    <x v="1"/>
    <x v="0"/>
    <x v="0"/>
    <n v="23"/>
    <x v="0"/>
  </r>
  <r>
    <d v="2024-04-23T00:00:00"/>
    <x v="0"/>
    <x v="1"/>
    <x v="0"/>
    <n v="19385942.940000001"/>
    <x v="0"/>
    <x v="1"/>
    <x v="0"/>
    <x v="2"/>
    <x v="1"/>
    <x v="0"/>
    <x v="1"/>
    <x v="0"/>
    <x v="0"/>
    <n v="23"/>
    <x v="0"/>
  </r>
  <r>
    <d v="2024-04-23T00:00:00"/>
    <x v="2"/>
    <x v="1"/>
    <x v="2"/>
    <n v="16245.34"/>
    <x v="2"/>
    <x v="1"/>
    <x v="2"/>
    <x v="3"/>
    <x v="1"/>
    <x v="0"/>
    <x v="1"/>
    <x v="0"/>
    <x v="0"/>
    <n v="23"/>
    <x v="0"/>
  </r>
  <r>
    <d v="2024-04-23T00:00:00"/>
    <x v="2"/>
    <x v="1"/>
    <x v="0"/>
    <n v="83987947.349999994"/>
    <x v="2"/>
    <x v="1"/>
    <x v="0"/>
    <x v="7"/>
    <x v="1"/>
    <x v="0"/>
    <x v="1"/>
    <x v="0"/>
    <x v="0"/>
    <n v="23"/>
    <x v="0"/>
  </r>
  <r>
    <d v="2024-04-23T00:00:00"/>
    <x v="3"/>
    <x v="3"/>
    <x v="0"/>
    <n v="1941140209.8199999"/>
    <x v="3"/>
    <x v="3"/>
    <x v="0"/>
    <x v="8"/>
    <x v="1"/>
    <x v="0"/>
    <x v="1"/>
    <x v="0"/>
    <x v="0"/>
    <n v="23"/>
    <x v="0"/>
  </r>
  <r>
    <d v="2024-04-23T00:00:00"/>
    <x v="3"/>
    <x v="3"/>
    <x v="2"/>
    <n v="-6102.9"/>
    <x v="3"/>
    <x v="3"/>
    <x v="2"/>
    <x v="5"/>
    <x v="1"/>
    <x v="0"/>
    <x v="1"/>
    <x v="0"/>
    <x v="0"/>
    <n v="23"/>
    <x v="1"/>
  </r>
  <r>
    <d v="2024-04-23T00:00:00"/>
    <x v="2"/>
    <x v="1"/>
    <x v="1"/>
    <n v="1382460261.26"/>
    <x v="2"/>
    <x v="1"/>
    <x v="1"/>
    <x v="9"/>
    <x v="1"/>
    <x v="0"/>
    <x v="1"/>
    <x v="0"/>
    <x v="0"/>
    <n v="23"/>
    <x v="0"/>
  </r>
  <r>
    <d v="2024-04-23T00:00:00"/>
    <x v="1"/>
    <x v="0"/>
    <x v="0"/>
    <n v="99500023.959999993"/>
    <x v="1"/>
    <x v="0"/>
    <x v="0"/>
    <x v="10"/>
    <x v="1"/>
    <x v="0"/>
    <x v="1"/>
    <x v="0"/>
    <x v="0"/>
    <n v="23"/>
    <x v="0"/>
  </r>
  <r>
    <d v="2024-04-23T00:00:00"/>
    <x v="1"/>
    <x v="0"/>
    <x v="1"/>
    <n v="33077800082.759998"/>
    <x v="1"/>
    <x v="0"/>
    <x v="1"/>
    <x v="11"/>
    <x v="1"/>
    <x v="0"/>
    <x v="1"/>
    <x v="0"/>
    <x v="0"/>
    <n v="23"/>
    <x v="0"/>
  </r>
  <r>
    <d v="2024-04-23T00:00:00"/>
    <x v="3"/>
    <x v="1"/>
    <x v="0"/>
    <n v="13378001"/>
    <x v="3"/>
    <x v="1"/>
    <x v="0"/>
    <x v="12"/>
    <x v="1"/>
    <x v="0"/>
    <x v="1"/>
    <x v="0"/>
    <x v="0"/>
    <n v="23"/>
    <x v="0"/>
  </r>
  <r>
    <d v="2024-04-23T00:00:00"/>
    <x v="3"/>
    <x v="2"/>
    <x v="0"/>
    <n v="702256458.94000006"/>
    <x v="3"/>
    <x v="2"/>
    <x v="0"/>
    <x v="13"/>
    <x v="1"/>
    <x v="0"/>
    <x v="1"/>
    <x v="0"/>
    <x v="0"/>
    <n v="23"/>
    <x v="0"/>
  </r>
  <r>
    <d v="2024-04-23T00:00:00"/>
    <x v="3"/>
    <x v="2"/>
    <x v="1"/>
    <n v="4661895262.6099997"/>
    <x v="3"/>
    <x v="2"/>
    <x v="1"/>
    <x v="14"/>
    <x v="1"/>
    <x v="0"/>
    <x v="1"/>
    <x v="0"/>
    <x v="0"/>
    <n v="23"/>
    <x v="0"/>
  </r>
  <r>
    <d v="2024-04-22T00:00:00"/>
    <x v="0"/>
    <x v="1"/>
    <x v="0"/>
    <n v="8790338.2300000004"/>
    <x v="0"/>
    <x v="1"/>
    <x v="0"/>
    <x v="1"/>
    <x v="1"/>
    <x v="0"/>
    <x v="1"/>
    <x v="0"/>
    <x v="0"/>
    <n v="22"/>
    <x v="0"/>
  </r>
  <r>
    <d v="2024-04-22T00:00:00"/>
    <x v="0"/>
    <x v="0"/>
    <x v="0"/>
    <n v="500"/>
    <x v="0"/>
    <x v="0"/>
    <x v="0"/>
    <x v="0"/>
    <x v="1"/>
    <x v="0"/>
    <x v="1"/>
    <x v="0"/>
    <x v="0"/>
    <n v="22"/>
    <x v="0"/>
  </r>
  <r>
    <d v="2024-04-22T00:00:00"/>
    <x v="2"/>
    <x v="1"/>
    <x v="2"/>
    <n v="4614.3900000000003"/>
    <x v="2"/>
    <x v="1"/>
    <x v="2"/>
    <x v="2"/>
    <x v="1"/>
    <x v="0"/>
    <x v="1"/>
    <x v="0"/>
    <x v="0"/>
    <n v="22"/>
    <x v="0"/>
  </r>
  <r>
    <d v="2024-04-22T00:00:00"/>
    <x v="0"/>
    <x v="1"/>
    <x v="1"/>
    <n v="16218705.33"/>
    <x v="0"/>
    <x v="1"/>
    <x v="1"/>
    <x v="4"/>
    <x v="1"/>
    <x v="0"/>
    <x v="1"/>
    <x v="0"/>
    <x v="0"/>
    <n v="22"/>
    <x v="0"/>
  </r>
  <r>
    <d v="2024-04-22T00:00:00"/>
    <x v="3"/>
    <x v="3"/>
    <x v="1"/>
    <n v="31890"/>
    <x v="3"/>
    <x v="3"/>
    <x v="1"/>
    <x v="3"/>
    <x v="1"/>
    <x v="0"/>
    <x v="1"/>
    <x v="0"/>
    <x v="0"/>
    <n v="22"/>
    <x v="0"/>
  </r>
  <r>
    <d v="2024-04-22T00:00:00"/>
    <x v="3"/>
    <x v="3"/>
    <x v="0"/>
    <n v="2691095686.8400002"/>
    <x v="3"/>
    <x v="3"/>
    <x v="0"/>
    <x v="8"/>
    <x v="1"/>
    <x v="0"/>
    <x v="1"/>
    <x v="0"/>
    <x v="0"/>
    <n v="22"/>
    <x v="0"/>
  </r>
  <r>
    <d v="2024-04-22T00:00:00"/>
    <x v="1"/>
    <x v="1"/>
    <x v="0"/>
    <n v="81683.3"/>
    <x v="1"/>
    <x v="1"/>
    <x v="0"/>
    <x v="5"/>
    <x v="1"/>
    <x v="0"/>
    <x v="1"/>
    <x v="0"/>
    <x v="0"/>
    <n v="22"/>
    <x v="0"/>
  </r>
  <r>
    <d v="2024-04-22T00:00:00"/>
    <x v="1"/>
    <x v="0"/>
    <x v="0"/>
    <n v="56675282.329999998"/>
    <x v="1"/>
    <x v="0"/>
    <x v="0"/>
    <x v="10"/>
    <x v="1"/>
    <x v="0"/>
    <x v="1"/>
    <x v="0"/>
    <x v="0"/>
    <n v="22"/>
    <x v="0"/>
  </r>
  <r>
    <d v="2024-04-22T00:00:00"/>
    <x v="3"/>
    <x v="2"/>
    <x v="2"/>
    <n v="56789"/>
    <x v="3"/>
    <x v="2"/>
    <x v="2"/>
    <x v="6"/>
    <x v="1"/>
    <x v="0"/>
    <x v="1"/>
    <x v="0"/>
    <x v="0"/>
    <n v="22"/>
    <x v="0"/>
  </r>
  <r>
    <d v="2024-04-22T00:00:00"/>
    <x v="2"/>
    <x v="1"/>
    <x v="0"/>
    <n v="64316596.600000001"/>
    <x v="2"/>
    <x v="1"/>
    <x v="0"/>
    <x v="7"/>
    <x v="1"/>
    <x v="0"/>
    <x v="1"/>
    <x v="0"/>
    <x v="0"/>
    <n v="22"/>
    <x v="0"/>
  </r>
  <r>
    <d v="2024-04-22T00:00:00"/>
    <x v="2"/>
    <x v="1"/>
    <x v="1"/>
    <n v="954745199.50999999"/>
    <x v="2"/>
    <x v="1"/>
    <x v="1"/>
    <x v="9"/>
    <x v="1"/>
    <x v="0"/>
    <x v="1"/>
    <x v="0"/>
    <x v="0"/>
    <n v="22"/>
    <x v="0"/>
  </r>
  <r>
    <d v="2024-04-22T00:00:00"/>
    <x v="1"/>
    <x v="0"/>
    <x v="1"/>
    <n v="8709793511.6900005"/>
    <x v="1"/>
    <x v="0"/>
    <x v="1"/>
    <x v="11"/>
    <x v="1"/>
    <x v="0"/>
    <x v="1"/>
    <x v="0"/>
    <x v="0"/>
    <n v="22"/>
    <x v="0"/>
  </r>
  <r>
    <d v="2024-04-22T00:00:00"/>
    <x v="3"/>
    <x v="2"/>
    <x v="0"/>
    <n v="5731393281.6700001"/>
    <x v="3"/>
    <x v="2"/>
    <x v="0"/>
    <x v="12"/>
    <x v="1"/>
    <x v="0"/>
    <x v="1"/>
    <x v="0"/>
    <x v="0"/>
    <n v="22"/>
    <x v="0"/>
  </r>
  <r>
    <d v="2024-04-22T00:00:00"/>
    <x v="3"/>
    <x v="1"/>
    <x v="0"/>
    <n v="46085251.93"/>
    <x v="3"/>
    <x v="1"/>
    <x v="0"/>
    <x v="13"/>
    <x v="1"/>
    <x v="0"/>
    <x v="1"/>
    <x v="0"/>
    <x v="0"/>
    <n v="22"/>
    <x v="0"/>
  </r>
  <r>
    <d v="2024-04-22T00:00:00"/>
    <x v="3"/>
    <x v="2"/>
    <x v="1"/>
    <n v="23315669625.669998"/>
    <x v="3"/>
    <x v="2"/>
    <x v="1"/>
    <x v="14"/>
    <x v="1"/>
    <x v="0"/>
    <x v="1"/>
    <x v="0"/>
    <x v="0"/>
    <n v="22"/>
    <x v="0"/>
  </r>
  <r>
    <d v="2024-04-19T00:00:00"/>
    <x v="0"/>
    <x v="0"/>
    <x v="0"/>
    <n v="732.41"/>
    <x v="0"/>
    <x v="0"/>
    <x v="0"/>
    <x v="0"/>
    <x v="1"/>
    <x v="0"/>
    <x v="1"/>
    <x v="0"/>
    <x v="0"/>
    <n v="19"/>
    <x v="0"/>
  </r>
  <r>
    <d v="2024-04-19T00:00:00"/>
    <x v="1"/>
    <x v="1"/>
    <x v="0"/>
    <n v="712025.06"/>
    <x v="1"/>
    <x v="1"/>
    <x v="0"/>
    <x v="1"/>
    <x v="1"/>
    <x v="0"/>
    <x v="1"/>
    <x v="0"/>
    <x v="0"/>
    <n v="19"/>
    <x v="0"/>
  </r>
  <r>
    <d v="2024-04-19T00:00:00"/>
    <x v="0"/>
    <x v="1"/>
    <x v="0"/>
    <n v="12550627.6"/>
    <x v="0"/>
    <x v="1"/>
    <x v="0"/>
    <x v="2"/>
    <x v="1"/>
    <x v="0"/>
    <x v="1"/>
    <x v="0"/>
    <x v="0"/>
    <n v="19"/>
    <x v="0"/>
  </r>
  <r>
    <d v="2024-04-19T00:00:00"/>
    <x v="3"/>
    <x v="3"/>
    <x v="1"/>
    <n v="1934927.63"/>
    <x v="3"/>
    <x v="3"/>
    <x v="1"/>
    <x v="3"/>
    <x v="1"/>
    <x v="0"/>
    <x v="1"/>
    <x v="0"/>
    <x v="0"/>
    <n v="19"/>
    <x v="0"/>
  </r>
  <r>
    <d v="2024-04-19T00:00:00"/>
    <x v="0"/>
    <x v="1"/>
    <x v="1"/>
    <n v="-22161935.289999999"/>
    <x v="0"/>
    <x v="1"/>
    <x v="1"/>
    <x v="4"/>
    <x v="1"/>
    <x v="0"/>
    <x v="1"/>
    <x v="0"/>
    <x v="0"/>
    <n v="19"/>
    <x v="1"/>
  </r>
  <r>
    <d v="2024-04-19T00:00:00"/>
    <x v="2"/>
    <x v="1"/>
    <x v="2"/>
    <n v="5933.28"/>
    <x v="2"/>
    <x v="1"/>
    <x v="2"/>
    <x v="5"/>
    <x v="1"/>
    <x v="0"/>
    <x v="1"/>
    <x v="0"/>
    <x v="0"/>
    <n v="19"/>
    <x v="0"/>
  </r>
  <r>
    <d v="2024-04-19T00:00:00"/>
    <x v="3"/>
    <x v="2"/>
    <x v="2"/>
    <n v="144898.04"/>
    <x v="3"/>
    <x v="2"/>
    <x v="2"/>
    <x v="6"/>
    <x v="1"/>
    <x v="0"/>
    <x v="1"/>
    <x v="0"/>
    <x v="0"/>
    <n v="19"/>
    <x v="0"/>
  </r>
  <r>
    <d v="2024-04-19T00:00:00"/>
    <x v="2"/>
    <x v="1"/>
    <x v="1"/>
    <n v="1349211725.75"/>
    <x v="2"/>
    <x v="1"/>
    <x v="1"/>
    <x v="9"/>
    <x v="1"/>
    <x v="0"/>
    <x v="1"/>
    <x v="0"/>
    <x v="0"/>
    <n v="19"/>
    <x v="0"/>
  </r>
  <r>
    <d v="2024-04-19T00:00:00"/>
    <x v="3"/>
    <x v="3"/>
    <x v="0"/>
    <n v="1309202981.6099999"/>
    <x v="3"/>
    <x v="3"/>
    <x v="0"/>
    <x v="7"/>
    <x v="1"/>
    <x v="0"/>
    <x v="1"/>
    <x v="0"/>
    <x v="0"/>
    <n v="19"/>
    <x v="0"/>
  </r>
  <r>
    <d v="2024-04-19T00:00:00"/>
    <x v="2"/>
    <x v="1"/>
    <x v="0"/>
    <n v="102016952.18000001"/>
    <x v="2"/>
    <x v="1"/>
    <x v="0"/>
    <x v="8"/>
    <x v="1"/>
    <x v="0"/>
    <x v="1"/>
    <x v="0"/>
    <x v="0"/>
    <n v="19"/>
    <x v="0"/>
  </r>
  <r>
    <d v="2024-04-19T00:00:00"/>
    <x v="1"/>
    <x v="0"/>
    <x v="0"/>
    <n v="63336532.350000001"/>
    <x v="1"/>
    <x v="0"/>
    <x v="0"/>
    <x v="10"/>
    <x v="1"/>
    <x v="0"/>
    <x v="1"/>
    <x v="0"/>
    <x v="0"/>
    <n v="19"/>
    <x v="0"/>
  </r>
  <r>
    <d v="2024-04-19T00:00:00"/>
    <x v="1"/>
    <x v="0"/>
    <x v="1"/>
    <n v="10744048545.77"/>
    <x v="1"/>
    <x v="0"/>
    <x v="1"/>
    <x v="11"/>
    <x v="1"/>
    <x v="0"/>
    <x v="1"/>
    <x v="0"/>
    <x v="0"/>
    <n v="19"/>
    <x v="0"/>
  </r>
  <r>
    <d v="2024-04-19T00:00:00"/>
    <x v="3"/>
    <x v="1"/>
    <x v="0"/>
    <n v="14977399.390000001"/>
    <x v="3"/>
    <x v="1"/>
    <x v="0"/>
    <x v="12"/>
    <x v="1"/>
    <x v="0"/>
    <x v="1"/>
    <x v="0"/>
    <x v="0"/>
    <n v="19"/>
    <x v="0"/>
  </r>
  <r>
    <d v="2024-04-19T00:00:00"/>
    <x v="3"/>
    <x v="2"/>
    <x v="0"/>
    <n v="439199438.77999997"/>
    <x v="3"/>
    <x v="2"/>
    <x v="0"/>
    <x v="13"/>
    <x v="1"/>
    <x v="0"/>
    <x v="1"/>
    <x v="0"/>
    <x v="0"/>
    <n v="19"/>
    <x v="0"/>
  </r>
  <r>
    <d v="2024-04-19T00:00:00"/>
    <x v="3"/>
    <x v="2"/>
    <x v="1"/>
    <n v="10606317842.17"/>
    <x v="3"/>
    <x v="2"/>
    <x v="1"/>
    <x v="14"/>
    <x v="1"/>
    <x v="0"/>
    <x v="1"/>
    <x v="0"/>
    <x v="0"/>
    <n v="19"/>
    <x v="0"/>
  </r>
  <r>
    <d v="2024-04-18T00:00:00"/>
    <x v="0"/>
    <x v="1"/>
    <x v="0"/>
    <n v="7439370.1299999999"/>
    <x v="0"/>
    <x v="1"/>
    <x v="0"/>
    <x v="1"/>
    <x v="1"/>
    <x v="0"/>
    <x v="1"/>
    <x v="0"/>
    <x v="0"/>
    <n v="18"/>
    <x v="0"/>
  </r>
  <r>
    <d v="2024-04-18T00:00:00"/>
    <x v="0"/>
    <x v="0"/>
    <x v="0"/>
    <n v="700"/>
    <x v="0"/>
    <x v="0"/>
    <x v="0"/>
    <x v="0"/>
    <x v="1"/>
    <x v="0"/>
    <x v="1"/>
    <x v="0"/>
    <x v="0"/>
    <n v="18"/>
    <x v="0"/>
  </r>
  <r>
    <d v="2024-04-18T00:00:00"/>
    <x v="3"/>
    <x v="2"/>
    <x v="2"/>
    <n v="205407.21"/>
    <x v="3"/>
    <x v="2"/>
    <x v="2"/>
    <x v="6"/>
    <x v="1"/>
    <x v="0"/>
    <x v="1"/>
    <x v="0"/>
    <x v="0"/>
    <n v="18"/>
    <x v="0"/>
  </r>
  <r>
    <d v="2024-04-18T00:00:00"/>
    <x v="3"/>
    <x v="3"/>
    <x v="1"/>
    <n v="478235.92"/>
    <x v="3"/>
    <x v="3"/>
    <x v="1"/>
    <x v="2"/>
    <x v="1"/>
    <x v="0"/>
    <x v="1"/>
    <x v="0"/>
    <x v="0"/>
    <n v="18"/>
    <x v="0"/>
  </r>
  <r>
    <d v="2024-04-18T00:00:00"/>
    <x v="0"/>
    <x v="1"/>
    <x v="1"/>
    <n v="14239663.49"/>
    <x v="0"/>
    <x v="1"/>
    <x v="1"/>
    <x v="3"/>
    <x v="1"/>
    <x v="0"/>
    <x v="1"/>
    <x v="0"/>
    <x v="0"/>
    <n v="18"/>
    <x v="0"/>
  </r>
  <r>
    <d v="2024-04-18T00:00:00"/>
    <x v="2"/>
    <x v="1"/>
    <x v="0"/>
    <n v="86224266.25"/>
    <x v="2"/>
    <x v="1"/>
    <x v="0"/>
    <x v="7"/>
    <x v="1"/>
    <x v="0"/>
    <x v="1"/>
    <x v="0"/>
    <x v="0"/>
    <n v="18"/>
    <x v="0"/>
  </r>
  <r>
    <d v="2024-04-18T00:00:00"/>
    <x v="1"/>
    <x v="1"/>
    <x v="0"/>
    <n v="283671.18"/>
    <x v="1"/>
    <x v="1"/>
    <x v="0"/>
    <x v="4"/>
    <x v="1"/>
    <x v="0"/>
    <x v="1"/>
    <x v="0"/>
    <x v="0"/>
    <n v="18"/>
    <x v="0"/>
  </r>
  <r>
    <d v="2024-04-18T00:00:00"/>
    <x v="2"/>
    <x v="1"/>
    <x v="2"/>
    <n v="13618.33"/>
    <x v="2"/>
    <x v="1"/>
    <x v="2"/>
    <x v="5"/>
    <x v="1"/>
    <x v="0"/>
    <x v="1"/>
    <x v="0"/>
    <x v="0"/>
    <n v="18"/>
    <x v="0"/>
  </r>
  <r>
    <d v="2024-04-18T00:00:00"/>
    <x v="3"/>
    <x v="3"/>
    <x v="0"/>
    <n v="1178964671.3399999"/>
    <x v="3"/>
    <x v="3"/>
    <x v="0"/>
    <x v="8"/>
    <x v="1"/>
    <x v="0"/>
    <x v="1"/>
    <x v="0"/>
    <x v="0"/>
    <n v="18"/>
    <x v="0"/>
  </r>
  <r>
    <d v="2024-04-18T00:00:00"/>
    <x v="2"/>
    <x v="1"/>
    <x v="1"/>
    <n v="830421374.98000002"/>
    <x v="2"/>
    <x v="1"/>
    <x v="1"/>
    <x v="9"/>
    <x v="1"/>
    <x v="0"/>
    <x v="1"/>
    <x v="0"/>
    <x v="0"/>
    <n v="18"/>
    <x v="0"/>
  </r>
  <r>
    <d v="2024-04-18T00:00:00"/>
    <x v="1"/>
    <x v="0"/>
    <x v="0"/>
    <n v="68636960.879999995"/>
    <x v="1"/>
    <x v="0"/>
    <x v="0"/>
    <x v="10"/>
    <x v="1"/>
    <x v="0"/>
    <x v="1"/>
    <x v="0"/>
    <x v="0"/>
    <n v="18"/>
    <x v="0"/>
  </r>
  <r>
    <d v="2024-04-18T00:00:00"/>
    <x v="1"/>
    <x v="0"/>
    <x v="1"/>
    <n v="10182913859.25"/>
    <x v="1"/>
    <x v="0"/>
    <x v="1"/>
    <x v="11"/>
    <x v="1"/>
    <x v="0"/>
    <x v="1"/>
    <x v="0"/>
    <x v="0"/>
    <n v="18"/>
    <x v="0"/>
  </r>
  <r>
    <d v="2024-04-18T00:00:00"/>
    <x v="3"/>
    <x v="1"/>
    <x v="0"/>
    <n v="14469845.449999999"/>
    <x v="3"/>
    <x v="1"/>
    <x v="0"/>
    <x v="12"/>
    <x v="1"/>
    <x v="0"/>
    <x v="1"/>
    <x v="0"/>
    <x v="0"/>
    <n v="18"/>
    <x v="0"/>
  </r>
  <r>
    <d v="2024-04-18T00:00:00"/>
    <x v="3"/>
    <x v="2"/>
    <x v="0"/>
    <n v="704791866.46000004"/>
    <x v="3"/>
    <x v="2"/>
    <x v="0"/>
    <x v="13"/>
    <x v="1"/>
    <x v="0"/>
    <x v="1"/>
    <x v="0"/>
    <x v="0"/>
    <n v="18"/>
    <x v="0"/>
  </r>
  <r>
    <d v="2024-04-18T00:00:00"/>
    <x v="3"/>
    <x v="2"/>
    <x v="1"/>
    <n v="15645221107.93"/>
    <x v="3"/>
    <x v="2"/>
    <x v="1"/>
    <x v="14"/>
    <x v="1"/>
    <x v="0"/>
    <x v="1"/>
    <x v="0"/>
    <x v="0"/>
    <n v="18"/>
    <x v="0"/>
  </r>
  <r>
    <d v="2024-04-17T00:00:00"/>
    <x v="3"/>
    <x v="2"/>
    <x v="2"/>
    <n v="327354.46999999997"/>
    <x v="3"/>
    <x v="2"/>
    <x v="2"/>
    <x v="7"/>
    <x v="1"/>
    <x v="0"/>
    <x v="1"/>
    <x v="0"/>
    <x v="0"/>
    <n v="17"/>
    <x v="0"/>
  </r>
  <r>
    <d v="2024-04-17T00:00:00"/>
    <x v="0"/>
    <x v="0"/>
    <x v="0"/>
    <n v="676.74"/>
    <x v="0"/>
    <x v="0"/>
    <x v="0"/>
    <x v="0"/>
    <x v="1"/>
    <x v="0"/>
    <x v="1"/>
    <x v="0"/>
    <x v="0"/>
    <n v="17"/>
    <x v="0"/>
  </r>
  <r>
    <d v="2024-04-17T00:00:00"/>
    <x v="1"/>
    <x v="1"/>
    <x v="0"/>
    <n v="57013.36"/>
    <x v="1"/>
    <x v="1"/>
    <x v="0"/>
    <x v="1"/>
    <x v="1"/>
    <x v="0"/>
    <x v="1"/>
    <x v="0"/>
    <x v="0"/>
    <n v="17"/>
    <x v="0"/>
  </r>
  <r>
    <d v="2024-04-17T00:00:00"/>
    <x v="0"/>
    <x v="1"/>
    <x v="0"/>
    <n v="12476383.59"/>
    <x v="0"/>
    <x v="1"/>
    <x v="0"/>
    <x v="2"/>
    <x v="1"/>
    <x v="0"/>
    <x v="1"/>
    <x v="0"/>
    <x v="0"/>
    <n v="17"/>
    <x v="0"/>
  </r>
  <r>
    <d v="2024-04-17T00:00:00"/>
    <x v="3"/>
    <x v="3"/>
    <x v="2"/>
    <n v="20"/>
    <x v="3"/>
    <x v="3"/>
    <x v="2"/>
    <x v="3"/>
    <x v="1"/>
    <x v="0"/>
    <x v="1"/>
    <x v="0"/>
    <x v="0"/>
    <n v="17"/>
    <x v="0"/>
  </r>
  <r>
    <d v="2024-04-17T00:00:00"/>
    <x v="2"/>
    <x v="1"/>
    <x v="2"/>
    <n v="788599.71"/>
    <x v="2"/>
    <x v="1"/>
    <x v="2"/>
    <x v="4"/>
    <x v="1"/>
    <x v="0"/>
    <x v="1"/>
    <x v="0"/>
    <x v="0"/>
    <n v="17"/>
    <x v="0"/>
  </r>
  <r>
    <d v="2024-04-17T00:00:00"/>
    <x v="3"/>
    <x v="3"/>
    <x v="1"/>
    <n v="1552.19"/>
    <x v="3"/>
    <x v="3"/>
    <x v="1"/>
    <x v="5"/>
    <x v="1"/>
    <x v="0"/>
    <x v="1"/>
    <x v="0"/>
    <x v="0"/>
    <n v="17"/>
    <x v="0"/>
  </r>
  <r>
    <d v="2024-04-17T00:00:00"/>
    <x v="0"/>
    <x v="1"/>
    <x v="1"/>
    <n v="14286345.189999999"/>
    <x v="0"/>
    <x v="1"/>
    <x v="1"/>
    <x v="6"/>
    <x v="1"/>
    <x v="0"/>
    <x v="1"/>
    <x v="0"/>
    <x v="0"/>
    <n v="17"/>
    <x v="0"/>
  </r>
  <r>
    <d v="2024-04-17T00:00:00"/>
    <x v="2"/>
    <x v="1"/>
    <x v="0"/>
    <n v="98089404.5"/>
    <x v="2"/>
    <x v="1"/>
    <x v="0"/>
    <x v="8"/>
    <x v="1"/>
    <x v="0"/>
    <x v="1"/>
    <x v="0"/>
    <x v="0"/>
    <n v="17"/>
    <x v="0"/>
  </r>
  <r>
    <d v="2024-04-17T00:00:00"/>
    <x v="2"/>
    <x v="1"/>
    <x v="1"/>
    <n v="1096657627.5"/>
    <x v="2"/>
    <x v="1"/>
    <x v="1"/>
    <x v="10"/>
    <x v="1"/>
    <x v="0"/>
    <x v="1"/>
    <x v="0"/>
    <x v="0"/>
    <n v="17"/>
    <x v="0"/>
  </r>
  <r>
    <d v="2024-04-17T00:00:00"/>
    <x v="3"/>
    <x v="3"/>
    <x v="0"/>
    <n v="1129657731.3699999"/>
    <x v="3"/>
    <x v="3"/>
    <x v="0"/>
    <x v="9"/>
    <x v="1"/>
    <x v="0"/>
    <x v="1"/>
    <x v="0"/>
    <x v="0"/>
    <n v="17"/>
    <x v="0"/>
  </r>
  <r>
    <d v="2024-04-17T00:00:00"/>
    <x v="1"/>
    <x v="0"/>
    <x v="0"/>
    <n v="96991847.640000001"/>
    <x v="1"/>
    <x v="0"/>
    <x v="0"/>
    <x v="11"/>
    <x v="1"/>
    <x v="0"/>
    <x v="1"/>
    <x v="0"/>
    <x v="0"/>
    <n v="17"/>
    <x v="0"/>
  </r>
  <r>
    <d v="2024-04-17T00:00:00"/>
    <x v="1"/>
    <x v="0"/>
    <x v="1"/>
    <n v="9400221149.2999992"/>
    <x v="1"/>
    <x v="0"/>
    <x v="1"/>
    <x v="12"/>
    <x v="1"/>
    <x v="0"/>
    <x v="1"/>
    <x v="0"/>
    <x v="0"/>
    <n v="17"/>
    <x v="0"/>
  </r>
  <r>
    <d v="2024-04-17T00:00:00"/>
    <x v="3"/>
    <x v="1"/>
    <x v="0"/>
    <n v="15678305.67"/>
    <x v="3"/>
    <x v="1"/>
    <x v="0"/>
    <x v="13"/>
    <x v="1"/>
    <x v="0"/>
    <x v="1"/>
    <x v="0"/>
    <x v="0"/>
    <n v="17"/>
    <x v="0"/>
  </r>
  <r>
    <d v="2024-04-17T00:00:00"/>
    <x v="3"/>
    <x v="2"/>
    <x v="0"/>
    <n v="497015906.22000003"/>
    <x v="3"/>
    <x v="2"/>
    <x v="0"/>
    <x v="14"/>
    <x v="1"/>
    <x v="0"/>
    <x v="1"/>
    <x v="0"/>
    <x v="0"/>
    <n v="17"/>
    <x v="0"/>
  </r>
  <r>
    <d v="2024-04-17T00:00:00"/>
    <x v="3"/>
    <x v="2"/>
    <x v="1"/>
    <n v="59563235218.300003"/>
    <x v="3"/>
    <x v="2"/>
    <x v="1"/>
    <x v="15"/>
    <x v="1"/>
    <x v="0"/>
    <x v="1"/>
    <x v="0"/>
    <x v="0"/>
    <n v="17"/>
    <x v="0"/>
  </r>
  <r>
    <d v="2024-04-16T00:00:00"/>
    <x v="0"/>
    <x v="0"/>
    <x v="0"/>
    <n v="-1600"/>
    <x v="0"/>
    <x v="0"/>
    <x v="0"/>
    <x v="0"/>
    <x v="1"/>
    <x v="0"/>
    <x v="1"/>
    <x v="0"/>
    <x v="0"/>
    <n v="16"/>
    <x v="1"/>
  </r>
  <r>
    <d v="2024-04-16T00:00:00"/>
    <x v="1"/>
    <x v="1"/>
    <x v="0"/>
    <n v="30262.02"/>
    <x v="1"/>
    <x v="1"/>
    <x v="0"/>
    <x v="1"/>
    <x v="1"/>
    <x v="0"/>
    <x v="1"/>
    <x v="0"/>
    <x v="0"/>
    <n v="16"/>
    <x v="0"/>
  </r>
  <r>
    <d v="2024-04-16T00:00:00"/>
    <x v="0"/>
    <x v="1"/>
    <x v="0"/>
    <n v="27572652.780000001"/>
    <x v="0"/>
    <x v="1"/>
    <x v="0"/>
    <x v="2"/>
    <x v="1"/>
    <x v="0"/>
    <x v="1"/>
    <x v="0"/>
    <x v="0"/>
    <n v="16"/>
    <x v="0"/>
  </r>
  <r>
    <d v="2024-04-16T00:00:00"/>
    <x v="3"/>
    <x v="2"/>
    <x v="2"/>
    <n v="148047.60999999999"/>
    <x v="3"/>
    <x v="2"/>
    <x v="2"/>
    <x v="4"/>
    <x v="1"/>
    <x v="0"/>
    <x v="1"/>
    <x v="0"/>
    <x v="0"/>
    <n v="16"/>
    <x v="0"/>
  </r>
  <r>
    <d v="2024-04-16T00:00:00"/>
    <x v="2"/>
    <x v="1"/>
    <x v="2"/>
    <n v="8346.75"/>
    <x v="2"/>
    <x v="1"/>
    <x v="2"/>
    <x v="3"/>
    <x v="1"/>
    <x v="0"/>
    <x v="1"/>
    <x v="0"/>
    <x v="0"/>
    <n v="16"/>
    <x v="0"/>
  </r>
  <r>
    <d v="2024-04-16T00:00:00"/>
    <x v="3"/>
    <x v="3"/>
    <x v="1"/>
    <n v="3645606.97"/>
    <x v="3"/>
    <x v="3"/>
    <x v="1"/>
    <x v="5"/>
    <x v="1"/>
    <x v="0"/>
    <x v="1"/>
    <x v="0"/>
    <x v="0"/>
    <n v="16"/>
    <x v="0"/>
  </r>
  <r>
    <d v="2024-04-16T00:00:00"/>
    <x v="0"/>
    <x v="1"/>
    <x v="1"/>
    <n v="49209488.060000002"/>
    <x v="0"/>
    <x v="1"/>
    <x v="1"/>
    <x v="6"/>
    <x v="1"/>
    <x v="0"/>
    <x v="1"/>
    <x v="0"/>
    <x v="0"/>
    <n v="16"/>
    <x v="0"/>
  </r>
  <r>
    <d v="2024-04-16T00:00:00"/>
    <x v="2"/>
    <x v="1"/>
    <x v="0"/>
    <n v="77888980.799999997"/>
    <x v="2"/>
    <x v="1"/>
    <x v="0"/>
    <x v="7"/>
    <x v="1"/>
    <x v="0"/>
    <x v="1"/>
    <x v="0"/>
    <x v="0"/>
    <n v="16"/>
    <x v="0"/>
  </r>
  <r>
    <d v="2024-04-16T00:00:00"/>
    <x v="3"/>
    <x v="3"/>
    <x v="0"/>
    <n v="1201333769.97"/>
    <x v="3"/>
    <x v="3"/>
    <x v="0"/>
    <x v="8"/>
    <x v="1"/>
    <x v="0"/>
    <x v="1"/>
    <x v="0"/>
    <x v="0"/>
    <n v="16"/>
    <x v="0"/>
  </r>
  <r>
    <d v="2024-04-16T00:00:00"/>
    <x v="2"/>
    <x v="1"/>
    <x v="1"/>
    <n v="955888096.96000004"/>
    <x v="2"/>
    <x v="1"/>
    <x v="1"/>
    <x v="9"/>
    <x v="1"/>
    <x v="0"/>
    <x v="1"/>
    <x v="0"/>
    <x v="0"/>
    <n v="16"/>
    <x v="0"/>
  </r>
  <r>
    <d v="2024-04-16T00:00:00"/>
    <x v="1"/>
    <x v="0"/>
    <x v="0"/>
    <n v="95671986.900000006"/>
    <x v="1"/>
    <x v="0"/>
    <x v="0"/>
    <x v="10"/>
    <x v="1"/>
    <x v="0"/>
    <x v="1"/>
    <x v="0"/>
    <x v="0"/>
    <n v="16"/>
    <x v="0"/>
  </r>
  <r>
    <d v="2024-04-16T00:00:00"/>
    <x v="1"/>
    <x v="0"/>
    <x v="1"/>
    <n v="12306520914.790001"/>
    <x v="1"/>
    <x v="0"/>
    <x v="1"/>
    <x v="11"/>
    <x v="1"/>
    <x v="0"/>
    <x v="1"/>
    <x v="0"/>
    <x v="0"/>
    <n v="16"/>
    <x v="0"/>
  </r>
  <r>
    <d v="2024-04-16T00:00:00"/>
    <x v="3"/>
    <x v="1"/>
    <x v="0"/>
    <n v="14231481.140000001"/>
    <x v="3"/>
    <x v="1"/>
    <x v="0"/>
    <x v="12"/>
    <x v="1"/>
    <x v="0"/>
    <x v="1"/>
    <x v="0"/>
    <x v="0"/>
    <n v="16"/>
    <x v="0"/>
  </r>
  <r>
    <d v="2024-04-16T00:00:00"/>
    <x v="3"/>
    <x v="2"/>
    <x v="0"/>
    <n v="739100632.14999998"/>
    <x v="3"/>
    <x v="2"/>
    <x v="0"/>
    <x v="13"/>
    <x v="1"/>
    <x v="0"/>
    <x v="1"/>
    <x v="0"/>
    <x v="0"/>
    <n v="16"/>
    <x v="0"/>
  </r>
  <r>
    <d v="2024-04-16T00:00:00"/>
    <x v="3"/>
    <x v="2"/>
    <x v="1"/>
    <n v="47245925089.699997"/>
    <x v="3"/>
    <x v="2"/>
    <x v="1"/>
    <x v="14"/>
    <x v="1"/>
    <x v="0"/>
    <x v="1"/>
    <x v="0"/>
    <x v="0"/>
    <n v="16"/>
    <x v="0"/>
  </r>
  <r>
    <d v="2024-04-15T00:00:00"/>
    <x v="0"/>
    <x v="0"/>
    <x v="0"/>
    <n v="1899.87"/>
    <x v="0"/>
    <x v="0"/>
    <x v="0"/>
    <x v="0"/>
    <x v="1"/>
    <x v="0"/>
    <x v="1"/>
    <x v="0"/>
    <x v="0"/>
    <n v="15"/>
    <x v="0"/>
  </r>
  <r>
    <d v="2024-04-15T00:00:00"/>
    <x v="0"/>
    <x v="1"/>
    <x v="0"/>
    <n v="7879038.04"/>
    <x v="0"/>
    <x v="1"/>
    <x v="0"/>
    <x v="1"/>
    <x v="1"/>
    <x v="0"/>
    <x v="1"/>
    <x v="0"/>
    <x v="0"/>
    <n v="15"/>
    <x v="0"/>
  </r>
  <r>
    <d v="2024-04-15T00:00:00"/>
    <x v="2"/>
    <x v="1"/>
    <x v="2"/>
    <n v="91595.62"/>
    <x v="2"/>
    <x v="1"/>
    <x v="2"/>
    <x v="3"/>
    <x v="1"/>
    <x v="0"/>
    <x v="1"/>
    <x v="0"/>
    <x v="0"/>
    <n v="15"/>
    <x v="0"/>
  </r>
  <r>
    <d v="2024-04-15T00:00:00"/>
    <x v="3"/>
    <x v="3"/>
    <x v="2"/>
    <n v="409696.71"/>
    <x v="3"/>
    <x v="3"/>
    <x v="2"/>
    <x v="2"/>
    <x v="1"/>
    <x v="0"/>
    <x v="1"/>
    <x v="0"/>
    <x v="0"/>
    <n v="15"/>
    <x v="0"/>
  </r>
  <r>
    <d v="2024-04-15T00:00:00"/>
    <x v="0"/>
    <x v="1"/>
    <x v="1"/>
    <n v="1309545.3"/>
    <x v="0"/>
    <x v="1"/>
    <x v="1"/>
    <x v="4"/>
    <x v="1"/>
    <x v="0"/>
    <x v="1"/>
    <x v="0"/>
    <x v="0"/>
    <n v="15"/>
    <x v="0"/>
  </r>
  <r>
    <d v="2024-04-15T00:00:00"/>
    <x v="3"/>
    <x v="3"/>
    <x v="0"/>
    <n v="1792443509.8299999"/>
    <x v="3"/>
    <x v="3"/>
    <x v="0"/>
    <x v="7"/>
    <x v="1"/>
    <x v="0"/>
    <x v="1"/>
    <x v="0"/>
    <x v="0"/>
    <n v="15"/>
    <x v="0"/>
  </r>
  <r>
    <d v="2024-04-15T00:00:00"/>
    <x v="3"/>
    <x v="2"/>
    <x v="2"/>
    <n v="70915.09"/>
    <x v="3"/>
    <x v="2"/>
    <x v="2"/>
    <x v="5"/>
    <x v="1"/>
    <x v="0"/>
    <x v="1"/>
    <x v="0"/>
    <x v="0"/>
    <n v="15"/>
    <x v="0"/>
  </r>
  <r>
    <d v="2024-04-15T00:00:00"/>
    <x v="2"/>
    <x v="1"/>
    <x v="0"/>
    <n v="131888882.37"/>
    <x v="2"/>
    <x v="1"/>
    <x v="0"/>
    <x v="8"/>
    <x v="1"/>
    <x v="0"/>
    <x v="1"/>
    <x v="0"/>
    <x v="0"/>
    <n v="15"/>
    <x v="0"/>
  </r>
  <r>
    <d v="2024-04-15T00:00:00"/>
    <x v="2"/>
    <x v="1"/>
    <x v="1"/>
    <n v="642432679.37"/>
    <x v="2"/>
    <x v="1"/>
    <x v="1"/>
    <x v="9"/>
    <x v="1"/>
    <x v="0"/>
    <x v="1"/>
    <x v="0"/>
    <x v="0"/>
    <n v="15"/>
    <x v="0"/>
  </r>
  <r>
    <d v="2024-04-15T00:00:00"/>
    <x v="1"/>
    <x v="1"/>
    <x v="0"/>
    <n v="347005.27"/>
    <x v="1"/>
    <x v="1"/>
    <x v="0"/>
    <x v="6"/>
    <x v="1"/>
    <x v="0"/>
    <x v="1"/>
    <x v="0"/>
    <x v="0"/>
    <n v="15"/>
    <x v="0"/>
  </r>
  <r>
    <d v="2024-04-15T00:00:00"/>
    <x v="1"/>
    <x v="0"/>
    <x v="0"/>
    <n v="75236615.480000004"/>
    <x v="1"/>
    <x v="0"/>
    <x v="0"/>
    <x v="10"/>
    <x v="1"/>
    <x v="0"/>
    <x v="1"/>
    <x v="0"/>
    <x v="0"/>
    <n v="15"/>
    <x v="0"/>
  </r>
  <r>
    <d v="2024-04-15T00:00:00"/>
    <x v="1"/>
    <x v="0"/>
    <x v="1"/>
    <n v="4125628205.3299999"/>
    <x v="1"/>
    <x v="0"/>
    <x v="1"/>
    <x v="11"/>
    <x v="1"/>
    <x v="0"/>
    <x v="1"/>
    <x v="0"/>
    <x v="0"/>
    <n v="15"/>
    <x v="0"/>
  </r>
  <r>
    <d v="2024-04-15T00:00:00"/>
    <x v="3"/>
    <x v="2"/>
    <x v="0"/>
    <n v="792360767.59000003"/>
    <x v="3"/>
    <x v="2"/>
    <x v="0"/>
    <x v="12"/>
    <x v="1"/>
    <x v="0"/>
    <x v="1"/>
    <x v="0"/>
    <x v="0"/>
    <n v="15"/>
    <x v="0"/>
  </r>
  <r>
    <d v="2024-04-15T00:00:00"/>
    <x v="3"/>
    <x v="1"/>
    <x v="0"/>
    <n v="50805955.240000002"/>
    <x v="3"/>
    <x v="1"/>
    <x v="0"/>
    <x v="13"/>
    <x v="1"/>
    <x v="0"/>
    <x v="1"/>
    <x v="0"/>
    <x v="0"/>
    <n v="15"/>
    <x v="0"/>
  </r>
  <r>
    <d v="2024-04-15T00:00:00"/>
    <x v="3"/>
    <x v="2"/>
    <x v="1"/>
    <n v="182768860599.60001"/>
    <x v="3"/>
    <x v="2"/>
    <x v="1"/>
    <x v="14"/>
    <x v="1"/>
    <x v="0"/>
    <x v="1"/>
    <x v="0"/>
    <x v="0"/>
    <n v="15"/>
    <x v="0"/>
  </r>
  <r>
    <d v="2024-04-12T00:00:00"/>
    <x v="1"/>
    <x v="1"/>
    <x v="0"/>
    <n v="72963.460000000006"/>
    <x v="1"/>
    <x v="1"/>
    <x v="0"/>
    <x v="0"/>
    <x v="1"/>
    <x v="0"/>
    <x v="1"/>
    <x v="0"/>
    <x v="0"/>
    <n v="12"/>
    <x v="0"/>
  </r>
  <r>
    <d v="2024-04-12T00:00:00"/>
    <x v="0"/>
    <x v="1"/>
    <x v="0"/>
    <n v="3141818.75"/>
    <x v="0"/>
    <x v="1"/>
    <x v="0"/>
    <x v="1"/>
    <x v="1"/>
    <x v="0"/>
    <x v="1"/>
    <x v="0"/>
    <x v="0"/>
    <n v="12"/>
    <x v="0"/>
  </r>
  <r>
    <d v="2024-04-12T00:00:00"/>
    <x v="3"/>
    <x v="3"/>
    <x v="1"/>
    <n v="1849881.03"/>
    <x v="3"/>
    <x v="3"/>
    <x v="1"/>
    <x v="2"/>
    <x v="1"/>
    <x v="0"/>
    <x v="1"/>
    <x v="0"/>
    <x v="0"/>
    <n v="12"/>
    <x v="0"/>
  </r>
  <r>
    <d v="2024-04-12T00:00:00"/>
    <x v="0"/>
    <x v="1"/>
    <x v="1"/>
    <n v="44526001.340000004"/>
    <x v="0"/>
    <x v="1"/>
    <x v="1"/>
    <x v="3"/>
    <x v="1"/>
    <x v="0"/>
    <x v="1"/>
    <x v="0"/>
    <x v="0"/>
    <n v="12"/>
    <x v="0"/>
  </r>
  <r>
    <d v="2024-04-12T00:00:00"/>
    <x v="3"/>
    <x v="2"/>
    <x v="2"/>
    <n v="124612"/>
    <x v="3"/>
    <x v="2"/>
    <x v="2"/>
    <x v="5"/>
    <x v="1"/>
    <x v="0"/>
    <x v="1"/>
    <x v="0"/>
    <x v="0"/>
    <n v="12"/>
    <x v="0"/>
  </r>
  <r>
    <d v="2024-04-12T00:00:00"/>
    <x v="3"/>
    <x v="3"/>
    <x v="0"/>
    <n v="1119824782.6099999"/>
    <x v="3"/>
    <x v="3"/>
    <x v="0"/>
    <x v="7"/>
    <x v="1"/>
    <x v="0"/>
    <x v="1"/>
    <x v="0"/>
    <x v="0"/>
    <n v="12"/>
    <x v="0"/>
  </r>
  <r>
    <d v="2024-04-12T00:00:00"/>
    <x v="2"/>
    <x v="1"/>
    <x v="1"/>
    <n v="312238894.07999998"/>
    <x v="2"/>
    <x v="1"/>
    <x v="1"/>
    <x v="8"/>
    <x v="1"/>
    <x v="0"/>
    <x v="1"/>
    <x v="0"/>
    <x v="0"/>
    <n v="12"/>
    <x v="0"/>
  </r>
  <r>
    <d v="2024-04-12T00:00:00"/>
    <x v="1"/>
    <x v="0"/>
    <x v="0"/>
    <n v="53153149.390000001"/>
    <x v="1"/>
    <x v="0"/>
    <x v="0"/>
    <x v="9"/>
    <x v="1"/>
    <x v="0"/>
    <x v="1"/>
    <x v="0"/>
    <x v="0"/>
    <n v="12"/>
    <x v="0"/>
  </r>
  <r>
    <d v="2024-04-12T00:00:00"/>
    <x v="2"/>
    <x v="1"/>
    <x v="2"/>
    <n v="5030"/>
    <x v="2"/>
    <x v="1"/>
    <x v="2"/>
    <x v="4"/>
    <x v="1"/>
    <x v="0"/>
    <x v="1"/>
    <x v="0"/>
    <x v="0"/>
    <n v="12"/>
    <x v="0"/>
  </r>
  <r>
    <d v="2024-04-12T00:00:00"/>
    <x v="2"/>
    <x v="1"/>
    <x v="0"/>
    <n v="93852769.489999995"/>
    <x v="2"/>
    <x v="1"/>
    <x v="0"/>
    <x v="6"/>
    <x v="1"/>
    <x v="0"/>
    <x v="1"/>
    <x v="0"/>
    <x v="0"/>
    <n v="12"/>
    <x v="0"/>
  </r>
  <r>
    <d v="2024-04-12T00:00:00"/>
    <x v="1"/>
    <x v="0"/>
    <x v="1"/>
    <n v="2978508300.1100001"/>
    <x v="1"/>
    <x v="0"/>
    <x v="1"/>
    <x v="10"/>
    <x v="1"/>
    <x v="0"/>
    <x v="1"/>
    <x v="0"/>
    <x v="0"/>
    <n v="12"/>
    <x v="0"/>
  </r>
  <r>
    <d v="2024-04-12T00:00:00"/>
    <x v="3"/>
    <x v="1"/>
    <x v="0"/>
    <n v="15187842.08"/>
    <x v="3"/>
    <x v="1"/>
    <x v="0"/>
    <x v="11"/>
    <x v="1"/>
    <x v="0"/>
    <x v="1"/>
    <x v="0"/>
    <x v="0"/>
    <n v="12"/>
    <x v="0"/>
  </r>
  <r>
    <d v="2024-04-12T00:00:00"/>
    <x v="3"/>
    <x v="2"/>
    <x v="0"/>
    <n v="641079933.50999999"/>
    <x v="3"/>
    <x v="2"/>
    <x v="0"/>
    <x v="12"/>
    <x v="1"/>
    <x v="0"/>
    <x v="1"/>
    <x v="0"/>
    <x v="0"/>
    <n v="12"/>
    <x v="0"/>
  </r>
  <r>
    <d v="2024-04-12T00:00:00"/>
    <x v="3"/>
    <x v="2"/>
    <x v="1"/>
    <n v="73095784153.990005"/>
    <x v="3"/>
    <x v="2"/>
    <x v="1"/>
    <x v="13"/>
    <x v="1"/>
    <x v="0"/>
    <x v="1"/>
    <x v="0"/>
    <x v="0"/>
    <n v="12"/>
    <x v="0"/>
  </r>
  <r>
    <d v="2024-04-11T00:00:00"/>
    <x v="0"/>
    <x v="0"/>
    <x v="0"/>
    <n v="604.13"/>
    <x v="0"/>
    <x v="0"/>
    <x v="0"/>
    <x v="0"/>
    <x v="1"/>
    <x v="0"/>
    <x v="1"/>
    <x v="0"/>
    <x v="0"/>
    <n v="11"/>
    <x v="0"/>
  </r>
  <r>
    <d v="2024-04-11T00:00:00"/>
    <x v="0"/>
    <x v="1"/>
    <x v="0"/>
    <n v="-44519618.030000001"/>
    <x v="0"/>
    <x v="1"/>
    <x v="0"/>
    <x v="1"/>
    <x v="1"/>
    <x v="0"/>
    <x v="1"/>
    <x v="0"/>
    <x v="0"/>
    <n v="11"/>
    <x v="1"/>
  </r>
  <r>
    <d v="2024-04-11T00:00:00"/>
    <x v="3"/>
    <x v="3"/>
    <x v="2"/>
    <n v="6102.9"/>
    <x v="3"/>
    <x v="3"/>
    <x v="2"/>
    <x v="2"/>
    <x v="1"/>
    <x v="0"/>
    <x v="1"/>
    <x v="0"/>
    <x v="0"/>
    <n v="11"/>
    <x v="0"/>
  </r>
  <r>
    <d v="2024-04-11T00:00:00"/>
    <x v="3"/>
    <x v="2"/>
    <x v="2"/>
    <n v="92639.13"/>
    <x v="3"/>
    <x v="2"/>
    <x v="2"/>
    <x v="6"/>
    <x v="1"/>
    <x v="0"/>
    <x v="1"/>
    <x v="0"/>
    <x v="0"/>
    <n v="11"/>
    <x v="0"/>
  </r>
  <r>
    <d v="2024-04-11T00:00:00"/>
    <x v="2"/>
    <x v="1"/>
    <x v="0"/>
    <n v="83048136.049999997"/>
    <x v="2"/>
    <x v="1"/>
    <x v="0"/>
    <x v="9"/>
    <x v="1"/>
    <x v="0"/>
    <x v="1"/>
    <x v="0"/>
    <x v="0"/>
    <n v="11"/>
    <x v="0"/>
  </r>
  <r>
    <d v="2024-04-11T00:00:00"/>
    <x v="2"/>
    <x v="1"/>
    <x v="1"/>
    <n v="353458920.61000001"/>
    <x v="2"/>
    <x v="1"/>
    <x v="1"/>
    <x v="10"/>
    <x v="1"/>
    <x v="0"/>
    <x v="1"/>
    <x v="0"/>
    <x v="0"/>
    <n v="11"/>
    <x v="0"/>
  </r>
  <r>
    <d v="2024-04-11T00:00:00"/>
    <x v="3"/>
    <x v="3"/>
    <x v="1"/>
    <n v="241473.66"/>
    <x v="3"/>
    <x v="3"/>
    <x v="1"/>
    <x v="3"/>
    <x v="1"/>
    <x v="0"/>
    <x v="1"/>
    <x v="0"/>
    <x v="0"/>
    <n v="11"/>
    <x v="0"/>
  </r>
  <r>
    <d v="2024-04-11T00:00:00"/>
    <x v="0"/>
    <x v="1"/>
    <x v="1"/>
    <n v="3856287.71"/>
    <x v="0"/>
    <x v="1"/>
    <x v="1"/>
    <x v="4"/>
    <x v="1"/>
    <x v="0"/>
    <x v="1"/>
    <x v="0"/>
    <x v="0"/>
    <n v="11"/>
    <x v="0"/>
  </r>
  <r>
    <d v="2024-04-11T00:00:00"/>
    <x v="1"/>
    <x v="1"/>
    <x v="0"/>
    <n v="118807.67"/>
    <x v="1"/>
    <x v="1"/>
    <x v="0"/>
    <x v="5"/>
    <x v="1"/>
    <x v="0"/>
    <x v="1"/>
    <x v="0"/>
    <x v="0"/>
    <n v="11"/>
    <x v="0"/>
  </r>
  <r>
    <d v="2024-04-11T00:00:00"/>
    <x v="2"/>
    <x v="1"/>
    <x v="2"/>
    <n v="12604.65"/>
    <x v="2"/>
    <x v="1"/>
    <x v="2"/>
    <x v="7"/>
    <x v="1"/>
    <x v="0"/>
    <x v="1"/>
    <x v="0"/>
    <x v="0"/>
    <n v="11"/>
    <x v="0"/>
  </r>
  <r>
    <d v="2024-04-11T00:00:00"/>
    <x v="3"/>
    <x v="3"/>
    <x v="0"/>
    <n v="1446551096.3399999"/>
    <x v="3"/>
    <x v="3"/>
    <x v="0"/>
    <x v="8"/>
    <x v="1"/>
    <x v="0"/>
    <x v="1"/>
    <x v="0"/>
    <x v="0"/>
    <n v="11"/>
    <x v="0"/>
  </r>
  <r>
    <d v="2024-04-11T00:00:00"/>
    <x v="1"/>
    <x v="0"/>
    <x v="0"/>
    <n v="47023463.609999999"/>
    <x v="1"/>
    <x v="0"/>
    <x v="0"/>
    <x v="11"/>
    <x v="1"/>
    <x v="0"/>
    <x v="1"/>
    <x v="0"/>
    <x v="0"/>
    <n v="11"/>
    <x v="0"/>
  </r>
  <r>
    <d v="2024-04-11T00:00:00"/>
    <x v="1"/>
    <x v="0"/>
    <x v="1"/>
    <n v="3042620381.96"/>
    <x v="1"/>
    <x v="0"/>
    <x v="1"/>
    <x v="12"/>
    <x v="1"/>
    <x v="0"/>
    <x v="1"/>
    <x v="0"/>
    <x v="0"/>
    <n v="11"/>
    <x v="0"/>
  </r>
  <r>
    <d v="2024-04-11T00:00:00"/>
    <x v="3"/>
    <x v="1"/>
    <x v="0"/>
    <n v="14381254.98"/>
    <x v="3"/>
    <x v="1"/>
    <x v="0"/>
    <x v="13"/>
    <x v="1"/>
    <x v="0"/>
    <x v="1"/>
    <x v="0"/>
    <x v="0"/>
    <n v="11"/>
    <x v="0"/>
  </r>
  <r>
    <d v="2024-04-11T00:00:00"/>
    <x v="3"/>
    <x v="2"/>
    <x v="0"/>
    <n v="530737761.13"/>
    <x v="3"/>
    <x v="2"/>
    <x v="0"/>
    <x v="14"/>
    <x v="1"/>
    <x v="0"/>
    <x v="1"/>
    <x v="0"/>
    <x v="0"/>
    <n v="11"/>
    <x v="0"/>
  </r>
  <r>
    <d v="2024-04-11T00:00:00"/>
    <x v="3"/>
    <x v="2"/>
    <x v="1"/>
    <n v="24686533714.549999"/>
    <x v="3"/>
    <x v="2"/>
    <x v="1"/>
    <x v="15"/>
    <x v="1"/>
    <x v="0"/>
    <x v="1"/>
    <x v="0"/>
    <x v="0"/>
    <n v="11"/>
    <x v="0"/>
  </r>
  <r>
    <d v="2024-04-10T00:00:00"/>
    <x v="1"/>
    <x v="1"/>
    <x v="0"/>
    <n v="341063.79"/>
    <x v="1"/>
    <x v="1"/>
    <x v="0"/>
    <x v="0"/>
    <x v="1"/>
    <x v="0"/>
    <x v="1"/>
    <x v="0"/>
    <x v="0"/>
    <n v="10"/>
    <x v="0"/>
  </r>
  <r>
    <d v="2024-04-10T00:00:00"/>
    <x v="0"/>
    <x v="1"/>
    <x v="0"/>
    <n v="11562893.41"/>
    <x v="0"/>
    <x v="1"/>
    <x v="0"/>
    <x v="1"/>
    <x v="1"/>
    <x v="0"/>
    <x v="1"/>
    <x v="0"/>
    <x v="0"/>
    <n v="10"/>
    <x v="0"/>
  </r>
  <r>
    <d v="2024-04-10T00:00:00"/>
    <x v="2"/>
    <x v="1"/>
    <x v="2"/>
    <n v="15295.47"/>
    <x v="2"/>
    <x v="1"/>
    <x v="2"/>
    <x v="2"/>
    <x v="1"/>
    <x v="0"/>
    <x v="1"/>
    <x v="0"/>
    <x v="0"/>
    <n v="10"/>
    <x v="0"/>
  </r>
  <r>
    <d v="2024-04-10T00:00:00"/>
    <x v="3"/>
    <x v="3"/>
    <x v="0"/>
    <n v="1309664520.0799999"/>
    <x v="3"/>
    <x v="3"/>
    <x v="0"/>
    <x v="5"/>
    <x v="1"/>
    <x v="0"/>
    <x v="1"/>
    <x v="0"/>
    <x v="0"/>
    <n v="10"/>
    <x v="0"/>
  </r>
  <r>
    <d v="2024-04-10T00:00:00"/>
    <x v="0"/>
    <x v="1"/>
    <x v="1"/>
    <n v="43844295.859999999"/>
    <x v="0"/>
    <x v="1"/>
    <x v="1"/>
    <x v="3"/>
    <x v="1"/>
    <x v="0"/>
    <x v="1"/>
    <x v="0"/>
    <x v="0"/>
    <n v="10"/>
    <x v="0"/>
  </r>
  <r>
    <d v="2024-04-10T00:00:00"/>
    <x v="1"/>
    <x v="0"/>
    <x v="0"/>
    <n v="88983611.670000002"/>
    <x v="1"/>
    <x v="0"/>
    <x v="0"/>
    <x v="8"/>
    <x v="1"/>
    <x v="0"/>
    <x v="1"/>
    <x v="0"/>
    <x v="0"/>
    <n v="10"/>
    <x v="0"/>
  </r>
  <r>
    <d v="2024-04-10T00:00:00"/>
    <x v="3"/>
    <x v="2"/>
    <x v="2"/>
    <n v="299837.03000000003"/>
    <x v="3"/>
    <x v="2"/>
    <x v="2"/>
    <x v="4"/>
    <x v="1"/>
    <x v="0"/>
    <x v="1"/>
    <x v="0"/>
    <x v="0"/>
    <n v="10"/>
    <x v="0"/>
  </r>
  <r>
    <d v="2024-04-10T00:00:00"/>
    <x v="2"/>
    <x v="1"/>
    <x v="0"/>
    <n v="109325690.64"/>
    <x v="2"/>
    <x v="1"/>
    <x v="0"/>
    <x v="6"/>
    <x v="1"/>
    <x v="0"/>
    <x v="1"/>
    <x v="0"/>
    <x v="0"/>
    <n v="10"/>
    <x v="0"/>
  </r>
  <r>
    <d v="2024-04-10T00:00:00"/>
    <x v="2"/>
    <x v="1"/>
    <x v="1"/>
    <n v="302216273.75"/>
    <x v="2"/>
    <x v="1"/>
    <x v="1"/>
    <x v="7"/>
    <x v="1"/>
    <x v="0"/>
    <x v="1"/>
    <x v="0"/>
    <x v="0"/>
    <n v="10"/>
    <x v="0"/>
  </r>
  <r>
    <d v="2024-04-10T00:00:00"/>
    <x v="1"/>
    <x v="0"/>
    <x v="1"/>
    <n v="3850720491.5500002"/>
    <x v="1"/>
    <x v="0"/>
    <x v="1"/>
    <x v="9"/>
    <x v="1"/>
    <x v="0"/>
    <x v="1"/>
    <x v="0"/>
    <x v="0"/>
    <n v="10"/>
    <x v="0"/>
  </r>
  <r>
    <d v="2024-04-10T00:00:00"/>
    <x v="3"/>
    <x v="1"/>
    <x v="0"/>
    <n v="15103746.75"/>
    <x v="3"/>
    <x v="1"/>
    <x v="0"/>
    <x v="10"/>
    <x v="1"/>
    <x v="0"/>
    <x v="1"/>
    <x v="0"/>
    <x v="0"/>
    <n v="10"/>
    <x v="0"/>
  </r>
  <r>
    <d v="2024-04-10T00:00:00"/>
    <x v="3"/>
    <x v="2"/>
    <x v="0"/>
    <n v="497106935.24000001"/>
    <x v="3"/>
    <x v="2"/>
    <x v="0"/>
    <x v="11"/>
    <x v="1"/>
    <x v="0"/>
    <x v="1"/>
    <x v="0"/>
    <x v="0"/>
    <n v="10"/>
    <x v="0"/>
  </r>
  <r>
    <d v="2024-04-10T00:00:00"/>
    <x v="3"/>
    <x v="2"/>
    <x v="1"/>
    <n v="23559592484.189999"/>
    <x v="3"/>
    <x v="2"/>
    <x v="1"/>
    <x v="12"/>
    <x v="1"/>
    <x v="0"/>
    <x v="1"/>
    <x v="0"/>
    <x v="0"/>
    <n v="10"/>
    <x v="0"/>
  </r>
  <r>
    <d v="2024-04-09T00:00:00"/>
    <x v="1"/>
    <x v="1"/>
    <x v="0"/>
    <n v="49047.71"/>
    <x v="1"/>
    <x v="1"/>
    <x v="0"/>
    <x v="0"/>
    <x v="1"/>
    <x v="0"/>
    <x v="1"/>
    <x v="0"/>
    <x v="0"/>
    <n v="9"/>
    <x v="0"/>
  </r>
  <r>
    <d v="2024-04-09T00:00:00"/>
    <x v="0"/>
    <x v="1"/>
    <x v="0"/>
    <n v="11689849.859999999"/>
    <x v="0"/>
    <x v="1"/>
    <x v="0"/>
    <x v="1"/>
    <x v="1"/>
    <x v="0"/>
    <x v="1"/>
    <x v="0"/>
    <x v="0"/>
    <n v="9"/>
    <x v="0"/>
  </r>
  <r>
    <d v="2024-04-09T00:00:00"/>
    <x v="2"/>
    <x v="1"/>
    <x v="2"/>
    <n v="15316.85"/>
    <x v="2"/>
    <x v="1"/>
    <x v="2"/>
    <x v="2"/>
    <x v="1"/>
    <x v="0"/>
    <x v="1"/>
    <x v="0"/>
    <x v="0"/>
    <n v="9"/>
    <x v="0"/>
  </r>
  <r>
    <d v="2024-04-09T00:00:00"/>
    <x v="2"/>
    <x v="1"/>
    <x v="0"/>
    <n v="64099369.450000003"/>
    <x v="2"/>
    <x v="1"/>
    <x v="0"/>
    <x v="6"/>
    <x v="1"/>
    <x v="0"/>
    <x v="1"/>
    <x v="0"/>
    <x v="0"/>
    <n v="9"/>
    <x v="0"/>
  </r>
  <r>
    <d v="2024-04-09T00:00:00"/>
    <x v="3"/>
    <x v="3"/>
    <x v="0"/>
    <n v="1160224280.95"/>
    <x v="3"/>
    <x v="3"/>
    <x v="0"/>
    <x v="7"/>
    <x v="1"/>
    <x v="0"/>
    <x v="1"/>
    <x v="0"/>
    <x v="0"/>
    <n v="9"/>
    <x v="0"/>
  </r>
  <r>
    <d v="2024-04-09T00:00:00"/>
    <x v="3"/>
    <x v="2"/>
    <x v="2"/>
    <n v="90025.76"/>
    <x v="3"/>
    <x v="2"/>
    <x v="2"/>
    <x v="5"/>
    <x v="1"/>
    <x v="0"/>
    <x v="1"/>
    <x v="0"/>
    <x v="0"/>
    <n v="9"/>
    <x v="0"/>
  </r>
  <r>
    <d v="2024-04-09T00:00:00"/>
    <x v="2"/>
    <x v="1"/>
    <x v="1"/>
    <n v="357521811.05000001"/>
    <x v="2"/>
    <x v="1"/>
    <x v="1"/>
    <x v="8"/>
    <x v="1"/>
    <x v="0"/>
    <x v="1"/>
    <x v="0"/>
    <x v="0"/>
    <n v="9"/>
    <x v="0"/>
  </r>
  <r>
    <d v="2024-04-09T00:00:00"/>
    <x v="3"/>
    <x v="3"/>
    <x v="1"/>
    <n v="19826.96"/>
    <x v="3"/>
    <x v="3"/>
    <x v="1"/>
    <x v="3"/>
    <x v="1"/>
    <x v="0"/>
    <x v="1"/>
    <x v="0"/>
    <x v="0"/>
    <n v="9"/>
    <x v="0"/>
  </r>
  <r>
    <d v="2024-04-09T00:00:00"/>
    <x v="0"/>
    <x v="1"/>
    <x v="1"/>
    <n v="5002031.8099999996"/>
    <x v="0"/>
    <x v="1"/>
    <x v="1"/>
    <x v="4"/>
    <x v="1"/>
    <x v="0"/>
    <x v="1"/>
    <x v="0"/>
    <x v="0"/>
    <n v="9"/>
    <x v="0"/>
  </r>
  <r>
    <d v="2024-04-09T00:00:00"/>
    <x v="1"/>
    <x v="0"/>
    <x v="0"/>
    <n v="78832988.299999997"/>
    <x v="1"/>
    <x v="0"/>
    <x v="0"/>
    <x v="9"/>
    <x v="1"/>
    <x v="0"/>
    <x v="1"/>
    <x v="0"/>
    <x v="0"/>
    <n v="9"/>
    <x v="0"/>
  </r>
  <r>
    <d v="2024-04-09T00:00:00"/>
    <x v="1"/>
    <x v="0"/>
    <x v="1"/>
    <n v="1866895008.4000001"/>
    <x v="1"/>
    <x v="0"/>
    <x v="1"/>
    <x v="10"/>
    <x v="1"/>
    <x v="0"/>
    <x v="1"/>
    <x v="0"/>
    <x v="0"/>
    <n v="9"/>
    <x v="0"/>
  </r>
  <r>
    <d v="2024-04-09T00:00:00"/>
    <x v="3"/>
    <x v="1"/>
    <x v="0"/>
    <n v="12114744.74"/>
    <x v="3"/>
    <x v="1"/>
    <x v="0"/>
    <x v="11"/>
    <x v="1"/>
    <x v="0"/>
    <x v="1"/>
    <x v="0"/>
    <x v="0"/>
    <n v="9"/>
    <x v="0"/>
  </r>
  <r>
    <d v="2024-04-09T00:00:00"/>
    <x v="3"/>
    <x v="2"/>
    <x v="0"/>
    <n v="871967824.36000001"/>
    <x v="3"/>
    <x v="2"/>
    <x v="0"/>
    <x v="12"/>
    <x v="1"/>
    <x v="0"/>
    <x v="1"/>
    <x v="0"/>
    <x v="0"/>
    <n v="9"/>
    <x v="0"/>
  </r>
  <r>
    <d v="2024-04-09T00:00:00"/>
    <x v="3"/>
    <x v="2"/>
    <x v="1"/>
    <n v="11031079985.610001"/>
    <x v="3"/>
    <x v="2"/>
    <x v="1"/>
    <x v="13"/>
    <x v="1"/>
    <x v="0"/>
    <x v="1"/>
    <x v="0"/>
    <x v="0"/>
    <n v="9"/>
    <x v="0"/>
  </r>
  <r>
    <d v="2024-04-08T00:00:00"/>
    <x v="0"/>
    <x v="0"/>
    <x v="0"/>
    <n v="548"/>
    <x v="0"/>
    <x v="0"/>
    <x v="0"/>
    <x v="0"/>
    <x v="1"/>
    <x v="0"/>
    <x v="1"/>
    <x v="0"/>
    <x v="0"/>
    <n v="8"/>
    <x v="0"/>
  </r>
  <r>
    <d v="2024-04-08T00:00:00"/>
    <x v="1"/>
    <x v="1"/>
    <x v="0"/>
    <n v="144457.95000000001"/>
    <x v="1"/>
    <x v="1"/>
    <x v="0"/>
    <x v="1"/>
    <x v="1"/>
    <x v="0"/>
    <x v="1"/>
    <x v="0"/>
    <x v="0"/>
    <n v="8"/>
    <x v="0"/>
  </r>
  <r>
    <d v="2024-04-08T00:00:00"/>
    <x v="0"/>
    <x v="1"/>
    <x v="0"/>
    <n v="14021787.67"/>
    <x v="0"/>
    <x v="1"/>
    <x v="0"/>
    <x v="2"/>
    <x v="1"/>
    <x v="0"/>
    <x v="1"/>
    <x v="0"/>
    <x v="0"/>
    <n v="8"/>
    <x v="0"/>
  </r>
  <r>
    <d v="2024-04-08T00:00:00"/>
    <x v="2"/>
    <x v="1"/>
    <x v="0"/>
    <n v="78838100.540000007"/>
    <x v="2"/>
    <x v="1"/>
    <x v="0"/>
    <x v="7"/>
    <x v="1"/>
    <x v="0"/>
    <x v="1"/>
    <x v="0"/>
    <x v="0"/>
    <n v="8"/>
    <x v="0"/>
  </r>
  <r>
    <d v="2024-04-08T00:00:00"/>
    <x v="2"/>
    <x v="1"/>
    <x v="2"/>
    <n v="14544.52"/>
    <x v="2"/>
    <x v="1"/>
    <x v="2"/>
    <x v="4"/>
    <x v="1"/>
    <x v="0"/>
    <x v="1"/>
    <x v="0"/>
    <x v="0"/>
    <n v="8"/>
    <x v="0"/>
  </r>
  <r>
    <d v="2024-04-08T00:00:00"/>
    <x v="2"/>
    <x v="1"/>
    <x v="1"/>
    <n v="240545445.83000001"/>
    <x v="2"/>
    <x v="1"/>
    <x v="1"/>
    <x v="8"/>
    <x v="1"/>
    <x v="0"/>
    <x v="1"/>
    <x v="0"/>
    <x v="0"/>
    <n v="8"/>
    <x v="0"/>
  </r>
  <r>
    <d v="2024-04-08T00:00:00"/>
    <x v="1"/>
    <x v="0"/>
    <x v="0"/>
    <n v="63876416.170000002"/>
    <x v="1"/>
    <x v="0"/>
    <x v="0"/>
    <x v="9"/>
    <x v="1"/>
    <x v="0"/>
    <x v="1"/>
    <x v="0"/>
    <x v="0"/>
    <n v="8"/>
    <x v="0"/>
  </r>
  <r>
    <d v="2024-04-08T00:00:00"/>
    <x v="0"/>
    <x v="1"/>
    <x v="1"/>
    <n v="8549593.8200000003"/>
    <x v="0"/>
    <x v="1"/>
    <x v="1"/>
    <x v="3"/>
    <x v="1"/>
    <x v="0"/>
    <x v="1"/>
    <x v="0"/>
    <x v="0"/>
    <n v="8"/>
    <x v="0"/>
  </r>
  <r>
    <d v="2024-04-08T00:00:00"/>
    <x v="3"/>
    <x v="2"/>
    <x v="2"/>
    <n v="57048.46"/>
    <x v="3"/>
    <x v="2"/>
    <x v="2"/>
    <x v="5"/>
    <x v="1"/>
    <x v="0"/>
    <x v="1"/>
    <x v="0"/>
    <x v="0"/>
    <n v="8"/>
    <x v="0"/>
  </r>
  <r>
    <d v="2024-04-08T00:00:00"/>
    <x v="3"/>
    <x v="3"/>
    <x v="0"/>
    <n v="1065663518.9299999"/>
    <x v="3"/>
    <x v="3"/>
    <x v="0"/>
    <x v="6"/>
    <x v="1"/>
    <x v="0"/>
    <x v="1"/>
    <x v="0"/>
    <x v="0"/>
    <n v="8"/>
    <x v="0"/>
  </r>
  <r>
    <d v="2024-04-08T00:00:00"/>
    <x v="1"/>
    <x v="0"/>
    <x v="1"/>
    <n v="1377339748.99"/>
    <x v="1"/>
    <x v="0"/>
    <x v="1"/>
    <x v="10"/>
    <x v="1"/>
    <x v="0"/>
    <x v="1"/>
    <x v="0"/>
    <x v="0"/>
    <n v="8"/>
    <x v="0"/>
  </r>
  <r>
    <d v="2024-04-08T00:00:00"/>
    <x v="3"/>
    <x v="2"/>
    <x v="0"/>
    <n v="995503139.86000001"/>
    <x v="3"/>
    <x v="2"/>
    <x v="0"/>
    <x v="11"/>
    <x v="1"/>
    <x v="0"/>
    <x v="1"/>
    <x v="0"/>
    <x v="0"/>
    <n v="8"/>
    <x v="0"/>
  </r>
  <r>
    <d v="2024-04-08T00:00:00"/>
    <x v="3"/>
    <x v="2"/>
    <x v="1"/>
    <n v="29862328747.220001"/>
    <x v="3"/>
    <x v="2"/>
    <x v="1"/>
    <x v="12"/>
    <x v="1"/>
    <x v="0"/>
    <x v="1"/>
    <x v="0"/>
    <x v="0"/>
    <n v="8"/>
    <x v="0"/>
  </r>
  <r>
    <d v="2024-04-08T00:00:00"/>
    <x v="3"/>
    <x v="1"/>
    <x v="0"/>
    <n v="48535965.740000002"/>
    <x v="3"/>
    <x v="1"/>
    <x v="0"/>
    <x v="13"/>
    <x v="1"/>
    <x v="0"/>
    <x v="1"/>
    <x v="0"/>
    <x v="0"/>
    <n v="8"/>
    <x v="0"/>
  </r>
  <r>
    <d v="2024-04-05T00:00:00"/>
    <x v="0"/>
    <x v="0"/>
    <x v="0"/>
    <n v="498.42"/>
    <x v="0"/>
    <x v="0"/>
    <x v="0"/>
    <x v="0"/>
    <x v="1"/>
    <x v="0"/>
    <x v="1"/>
    <x v="0"/>
    <x v="0"/>
    <n v="5"/>
    <x v="0"/>
  </r>
  <r>
    <d v="2024-04-05T00:00:00"/>
    <x v="0"/>
    <x v="1"/>
    <x v="0"/>
    <n v="6697271.3099999996"/>
    <x v="0"/>
    <x v="1"/>
    <x v="0"/>
    <x v="1"/>
    <x v="1"/>
    <x v="0"/>
    <x v="1"/>
    <x v="0"/>
    <x v="0"/>
    <n v="5"/>
    <x v="0"/>
  </r>
  <r>
    <d v="2024-04-05T00:00:00"/>
    <x v="2"/>
    <x v="1"/>
    <x v="2"/>
    <n v="8025"/>
    <x v="2"/>
    <x v="1"/>
    <x v="2"/>
    <x v="2"/>
    <x v="1"/>
    <x v="0"/>
    <x v="1"/>
    <x v="0"/>
    <x v="0"/>
    <n v="5"/>
    <x v="0"/>
  </r>
  <r>
    <d v="2024-04-05T00:00:00"/>
    <x v="2"/>
    <x v="1"/>
    <x v="0"/>
    <n v="82512587.560000002"/>
    <x v="2"/>
    <x v="1"/>
    <x v="0"/>
    <x v="6"/>
    <x v="1"/>
    <x v="0"/>
    <x v="1"/>
    <x v="0"/>
    <x v="0"/>
    <n v="5"/>
    <x v="0"/>
  </r>
  <r>
    <d v="2024-04-05T00:00:00"/>
    <x v="3"/>
    <x v="3"/>
    <x v="0"/>
    <n v="1115952037.1500001"/>
    <x v="3"/>
    <x v="3"/>
    <x v="0"/>
    <x v="7"/>
    <x v="1"/>
    <x v="0"/>
    <x v="1"/>
    <x v="0"/>
    <x v="0"/>
    <n v="5"/>
    <x v="0"/>
  </r>
  <r>
    <d v="2024-04-05T00:00:00"/>
    <x v="2"/>
    <x v="1"/>
    <x v="1"/>
    <n v="318985791.31"/>
    <x v="2"/>
    <x v="1"/>
    <x v="1"/>
    <x v="8"/>
    <x v="1"/>
    <x v="0"/>
    <x v="1"/>
    <x v="0"/>
    <x v="0"/>
    <n v="5"/>
    <x v="0"/>
  </r>
  <r>
    <d v="2024-04-05T00:00:00"/>
    <x v="0"/>
    <x v="1"/>
    <x v="1"/>
    <n v="12006546.029999999"/>
    <x v="0"/>
    <x v="1"/>
    <x v="1"/>
    <x v="3"/>
    <x v="1"/>
    <x v="0"/>
    <x v="1"/>
    <x v="0"/>
    <x v="0"/>
    <n v="5"/>
    <x v="0"/>
  </r>
  <r>
    <d v="2024-04-05T00:00:00"/>
    <x v="1"/>
    <x v="1"/>
    <x v="0"/>
    <n v="500070.75"/>
    <x v="1"/>
    <x v="1"/>
    <x v="0"/>
    <x v="4"/>
    <x v="1"/>
    <x v="0"/>
    <x v="1"/>
    <x v="0"/>
    <x v="0"/>
    <n v="5"/>
    <x v="0"/>
  </r>
  <r>
    <d v="2024-04-05T00:00:00"/>
    <x v="3"/>
    <x v="2"/>
    <x v="2"/>
    <n v="147667"/>
    <x v="3"/>
    <x v="2"/>
    <x v="2"/>
    <x v="5"/>
    <x v="1"/>
    <x v="0"/>
    <x v="1"/>
    <x v="0"/>
    <x v="0"/>
    <n v="5"/>
    <x v="0"/>
  </r>
  <r>
    <d v="2024-04-05T00:00:00"/>
    <x v="1"/>
    <x v="0"/>
    <x v="0"/>
    <n v="50327244.119999997"/>
    <x v="1"/>
    <x v="0"/>
    <x v="0"/>
    <x v="9"/>
    <x v="1"/>
    <x v="0"/>
    <x v="1"/>
    <x v="0"/>
    <x v="0"/>
    <n v="5"/>
    <x v="0"/>
  </r>
  <r>
    <d v="2024-04-05T00:00:00"/>
    <x v="1"/>
    <x v="0"/>
    <x v="1"/>
    <n v="870935842.54999995"/>
    <x v="1"/>
    <x v="0"/>
    <x v="1"/>
    <x v="10"/>
    <x v="1"/>
    <x v="0"/>
    <x v="1"/>
    <x v="0"/>
    <x v="0"/>
    <n v="5"/>
    <x v="0"/>
  </r>
  <r>
    <d v="2024-04-05T00:00:00"/>
    <x v="3"/>
    <x v="1"/>
    <x v="0"/>
    <n v="15310654.01"/>
    <x v="3"/>
    <x v="1"/>
    <x v="0"/>
    <x v="11"/>
    <x v="1"/>
    <x v="0"/>
    <x v="1"/>
    <x v="0"/>
    <x v="0"/>
    <n v="5"/>
    <x v="0"/>
  </r>
  <r>
    <d v="2024-04-05T00:00:00"/>
    <x v="3"/>
    <x v="2"/>
    <x v="0"/>
    <n v="569832691.17999995"/>
    <x v="3"/>
    <x v="2"/>
    <x v="0"/>
    <x v="12"/>
    <x v="1"/>
    <x v="0"/>
    <x v="1"/>
    <x v="0"/>
    <x v="0"/>
    <n v="5"/>
    <x v="0"/>
  </r>
  <r>
    <d v="2024-04-05T00:00:00"/>
    <x v="3"/>
    <x v="2"/>
    <x v="1"/>
    <n v="11940231228.48"/>
    <x v="3"/>
    <x v="2"/>
    <x v="1"/>
    <x v="13"/>
    <x v="1"/>
    <x v="0"/>
    <x v="1"/>
    <x v="0"/>
    <x v="0"/>
    <n v="5"/>
    <x v="0"/>
  </r>
  <r>
    <d v="2024-04-04T00:00:00"/>
    <x v="0"/>
    <x v="1"/>
    <x v="0"/>
    <n v="30522050.379999999"/>
    <x v="0"/>
    <x v="1"/>
    <x v="0"/>
    <x v="0"/>
    <x v="1"/>
    <x v="0"/>
    <x v="1"/>
    <x v="0"/>
    <x v="0"/>
    <n v="4"/>
    <x v="0"/>
  </r>
  <r>
    <d v="2024-04-04T00:00:00"/>
    <x v="3"/>
    <x v="2"/>
    <x v="2"/>
    <n v="242282"/>
    <x v="3"/>
    <x v="2"/>
    <x v="2"/>
    <x v="5"/>
    <x v="1"/>
    <x v="0"/>
    <x v="1"/>
    <x v="0"/>
    <x v="0"/>
    <n v="4"/>
    <x v="0"/>
  </r>
  <r>
    <d v="2024-04-04T00:00:00"/>
    <x v="2"/>
    <x v="1"/>
    <x v="2"/>
    <n v="8851.26"/>
    <x v="2"/>
    <x v="1"/>
    <x v="2"/>
    <x v="1"/>
    <x v="1"/>
    <x v="0"/>
    <x v="1"/>
    <x v="0"/>
    <x v="0"/>
    <n v="4"/>
    <x v="0"/>
  </r>
  <r>
    <d v="2024-04-04T00:00:00"/>
    <x v="2"/>
    <x v="1"/>
    <x v="0"/>
    <n v="94342241.590000004"/>
    <x v="2"/>
    <x v="1"/>
    <x v="0"/>
    <x v="7"/>
    <x v="1"/>
    <x v="0"/>
    <x v="1"/>
    <x v="0"/>
    <x v="0"/>
    <n v="4"/>
    <x v="0"/>
  </r>
  <r>
    <d v="2024-04-04T00:00:00"/>
    <x v="2"/>
    <x v="1"/>
    <x v="1"/>
    <n v="192855280.83000001"/>
    <x v="2"/>
    <x v="1"/>
    <x v="1"/>
    <x v="8"/>
    <x v="1"/>
    <x v="0"/>
    <x v="1"/>
    <x v="0"/>
    <x v="0"/>
    <n v="4"/>
    <x v="0"/>
  </r>
  <r>
    <d v="2024-04-04T00:00:00"/>
    <x v="3"/>
    <x v="3"/>
    <x v="1"/>
    <n v="7120165.1600000001"/>
    <x v="3"/>
    <x v="3"/>
    <x v="1"/>
    <x v="2"/>
    <x v="1"/>
    <x v="0"/>
    <x v="1"/>
    <x v="0"/>
    <x v="0"/>
    <n v="4"/>
    <x v="0"/>
  </r>
  <r>
    <d v="2024-04-04T00:00:00"/>
    <x v="0"/>
    <x v="1"/>
    <x v="1"/>
    <n v="14093099.710000001"/>
    <x v="0"/>
    <x v="1"/>
    <x v="1"/>
    <x v="3"/>
    <x v="1"/>
    <x v="0"/>
    <x v="1"/>
    <x v="0"/>
    <x v="0"/>
    <n v="4"/>
    <x v="0"/>
  </r>
  <r>
    <d v="2024-04-04T00:00:00"/>
    <x v="1"/>
    <x v="0"/>
    <x v="0"/>
    <n v="50172025.030000001"/>
    <x v="1"/>
    <x v="0"/>
    <x v="0"/>
    <x v="9"/>
    <x v="1"/>
    <x v="0"/>
    <x v="1"/>
    <x v="0"/>
    <x v="0"/>
    <n v="4"/>
    <x v="0"/>
  </r>
  <r>
    <d v="2024-04-04T00:00:00"/>
    <x v="1"/>
    <x v="1"/>
    <x v="0"/>
    <n v="128227.75"/>
    <x v="1"/>
    <x v="1"/>
    <x v="0"/>
    <x v="4"/>
    <x v="1"/>
    <x v="0"/>
    <x v="1"/>
    <x v="0"/>
    <x v="0"/>
    <n v="4"/>
    <x v="0"/>
  </r>
  <r>
    <d v="2024-04-04T00:00:00"/>
    <x v="3"/>
    <x v="3"/>
    <x v="0"/>
    <n v="1009950314.39"/>
    <x v="3"/>
    <x v="3"/>
    <x v="0"/>
    <x v="6"/>
    <x v="1"/>
    <x v="0"/>
    <x v="1"/>
    <x v="0"/>
    <x v="0"/>
    <n v="4"/>
    <x v="0"/>
  </r>
  <r>
    <d v="2024-04-04T00:00:00"/>
    <x v="1"/>
    <x v="0"/>
    <x v="1"/>
    <n v="994211494.29999995"/>
    <x v="1"/>
    <x v="0"/>
    <x v="1"/>
    <x v="10"/>
    <x v="1"/>
    <x v="0"/>
    <x v="1"/>
    <x v="0"/>
    <x v="0"/>
    <n v="4"/>
    <x v="0"/>
  </r>
  <r>
    <d v="2024-04-04T00:00:00"/>
    <x v="3"/>
    <x v="1"/>
    <x v="0"/>
    <n v="14928007.359999999"/>
    <x v="3"/>
    <x v="1"/>
    <x v="0"/>
    <x v="11"/>
    <x v="1"/>
    <x v="0"/>
    <x v="1"/>
    <x v="0"/>
    <x v="0"/>
    <n v="4"/>
    <x v="0"/>
  </r>
  <r>
    <d v="2024-04-04T00:00:00"/>
    <x v="3"/>
    <x v="2"/>
    <x v="1"/>
    <n v="5485452852.96"/>
    <x v="3"/>
    <x v="2"/>
    <x v="1"/>
    <x v="12"/>
    <x v="1"/>
    <x v="0"/>
    <x v="1"/>
    <x v="0"/>
    <x v="0"/>
    <n v="4"/>
    <x v="0"/>
  </r>
  <r>
    <d v="2024-04-04T00:00:00"/>
    <x v="3"/>
    <x v="2"/>
    <x v="0"/>
    <n v="572755918.98000002"/>
    <x v="3"/>
    <x v="2"/>
    <x v="0"/>
    <x v="13"/>
    <x v="1"/>
    <x v="0"/>
    <x v="1"/>
    <x v="0"/>
    <x v="0"/>
    <n v="4"/>
    <x v="0"/>
  </r>
  <r>
    <d v="2024-04-03T00:00:00"/>
    <x v="0"/>
    <x v="0"/>
    <x v="0"/>
    <n v="669.46"/>
    <x v="0"/>
    <x v="0"/>
    <x v="0"/>
    <x v="0"/>
    <x v="1"/>
    <x v="0"/>
    <x v="1"/>
    <x v="0"/>
    <x v="0"/>
    <n v="3"/>
    <x v="0"/>
  </r>
  <r>
    <d v="2024-04-03T00:00:00"/>
    <x v="1"/>
    <x v="1"/>
    <x v="0"/>
    <n v="55264.94"/>
    <x v="1"/>
    <x v="1"/>
    <x v="0"/>
    <x v="1"/>
    <x v="1"/>
    <x v="0"/>
    <x v="1"/>
    <x v="0"/>
    <x v="0"/>
    <n v="3"/>
    <x v="0"/>
  </r>
  <r>
    <d v="2024-04-03T00:00:00"/>
    <x v="0"/>
    <x v="1"/>
    <x v="0"/>
    <n v="18759758.120000001"/>
    <x v="0"/>
    <x v="1"/>
    <x v="0"/>
    <x v="2"/>
    <x v="1"/>
    <x v="0"/>
    <x v="1"/>
    <x v="0"/>
    <x v="0"/>
    <n v="3"/>
    <x v="0"/>
  </r>
  <r>
    <d v="2024-04-03T00:00:00"/>
    <x v="3"/>
    <x v="3"/>
    <x v="2"/>
    <n v="50"/>
    <x v="3"/>
    <x v="3"/>
    <x v="2"/>
    <x v="3"/>
    <x v="1"/>
    <x v="0"/>
    <x v="1"/>
    <x v="0"/>
    <x v="0"/>
    <n v="3"/>
    <x v="0"/>
  </r>
  <r>
    <d v="2024-04-03T00:00:00"/>
    <x v="2"/>
    <x v="1"/>
    <x v="2"/>
    <n v="7372.08"/>
    <x v="2"/>
    <x v="1"/>
    <x v="2"/>
    <x v="4"/>
    <x v="1"/>
    <x v="0"/>
    <x v="1"/>
    <x v="0"/>
    <x v="0"/>
    <n v="3"/>
    <x v="0"/>
  </r>
  <r>
    <d v="2024-04-03T00:00:00"/>
    <x v="2"/>
    <x v="1"/>
    <x v="0"/>
    <n v="96007822.969999999"/>
    <x v="2"/>
    <x v="1"/>
    <x v="0"/>
    <x v="8"/>
    <x v="1"/>
    <x v="0"/>
    <x v="1"/>
    <x v="0"/>
    <x v="0"/>
    <n v="3"/>
    <x v="0"/>
  </r>
  <r>
    <d v="2024-04-03T00:00:00"/>
    <x v="2"/>
    <x v="1"/>
    <x v="1"/>
    <n v="204500491.40000001"/>
    <x v="2"/>
    <x v="1"/>
    <x v="1"/>
    <x v="10"/>
    <x v="1"/>
    <x v="0"/>
    <x v="1"/>
    <x v="0"/>
    <x v="0"/>
    <n v="3"/>
    <x v="0"/>
  </r>
  <r>
    <d v="2024-04-03T00:00:00"/>
    <x v="3"/>
    <x v="3"/>
    <x v="1"/>
    <n v="381466.93"/>
    <x v="3"/>
    <x v="3"/>
    <x v="1"/>
    <x v="5"/>
    <x v="1"/>
    <x v="0"/>
    <x v="1"/>
    <x v="0"/>
    <x v="0"/>
    <n v="3"/>
    <x v="0"/>
  </r>
  <r>
    <d v="2024-04-03T00:00:00"/>
    <x v="0"/>
    <x v="1"/>
    <x v="1"/>
    <n v="2451904.88"/>
    <x v="0"/>
    <x v="1"/>
    <x v="1"/>
    <x v="6"/>
    <x v="1"/>
    <x v="0"/>
    <x v="1"/>
    <x v="0"/>
    <x v="0"/>
    <n v="3"/>
    <x v="0"/>
  </r>
  <r>
    <d v="2024-04-03T00:00:00"/>
    <x v="1"/>
    <x v="0"/>
    <x v="0"/>
    <n v="93317956.189999998"/>
    <x v="1"/>
    <x v="0"/>
    <x v="0"/>
    <x v="11"/>
    <x v="1"/>
    <x v="0"/>
    <x v="1"/>
    <x v="0"/>
    <x v="0"/>
    <n v="3"/>
    <x v="0"/>
  </r>
  <r>
    <d v="2024-04-03T00:00:00"/>
    <x v="3"/>
    <x v="2"/>
    <x v="2"/>
    <n v="179993"/>
    <x v="3"/>
    <x v="2"/>
    <x v="2"/>
    <x v="7"/>
    <x v="1"/>
    <x v="0"/>
    <x v="1"/>
    <x v="0"/>
    <x v="0"/>
    <n v="3"/>
    <x v="0"/>
  </r>
  <r>
    <d v="2024-04-03T00:00:00"/>
    <x v="1"/>
    <x v="0"/>
    <x v="1"/>
    <n v="2223116324.6799998"/>
    <x v="1"/>
    <x v="0"/>
    <x v="1"/>
    <x v="12"/>
    <x v="1"/>
    <x v="0"/>
    <x v="1"/>
    <x v="0"/>
    <x v="0"/>
    <n v="3"/>
    <x v="0"/>
  </r>
  <r>
    <d v="2024-04-03T00:00:00"/>
    <x v="3"/>
    <x v="3"/>
    <x v="0"/>
    <n v="1893656233.8900001"/>
    <x v="3"/>
    <x v="3"/>
    <x v="0"/>
    <x v="9"/>
    <x v="1"/>
    <x v="0"/>
    <x v="1"/>
    <x v="0"/>
    <x v="0"/>
    <n v="3"/>
    <x v="0"/>
  </r>
  <r>
    <d v="2024-04-03T00:00:00"/>
    <x v="3"/>
    <x v="1"/>
    <x v="0"/>
    <n v="16337832.460000001"/>
    <x v="3"/>
    <x v="1"/>
    <x v="0"/>
    <x v="13"/>
    <x v="1"/>
    <x v="0"/>
    <x v="1"/>
    <x v="0"/>
    <x v="0"/>
    <n v="3"/>
    <x v="0"/>
  </r>
  <r>
    <d v="2024-04-03T00:00:00"/>
    <x v="3"/>
    <x v="2"/>
    <x v="0"/>
    <n v="579385241.26999998"/>
    <x v="3"/>
    <x v="2"/>
    <x v="0"/>
    <x v="14"/>
    <x v="1"/>
    <x v="0"/>
    <x v="1"/>
    <x v="0"/>
    <x v="0"/>
    <n v="3"/>
    <x v="0"/>
  </r>
  <r>
    <d v="2024-04-03T00:00:00"/>
    <x v="3"/>
    <x v="2"/>
    <x v="1"/>
    <n v="17175508426.190001"/>
    <x v="3"/>
    <x v="2"/>
    <x v="1"/>
    <x v="15"/>
    <x v="1"/>
    <x v="0"/>
    <x v="1"/>
    <x v="0"/>
    <x v="0"/>
    <n v="3"/>
    <x v="0"/>
  </r>
  <r>
    <d v="2024-04-02T00:00:00"/>
    <x v="1"/>
    <x v="1"/>
    <x v="0"/>
    <n v="69415.19"/>
    <x v="1"/>
    <x v="1"/>
    <x v="0"/>
    <x v="0"/>
    <x v="1"/>
    <x v="0"/>
    <x v="1"/>
    <x v="0"/>
    <x v="0"/>
    <n v="2"/>
    <x v="0"/>
  </r>
  <r>
    <d v="2024-04-02T00:00:00"/>
    <x v="0"/>
    <x v="1"/>
    <x v="0"/>
    <n v="66213312.799999997"/>
    <x v="0"/>
    <x v="1"/>
    <x v="0"/>
    <x v="1"/>
    <x v="1"/>
    <x v="0"/>
    <x v="1"/>
    <x v="0"/>
    <x v="0"/>
    <n v="2"/>
    <x v="0"/>
  </r>
  <r>
    <d v="2024-04-02T00:00:00"/>
    <x v="3"/>
    <x v="3"/>
    <x v="0"/>
    <n v="2001120866.8"/>
    <x v="3"/>
    <x v="3"/>
    <x v="0"/>
    <x v="6"/>
    <x v="1"/>
    <x v="0"/>
    <x v="1"/>
    <x v="0"/>
    <x v="0"/>
    <n v="2"/>
    <x v="0"/>
  </r>
  <r>
    <d v="2024-04-02T00:00:00"/>
    <x v="2"/>
    <x v="1"/>
    <x v="2"/>
    <n v="342329"/>
    <x v="2"/>
    <x v="1"/>
    <x v="2"/>
    <x v="2"/>
    <x v="1"/>
    <x v="0"/>
    <x v="1"/>
    <x v="0"/>
    <x v="0"/>
    <n v="2"/>
    <x v="0"/>
  </r>
  <r>
    <d v="2024-04-02T00:00:00"/>
    <x v="2"/>
    <x v="1"/>
    <x v="1"/>
    <n v="220112896.38999999"/>
    <x v="2"/>
    <x v="1"/>
    <x v="1"/>
    <x v="8"/>
    <x v="1"/>
    <x v="0"/>
    <x v="1"/>
    <x v="0"/>
    <x v="0"/>
    <n v="2"/>
    <x v="0"/>
  </r>
  <r>
    <d v="2024-04-02T00:00:00"/>
    <x v="3"/>
    <x v="3"/>
    <x v="1"/>
    <n v="59175.47"/>
    <x v="3"/>
    <x v="3"/>
    <x v="1"/>
    <x v="3"/>
    <x v="1"/>
    <x v="0"/>
    <x v="1"/>
    <x v="0"/>
    <x v="0"/>
    <n v="2"/>
    <x v="0"/>
  </r>
  <r>
    <d v="2024-04-02T00:00:00"/>
    <x v="0"/>
    <x v="1"/>
    <x v="1"/>
    <n v="38607465.090000004"/>
    <x v="0"/>
    <x v="1"/>
    <x v="1"/>
    <x v="4"/>
    <x v="1"/>
    <x v="0"/>
    <x v="1"/>
    <x v="0"/>
    <x v="0"/>
    <n v="2"/>
    <x v="0"/>
  </r>
  <r>
    <d v="2024-04-02T00:00:00"/>
    <x v="3"/>
    <x v="2"/>
    <x v="2"/>
    <n v="68369.05"/>
    <x v="3"/>
    <x v="2"/>
    <x v="2"/>
    <x v="5"/>
    <x v="1"/>
    <x v="0"/>
    <x v="1"/>
    <x v="0"/>
    <x v="0"/>
    <n v="2"/>
    <x v="0"/>
  </r>
  <r>
    <d v="2024-04-02T00:00:00"/>
    <x v="2"/>
    <x v="1"/>
    <x v="0"/>
    <n v="101325308.09"/>
    <x v="2"/>
    <x v="1"/>
    <x v="0"/>
    <x v="7"/>
    <x v="1"/>
    <x v="0"/>
    <x v="1"/>
    <x v="0"/>
    <x v="0"/>
    <n v="2"/>
    <x v="0"/>
  </r>
  <r>
    <d v="2024-04-02T00:00:00"/>
    <x v="1"/>
    <x v="0"/>
    <x v="1"/>
    <n v="725201378.49000001"/>
    <x v="1"/>
    <x v="0"/>
    <x v="1"/>
    <x v="9"/>
    <x v="1"/>
    <x v="0"/>
    <x v="1"/>
    <x v="0"/>
    <x v="0"/>
    <n v="2"/>
    <x v="0"/>
  </r>
  <r>
    <d v="2024-04-02T00:00:00"/>
    <x v="1"/>
    <x v="0"/>
    <x v="0"/>
    <n v="72495417"/>
    <x v="1"/>
    <x v="0"/>
    <x v="0"/>
    <x v="10"/>
    <x v="1"/>
    <x v="0"/>
    <x v="1"/>
    <x v="0"/>
    <x v="0"/>
    <n v="2"/>
    <x v="0"/>
  </r>
  <r>
    <d v="2024-04-02T00:00:00"/>
    <x v="3"/>
    <x v="1"/>
    <x v="0"/>
    <n v="14386753.119999999"/>
    <x v="3"/>
    <x v="1"/>
    <x v="0"/>
    <x v="11"/>
    <x v="1"/>
    <x v="0"/>
    <x v="1"/>
    <x v="0"/>
    <x v="0"/>
    <n v="2"/>
    <x v="0"/>
  </r>
  <r>
    <d v="2024-04-02T00:00:00"/>
    <x v="3"/>
    <x v="2"/>
    <x v="0"/>
    <n v="1118636904.5799999"/>
    <x v="3"/>
    <x v="2"/>
    <x v="0"/>
    <x v="12"/>
    <x v="1"/>
    <x v="0"/>
    <x v="1"/>
    <x v="0"/>
    <x v="0"/>
    <n v="2"/>
    <x v="0"/>
  </r>
  <r>
    <d v="2024-04-02T00:00:00"/>
    <x v="3"/>
    <x v="2"/>
    <x v="1"/>
    <n v="10978764156.959999"/>
    <x v="3"/>
    <x v="2"/>
    <x v="1"/>
    <x v="13"/>
    <x v="1"/>
    <x v="0"/>
    <x v="1"/>
    <x v="0"/>
    <x v="0"/>
    <n v="2"/>
    <x v="0"/>
  </r>
  <r>
    <d v="2024-04-01T00:00:00"/>
    <x v="1"/>
    <x v="1"/>
    <x v="0"/>
    <n v="41046.18"/>
    <x v="1"/>
    <x v="1"/>
    <x v="0"/>
    <x v="0"/>
    <x v="1"/>
    <x v="0"/>
    <x v="1"/>
    <x v="0"/>
    <x v="0"/>
    <n v="1"/>
    <x v="0"/>
  </r>
  <r>
    <d v="2024-04-01T00:00:00"/>
    <x v="0"/>
    <x v="1"/>
    <x v="0"/>
    <n v="6425092.4500000002"/>
    <x v="0"/>
    <x v="1"/>
    <x v="0"/>
    <x v="1"/>
    <x v="1"/>
    <x v="0"/>
    <x v="1"/>
    <x v="0"/>
    <x v="0"/>
    <n v="1"/>
    <x v="0"/>
  </r>
  <r>
    <d v="2024-04-01T00:00:00"/>
    <x v="3"/>
    <x v="2"/>
    <x v="2"/>
    <n v="312432.44"/>
    <x v="3"/>
    <x v="2"/>
    <x v="2"/>
    <x v="6"/>
    <x v="1"/>
    <x v="0"/>
    <x v="1"/>
    <x v="0"/>
    <x v="0"/>
    <n v="1"/>
    <x v="0"/>
  </r>
  <r>
    <d v="2024-04-01T00:00:00"/>
    <x v="3"/>
    <x v="3"/>
    <x v="2"/>
    <n v="169"/>
    <x v="3"/>
    <x v="3"/>
    <x v="2"/>
    <x v="2"/>
    <x v="1"/>
    <x v="0"/>
    <x v="1"/>
    <x v="0"/>
    <x v="0"/>
    <n v="1"/>
    <x v="0"/>
  </r>
  <r>
    <d v="2024-04-01T00:00:00"/>
    <x v="2"/>
    <x v="1"/>
    <x v="2"/>
    <n v="8993.89"/>
    <x v="2"/>
    <x v="1"/>
    <x v="2"/>
    <x v="3"/>
    <x v="1"/>
    <x v="0"/>
    <x v="1"/>
    <x v="0"/>
    <x v="0"/>
    <n v="1"/>
    <x v="0"/>
  </r>
  <r>
    <d v="2024-04-01T00:00:00"/>
    <x v="3"/>
    <x v="3"/>
    <x v="0"/>
    <n v="3171485283.4000001"/>
    <x v="3"/>
    <x v="3"/>
    <x v="0"/>
    <x v="7"/>
    <x v="1"/>
    <x v="0"/>
    <x v="1"/>
    <x v="0"/>
    <x v="0"/>
    <n v="1"/>
    <x v="0"/>
  </r>
  <r>
    <d v="2024-04-01T00:00:00"/>
    <x v="2"/>
    <x v="1"/>
    <x v="0"/>
    <n v="97545079.920000002"/>
    <x v="2"/>
    <x v="1"/>
    <x v="0"/>
    <x v="8"/>
    <x v="1"/>
    <x v="0"/>
    <x v="1"/>
    <x v="0"/>
    <x v="0"/>
    <n v="1"/>
    <x v="0"/>
  </r>
  <r>
    <d v="2024-04-01T00:00:00"/>
    <x v="2"/>
    <x v="1"/>
    <x v="1"/>
    <n v="155347171.37"/>
    <x v="2"/>
    <x v="1"/>
    <x v="1"/>
    <x v="9"/>
    <x v="1"/>
    <x v="0"/>
    <x v="1"/>
    <x v="0"/>
    <x v="0"/>
    <n v="1"/>
    <x v="0"/>
  </r>
  <r>
    <d v="2024-04-01T00:00:00"/>
    <x v="1"/>
    <x v="0"/>
    <x v="1"/>
    <n v="711073237.74000001"/>
    <x v="1"/>
    <x v="0"/>
    <x v="1"/>
    <x v="10"/>
    <x v="1"/>
    <x v="0"/>
    <x v="1"/>
    <x v="0"/>
    <x v="0"/>
    <n v="1"/>
    <x v="0"/>
  </r>
  <r>
    <d v="2024-04-01T00:00:00"/>
    <x v="3"/>
    <x v="3"/>
    <x v="1"/>
    <n v="117769.82"/>
    <x v="3"/>
    <x v="3"/>
    <x v="1"/>
    <x v="4"/>
    <x v="1"/>
    <x v="0"/>
    <x v="1"/>
    <x v="0"/>
    <x v="0"/>
    <n v="1"/>
    <x v="0"/>
  </r>
  <r>
    <d v="2024-04-01T00:00:00"/>
    <x v="0"/>
    <x v="1"/>
    <x v="1"/>
    <n v="15379884.140000001"/>
    <x v="0"/>
    <x v="1"/>
    <x v="1"/>
    <x v="5"/>
    <x v="1"/>
    <x v="0"/>
    <x v="1"/>
    <x v="0"/>
    <x v="0"/>
    <n v="1"/>
    <x v="0"/>
  </r>
  <r>
    <d v="2024-04-01T00:00:00"/>
    <x v="1"/>
    <x v="0"/>
    <x v="0"/>
    <n v="50542739.130000003"/>
    <x v="1"/>
    <x v="0"/>
    <x v="0"/>
    <x v="11"/>
    <x v="1"/>
    <x v="0"/>
    <x v="1"/>
    <x v="0"/>
    <x v="0"/>
    <n v="1"/>
    <x v="0"/>
  </r>
  <r>
    <d v="2024-04-01T00:00:00"/>
    <x v="3"/>
    <x v="2"/>
    <x v="0"/>
    <n v="877190244.73000002"/>
    <x v="3"/>
    <x v="2"/>
    <x v="0"/>
    <x v="12"/>
    <x v="1"/>
    <x v="0"/>
    <x v="1"/>
    <x v="0"/>
    <x v="0"/>
    <n v="1"/>
    <x v="0"/>
  </r>
  <r>
    <d v="2024-04-01T00:00:00"/>
    <x v="3"/>
    <x v="1"/>
    <x v="0"/>
    <n v="51175955.469999999"/>
    <x v="3"/>
    <x v="1"/>
    <x v="0"/>
    <x v="13"/>
    <x v="1"/>
    <x v="0"/>
    <x v="1"/>
    <x v="0"/>
    <x v="0"/>
    <n v="1"/>
    <x v="0"/>
  </r>
  <r>
    <d v="2024-04-01T00:00:00"/>
    <x v="3"/>
    <x v="2"/>
    <x v="1"/>
    <n v="46418938717.110001"/>
    <x v="3"/>
    <x v="2"/>
    <x v="1"/>
    <x v="14"/>
    <x v="1"/>
    <x v="0"/>
    <x v="1"/>
    <x v="0"/>
    <x v="0"/>
    <n v="1"/>
    <x v="0"/>
  </r>
  <r>
    <d v="2024-03-29T00:00:00"/>
    <x v="0"/>
    <x v="0"/>
    <x v="0"/>
    <n v="635"/>
    <x v="0"/>
    <x v="0"/>
    <x v="0"/>
    <x v="0"/>
    <x v="1"/>
    <x v="1"/>
    <x v="1"/>
    <x v="1"/>
    <x v="1"/>
    <n v="29"/>
    <x v="0"/>
  </r>
  <r>
    <d v="2024-03-29T00:00:00"/>
    <x v="1"/>
    <x v="1"/>
    <x v="0"/>
    <n v="83287.23"/>
    <x v="1"/>
    <x v="1"/>
    <x v="0"/>
    <x v="1"/>
    <x v="1"/>
    <x v="1"/>
    <x v="1"/>
    <x v="1"/>
    <x v="1"/>
    <n v="29"/>
    <x v="0"/>
  </r>
  <r>
    <d v="2024-03-29T00:00:00"/>
    <x v="0"/>
    <x v="1"/>
    <x v="0"/>
    <n v="4353576.3899999997"/>
    <x v="0"/>
    <x v="1"/>
    <x v="0"/>
    <x v="2"/>
    <x v="1"/>
    <x v="1"/>
    <x v="1"/>
    <x v="1"/>
    <x v="1"/>
    <n v="29"/>
    <x v="0"/>
  </r>
  <r>
    <d v="2024-03-29T00:00:00"/>
    <x v="2"/>
    <x v="1"/>
    <x v="0"/>
    <n v="110926906.95"/>
    <x v="2"/>
    <x v="1"/>
    <x v="0"/>
    <x v="7"/>
    <x v="1"/>
    <x v="1"/>
    <x v="1"/>
    <x v="1"/>
    <x v="1"/>
    <n v="29"/>
    <x v="0"/>
  </r>
  <r>
    <d v="2024-03-29T00:00:00"/>
    <x v="2"/>
    <x v="1"/>
    <x v="1"/>
    <n v="359899316.07999998"/>
    <x v="2"/>
    <x v="1"/>
    <x v="1"/>
    <x v="8"/>
    <x v="1"/>
    <x v="1"/>
    <x v="1"/>
    <x v="1"/>
    <x v="1"/>
    <n v="29"/>
    <x v="0"/>
  </r>
  <r>
    <d v="2024-03-29T00:00:00"/>
    <x v="0"/>
    <x v="1"/>
    <x v="1"/>
    <n v="7533778.1500000004"/>
    <x v="0"/>
    <x v="1"/>
    <x v="1"/>
    <x v="3"/>
    <x v="1"/>
    <x v="1"/>
    <x v="1"/>
    <x v="1"/>
    <x v="1"/>
    <n v="29"/>
    <x v="0"/>
  </r>
  <r>
    <d v="2024-03-29T00:00:00"/>
    <x v="2"/>
    <x v="1"/>
    <x v="2"/>
    <n v="211110.34"/>
    <x v="2"/>
    <x v="1"/>
    <x v="2"/>
    <x v="4"/>
    <x v="1"/>
    <x v="1"/>
    <x v="1"/>
    <x v="1"/>
    <x v="1"/>
    <n v="29"/>
    <x v="0"/>
  </r>
  <r>
    <d v="2024-03-29T00:00:00"/>
    <x v="3"/>
    <x v="2"/>
    <x v="2"/>
    <n v="102238.37"/>
    <x v="3"/>
    <x v="2"/>
    <x v="2"/>
    <x v="5"/>
    <x v="1"/>
    <x v="1"/>
    <x v="1"/>
    <x v="1"/>
    <x v="1"/>
    <n v="29"/>
    <x v="0"/>
  </r>
  <r>
    <d v="2024-03-29T00:00:00"/>
    <x v="3"/>
    <x v="3"/>
    <x v="0"/>
    <n v="3737017017.29"/>
    <x v="3"/>
    <x v="3"/>
    <x v="0"/>
    <x v="6"/>
    <x v="1"/>
    <x v="1"/>
    <x v="1"/>
    <x v="1"/>
    <x v="1"/>
    <n v="29"/>
    <x v="0"/>
  </r>
  <r>
    <d v="2024-03-29T00:00:00"/>
    <x v="1"/>
    <x v="0"/>
    <x v="1"/>
    <n v="335511890"/>
    <x v="1"/>
    <x v="0"/>
    <x v="1"/>
    <x v="10"/>
    <x v="1"/>
    <x v="1"/>
    <x v="1"/>
    <x v="1"/>
    <x v="1"/>
    <n v="29"/>
    <x v="0"/>
  </r>
  <r>
    <d v="2024-03-29T00:00:00"/>
    <x v="1"/>
    <x v="0"/>
    <x v="0"/>
    <n v="53137404.460000001"/>
    <x v="1"/>
    <x v="0"/>
    <x v="0"/>
    <x v="9"/>
    <x v="1"/>
    <x v="1"/>
    <x v="1"/>
    <x v="1"/>
    <x v="1"/>
    <n v="29"/>
    <x v="0"/>
  </r>
  <r>
    <d v="2024-03-29T00:00:00"/>
    <x v="3"/>
    <x v="1"/>
    <x v="0"/>
    <n v="15881536.439999999"/>
    <x v="3"/>
    <x v="1"/>
    <x v="0"/>
    <x v="11"/>
    <x v="1"/>
    <x v="1"/>
    <x v="1"/>
    <x v="1"/>
    <x v="1"/>
    <n v="29"/>
    <x v="0"/>
  </r>
  <r>
    <d v="2024-03-29T00:00:00"/>
    <x v="3"/>
    <x v="2"/>
    <x v="0"/>
    <n v="1885919776.75"/>
    <x v="3"/>
    <x v="2"/>
    <x v="0"/>
    <x v="12"/>
    <x v="1"/>
    <x v="1"/>
    <x v="1"/>
    <x v="1"/>
    <x v="1"/>
    <n v="29"/>
    <x v="0"/>
  </r>
  <r>
    <d v="2024-03-29T00:00:00"/>
    <x v="3"/>
    <x v="2"/>
    <x v="1"/>
    <n v="18386923500.279999"/>
    <x v="3"/>
    <x v="2"/>
    <x v="1"/>
    <x v="13"/>
    <x v="1"/>
    <x v="1"/>
    <x v="1"/>
    <x v="1"/>
    <x v="1"/>
    <n v="29"/>
    <x v="0"/>
  </r>
  <r>
    <d v="2024-03-28T00:00:00"/>
    <x v="0"/>
    <x v="1"/>
    <x v="0"/>
    <n v="31660706.210000001"/>
    <x v="0"/>
    <x v="1"/>
    <x v="0"/>
    <x v="0"/>
    <x v="1"/>
    <x v="1"/>
    <x v="1"/>
    <x v="1"/>
    <x v="1"/>
    <n v="28"/>
    <x v="0"/>
  </r>
  <r>
    <d v="2024-03-28T00:00:00"/>
    <x v="2"/>
    <x v="1"/>
    <x v="0"/>
    <n v="101234076.94"/>
    <x v="2"/>
    <x v="1"/>
    <x v="0"/>
    <x v="5"/>
    <x v="1"/>
    <x v="1"/>
    <x v="1"/>
    <x v="1"/>
    <x v="1"/>
    <n v="28"/>
    <x v="0"/>
  </r>
  <r>
    <d v="2024-03-28T00:00:00"/>
    <x v="2"/>
    <x v="1"/>
    <x v="2"/>
    <n v="11626"/>
    <x v="2"/>
    <x v="1"/>
    <x v="2"/>
    <x v="3"/>
    <x v="1"/>
    <x v="1"/>
    <x v="1"/>
    <x v="1"/>
    <x v="1"/>
    <n v="28"/>
    <x v="0"/>
  </r>
  <r>
    <d v="2024-03-28T00:00:00"/>
    <x v="2"/>
    <x v="1"/>
    <x v="1"/>
    <n v="173530705.97999999"/>
    <x v="2"/>
    <x v="1"/>
    <x v="1"/>
    <x v="7"/>
    <x v="1"/>
    <x v="1"/>
    <x v="1"/>
    <x v="1"/>
    <x v="1"/>
    <n v="28"/>
    <x v="0"/>
  </r>
  <r>
    <d v="2024-03-28T00:00:00"/>
    <x v="0"/>
    <x v="1"/>
    <x v="1"/>
    <n v="3788045.3"/>
    <x v="0"/>
    <x v="1"/>
    <x v="1"/>
    <x v="1"/>
    <x v="1"/>
    <x v="1"/>
    <x v="1"/>
    <x v="1"/>
    <x v="1"/>
    <n v="28"/>
    <x v="0"/>
  </r>
  <r>
    <d v="2024-03-28T00:00:00"/>
    <x v="1"/>
    <x v="0"/>
    <x v="1"/>
    <n v="628085459.48000002"/>
    <x v="1"/>
    <x v="0"/>
    <x v="1"/>
    <x v="9"/>
    <x v="1"/>
    <x v="1"/>
    <x v="1"/>
    <x v="1"/>
    <x v="1"/>
    <n v="28"/>
    <x v="0"/>
  </r>
  <r>
    <d v="2024-03-28T00:00:00"/>
    <x v="1"/>
    <x v="1"/>
    <x v="0"/>
    <n v="34914.83"/>
    <x v="1"/>
    <x v="1"/>
    <x v="0"/>
    <x v="2"/>
    <x v="1"/>
    <x v="1"/>
    <x v="1"/>
    <x v="1"/>
    <x v="1"/>
    <n v="28"/>
    <x v="0"/>
  </r>
  <r>
    <d v="2024-03-28T00:00:00"/>
    <x v="3"/>
    <x v="2"/>
    <x v="2"/>
    <n v="220739.5"/>
    <x v="3"/>
    <x v="2"/>
    <x v="2"/>
    <x v="4"/>
    <x v="1"/>
    <x v="1"/>
    <x v="1"/>
    <x v="1"/>
    <x v="1"/>
    <n v="28"/>
    <x v="0"/>
  </r>
  <r>
    <d v="2024-03-28T00:00:00"/>
    <x v="3"/>
    <x v="3"/>
    <x v="0"/>
    <n v="2013431330.74"/>
    <x v="3"/>
    <x v="3"/>
    <x v="0"/>
    <x v="6"/>
    <x v="1"/>
    <x v="1"/>
    <x v="1"/>
    <x v="1"/>
    <x v="1"/>
    <n v="28"/>
    <x v="0"/>
  </r>
  <r>
    <d v="2024-03-28T00:00:00"/>
    <x v="1"/>
    <x v="0"/>
    <x v="0"/>
    <n v="75197715.739999995"/>
    <x v="1"/>
    <x v="0"/>
    <x v="0"/>
    <x v="8"/>
    <x v="1"/>
    <x v="1"/>
    <x v="1"/>
    <x v="1"/>
    <x v="1"/>
    <n v="28"/>
    <x v="0"/>
  </r>
  <r>
    <d v="2024-03-28T00:00:00"/>
    <x v="3"/>
    <x v="1"/>
    <x v="0"/>
    <n v="15074220.310000001"/>
    <x v="3"/>
    <x v="1"/>
    <x v="0"/>
    <x v="10"/>
    <x v="1"/>
    <x v="1"/>
    <x v="1"/>
    <x v="1"/>
    <x v="1"/>
    <n v="28"/>
    <x v="0"/>
  </r>
  <r>
    <d v="2024-03-28T00:00:00"/>
    <x v="3"/>
    <x v="2"/>
    <x v="0"/>
    <n v="648382354.71000004"/>
    <x v="3"/>
    <x v="2"/>
    <x v="0"/>
    <x v="11"/>
    <x v="1"/>
    <x v="1"/>
    <x v="1"/>
    <x v="1"/>
    <x v="1"/>
    <n v="28"/>
    <x v="0"/>
  </r>
  <r>
    <d v="2024-03-28T00:00:00"/>
    <x v="3"/>
    <x v="2"/>
    <x v="1"/>
    <n v="6167444788.54"/>
    <x v="3"/>
    <x v="2"/>
    <x v="1"/>
    <x v="12"/>
    <x v="1"/>
    <x v="1"/>
    <x v="1"/>
    <x v="1"/>
    <x v="1"/>
    <n v="28"/>
    <x v="0"/>
  </r>
  <r>
    <d v="2024-03-27T00:00:00"/>
    <x v="0"/>
    <x v="1"/>
    <x v="0"/>
    <n v="5506751.1500000004"/>
    <x v="0"/>
    <x v="1"/>
    <x v="0"/>
    <x v="0"/>
    <x v="1"/>
    <x v="1"/>
    <x v="1"/>
    <x v="1"/>
    <x v="1"/>
    <n v="27"/>
    <x v="0"/>
  </r>
  <r>
    <d v="2024-03-27T00:00:00"/>
    <x v="2"/>
    <x v="1"/>
    <x v="2"/>
    <n v="22672.02"/>
    <x v="2"/>
    <x v="1"/>
    <x v="2"/>
    <x v="1"/>
    <x v="1"/>
    <x v="1"/>
    <x v="1"/>
    <x v="1"/>
    <x v="1"/>
    <n v="27"/>
    <x v="0"/>
  </r>
  <r>
    <d v="2024-03-27T00:00:00"/>
    <x v="2"/>
    <x v="1"/>
    <x v="0"/>
    <n v="135469637.47"/>
    <x v="2"/>
    <x v="1"/>
    <x v="0"/>
    <x v="7"/>
    <x v="1"/>
    <x v="1"/>
    <x v="1"/>
    <x v="1"/>
    <x v="1"/>
    <n v="27"/>
    <x v="0"/>
  </r>
  <r>
    <d v="2024-03-27T00:00:00"/>
    <x v="2"/>
    <x v="1"/>
    <x v="1"/>
    <n v="241864034.86000001"/>
    <x v="2"/>
    <x v="1"/>
    <x v="1"/>
    <x v="8"/>
    <x v="1"/>
    <x v="1"/>
    <x v="1"/>
    <x v="1"/>
    <x v="1"/>
    <n v="27"/>
    <x v="0"/>
  </r>
  <r>
    <d v="2024-03-27T00:00:00"/>
    <x v="3"/>
    <x v="3"/>
    <x v="1"/>
    <n v="57901.18"/>
    <x v="3"/>
    <x v="3"/>
    <x v="1"/>
    <x v="2"/>
    <x v="1"/>
    <x v="1"/>
    <x v="1"/>
    <x v="1"/>
    <x v="1"/>
    <n v="27"/>
    <x v="0"/>
  </r>
  <r>
    <d v="2024-03-27T00:00:00"/>
    <x v="0"/>
    <x v="1"/>
    <x v="1"/>
    <n v="9317231.2300000004"/>
    <x v="0"/>
    <x v="1"/>
    <x v="1"/>
    <x v="3"/>
    <x v="1"/>
    <x v="1"/>
    <x v="1"/>
    <x v="1"/>
    <x v="1"/>
    <n v="27"/>
    <x v="0"/>
  </r>
  <r>
    <d v="2024-03-27T00:00:00"/>
    <x v="1"/>
    <x v="0"/>
    <x v="0"/>
    <n v="98134305.969999999"/>
    <x v="1"/>
    <x v="0"/>
    <x v="0"/>
    <x v="9"/>
    <x v="1"/>
    <x v="1"/>
    <x v="1"/>
    <x v="1"/>
    <x v="1"/>
    <n v="27"/>
    <x v="0"/>
  </r>
  <r>
    <d v="2024-03-27T00:00:00"/>
    <x v="1"/>
    <x v="0"/>
    <x v="1"/>
    <n v="1376278460.4100001"/>
    <x v="1"/>
    <x v="0"/>
    <x v="1"/>
    <x v="10"/>
    <x v="1"/>
    <x v="1"/>
    <x v="1"/>
    <x v="1"/>
    <x v="1"/>
    <n v="27"/>
    <x v="0"/>
  </r>
  <r>
    <d v="2024-03-27T00:00:00"/>
    <x v="1"/>
    <x v="1"/>
    <x v="0"/>
    <n v="213351.03"/>
    <x v="1"/>
    <x v="1"/>
    <x v="0"/>
    <x v="4"/>
    <x v="1"/>
    <x v="1"/>
    <x v="1"/>
    <x v="1"/>
    <x v="1"/>
    <n v="27"/>
    <x v="0"/>
  </r>
  <r>
    <d v="2024-03-27T00:00:00"/>
    <x v="3"/>
    <x v="2"/>
    <x v="2"/>
    <n v="199963"/>
    <x v="3"/>
    <x v="2"/>
    <x v="2"/>
    <x v="5"/>
    <x v="1"/>
    <x v="1"/>
    <x v="1"/>
    <x v="1"/>
    <x v="1"/>
    <n v="27"/>
    <x v="0"/>
  </r>
  <r>
    <d v="2024-03-27T00:00:00"/>
    <x v="3"/>
    <x v="3"/>
    <x v="0"/>
    <n v="1264194534.99"/>
    <x v="3"/>
    <x v="3"/>
    <x v="0"/>
    <x v="6"/>
    <x v="1"/>
    <x v="1"/>
    <x v="1"/>
    <x v="1"/>
    <x v="1"/>
    <n v="27"/>
    <x v="0"/>
  </r>
  <r>
    <d v="2024-03-27T00:00:00"/>
    <x v="3"/>
    <x v="1"/>
    <x v="0"/>
    <n v="15805505.689999999"/>
    <x v="3"/>
    <x v="1"/>
    <x v="0"/>
    <x v="11"/>
    <x v="1"/>
    <x v="1"/>
    <x v="1"/>
    <x v="1"/>
    <x v="1"/>
    <n v="27"/>
    <x v="0"/>
  </r>
  <r>
    <d v="2024-03-27T00:00:00"/>
    <x v="3"/>
    <x v="2"/>
    <x v="1"/>
    <n v="14041652281.030001"/>
    <x v="3"/>
    <x v="2"/>
    <x v="1"/>
    <x v="12"/>
    <x v="1"/>
    <x v="1"/>
    <x v="1"/>
    <x v="1"/>
    <x v="1"/>
    <n v="27"/>
    <x v="0"/>
  </r>
  <r>
    <d v="2024-03-27T00:00:00"/>
    <x v="3"/>
    <x v="2"/>
    <x v="0"/>
    <n v="523958252.17000002"/>
    <x v="3"/>
    <x v="2"/>
    <x v="0"/>
    <x v="13"/>
    <x v="1"/>
    <x v="1"/>
    <x v="1"/>
    <x v="1"/>
    <x v="1"/>
    <n v="27"/>
    <x v="0"/>
  </r>
  <r>
    <d v="2024-03-26T00:00:00"/>
    <x v="0"/>
    <x v="0"/>
    <x v="0"/>
    <n v="-248.83"/>
    <x v="0"/>
    <x v="0"/>
    <x v="0"/>
    <x v="0"/>
    <x v="1"/>
    <x v="1"/>
    <x v="1"/>
    <x v="1"/>
    <x v="1"/>
    <n v="26"/>
    <x v="1"/>
  </r>
  <r>
    <d v="2024-03-26T00:00:00"/>
    <x v="1"/>
    <x v="1"/>
    <x v="0"/>
    <n v="923738.79"/>
    <x v="1"/>
    <x v="1"/>
    <x v="0"/>
    <x v="1"/>
    <x v="1"/>
    <x v="1"/>
    <x v="1"/>
    <x v="1"/>
    <x v="1"/>
    <n v="26"/>
    <x v="0"/>
  </r>
  <r>
    <d v="2024-03-26T00:00:00"/>
    <x v="0"/>
    <x v="1"/>
    <x v="0"/>
    <n v="28708044.600000001"/>
    <x v="0"/>
    <x v="1"/>
    <x v="0"/>
    <x v="2"/>
    <x v="1"/>
    <x v="1"/>
    <x v="1"/>
    <x v="1"/>
    <x v="1"/>
    <n v="26"/>
    <x v="0"/>
  </r>
  <r>
    <d v="2024-03-26T00:00:00"/>
    <x v="2"/>
    <x v="1"/>
    <x v="2"/>
    <n v="17949.96"/>
    <x v="2"/>
    <x v="1"/>
    <x v="2"/>
    <x v="5"/>
    <x v="1"/>
    <x v="1"/>
    <x v="1"/>
    <x v="1"/>
    <x v="1"/>
    <n v="26"/>
    <x v="0"/>
  </r>
  <r>
    <d v="2024-03-26T00:00:00"/>
    <x v="2"/>
    <x v="1"/>
    <x v="1"/>
    <n v="191257592.81"/>
    <x v="2"/>
    <x v="1"/>
    <x v="1"/>
    <x v="9"/>
    <x v="1"/>
    <x v="1"/>
    <x v="1"/>
    <x v="1"/>
    <x v="1"/>
    <n v="26"/>
    <x v="0"/>
  </r>
  <r>
    <d v="2024-03-26T00:00:00"/>
    <x v="3"/>
    <x v="3"/>
    <x v="1"/>
    <n v="47627.64"/>
    <x v="3"/>
    <x v="3"/>
    <x v="1"/>
    <x v="3"/>
    <x v="1"/>
    <x v="1"/>
    <x v="1"/>
    <x v="1"/>
    <x v="1"/>
    <n v="26"/>
    <x v="0"/>
  </r>
  <r>
    <d v="2024-03-26T00:00:00"/>
    <x v="0"/>
    <x v="1"/>
    <x v="1"/>
    <n v="10029053.65"/>
    <x v="0"/>
    <x v="1"/>
    <x v="1"/>
    <x v="4"/>
    <x v="1"/>
    <x v="1"/>
    <x v="1"/>
    <x v="1"/>
    <x v="1"/>
    <n v="26"/>
    <x v="0"/>
  </r>
  <r>
    <d v="2024-03-26T00:00:00"/>
    <x v="3"/>
    <x v="2"/>
    <x v="2"/>
    <n v="194631.24"/>
    <x v="3"/>
    <x v="2"/>
    <x v="2"/>
    <x v="6"/>
    <x v="1"/>
    <x v="1"/>
    <x v="1"/>
    <x v="1"/>
    <x v="1"/>
    <n v="26"/>
    <x v="0"/>
  </r>
  <r>
    <d v="2024-03-26T00:00:00"/>
    <x v="3"/>
    <x v="3"/>
    <x v="0"/>
    <n v="1312516783.3199999"/>
    <x v="3"/>
    <x v="3"/>
    <x v="0"/>
    <x v="7"/>
    <x v="1"/>
    <x v="1"/>
    <x v="1"/>
    <x v="1"/>
    <x v="1"/>
    <n v="26"/>
    <x v="0"/>
  </r>
  <r>
    <d v="2024-03-26T00:00:00"/>
    <x v="2"/>
    <x v="1"/>
    <x v="0"/>
    <n v="74327481.370000005"/>
    <x v="2"/>
    <x v="1"/>
    <x v="0"/>
    <x v="8"/>
    <x v="1"/>
    <x v="1"/>
    <x v="1"/>
    <x v="1"/>
    <x v="1"/>
    <n v="26"/>
    <x v="0"/>
  </r>
  <r>
    <d v="2024-03-26T00:00:00"/>
    <x v="1"/>
    <x v="0"/>
    <x v="1"/>
    <n v="523151488.44999999"/>
    <x v="1"/>
    <x v="0"/>
    <x v="1"/>
    <x v="10"/>
    <x v="1"/>
    <x v="1"/>
    <x v="1"/>
    <x v="1"/>
    <x v="1"/>
    <n v="26"/>
    <x v="0"/>
  </r>
  <r>
    <d v="2024-03-26T00:00:00"/>
    <x v="1"/>
    <x v="0"/>
    <x v="0"/>
    <n v="83299882.420000002"/>
    <x v="1"/>
    <x v="0"/>
    <x v="0"/>
    <x v="11"/>
    <x v="1"/>
    <x v="1"/>
    <x v="1"/>
    <x v="1"/>
    <x v="1"/>
    <n v="26"/>
    <x v="0"/>
  </r>
  <r>
    <d v="2024-03-26T00:00:00"/>
    <x v="3"/>
    <x v="1"/>
    <x v="0"/>
    <n v="12920983.17"/>
    <x v="3"/>
    <x v="1"/>
    <x v="0"/>
    <x v="12"/>
    <x v="1"/>
    <x v="1"/>
    <x v="1"/>
    <x v="1"/>
    <x v="1"/>
    <n v="26"/>
    <x v="0"/>
  </r>
  <r>
    <d v="2024-03-26T00:00:00"/>
    <x v="3"/>
    <x v="2"/>
    <x v="1"/>
    <n v="5621782551.5"/>
    <x v="3"/>
    <x v="2"/>
    <x v="1"/>
    <x v="13"/>
    <x v="1"/>
    <x v="1"/>
    <x v="1"/>
    <x v="1"/>
    <x v="1"/>
    <n v="26"/>
    <x v="0"/>
  </r>
  <r>
    <d v="2024-03-26T00:00:00"/>
    <x v="3"/>
    <x v="2"/>
    <x v="0"/>
    <n v="732905867.13999999"/>
    <x v="3"/>
    <x v="2"/>
    <x v="0"/>
    <x v="14"/>
    <x v="1"/>
    <x v="1"/>
    <x v="1"/>
    <x v="1"/>
    <x v="1"/>
    <n v="26"/>
    <x v="0"/>
  </r>
  <r>
    <d v="2024-03-25T00:00:00"/>
    <x v="1"/>
    <x v="1"/>
    <x v="0"/>
    <n v="468941.02"/>
    <x v="1"/>
    <x v="1"/>
    <x v="0"/>
    <x v="0"/>
    <x v="1"/>
    <x v="1"/>
    <x v="1"/>
    <x v="1"/>
    <x v="1"/>
    <n v="25"/>
    <x v="0"/>
  </r>
  <r>
    <d v="2024-03-25T00:00:00"/>
    <x v="0"/>
    <x v="1"/>
    <x v="0"/>
    <n v="7656037.6900000004"/>
    <x v="0"/>
    <x v="1"/>
    <x v="0"/>
    <x v="1"/>
    <x v="1"/>
    <x v="1"/>
    <x v="1"/>
    <x v="1"/>
    <x v="1"/>
    <n v="25"/>
    <x v="0"/>
  </r>
  <r>
    <d v="2024-03-25T00:00:00"/>
    <x v="2"/>
    <x v="1"/>
    <x v="0"/>
    <n v="82913437.219999999"/>
    <x v="2"/>
    <x v="1"/>
    <x v="0"/>
    <x v="5"/>
    <x v="1"/>
    <x v="1"/>
    <x v="1"/>
    <x v="1"/>
    <x v="1"/>
    <n v="25"/>
    <x v="0"/>
  </r>
  <r>
    <d v="2024-03-25T00:00:00"/>
    <x v="2"/>
    <x v="1"/>
    <x v="2"/>
    <n v="12110.36"/>
    <x v="2"/>
    <x v="1"/>
    <x v="2"/>
    <x v="3"/>
    <x v="1"/>
    <x v="1"/>
    <x v="1"/>
    <x v="1"/>
    <x v="1"/>
    <n v="25"/>
    <x v="0"/>
  </r>
  <r>
    <d v="2024-03-25T00:00:00"/>
    <x v="3"/>
    <x v="3"/>
    <x v="0"/>
    <n v="976605232.32000005"/>
    <x v="3"/>
    <x v="3"/>
    <x v="0"/>
    <x v="6"/>
    <x v="1"/>
    <x v="1"/>
    <x v="1"/>
    <x v="1"/>
    <x v="1"/>
    <n v="25"/>
    <x v="0"/>
  </r>
  <r>
    <d v="2024-03-25T00:00:00"/>
    <x v="0"/>
    <x v="1"/>
    <x v="1"/>
    <n v="22639125.539999999"/>
    <x v="0"/>
    <x v="1"/>
    <x v="1"/>
    <x v="2"/>
    <x v="1"/>
    <x v="1"/>
    <x v="1"/>
    <x v="1"/>
    <x v="1"/>
    <n v="25"/>
    <x v="0"/>
  </r>
  <r>
    <d v="2024-03-25T00:00:00"/>
    <x v="3"/>
    <x v="2"/>
    <x v="2"/>
    <n v="73584.02"/>
    <x v="3"/>
    <x v="2"/>
    <x v="2"/>
    <x v="4"/>
    <x v="1"/>
    <x v="1"/>
    <x v="1"/>
    <x v="1"/>
    <x v="1"/>
    <n v="25"/>
    <x v="0"/>
  </r>
  <r>
    <d v="2024-03-25T00:00:00"/>
    <x v="2"/>
    <x v="1"/>
    <x v="1"/>
    <n v="252272505.65000001"/>
    <x v="2"/>
    <x v="1"/>
    <x v="1"/>
    <x v="7"/>
    <x v="1"/>
    <x v="1"/>
    <x v="1"/>
    <x v="1"/>
    <x v="1"/>
    <n v="25"/>
    <x v="0"/>
  </r>
  <r>
    <d v="2024-03-25T00:00:00"/>
    <x v="1"/>
    <x v="0"/>
    <x v="1"/>
    <n v="416142973.11000001"/>
    <x v="1"/>
    <x v="0"/>
    <x v="1"/>
    <x v="8"/>
    <x v="1"/>
    <x v="1"/>
    <x v="1"/>
    <x v="1"/>
    <x v="1"/>
    <n v="25"/>
    <x v="0"/>
  </r>
  <r>
    <d v="2024-03-25T00:00:00"/>
    <x v="1"/>
    <x v="0"/>
    <x v="0"/>
    <n v="69354805.450000003"/>
    <x v="1"/>
    <x v="0"/>
    <x v="0"/>
    <x v="9"/>
    <x v="1"/>
    <x v="1"/>
    <x v="1"/>
    <x v="1"/>
    <x v="1"/>
    <n v="25"/>
    <x v="0"/>
  </r>
  <r>
    <d v="2024-03-25T00:00:00"/>
    <x v="3"/>
    <x v="2"/>
    <x v="1"/>
    <n v="28772037359.27"/>
    <x v="3"/>
    <x v="2"/>
    <x v="1"/>
    <x v="10"/>
    <x v="1"/>
    <x v="1"/>
    <x v="1"/>
    <x v="1"/>
    <x v="1"/>
    <n v="25"/>
    <x v="0"/>
  </r>
  <r>
    <d v="2024-03-25T00:00:00"/>
    <x v="3"/>
    <x v="2"/>
    <x v="0"/>
    <n v="594920443.07000005"/>
    <x v="3"/>
    <x v="2"/>
    <x v="0"/>
    <x v="11"/>
    <x v="1"/>
    <x v="1"/>
    <x v="1"/>
    <x v="1"/>
    <x v="1"/>
    <n v="25"/>
    <x v="0"/>
  </r>
  <r>
    <d v="2024-03-25T00:00:00"/>
    <x v="3"/>
    <x v="1"/>
    <x v="0"/>
    <n v="45922967.869999997"/>
    <x v="3"/>
    <x v="1"/>
    <x v="0"/>
    <x v="12"/>
    <x v="1"/>
    <x v="1"/>
    <x v="1"/>
    <x v="1"/>
    <x v="1"/>
    <n v="25"/>
    <x v="0"/>
  </r>
  <r>
    <d v="2024-03-22T00:00:00"/>
    <x v="1"/>
    <x v="1"/>
    <x v="0"/>
    <n v="1347359.24"/>
    <x v="1"/>
    <x v="1"/>
    <x v="0"/>
    <x v="0"/>
    <x v="1"/>
    <x v="1"/>
    <x v="1"/>
    <x v="1"/>
    <x v="1"/>
    <n v="22"/>
    <x v="0"/>
  </r>
  <r>
    <d v="2024-03-22T00:00:00"/>
    <x v="0"/>
    <x v="1"/>
    <x v="0"/>
    <n v="31167633.530000001"/>
    <x v="0"/>
    <x v="1"/>
    <x v="0"/>
    <x v="1"/>
    <x v="1"/>
    <x v="1"/>
    <x v="1"/>
    <x v="1"/>
    <x v="1"/>
    <n v="22"/>
    <x v="0"/>
  </r>
  <r>
    <d v="2024-03-22T00:00:00"/>
    <x v="3"/>
    <x v="2"/>
    <x v="2"/>
    <n v="285371.24"/>
    <x v="3"/>
    <x v="2"/>
    <x v="2"/>
    <x v="5"/>
    <x v="1"/>
    <x v="1"/>
    <x v="1"/>
    <x v="1"/>
    <x v="1"/>
    <n v="22"/>
    <x v="0"/>
  </r>
  <r>
    <d v="2024-03-22T00:00:00"/>
    <x v="2"/>
    <x v="1"/>
    <x v="2"/>
    <n v="6165.84"/>
    <x v="2"/>
    <x v="1"/>
    <x v="2"/>
    <x v="2"/>
    <x v="1"/>
    <x v="1"/>
    <x v="1"/>
    <x v="1"/>
    <x v="1"/>
    <n v="22"/>
    <x v="0"/>
  </r>
  <r>
    <d v="2024-03-22T00:00:00"/>
    <x v="2"/>
    <x v="1"/>
    <x v="0"/>
    <n v="80252370.359999999"/>
    <x v="2"/>
    <x v="1"/>
    <x v="0"/>
    <x v="7"/>
    <x v="1"/>
    <x v="1"/>
    <x v="1"/>
    <x v="1"/>
    <x v="1"/>
    <n v="22"/>
    <x v="0"/>
  </r>
  <r>
    <d v="2024-03-22T00:00:00"/>
    <x v="3"/>
    <x v="3"/>
    <x v="1"/>
    <n v="3660597.14"/>
    <x v="3"/>
    <x v="3"/>
    <x v="1"/>
    <x v="3"/>
    <x v="1"/>
    <x v="1"/>
    <x v="1"/>
    <x v="1"/>
    <x v="1"/>
    <n v="22"/>
    <x v="0"/>
  </r>
  <r>
    <d v="2024-03-22T00:00:00"/>
    <x v="0"/>
    <x v="1"/>
    <x v="1"/>
    <n v="3067356.96"/>
    <x v="0"/>
    <x v="1"/>
    <x v="1"/>
    <x v="4"/>
    <x v="1"/>
    <x v="1"/>
    <x v="1"/>
    <x v="1"/>
    <x v="1"/>
    <n v="22"/>
    <x v="0"/>
  </r>
  <r>
    <d v="2024-03-22T00:00:00"/>
    <x v="1"/>
    <x v="0"/>
    <x v="1"/>
    <n v="329813752.5"/>
    <x v="1"/>
    <x v="0"/>
    <x v="1"/>
    <x v="10"/>
    <x v="1"/>
    <x v="1"/>
    <x v="1"/>
    <x v="1"/>
    <x v="1"/>
    <n v="22"/>
    <x v="0"/>
  </r>
  <r>
    <d v="2024-03-22T00:00:00"/>
    <x v="3"/>
    <x v="3"/>
    <x v="0"/>
    <n v="1296107755.3399999"/>
    <x v="3"/>
    <x v="3"/>
    <x v="0"/>
    <x v="6"/>
    <x v="1"/>
    <x v="1"/>
    <x v="1"/>
    <x v="1"/>
    <x v="1"/>
    <n v="22"/>
    <x v="0"/>
  </r>
  <r>
    <d v="2024-03-22T00:00:00"/>
    <x v="2"/>
    <x v="1"/>
    <x v="1"/>
    <n v="178278059.69999999"/>
    <x v="2"/>
    <x v="1"/>
    <x v="1"/>
    <x v="8"/>
    <x v="1"/>
    <x v="1"/>
    <x v="1"/>
    <x v="1"/>
    <x v="1"/>
    <n v="22"/>
    <x v="0"/>
  </r>
  <r>
    <d v="2024-03-22T00:00:00"/>
    <x v="1"/>
    <x v="0"/>
    <x v="0"/>
    <n v="59557156.259999998"/>
    <x v="1"/>
    <x v="0"/>
    <x v="0"/>
    <x v="9"/>
    <x v="1"/>
    <x v="1"/>
    <x v="1"/>
    <x v="1"/>
    <x v="1"/>
    <n v="22"/>
    <x v="0"/>
  </r>
  <r>
    <d v="2024-03-22T00:00:00"/>
    <x v="3"/>
    <x v="1"/>
    <x v="0"/>
    <n v="14464446.08"/>
    <x v="3"/>
    <x v="1"/>
    <x v="0"/>
    <x v="11"/>
    <x v="1"/>
    <x v="1"/>
    <x v="1"/>
    <x v="1"/>
    <x v="1"/>
    <n v="22"/>
    <x v="0"/>
  </r>
  <r>
    <d v="2024-03-22T00:00:00"/>
    <x v="3"/>
    <x v="2"/>
    <x v="0"/>
    <n v="5377115886.1000004"/>
    <x v="3"/>
    <x v="2"/>
    <x v="0"/>
    <x v="12"/>
    <x v="1"/>
    <x v="1"/>
    <x v="1"/>
    <x v="1"/>
    <x v="1"/>
    <n v="22"/>
    <x v="0"/>
  </r>
  <r>
    <d v="2024-03-22T00:00:00"/>
    <x v="3"/>
    <x v="2"/>
    <x v="1"/>
    <n v="10396075645.719999"/>
    <x v="3"/>
    <x v="2"/>
    <x v="1"/>
    <x v="13"/>
    <x v="1"/>
    <x v="1"/>
    <x v="1"/>
    <x v="1"/>
    <x v="1"/>
    <n v="22"/>
    <x v="0"/>
  </r>
  <r>
    <d v="2024-03-21T00:00:00"/>
    <x v="0"/>
    <x v="0"/>
    <x v="0"/>
    <n v="234.4"/>
    <x v="0"/>
    <x v="0"/>
    <x v="0"/>
    <x v="0"/>
    <x v="1"/>
    <x v="1"/>
    <x v="1"/>
    <x v="1"/>
    <x v="1"/>
    <n v="21"/>
    <x v="0"/>
  </r>
  <r>
    <d v="2024-03-21T00:00:00"/>
    <x v="0"/>
    <x v="1"/>
    <x v="0"/>
    <n v="24563663.18"/>
    <x v="0"/>
    <x v="1"/>
    <x v="0"/>
    <x v="1"/>
    <x v="1"/>
    <x v="1"/>
    <x v="1"/>
    <x v="1"/>
    <x v="1"/>
    <n v="21"/>
    <x v="0"/>
  </r>
  <r>
    <d v="2024-03-21T00:00:00"/>
    <x v="2"/>
    <x v="1"/>
    <x v="2"/>
    <n v="32819.199999999997"/>
    <x v="2"/>
    <x v="1"/>
    <x v="2"/>
    <x v="2"/>
    <x v="1"/>
    <x v="1"/>
    <x v="1"/>
    <x v="1"/>
    <x v="1"/>
    <n v="21"/>
    <x v="0"/>
  </r>
  <r>
    <d v="2024-03-21T00:00:00"/>
    <x v="2"/>
    <x v="1"/>
    <x v="0"/>
    <n v="138030649.56999999"/>
    <x v="2"/>
    <x v="1"/>
    <x v="0"/>
    <x v="6"/>
    <x v="1"/>
    <x v="1"/>
    <x v="1"/>
    <x v="1"/>
    <x v="1"/>
    <n v="21"/>
    <x v="0"/>
  </r>
  <r>
    <d v="2024-03-21T00:00:00"/>
    <x v="3"/>
    <x v="3"/>
    <x v="0"/>
    <n v="2081256795.1700001"/>
    <x v="3"/>
    <x v="3"/>
    <x v="0"/>
    <x v="7"/>
    <x v="1"/>
    <x v="1"/>
    <x v="1"/>
    <x v="1"/>
    <x v="1"/>
    <n v="21"/>
    <x v="0"/>
  </r>
  <r>
    <d v="2024-03-21T00:00:00"/>
    <x v="3"/>
    <x v="2"/>
    <x v="2"/>
    <n v="575681.44999999995"/>
    <x v="3"/>
    <x v="2"/>
    <x v="2"/>
    <x v="4"/>
    <x v="1"/>
    <x v="1"/>
    <x v="1"/>
    <x v="1"/>
    <x v="1"/>
    <n v="21"/>
    <x v="0"/>
  </r>
  <r>
    <d v="2024-03-21T00:00:00"/>
    <x v="2"/>
    <x v="1"/>
    <x v="1"/>
    <n v="215117436.30000001"/>
    <x v="2"/>
    <x v="1"/>
    <x v="1"/>
    <x v="8"/>
    <x v="1"/>
    <x v="1"/>
    <x v="1"/>
    <x v="1"/>
    <x v="1"/>
    <n v="21"/>
    <x v="0"/>
  </r>
  <r>
    <d v="2024-03-21T00:00:00"/>
    <x v="0"/>
    <x v="1"/>
    <x v="1"/>
    <n v="3886400.99"/>
    <x v="0"/>
    <x v="1"/>
    <x v="1"/>
    <x v="3"/>
    <x v="1"/>
    <x v="1"/>
    <x v="1"/>
    <x v="1"/>
    <x v="1"/>
    <n v="21"/>
    <x v="0"/>
  </r>
  <r>
    <d v="2024-03-21T00:00:00"/>
    <x v="1"/>
    <x v="0"/>
    <x v="0"/>
    <n v="77529612.359999999"/>
    <x v="1"/>
    <x v="0"/>
    <x v="0"/>
    <x v="9"/>
    <x v="1"/>
    <x v="1"/>
    <x v="1"/>
    <x v="1"/>
    <x v="1"/>
    <n v="21"/>
    <x v="0"/>
  </r>
  <r>
    <d v="2024-03-21T00:00:00"/>
    <x v="1"/>
    <x v="1"/>
    <x v="0"/>
    <n v="102774.43"/>
    <x v="1"/>
    <x v="1"/>
    <x v="0"/>
    <x v="5"/>
    <x v="1"/>
    <x v="1"/>
    <x v="1"/>
    <x v="1"/>
    <x v="1"/>
    <n v="21"/>
    <x v="0"/>
  </r>
  <r>
    <d v="2024-03-21T00:00:00"/>
    <x v="1"/>
    <x v="0"/>
    <x v="1"/>
    <n v="385480535.60000002"/>
    <x v="1"/>
    <x v="0"/>
    <x v="1"/>
    <x v="10"/>
    <x v="1"/>
    <x v="1"/>
    <x v="1"/>
    <x v="1"/>
    <x v="1"/>
    <n v="21"/>
    <x v="0"/>
  </r>
  <r>
    <d v="2024-03-21T00:00:00"/>
    <x v="3"/>
    <x v="1"/>
    <x v="0"/>
    <n v="14530551.66"/>
    <x v="3"/>
    <x v="1"/>
    <x v="0"/>
    <x v="11"/>
    <x v="1"/>
    <x v="1"/>
    <x v="1"/>
    <x v="1"/>
    <x v="1"/>
    <n v="21"/>
    <x v="0"/>
  </r>
  <r>
    <d v="2024-03-21T00:00:00"/>
    <x v="3"/>
    <x v="2"/>
    <x v="1"/>
    <n v="4844659545.4799995"/>
    <x v="3"/>
    <x v="2"/>
    <x v="1"/>
    <x v="12"/>
    <x v="1"/>
    <x v="1"/>
    <x v="1"/>
    <x v="1"/>
    <x v="1"/>
    <n v="21"/>
    <x v="0"/>
  </r>
  <r>
    <d v="2024-03-21T00:00:00"/>
    <x v="3"/>
    <x v="2"/>
    <x v="0"/>
    <n v="433379198.81999999"/>
    <x v="3"/>
    <x v="2"/>
    <x v="0"/>
    <x v="13"/>
    <x v="1"/>
    <x v="1"/>
    <x v="1"/>
    <x v="1"/>
    <x v="1"/>
    <n v="21"/>
    <x v="0"/>
  </r>
  <r>
    <d v="2024-03-20T00:00:00"/>
    <x v="0"/>
    <x v="0"/>
    <x v="0"/>
    <n v="1488.37"/>
    <x v="0"/>
    <x v="0"/>
    <x v="0"/>
    <x v="0"/>
    <x v="1"/>
    <x v="1"/>
    <x v="1"/>
    <x v="1"/>
    <x v="1"/>
    <n v="20"/>
    <x v="0"/>
  </r>
  <r>
    <d v="2024-03-20T00:00:00"/>
    <x v="1"/>
    <x v="1"/>
    <x v="0"/>
    <n v="161826.32999999999"/>
    <x v="1"/>
    <x v="1"/>
    <x v="0"/>
    <x v="1"/>
    <x v="1"/>
    <x v="1"/>
    <x v="1"/>
    <x v="1"/>
    <x v="1"/>
    <n v="20"/>
    <x v="0"/>
  </r>
  <r>
    <d v="2024-03-20T00:00:00"/>
    <x v="0"/>
    <x v="1"/>
    <x v="0"/>
    <n v="28104255.109999999"/>
    <x v="0"/>
    <x v="1"/>
    <x v="0"/>
    <x v="2"/>
    <x v="1"/>
    <x v="1"/>
    <x v="1"/>
    <x v="1"/>
    <x v="1"/>
    <n v="20"/>
    <x v="0"/>
  </r>
  <r>
    <d v="2024-03-20T00:00:00"/>
    <x v="2"/>
    <x v="1"/>
    <x v="0"/>
    <n v="129142118.58"/>
    <x v="2"/>
    <x v="1"/>
    <x v="0"/>
    <x v="8"/>
    <x v="1"/>
    <x v="1"/>
    <x v="1"/>
    <x v="1"/>
    <x v="1"/>
    <n v="20"/>
    <x v="0"/>
  </r>
  <r>
    <d v="2024-03-20T00:00:00"/>
    <x v="3"/>
    <x v="3"/>
    <x v="2"/>
    <n v="30"/>
    <x v="3"/>
    <x v="3"/>
    <x v="2"/>
    <x v="3"/>
    <x v="1"/>
    <x v="1"/>
    <x v="1"/>
    <x v="1"/>
    <x v="1"/>
    <n v="20"/>
    <x v="0"/>
  </r>
  <r>
    <d v="2024-03-20T00:00:00"/>
    <x v="2"/>
    <x v="1"/>
    <x v="2"/>
    <n v="32452.27"/>
    <x v="2"/>
    <x v="1"/>
    <x v="2"/>
    <x v="4"/>
    <x v="1"/>
    <x v="1"/>
    <x v="1"/>
    <x v="1"/>
    <x v="1"/>
    <n v="20"/>
    <x v="0"/>
  </r>
  <r>
    <d v="2024-03-20T00:00:00"/>
    <x v="3"/>
    <x v="3"/>
    <x v="0"/>
    <n v="1397388998.9100001"/>
    <x v="3"/>
    <x v="3"/>
    <x v="0"/>
    <x v="9"/>
    <x v="1"/>
    <x v="1"/>
    <x v="1"/>
    <x v="1"/>
    <x v="1"/>
    <n v="20"/>
    <x v="0"/>
  </r>
  <r>
    <d v="2024-03-20T00:00:00"/>
    <x v="3"/>
    <x v="3"/>
    <x v="1"/>
    <n v="123666.44"/>
    <x v="3"/>
    <x v="3"/>
    <x v="1"/>
    <x v="5"/>
    <x v="1"/>
    <x v="1"/>
    <x v="1"/>
    <x v="1"/>
    <x v="1"/>
    <n v="20"/>
    <x v="0"/>
  </r>
  <r>
    <d v="2024-03-20T00:00:00"/>
    <x v="0"/>
    <x v="1"/>
    <x v="1"/>
    <n v="10429826.15"/>
    <x v="0"/>
    <x v="1"/>
    <x v="1"/>
    <x v="6"/>
    <x v="1"/>
    <x v="1"/>
    <x v="1"/>
    <x v="1"/>
    <x v="1"/>
    <n v="20"/>
    <x v="0"/>
  </r>
  <r>
    <d v="2024-03-20T00:00:00"/>
    <x v="3"/>
    <x v="2"/>
    <x v="2"/>
    <n v="217222.35"/>
    <x v="3"/>
    <x v="2"/>
    <x v="2"/>
    <x v="7"/>
    <x v="1"/>
    <x v="1"/>
    <x v="1"/>
    <x v="1"/>
    <x v="1"/>
    <n v="20"/>
    <x v="0"/>
  </r>
  <r>
    <d v="2024-03-20T00:00:00"/>
    <x v="2"/>
    <x v="1"/>
    <x v="1"/>
    <n v="169546345.84999999"/>
    <x v="2"/>
    <x v="1"/>
    <x v="1"/>
    <x v="10"/>
    <x v="1"/>
    <x v="1"/>
    <x v="1"/>
    <x v="1"/>
    <x v="1"/>
    <n v="20"/>
    <x v="0"/>
  </r>
  <r>
    <d v="2024-03-20T00:00:00"/>
    <x v="1"/>
    <x v="0"/>
    <x v="1"/>
    <n v="1135709689.6099999"/>
    <x v="1"/>
    <x v="0"/>
    <x v="1"/>
    <x v="11"/>
    <x v="1"/>
    <x v="1"/>
    <x v="1"/>
    <x v="1"/>
    <x v="1"/>
    <n v="20"/>
    <x v="0"/>
  </r>
  <r>
    <d v="2024-03-20T00:00:00"/>
    <x v="1"/>
    <x v="0"/>
    <x v="0"/>
    <n v="105781592.55"/>
    <x v="1"/>
    <x v="0"/>
    <x v="0"/>
    <x v="12"/>
    <x v="1"/>
    <x v="1"/>
    <x v="1"/>
    <x v="1"/>
    <x v="1"/>
    <n v="20"/>
    <x v="0"/>
  </r>
  <r>
    <d v="2024-03-20T00:00:00"/>
    <x v="3"/>
    <x v="1"/>
    <x v="0"/>
    <n v="15222346.66"/>
    <x v="3"/>
    <x v="1"/>
    <x v="0"/>
    <x v="13"/>
    <x v="1"/>
    <x v="1"/>
    <x v="1"/>
    <x v="1"/>
    <x v="1"/>
    <n v="20"/>
    <x v="0"/>
  </r>
  <r>
    <d v="2024-03-20T00:00:00"/>
    <x v="3"/>
    <x v="2"/>
    <x v="1"/>
    <n v="13286386786.690001"/>
    <x v="3"/>
    <x v="2"/>
    <x v="1"/>
    <x v="14"/>
    <x v="1"/>
    <x v="1"/>
    <x v="1"/>
    <x v="1"/>
    <x v="1"/>
    <n v="20"/>
    <x v="0"/>
  </r>
  <r>
    <d v="2024-03-20T00:00:00"/>
    <x v="3"/>
    <x v="2"/>
    <x v="0"/>
    <n v="800786123.28999996"/>
    <x v="3"/>
    <x v="2"/>
    <x v="0"/>
    <x v="15"/>
    <x v="1"/>
    <x v="1"/>
    <x v="1"/>
    <x v="1"/>
    <x v="1"/>
    <n v="20"/>
    <x v="0"/>
  </r>
  <r>
    <d v="2024-03-19T00:00:00"/>
    <x v="0"/>
    <x v="1"/>
    <x v="0"/>
    <n v="13458468.949999999"/>
    <x v="0"/>
    <x v="1"/>
    <x v="0"/>
    <x v="0"/>
    <x v="1"/>
    <x v="1"/>
    <x v="1"/>
    <x v="1"/>
    <x v="1"/>
    <n v="19"/>
    <x v="0"/>
  </r>
  <r>
    <d v="2024-03-19T00:00:00"/>
    <x v="3"/>
    <x v="3"/>
    <x v="2"/>
    <n v="15"/>
    <x v="3"/>
    <x v="3"/>
    <x v="2"/>
    <x v="1"/>
    <x v="1"/>
    <x v="1"/>
    <x v="1"/>
    <x v="1"/>
    <x v="1"/>
    <n v="19"/>
    <x v="0"/>
  </r>
  <r>
    <d v="2024-03-19T00:00:00"/>
    <x v="2"/>
    <x v="1"/>
    <x v="2"/>
    <n v="5676.41"/>
    <x v="2"/>
    <x v="1"/>
    <x v="2"/>
    <x v="2"/>
    <x v="1"/>
    <x v="1"/>
    <x v="1"/>
    <x v="1"/>
    <x v="1"/>
    <n v="19"/>
    <x v="0"/>
  </r>
  <r>
    <d v="2024-03-19T00:00:00"/>
    <x v="2"/>
    <x v="1"/>
    <x v="0"/>
    <n v="80709182.730000004"/>
    <x v="2"/>
    <x v="1"/>
    <x v="0"/>
    <x v="6"/>
    <x v="1"/>
    <x v="1"/>
    <x v="1"/>
    <x v="1"/>
    <x v="1"/>
    <n v="19"/>
    <x v="0"/>
  </r>
  <r>
    <d v="2024-03-19T00:00:00"/>
    <x v="3"/>
    <x v="2"/>
    <x v="2"/>
    <n v="177337.71"/>
    <x v="3"/>
    <x v="2"/>
    <x v="2"/>
    <x v="4"/>
    <x v="1"/>
    <x v="1"/>
    <x v="1"/>
    <x v="1"/>
    <x v="1"/>
    <n v="19"/>
    <x v="0"/>
  </r>
  <r>
    <d v="2024-03-19T00:00:00"/>
    <x v="2"/>
    <x v="1"/>
    <x v="1"/>
    <n v="132766178.61"/>
    <x v="2"/>
    <x v="1"/>
    <x v="1"/>
    <x v="7"/>
    <x v="1"/>
    <x v="1"/>
    <x v="1"/>
    <x v="1"/>
    <x v="1"/>
    <n v="19"/>
    <x v="0"/>
  </r>
  <r>
    <d v="2024-03-19T00:00:00"/>
    <x v="1"/>
    <x v="0"/>
    <x v="1"/>
    <n v="333506782.72000003"/>
    <x v="1"/>
    <x v="0"/>
    <x v="1"/>
    <x v="8"/>
    <x v="1"/>
    <x v="1"/>
    <x v="1"/>
    <x v="1"/>
    <x v="1"/>
    <n v="19"/>
    <x v="0"/>
  </r>
  <r>
    <d v="2024-03-19T00:00:00"/>
    <x v="0"/>
    <x v="1"/>
    <x v="1"/>
    <n v="3720586.94"/>
    <x v="0"/>
    <x v="1"/>
    <x v="1"/>
    <x v="3"/>
    <x v="1"/>
    <x v="1"/>
    <x v="1"/>
    <x v="1"/>
    <x v="1"/>
    <n v="19"/>
    <x v="0"/>
  </r>
  <r>
    <d v="2024-03-19T00:00:00"/>
    <x v="3"/>
    <x v="3"/>
    <x v="0"/>
    <n v="1666895881.1099999"/>
    <x v="3"/>
    <x v="3"/>
    <x v="0"/>
    <x v="5"/>
    <x v="1"/>
    <x v="1"/>
    <x v="1"/>
    <x v="1"/>
    <x v="1"/>
    <n v="19"/>
    <x v="0"/>
  </r>
  <r>
    <d v="2024-03-19T00:00:00"/>
    <x v="1"/>
    <x v="0"/>
    <x v="0"/>
    <n v="89064303.5"/>
    <x v="1"/>
    <x v="0"/>
    <x v="0"/>
    <x v="9"/>
    <x v="1"/>
    <x v="1"/>
    <x v="1"/>
    <x v="1"/>
    <x v="1"/>
    <n v="19"/>
    <x v="0"/>
  </r>
  <r>
    <d v="2024-03-19T00:00:00"/>
    <x v="3"/>
    <x v="1"/>
    <x v="0"/>
    <n v="13434256.060000001"/>
    <x v="3"/>
    <x v="1"/>
    <x v="0"/>
    <x v="10"/>
    <x v="1"/>
    <x v="1"/>
    <x v="1"/>
    <x v="1"/>
    <x v="1"/>
    <n v="19"/>
    <x v="0"/>
  </r>
  <r>
    <d v="2024-03-19T00:00:00"/>
    <x v="3"/>
    <x v="2"/>
    <x v="0"/>
    <n v="702932269.98000002"/>
    <x v="3"/>
    <x v="2"/>
    <x v="0"/>
    <x v="11"/>
    <x v="1"/>
    <x v="1"/>
    <x v="1"/>
    <x v="1"/>
    <x v="1"/>
    <n v="19"/>
    <x v="0"/>
  </r>
  <r>
    <d v="2024-03-19T00:00:00"/>
    <x v="3"/>
    <x v="2"/>
    <x v="1"/>
    <n v="6369075416.46"/>
    <x v="3"/>
    <x v="2"/>
    <x v="1"/>
    <x v="12"/>
    <x v="1"/>
    <x v="1"/>
    <x v="1"/>
    <x v="1"/>
    <x v="1"/>
    <n v="19"/>
    <x v="0"/>
  </r>
  <r>
    <d v="2024-03-18T00:00:00"/>
    <x v="0"/>
    <x v="0"/>
    <x v="0"/>
    <n v="86.6"/>
    <x v="0"/>
    <x v="0"/>
    <x v="0"/>
    <x v="0"/>
    <x v="1"/>
    <x v="1"/>
    <x v="1"/>
    <x v="1"/>
    <x v="1"/>
    <n v="18"/>
    <x v="0"/>
  </r>
  <r>
    <d v="2024-03-18T00:00:00"/>
    <x v="1"/>
    <x v="1"/>
    <x v="0"/>
    <n v="11993147.869999999"/>
    <x v="1"/>
    <x v="1"/>
    <x v="0"/>
    <x v="1"/>
    <x v="1"/>
    <x v="1"/>
    <x v="1"/>
    <x v="1"/>
    <x v="1"/>
    <n v="18"/>
    <x v="0"/>
  </r>
  <r>
    <d v="2024-03-18T00:00:00"/>
    <x v="0"/>
    <x v="1"/>
    <x v="0"/>
    <n v="32362298.530000001"/>
    <x v="0"/>
    <x v="1"/>
    <x v="0"/>
    <x v="2"/>
    <x v="1"/>
    <x v="1"/>
    <x v="1"/>
    <x v="1"/>
    <x v="1"/>
    <n v="18"/>
    <x v="0"/>
  </r>
  <r>
    <d v="2024-03-18T00:00:00"/>
    <x v="3"/>
    <x v="3"/>
    <x v="2"/>
    <n v="731.21"/>
    <x v="3"/>
    <x v="3"/>
    <x v="2"/>
    <x v="3"/>
    <x v="1"/>
    <x v="1"/>
    <x v="1"/>
    <x v="1"/>
    <x v="1"/>
    <n v="18"/>
    <x v="0"/>
  </r>
  <r>
    <d v="2024-03-18T00:00:00"/>
    <x v="2"/>
    <x v="1"/>
    <x v="2"/>
    <n v="10361.219999999999"/>
    <x v="2"/>
    <x v="1"/>
    <x v="2"/>
    <x v="4"/>
    <x v="1"/>
    <x v="1"/>
    <x v="1"/>
    <x v="1"/>
    <x v="1"/>
    <n v="18"/>
    <x v="0"/>
  </r>
  <r>
    <d v="2024-03-18T00:00:00"/>
    <x v="2"/>
    <x v="1"/>
    <x v="0"/>
    <n v="77547968"/>
    <x v="2"/>
    <x v="1"/>
    <x v="0"/>
    <x v="9"/>
    <x v="1"/>
    <x v="1"/>
    <x v="1"/>
    <x v="1"/>
    <x v="1"/>
    <n v="18"/>
    <x v="0"/>
  </r>
  <r>
    <d v="2024-03-18T00:00:00"/>
    <x v="2"/>
    <x v="1"/>
    <x v="1"/>
    <n v="242653812.16"/>
    <x v="2"/>
    <x v="1"/>
    <x v="1"/>
    <x v="10"/>
    <x v="1"/>
    <x v="1"/>
    <x v="1"/>
    <x v="1"/>
    <x v="1"/>
    <n v="18"/>
    <x v="0"/>
  </r>
  <r>
    <d v="2024-03-18T00:00:00"/>
    <x v="1"/>
    <x v="0"/>
    <x v="1"/>
    <n v="354873510.33999997"/>
    <x v="1"/>
    <x v="0"/>
    <x v="1"/>
    <x v="11"/>
    <x v="1"/>
    <x v="1"/>
    <x v="1"/>
    <x v="1"/>
    <x v="1"/>
    <n v="18"/>
    <x v="0"/>
  </r>
  <r>
    <d v="2024-03-18T00:00:00"/>
    <x v="3"/>
    <x v="3"/>
    <x v="1"/>
    <n v="3961309.43"/>
    <x v="3"/>
    <x v="3"/>
    <x v="1"/>
    <x v="5"/>
    <x v="1"/>
    <x v="1"/>
    <x v="1"/>
    <x v="1"/>
    <x v="1"/>
    <n v="18"/>
    <x v="0"/>
  </r>
  <r>
    <d v="2024-03-18T00:00:00"/>
    <x v="0"/>
    <x v="1"/>
    <x v="1"/>
    <n v="7281585.3300000001"/>
    <x v="0"/>
    <x v="1"/>
    <x v="1"/>
    <x v="6"/>
    <x v="1"/>
    <x v="1"/>
    <x v="1"/>
    <x v="1"/>
    <x v="1"/>
    <n v="18"/>
    <x v="0"/>
  </r>
  <r>
    <d v="2024-03-18T00:00:00"/>
    <x v="1"/>
    <x v="0"/>
    <x v="0"/>
    <n v="71405509.269999996"/>
    <x v="1"/>
    <x v="0"/>
    <x v="0"/>
    <x v="12"/>
    <x v="1"/>
    <x v="1"/>
    <x v="1"/>
    <x v="1"/>
    <x v="1"/>
    <n v="18"/>
    <x v="0"/>
  </r>
  <r>
    <d v="2024-03-18T00:00:00"/>
    <x v="3"/>
    <x v="2"/>
    <x v="2"/>
    <n v="72620.08"/>
    <x v="3"/>
    <x v="2"/>
    <x v="2"/>
    <x v="7"/>
    <x v="1"/>
    <x v="1"/>
    <x v="1"/>
    <x v="1"/>
    <x v="1"/>
    <n v="18"/>
    <x v="0"/>
  </r>
  <r>
    <d v="2024-03-18T00:00:00"/>
    <x v="3"/>
    <x v="3"/>
    <x v="0"/>
    <n v="1380872313.27"/>
    <x v="3"/>
    <x v="3"/>
    <x v="0"/>
    <x v="8"/>
    <x v="1"/>
    <x v="1"/>
    <x v="1"/>
    <x v="1"/>
    <x v="1"/>
    <n v="18"/>
    <x v="0"/>
  </r>
  <r>
    <d v="2024-03-18T00:00:00"/>
    <x v="3"/>
    <x v="2"/>
    <x v="0"/>
    <n v="679844543.59000003"/>
    <x v="3"/>
    <x v="2"/>
    <x v="0"/>
    <x v="13"/>
    <x v="1"/>
    <x v="1"/>
    <x v="1"/>
    <x v="1"/>
    <x v="1"/>
    <n v="18"/>
    <x v="0"/>
  </r>
  <r>
    <d v="2024-03-18T00:00:00"/>
    <x v="3"/>
    <x v="1"/>
    <x v="0"/>
    <n v="50378242.729999997"/>
    <x v="3"/>
    <x v="1"/>
    <x v="0"/>
    <x v="14"/>
    <x v="1"/>
    <x v="1"/>
    <x v="1"/>
    <x v="1"/>
    <x v="1"/>
    <n v="18"/>
    <x v="0"/>
  </r>
  <r>
    <d v="2024-03-18T00:00:00"/>
    <x v="3"/>
    <x v="2"/>
    <x v="1"/>
    <n v="57421567626.410004"/>
    <x v="3"/>
    <x v="2"/>
    <x v="1"/>
    <x v="15"/>
    <x v="1"/>
    <x v="1"/>
    <x v="1"/>
    <x v="1"/>
    <x v="1"/>
    <n v="18"/>
    <x v="0"/>
  </r>
  <r>
    <d v="2024-03-15T00:00:00"/>
    <x v="0"/>
    <x v="0"/>
    <x v="0"/>
    <n v="3100"/>
    <x v="0"/>
    <x v="0"/>
    <x v="0"/>
    <x v="0"/>
    <x v="1"/>
    <x v="1"/>
    <x v="1"/>
    <x v="1"/>
    <x v="1"/>
    <n v="15"/>
    <x v="0"/>
  </r>
  <r>
    <d v="2024-03-15T00:00:00"/>
    <x v="0"/>
    <x v="1"/>
    <x v="0"/>
    <n v="13806124.890000001"/>
    <x v="0"/>
    <x v="1"/>
    <x v="0"/>
    <x v="1"/>
    <x v="1"/>
    <x v="1"/>
    <x v="1"/>
    <x v="1"/>
    <x v="1"/>
    <n v="15"/>
    <x v="0"/>
  </r>
  <r>
    <d v="2024-03-15T00:00:00"/>
    <x v="1"/>
    <x v="1"/>
    <x v="0"/>
    <n v="146960.76999999999"/>
    <x v="1"/>
    <x v="1"/>
    <x v="0"/>
    <x v="6"/>
    <x v="1"/>
    <x v="1"/>
    <x v="1"/>
    <x v="1"/>
    <x v="1"/>
    <n v="15"/>
    <x v="0"/>
  </r>
  <r>
    <d v="2024-03-15T00:00:00"/>
    <x v="2"/>
    <x v="1"/>
    <x v="2"/>
    <n v="39013.839999999997"/>
    <x v="2"/>
    <x v="1"/>
    <x v="2"/>
    <x v="2"/>
    <x v="1"/>
    <x v="1"/>
    <x v="1"/>
    <x v="1"/>
    <x v="1"/>
    <n v="15"/>
    <x v="0"/>
  </r>
  <r>
    <d v="2024-03-15T00:00:00"/>
    <x v="2"/>
    <x v="1"/>
    <x v="0"/>
    <n v="87253885.609999999"/>
    <x v="2"/>
    <x v="1"/>
    <x v="0"/>
    <x v="7"/>
    <x v="1"/>
    <x v="1"/>
    <x v="1"/>
    <x v="1"/>
    <x v="1"/>
    <n v="15"/>
    <x v="0"/>
  </r>
  <r>
    <d v="2024-03-15T00:00:00"/>
    <x v="3"/>
    <x v="3"/>
    <x v="0"/>
    <n v="1540918561.8099999"/>
    <x v="3"/>
    <x v="3"/>
    <x v="0"/>
    <x v="8"/>
    <x v="1"/>
    <x v="1"/>
    <x v="1"/>
    <x v="1"/>
    <x v="1"/>
    <n v="15"/>
    <x v="0"/>
  </r>
  <r>
    <d v="2024-03-15T00:00:00"/>
    <x v="3"/>
    <x v="2"/>
    <x v="2"/>
    <n v="254287.29"/>
    <x v="3"/>
    <x v="2"/>
    <x v="2"/>
    <x v="5"/>
    <x v="1"/>
    <x v="1"/>
    <x v="1"/>
    <x v="1"/>
    <x v="1"/>
    <n v="15"/>
    <x v="0"/>
  </r>
  <r>
    <d v="2024-03-15T00:00:00"/>
    <x v="2"/>
    <x v="1"/>
    <x v="1"/>
    <n v="129802811.31999999"/>
    <x v="2"/>
    <x v="1"/>
    <x v="1"/>
    <x v="9"/>
    <x v="1"/>
    <x v="1"/>
    <x v="1"/>
    <x v="1"/>
    <x v="1"/>
    <n v="15"/>
    <x v="0"/>
  </r>
  <r>
    <d v="2024-03-15T00:00:00"/>
    <x v="1"/>
    <x v="0"/>
    <x v="1"/>
    <n v="216695595.81"/>
    <x v="1"/>
    <x v="0"/>
    <x v="1"/>
    <x v="10"/>
    <x v="1"/>
    <x v="1"/>
    <x v="1"/>
    <x v="1"/>
    <x v="1"/>
    <n v="15"/>
    <x v="0"/>
  </r>
  <r>
    <d v="2024-03-15T00:00:00"/>
    <x v="3"/>
    <x v="3"/>
    <x v="1"/>
    <n v="1056845.5900000001"/>
    <x v="3"/>
    <x v="3"/>
    <x v="1"/>
    <x v="3"/>
    <x v="1"/>
    <x v="1"/>
    <x v="1"/>
    <x v="1"/>
    <x v="1"/>
    <n v="15"/>
    <x v="0"/>
  </r>
  <r>
    <d v="2024-03-15T00:00:00"/>
    <x v="0"/>
    <x v="1"/>
    <x v="1"/>
    <n v="17290053.449999999"/>
    <x v="0"/>
    <x v="1"/>
    <x v="1"/>
    <x v="4"/>
    <x v="1"/>
    <x v="1"/>
    <x v="1"/>
    <x v="1"/>
    <x v="1"/>
    <n v="15"/>
    <x v="0"/>
  </r>
  <r>
    <d v="2024-03-15T00:00:00"/>
    <x v="1"/>
    <x v="0"/>
    <x v="0"/>
    <n v="53347430.310000002"/>
    <x v="1"/>
    <x v="0"/>
    <x v="0"/>
    <x v="11"/>
    <x v="1"/>
    <x v="1"/>
    <x v="1"/>
    <x v="1"/>
    <x v="1"/>
    <n v="15"/>
    <x v="0"/>
  </r>
  <r>
    <d v="2024-03-15T00:00:00"/>
    <x v="3"/>
    <x v="1"/>
    <x v="0"/>
    <n v="16597663.939999999"/>
    <x v="3"/>
    <x v="1"/>
    <x v="0"/>
    <x v="12"/>
    <x v="1"/>
    <x v="1"/>
    <x v="1"/>
    <x v="1"/>
    <x v="1"/>
    <n v="15"/>
    <x v="0"/>
  </r>
  <r>
    <d v="2024-03-15T00:00:00"/>
    <x v="3"/>
    <x v="2"/>
    <x v="0"/>
    <n v="764997191.94000006"/>
    <x v="3"/>
    <x v="2"/>
    <x v="0"/>
    <x v="13"/>
    <x v="1"/>
    <x v="1"/>
    <x v="1"/>
    <x v="1"/>
    <x v="1"/>
    <n v="15"/>
    <x v="0"/>
  </r>
  <r>
    <d v="2024-03-15T00:00:00"/>
    <x v="3"/>
    <x v="2"/>
    <x v="1"/>
    <n v="29509745509.759998"/>
    <x v="3"/>
    <x v="2"/>
    <x v="1"/>
    <x v="14"/>
    <x v="1"/>
    <x v="1"/>
    <x v="1"/>
    <x v="1"/>
    <x v="1"/>
    <n v="15"/>
    <x v="0"/>
  </r>
  <r>
    <d v="2024-03-14T00:00:00"/>
    <x v="0"/>
    <x v="0"/>
    <x v="0"/>
    <n v="-1093348.97"/>
    <x v="0"/>
    <x v="0"/>
    <x v="0"/>
    <x v="0"/>
    <x v="1"/>
    <x v="1"/>
    <x v="1"/>
    <x v="1"/>
    <x v="1"/>
    <n v="14"/>
    <x v="1"/>
  </r>
  <r>
    <d v="2024-03-14T00:00:00"/>
    <x v="1"/>
    <x v="1"/>
    <x v="0"/>
    <n v="353782.12"/>
    <x v="1"/>
    <x v="1"/>
    <x v="0"/>
    <x v="1"/>
    <x v="1"/>
    <x v="1"/>
    <x v="1"/>
    <x v="1"/>
    <x v="1"/>
    <n v="14"/>
    <x v="0"/>
  </r>
  <r>
    <d v="2024-03-14T00:00:00"/>
    <x v="0"/>
    <x v="1"/>
    <x v="0"/>
    <n v="18585156.010000002"/>
    <x v="0"/>
    <x v="1"/>
    <x v="0"/>
    <x v="2"/>
    <x v="1"/>
    <x v="1"/>
    <x v="1"/>
    <x v="1"/>
    <x v="1"/>
    <n v="14"/>
    <x v="0"/>
  </r>
  <r>
    <d v="2024-03-14T00:00:00"/>
    <x v="2"/>
    <x v="1"/>
    <x v="2"/>
    <n v="16230.03"/>
    <x v="2"/>
    <x v="1"/>
    <x v="2"/>
    <x v="3"/>
    <x v="1"/>
    <x v="1"/>
    <x v="1"/>
    <x v="1"/>
    <x v="1"/>
    <n v="14"/>
    <x v="0"/>
  </r>
  <r>
    <d v="2024-03-14T00:00:00"/>
    <x v="2"/>
    <x v="1"/>
    <x v="0"/>
    <n v="94153462.019999996"/>
    <x v="2"/>
    <x v="1"/>
    <x v="0"/>
    <x v="7"/>
    <x v="1"/>
    <x v="1"/>
    <x v="1"/>
    <x v="1"/>
    <x v="1"/>
    <n v="14"/>
    <x v="0"/>
  </r>
  <r>
    <d v="2024-03-14T00:00:00"/>
    <x v="3"/>
    <x v="3"/>
    <x v="0"/>
    <n v="2039349221.23"/>
    <x v="3"/>
    <x v="3"/>
    <x v="0"/>
    <x v="8"/>
    <x v="1"/>
    <x v="1"/>
    <x v="1"/>
    <x v="1"/>
    <x v="1"/>
    <n v="14"/>
    <x v="0"/>
  </r>
  <r>
    <d v="2024-03-14T00:00:00"/>
    <x v="2"/>
    <x v="1"/>
    <x v="1"/>
    <n v="321917901.63"/>
    <x v="2"/>
    <x v="1"/>
    <x v="1"/>
    <x v="9"/>
    <x v="1"/>
    <x v="1"/>
    <x v="1"/>
    <x v="1"/>
    <x v="1"/>
    <n v="14"/>
    <x v="0"/>
  </r>
  <r>
    <d v="2024-03-14T00:00:00"/>
    <x v="1"/>
    <x v="0"/>
    <x v="1"/>
    <n v="340379513.56999999"/>
    <x v="1"/>
    <x v="0"/>
    <x v="1"/>
    <x v="10"/>
    <x v="1"/>
    <x v="1"/>
    <x v="1"/>
    <x v="1"/>
    <x v="1"/>
    <n v="14"/>
    <x v="0"/>
  </r>
  <r>
    <d v="2024-03-14T00:00:00"/>
    <x v="3"/>
    <x v="3"/>
    <x v="1"/>
    <n v="245140.33"/>
    <x v="3"/>
    <x v="3"/>
    <x v="1"/>
    <x v="4"/>
    <x v="1"/>
    <x v="1"/>
    <x v="1"/>
    <x v="1"/>
    <x v="1"/>
    <n v="14"/>
    <x v="0"/>
  </r>
  <r>
    <d v="2024-03-14T00:00:00"/>
    <x v="0"/>
    <x v="1"/>
    <x v="1"/>
    <n v="7934671.9500000002"/>
    <x v="0"/>
    <x v="1"/>
    <x v="1"/>
    <x v="5"/>
    <x v="1"/>
    <x v="1"/>
    <x v="1"/>
    <x v="1"/>
    <x v="1"/>
    <n v="14"/>
    <x v="0"/>
  </r>
  <r>
    <d v="2024-03-14T00:00:00"/>
    <x v="1"/>
    <x v="0"/>
    <x v="0"/>
    <n v="61773919.299999997"/>
    <x v="1"/>
    <x v="0"/>
    <x v="0"/>
    <x v="11"/>
    <x v="1"/>
    <x v="1"/>
    <x v="1"/>
    <x v="1"/>
    <x v="1"/>
    <n v="14"/>
    <x v="0"/>
  </r>
  <r>
    <d v="2024-03-14T00:00:00"/>
    <x v="3"/>
    <x v="2"/>
    <x v="2"/>
    <n v="169917"/>
    <x v="3"/>
    <x v="2"/>
    <x v="2"/>
    <x v="6"/>
    <x v="1"/>
    <x v="1"/>
    <x v="1"/>
    <x v="1"/>
    <x v="1"/>
    <n v="14"/>
    <x v="0"/>
  </r>
  <r>
    <d v="2024-03-14T00:00:00"/>
    <x v="3"/>
    <x v="1"/>
    <x v="0"/>
    <n v="14384172.640000001"/>
    <x v="3"/>
    <x v="1"/>
    <x v="0"/>
    <x v="12"/>
    <x v="1"/>
    <x v="1"/>
    <x v="1"/>
    <x v="1"/>
    <x v="1"/>
    <n v="14"/>
    <x v="0"/>
  </r>
  <r>
    <d v="2024-03-14T00:00:00"/>
    <x v="3"/>
    <x v="2"/>
    <x v="1"/>
    <n v="9556447013.9200001"/>
    <x v="3"/>
    <x v="2"/>
    <x v="1"/>
    <x v="13"/>
    <x v="1"/>
    <x v="1"/>
    <x v="1"/>
    <x v="1"/>
    <x v="1"/>
    <n v="14"/>
    <x v="0"/>
  </r>
  <r>
    <d v="2024-03-14T00:00:00"/>
    <x v="3"/>
    <x v="2"/>
    <x v="0"/>
    <n v="608831913.25999999"/>
    <x v="3"/>
    <x v="2"/>
    <x v="0"/>
    <x v="14"/>
    <x v="1"/>
    <x v="1"/>
    <x v="1"/>
    <x v="1"/>
    <x v="1"/>
    <n v="14"/>
    <x v="0"/>
  </r>
  <r>
    <d v="2024-03-13T00:00:00"/>
    <x v="0"/>
    <x v="0"/>
    <x v="0"/>
    <n v="497.05"/>
    <x v="0"/>
    <x v="0"/>
    <x v="0"/>
    <x v="0"/>
    <x v="1"/>
    <x v="1"/>
    <x v="1"/>
    <x v="1"/>
    <x v="1"/>
    <n v="13"/>
    <x v="0"/>
  </r>
  <r>
    <d v="2024-03-13T00:00:00"/>
    <x v="0"/>
    <x v="1"/>
    <x v="0"/>
    <n v="8927162.1699999999"/>
    <x v="0"/>
    <x v="1"/>
    <x v="0"/>
    <x v="1"/>
    <x v="1"/>
    <x v="1"/>
    <x v="1"/>
    <x v="1"/>
    <x v="1"/>
    <n v="13"/>
    <x v="0"/>
  </r>
  <r>
    <d v="2024-03-13T00:00:00"/>
    <x v="3"/>
    <x v="3"/>
    <x v="0"/>
    <n v="1471254001.98"/>
    <x v="3"/>
    <x v="3"/>
    <x v="0"/>
    <x v="8"/>
    <x v="1"/>
    <x v="1"/>
    <x v="1"/>
    <x v="1"/>
    <x v="1"/>
    <n v="13"/>
    <x v="0"/>
  </r>
  <r>
    <d v="2024-03-13T00:00:00"/>
    <x v="3"/>
    <x v="3"/>
    <x v="2"/>
    <n v="9"/>
    <x v="3"/>
    <x v="3"/>
    <x v="2"/>
    <x v="2"/>
    <x v="1"/>
    <x v="1"/>
    <x v="1"/>
    <x v="1"/>
    <x v="1"/>
    <n v="13"/>
    <x v="0"/>
  </r>
  <r>
    <d v="2024-03-13T00:00:00"/>
    <x v="2"/>
    <x v="1"/>
    <x v="0"/>
    <n v="83873177.170000002"/>
    <x v="2"/>
    <x v="1"/>
    <x v="0"/>
    <x v="9"/>
    <x v="1"/>
    <x v="1"/>
    <x v="1"/>
    <x v="1"/>
    <x v="1"/>
    <n v="13"/>
    <x v="0"/>
  </r>
  <r>
    <d v="2024-03-13T00:00:00"/>
    <x v="2"/>
    <x v="1"/>
    <x v="2"/>
    <n v="17769.55"/>
    <x v="2"/>
    <x v="1"/>
    <x v="2"/>
    <x v="6"/>
    <x v="1"/>
    <x v="1"/>
    <x v="1"/>
    <x v="1"/>
    <x v="1"/>
    <n v="13"/>
    <x v="0"/>
  </r>
  <r>
    <d v="2024-03-13T00:00:00"/>
    <x v="3"/>
    <x v="3"/>
    <x v="1"/>
    <n v="28970.44"/>
    <x v="3"/>
    <x v="3"/>
    <x v="1"/>
    <x v="3"/>
    <x v="1"/>
    <x v="1"/>
    <x v="1"/>
    <x v="1"/>
    <x v="1"/>
    <n v="13"/>
    <x v="0"/>
  </r>
  <r>
    <d v="2024-03-13T00:00:00"/>
    <x v="0"/>
    <x v="1"/>
    <x v="1"/>
    <n v="3460837.98"/>
    <x v="0"/>
    <x v="1"/>
    <x v="1"/>
    <x v="4"/>
    <x v="1"/>
    <x v="1"/>
    <x v="1"/>
    <x v="1"/>
    <x v="1"/>
    <n v="13"/>
    <x v="0"/>
  </r>
  <r>
    <d v="2024-03-13T00:00:00"/>
    <x v="1"/>
    <x v="0"/>
    <x v="0"/>
    <n v="90444182.260000005"/>
    <x v="1"/>
    <x v="0"/>
    <x v="0"/>
    <x v="12"/>
    <x v="1"/>
    <x v="1"/>
    <x v="1"/>
    <x v="1"/>
    <x v="1"/>
    <n v="13"/>
    <x v="0"/>
  </r>
  <r>
    <d v="2024-03-13T00:00:00"/>
    <x v="1"/>
    <x v="1"/>
    <x v="0"/>
    <n v="235248.82"/>
    <x v="1"/>
    <x v="1"/>
    <x v="0"/>
    <x v="5"/>
    <x v="1"/>
    <x v="1"/>
    <x v="1"/>
    <x v="1"/>
    <x v="1"/>
    <n v="13"/>
    <x v="0"/>
  </r>
  <r>
    <d v="2024-03-13T00:00:00"/>
    <x v="3"/>
    <x v="2"/>
    <x v="2"/>
    <n v="76009"/>
    <x v="3"/>
    <x v="2"/>
    <x v="2"/>
    <x v="7"/>
    <x v="1"/>
    <x v="1"/>
    <x v="1"/>
    <x v="1"/>
    <x v="1"/>
    <n v="13"/>
    <x v="0"/>
  </r>
  <r>
    <d v="2024-03-13T00:00:00"/>
    <x v="2"/>
    <x v="1"/>
    <x v="1"/>
    <n v="128394489.17"/>
    <x v="2"/>
    <x v="1"/>
    <x v="1"/>
    <x v="10"/>
    <x v="1"/>
    <x v="1"/>
    <x v="1"/>
    <x v="1"/>
    <x v="1"/>
    <n v="13"/>
    <x v="0"/>
  </r>
  <r>
    <d v="2024-03-13T00:00:00"/>
    <x v="1"/>
    <x v="0"/>
    <x v="1"/>
    <n v="856963758.34000003"/>
    <x v="1"/>
    <x v="0"/>
    <x v="1"/>
    <x v="11"/>
    <x v="1"/>
    <x v="1"/>
    <x v="1"/>
    <x v="1"/>
    <x v="1"/>
    <n v="13"/>
    <x v="0"/>
  </r>
  <r>
    <d v="2024-03-13T00:00:00"/>
    <x v="3"/>
    <x v="1"/>
    <x v="0"/>
    <n v="15602188.84"/>
    <x v="3"/>
    <x v="1"/>
    <x v="0"/>
    <x v="13"/>
    <x v="1"/>
    <x v="1"/>
    <x v="1"/>
    <x v="1"/>
    <x v="1"/>
    <n v="13"/>
    <x v="0"/>
  </r>
  <r>
    <d v="2024-03-13T00:00:00"/>
    <x v="3"/>
    <x v="2"/>
    <x v="1"/>
    <n v="12990253576.15"/>
    <x v="3"/>
    <x v="2"/>
    <x v="1"/>
    <x v="14"/>
    <x v="1"/>
    <x v="1"/>
    <x v="1"/>
    <x v="1"/>
    <x v="1"/>
    <n v="13"/>
    <x v="0"/>
  </r>
  <r>
    <d v="2024-03-13T00:00:00"/>
    <x v="3"/>
    <x v="2"/>
    <x v="0"/>
    <n v="490080082.33999997"/>
    <x v="3"/>
    <x v="2"/>
    <x v="0"/>
    <x v="15"/>
    <x v="1"/>
    <x v="1"/>
    <x v="1"/>
    <x v="1"/>
    <x v="1"/>
    <n v="13"/>
    <x v="0"/>
  </r>
  <r>
    <d v="2024-03-12T00:00:00"/>
    <x v="0"/>
    <x v="0"/>
    <x v="0"/>
    <n v="1094128.02"/>
    <x v="0"/>
    <x v="0"/>
    <x v="0"/>
    <x v="0"/>
    <x v="1"/>
    <x v="1"/>
    <x v="1"/>
    <x v="1"/>
    <x v="1"/>
    <n v="12"/>
    <x v="0"/>
  </r>
  <r>
    <d v="2024-03-12T00:00:00"/>
    <x v="1"/>
    <x v="1"/>
    <x v="0"/>
    <n v="400200.9"/>
    <x v="1"/>
    <x v="1"/>
    <x v="0"/>
    <x v="1"/>
    <x v="1"/>
    <x v="1"/>
    <x v="1"/>
    <x v="1"/>
    <x v="1"/>
    <n v="12"/>
    <x v="0"/>
  </r>
  <r>
    <d v="2024-03-12T00:00:00"/>
    <x v="0"/>
    <x v="1"/>
    <x v="0"/>
    <n v="7732562.2300000004"/>
    <x v="0"/>
    <x v="1"/>
    <x v="0"/>
    <x v="2"/>
    <x v="1"/>
    <x v="1"/>
    <x v="1"/>
    <x v="1"/>
    <x v="1"/>
    <n v="12"/>
    <x v="0"/>
  </r>
  <r>
    <d v="2024-03-12T00:00:00"/>
    <x v="3"/>
    <x v="2"/>
    <x v="2"/>
    <n v="272907.19"/>
    <x v="3"/>
    <x v="2"/>
    <x v="2"/>
    <x v="6"/>
    <x v="1"/>
    <x v="1"/>
    <x v="1"/>
    <x v="1"/>
    <x v="1"/>
    <n v="12"/>
    <x v="0"/>
  </r>
  <r>
    <d v="2024-03-12T00:00:00"/>
    <x v="2"/>
    <x v="1"/>
    <x v="2"/>
    <n v="7579.08"/>
    <x v="2"/>
    <x v="1"/>
    <x v="2"/>
    <x v="3"/>
    <x v="1"/>
    <x v="1"/>
    <x v="1"/>
    <x v="1"/>
    <x v="1"/>
    <n v="12"/>
    <x v="0"/>
  </r>
  <r>
    <d v="2024-03-12T00:00:00"/>
    <x v="3"/>
    <x v="3"/>
    <x v="0"/>
    <n v="947203266.25999999"/>
    <x v="3"/>
    <x v="3"/>
    <x v="0"/>
    <x v="7"/>
    <x v="1"/>
    <x v="1"/>
    <x v="1"/>
    <x v="1"/>
    <x v="1"/>
    <n v="12"/>
    <x v="0"/>
  </r>
  <r>
    <d v="2024-03-12T00:00:00"/>
    <x v="2"/>
    <x v="1"/>
    <x v="0"/>
    <n v="101313677.90000001"/>
    <x v="2"/>
    <x v="1"/>
    <x v="0"/>
    <x v="8"/>
    <x v="1"/>
    <x v="1"/>
    <x v="1"/>
    <x v="1"/>
    <x v="1"/>
    <n v="12"/>
    <x v="0"/>
  </r>
  <r>
    <d v="2024-03-12T00:00:00"/>
    <x v="3"/>
    <x v="3"/>
    <x v="1"/>
    <n v="20055.05"/>
    <x v="3"/>
    <x v="3"/>
    <x v="1"/>
    <x v="4"/>
    <x v="1"/>
    <x v="1"/>
    <x v="1"/>
    <x v="1"/>
    <x v="1"/>
    <n v="12"/>
    <x v="0"/>
  </r>
  <r>
    <d v="2024-03-12T00:00:00"/>
    <x v="0"/>
    <x v="1"/>
    <x v="1"/>
    <n v="17270638.829999998"/>
    <x v="0"/>
    <x v="1"/>
    <x v="1"/>
    <x v="5"/>
    <x v="1"/>
    <x v="1"/>
    <x v="1"/>
    <x v="1"/>
    <x v="1"/>
    <n v="12"/>
    <x v="0"/>
  </r>
  <r>
    <d v="2024-03-12T00:00:00"/>
    <x v="1"/>
    <x v="0"/>
    <x v="0"/>
    <n v="65384034.810000002"/>
    <x v="1"/>
    <x v="0"/>
    <x v="0"/>
    <x v="11"/>
    <x v="1"/>
    <x v="1"/>
    <x v="1"/>
    <x v="1"/>
    <x v="1"/>
    <n v="12"/>
    <x v="0"/>
  </r>
  <r>
    <d v="2024-03-12T00:00:00"/>
    <x v="2"/>
    <x v="1"/>
    <x v="1"/>
    <n v="107124714.39"/>
    <x v="2"/>
    <x v="1"/>
    <x v="1"/>
    <x v="9"/>
    <x v="1"/>
    <x v="1"/>
    <x v="1"/>
    <x v="1"/>
    <x v="1"/>
    <n v="12"/>
    <x v="0"/>
  </r>
  <r>
    <d v="2024-03-12T00:00:00"/>
    <x v="1"/>
    <x v="0"/>
    <x v="1"/>
    <n v="352097180.18000001"/>
    <x v="1"/>
    <x v="0"/>
    <x v="1"/>
    <x v="10"/>
    <x v="1"/>
    <x v="1"/>
    <x v="1"/>
    <x v="1"/>
    <x v="1"/>
    <n v="12"/>
    <x v="0"/>
  </r>
  <r>
    <d v="2024-03-12T00:00:00"/>
    <x v="3"/>
    <x v="1"/>
    <x v="0"/>
    <n v="13284686.279999999"/>
    <x v="3"/>
    <x v="1"/>
    <x v="0"/>
    <x v="12"/>
    <x v="1"/>
    <x v="1"/>
    <x v="1"/>
    <x v="1"/>
    <x v="1"/>
    <n v="12"/>
    <x v="0"/>
  </r>
  <r>
    <d v="2024-03-12T00:00:00"/>
    <x v="3"/>
    <x v="2"/>
    <x v="1"/>
    <n v="5939251968.0799999"/>
    <x v="3"/>
    <x v="2"/>
    <x v="1"/>
    <x v="13"/>
    <x v="1"/>
    <x v="1"/>
    <x v="1"/>
    <x v="1"/>
    <x v="1"/>
    <n v="12"/>
    <x v="0"/>
  </r>
  <r>
    <d v="2024-03-12T00:00:00"/>
    <x v="3"/>
    <x v="2"/>
    <x v="0"/>
    <n v="760056435.92999995"/>
    <x v="3"/>
    <x v="2"/>
    <x v="0"/>
    <x v="14"/>
    <x v="1"/>
    <x v="1"/>
    <x v="1"/>
    <x v="1"/>
    <x v="1"/>
    <n v="12"/>
    <x v="0"/>
  </r>
  <r>
    <d v="2024-03-11T00:00:00"/>
    <x v="1"/>
    <x v="1"/>
    <x v="0"/>
    <n v="75748.17"/>
    <x v="1"/>
    <x v="1"/>
    <x v="0"/>
    <x v="0"/>
    <x v="1"/>
    <x v="1"/>
    <x v="1"/>
    <x v="1"/>
    <x v="1"/>
    <n v="11"/>
    <x v="0"/>
  </r>
  <r>
    <d v="2024-03-11T00:00:00"/>
    <x v="0"/>
    <x v="1"/>
    <x v="0"/>
    <n v="11277507.66"/>
    <x v="0"/>
    <x v="1"/>
    <x v="0"/>
    <x v="1"/>
    <x v="1"/>
    <x v="1"/>
    <x v="1"/>
    <x v="1"/>
    <x v="1"/>
    <n v="11"/>
    <x v="0"/>
  </r>
  <r>
    <d v="2024-03-11T00:00:00"/>
    <x v="2"/>
    <x v="1"/>
    <x v="0"/>
    <n v="84762515.659999996"/>
    <x v="2"/>
    <x v="1"/>
    <x v="0"/>
    <x v="6"/>
    <x v="1"/>
    <x v="1"/>
    <x v="1"/>
    <x v="1"/>
    <x v="1"/>
    <n v="11"/>
    <x v="0"/>
  </r>
  <r>
    <d v="2024-03-11T00:00:00"/>
    <x v="2"/>
    <x v="1"/>
    <x v="1"/>
    <n v="122180507.55"/>
    <x v="2"/>
    <x v="1"/>
    <x v="1"/>
    <x v="7"/>
    <x v="1"/>
    <x v="1"/>
    <x v="1"/>
    <x v="1"/>
    <x v="1"/>
    <n v="11"/>
    <x v="0"/>
  </r>
  <r>
    <d v="2024-03-11T00:00:00"/>
    <x v="1"/>
    <x v="0"/>
    <x v="1"/>
    <n v="367276183.30000001"/>
    <x v="1"/>
    <x v="0"/>
    <x v="1"/>
    <x v="8"/>
    <x v="1"/>
    <x v="1"/>
    <x v="1"/>
    <x v="1"/>
    <x v="1"/>
    <n v="11"/>
    <x v="0"/>
  </r>
  <r>
    <d v="2024-03-11T00:00:00"/>
    <x v="0"/>
    <x v="1"/>
    <x v="1"/>
    <n v="3351645.37"/>
    <x v="0"/>
    <x v="1"/>
    <x v="1"/>
    <x v="2"/>
    <x v="1"/>
    <x v="1"/>
    <x v="1"/>
    <x v="1"/>
    <x v="1"/>
    <n v="11"/>
    <x v="0"/>
  </r>
  <r>
    <d v="2024-03-11T00:00:00"/>
    <x v="2"/>
    <x v="1"/>
    <x v="2"/>
    <n v="16757.8"/>
    <x v="2"/>
    <x v="1"/>
    <x v="2"/>
    <x v="3"/>
    <x v="1"/>
    <x v="1"/>
    <x v="1"/>
    <x v="1"/>
    <x v="1"/>
    <n v="11"/>
    <x v="0"/>
  </r>
  <r>
    <d v="2024-03-11T00:00:00"/>
    <x v="3"/>
    <x v="2"/>
    <x v="2"/>
    <n v="302995.11"/>
    <x v="3"/>
    <x v="2"/>
    <x v="2"/>
    <x v="4"/>
    <x v="1"/>
    <x v="1"/>
    <x v="1"/>
    <x v="1"/>
    <x v="1"/>
    <n v="11"/>
    <x v="0"/>
  </r>
  <r>
    <d v="2024-03-11T00:00:00"/>
    <x v="3"/>
    <x v="3"/>
    <x v="0"/>
    <n v="1815664198.0599999"/>
    <x v="3"/>
    <x v="3"/>
    <x v="0"/>
    <x v="5"/>
    <x v="1"/>
    <x v="1"/>
    <x v="1"/>
    <x v="1"/>
    <x v="1"/>
    <n v="11"/>
    <x v="0"/>
  </r>
  <r>
    <d v="2024-03-11T00:00:00"/>
    <x v="1"/>
    <x v="0"/>
    <x v="0"/>
    <n v="45331497.020000003"/>
    <x v="1"/>
    <x v="0"/>
    <x v="0"/>
    <x v="9"/>
    <x v="1"/>
    <x v="1"/>
    <x v="1"/>
    <x v="1"/>
    <x v="1"/>
    <n v="11"/>
    <x v="0"/>
  </r>
  <r>
    <d v="2024-03-11T00:00:00"/>
    <x v="3"/>
    <x v="2"/>
    <x v="1"/>
    <n v="34102065271.16"/>
    <x v="3"/>
    <x v="2"/>
    <x v="1"/>
    <x v="10"/>
    <x v="1"/>
    <x v="1"/>
    <x v="1"/>
    <x v="1"/>
    <x v="1"/>
    <n v="11"/>
    <x v="0"/>
  </r>
  <r>
    <d v="2024-03-11T00:00:00"/>
    <x v="3"/>
    <x v="2"/>
    <x v="0"/>
    <n v="645029055.39999998"/>
    <x v="3"/>
    <x v="2"/>
    <x v="0"/>
    <x v="11"/>
    <x v="1"/>
    <x v="1"/>
    <x v="1"/>
    <x v="1"/>
    <x v="1"/>
    <n v="11"/>
    <x v="0"/>
  </r>
  <r>
    <d v="2024-03-11T00:00:00"/>
    <x v="3"/>
    <x v="1"/>
    <x v="0"/>
    <n v="48203447.420000002"/>
    <x v="3"/>
    <x v="1"/>
    <x v="0"/>
    <x v="12"/>
    <x v="1"/>
    <x v="1"/>
    <x v="1"/>
    <x v="1"/>
    <x v="1"/>
    <n v="11"/>
    <x v="0"/>
  </r>
  <r>
    <d v="2024-03-08T00:00:00"/>
    <x v="0"/>
    <x v="0"/>
    <x v="0"/>
    <n v="415.07"/>
    <x v="0"/>
    <x v="0"/>
    <x v="0"/>
    <x v="0"/>
    <x v="1"/>
    <x v="1"/>
    <x v="1"/>
    <x v="1"/>
    <x v="1"/>
    <n v="8"/>
    <x v="0"/>
  </r>
  <r>
    <d v="2024-03-08T00:00:00"/>
    <x v="1"/>
    <x v="1"/>
    <x v="0"/>
    <n v="383388.69"/>
    <x v="1"/>
    <x v="1"/>
    <x v="0"/>
    <x v="1"/>
    <x v="1"/>
    <x v="1"/>
    <x v="1"/>
    <x v="1"/>
    <x v="1"/>
    <n v="8"/>
    <x v="0"/>
  </r>
  <r>
    <d v="2024-03-08T00:00:00"/>
    <x v="0"/>
    <x v="1"/>
    <x v="0"/>
    <n v="12198691.01"/>
    <x v="0"/>
    <x v="1"/>
    <x v="0"/>
    <x v="2"/>
    <x v="1"/>
    <x v="1"/>
    <x v="1"/>
    <x v="1"/>
    <x v="1"/>
    <n v="8"/>
    <x v="0"/>
  </r>
  <r>
    <d v="2024-03-08T00:00:00"/>
    <x v="2"/>
    <x v="1"/>
    <x v="2"/>
    <n v="6483.2"/>
    <x v="2"/>
    <x v="1"/>
    <x v="2"/>
    <x v="3"/>
    <x v="1"/>
    <x v="1"/>
    <x v="1"/>
    <x v="1"/>
    <x v="1"/>
    <n v="8"/>
    <x v="0"/>
  </r>
  <r>
    <d v="2024-03-08T00:00:00"/>
    <x v="3"/>
    <x v="3"/>
    <x v="0"/>
    <n v="1747942494.1500001"/>
    <x v="3"/>
    <x v="3"/>
    <x v="0"/>
    <x v="9"/>
    <x v="1"/>
    <x v="1"/>
    <x v="1"/>
    <x v="1"/>
    <x v="1"/>
    <n v="8"/>
    <x v="0"/>
  </r>
  <r>
    <d v="2024-03-08T00:00:00"/>
    <x v="2"/>
    <x v="1"/>
    <x v="1"/>
    <n v="140458161.34999999"/>
    <x v="2"/>
    <x v="1"/>
    <x v="1"/>
    <x v="10"/>
    <x v="1"/>
    <x v="1"/>
    <x v="1"/>
    <x v="1"/>
    <x v="1"/>
    <n v="8"/>
    <x v="0"/>
  </r>
  <r>
    <d v="2024-03-08T00:00:00"/>
    <x v="1"/>
    <x v="0"/>
    <x v="1"/>
    <n v="401713811.06"/>
    <x v="1"/>
    <x v="0"/>
    <x v="1"/>
    <x v="11"/>
    <x v="1"/>
    <x v="1"/>
    <x v="1"/>
    <x v="1"/>
    <x v="1"/>
    <n v="8"/>
    <x v="0"/>
  </r>
  <r>
    <d v="2024-03-08T00:00:00"/>
    <x v="3"/>
    <x v="3"/>
    <x v="1"/>
    <n v="2373237.19"/>
    <x v="3"/>
    <x v="3"/>
    <x v="1"/>
    <x v="4"/>
    <x v="1"/>
    <x v="1"/>
    <x v="1"/>
    <x v="1"/>
    <x v="1"/>
    <n v="8"/>
    <x v="0"/>
  </r>
  <r>
    <d v="2024-03-08T00:00:00"/>
    <x v="0"/>
    <x v="0"/>
    <x v="1"/>
    <n v="-13203"/>
    <x v="0"/>
    <x v="0"/>
    <x v="1"/>
    <x v="5"/>
    <x v="1"/>
    <x v="1"/>
    <x v="1"/>
    <x v="1"/>
    <x v="1"/>
    <n v="8"/>
    <x v="1"/>
  </r>
  <r>
    <d v="2024-03-08T00:00:00"/>
    <x v="0"/>
    <x v="1"/>
    <x v="1"/>
    <n v="11066393.529999999"/>
    <x v="0"/>
    <x v="1"/>
    <x v="1"/>
    <x v="6"/>
    <x v="1"/>
    <x v="1"/>
    <x v="1"/>
    <x v="1"/>
    <x v="1"/>
    <n v="8"/>
    <x v="0"/>
  </r>
  <r>
    <d v="2024-03-08T00:00:00"/>
    <x v="3"/>
    <x v="2"/>
    <x v="2"/>
    <n v="274104.74"/>
    <x v="3"/>
    <x v="2"/>
    <x v="2"/>
    <x v="7"/>
    <x v="1"/>
    <x v="1"/>
    <x v="1"/>
    <x v="1"/>
    <x v="1"/>
    <n v="8"/>
    <x v="0"/>
  </r>
  <r>
    <d v="2024-03-08T00:00:00"/>
    <x v="2"/>
    <x v="1"/>
    <x v="0"/>
    <n v="140862685.36000001"/>
    <x v="2"/>
    <x v="1"/>
    <x v="0"/>
    <x v="8"/>
    <x v="1"/>
    <x v="1"/>
    <x v="1"/>
    <x v="1"/>
    <x v="1"/>
    <n v="8"/>
    <x v="0"/>
  </r>
  <r>
    <d v="2024-03-08T00:00:00"/>
    <x v="1"/>
    <x v="0"/>
    <x v="0"/>
    <n v="44526111.289999999"/>
    <x v="1"/>
    <x v="0"/>
    <x v="0"/>
    <x v="12"/>
    <x v="1"/>
    <x v="1"/>
    <x v="1"/>
    <x v="1"/>
    <x v="1"/>
    <n v="8"/>
    <x v="0"/>
  </r>
  <r>
    <d v="2024-03-08T00:00:00"/>
    <x v="3"/>
    <x v="1"/>
    <x v="0"/>
    <n v="14966815.470000001"/>
    <x v="3"/>
    <x v="1"/>
    <x v="0"/>
    <x v="13"/>
    <x v="1"/>
    <x v="1"/>
    <x v="1"/>
    <x v="1"/>
    <x v="1"/>
    <n v="8"/>
    <x v="0"/>
  </r>
  <r>
    <d v="2024-03-08T00:00:00"/>
    <x v="3"/>
    <x v="2"/>
    <x v="1"/>
    <n v="12511157395.030001"/>
    <x v="3"/>
    <x v="2"/>
    <x v="1"/>
    <x v="14"/>
    <x v="1"/>
    <x v="1"/>
    <x v="1"/>
    <x v="1"/>
    <x v="1"/>
    <n v="8"/>
    <x v="0"/>
  </r>
  <r>
    <d v="2024-03-08T00:00:00"/>
    <x v="3"/>
    <x v="2"/>
    <x v="0"/>
    <n v="705876519.95000005"/>
    <x v="3"/>
    <x v="2"/>
    <x v="0"/>
    <x v="15"/>
    <x v="1"/>
    <x v="1"/>
    <x v="1"/>
    <x v="1"/>
    <x v="1"/>
    <n v="8"/>
    <x v="0"/>
  </r>
  <r>
    <d v="2024-03-07T00:00:00"/>
    <x v="0"/>
    <x v="0"/>
    <x v="0"/>
    <n v="-184.4"/>
    <x v="0"/>
    <x v="0"/>
    <x v="0"/>
    <x v="0"/>
    <x v="1"/>
    <x v="1"/>
    <x v="1"/>
    <x v="1"/>
    <x v="1"/>
    <n v="7"/>
    <x v="1"/>
  </r>
  <r>
    <d v="2024-03-07T00:00:00"/>
    <x v="1"/>
    <x v="1"/>
    <x v="0"/>
    <n v="84660.36"/>
    <x v="1"/>
    <x v="1"/>
    <x v="0"/>
    <x v="1"/>
    <x v="1"/>
    <x v="1"/>
    <x v="1"/>
    <x v="1"/>
    <x v="1"/>
    <n v="7"/>
    <x v="0"/>
  </r>
  <r>
    <d v="2024-03-07T00:00:00"/>
    <x v="0"/>
    <x v="1"/>
    <x v="0"/>
    <n v="9644214.6899999995"/>
    <x v="0"/>
    <x v="1"/>
    <x v="0"/>
    <x v="2"/>
    <x v="1"/>
    <x v="1"/>
    <x v="1"/>
    <x v="1"/>
    <x v="1"/>
    <n v="7"/>
    <x v="0"/>
  </r>
  <r>
    <d v="2024-03-07T00:00:00"/>
    <x v="2"/>
    <x v="1"/>
    <x v="2"/>
    <n v="14160"/>
    <x v="2"/>
    <x v="1"/>
    <x v="2"/>
    <x v="3"/>
    <x v="1"/>
    <x v="1"/>
    <x v="1"/>
    <x v="1"/>
    <x v="1"/>
    <n v="7"/>
    <x v="0"/>
  </r>
  <r>
    <d v="2024-03-07T00:00:00"/>
    <x v="2"/>
    <x v="1"/>
    <x v="0"/>
    <n v="96521082.230000004"/>
    <x v="2"/>
    <x v="1"/>
    <x v="0"/>
    <x v="7"/>
    <x v="1"/>
    <x v="1"/>
    <x v="1"/>
    <x v="1"/>
    <x v="1"/>
    <n v="7"/>
    <x v="0"/>
  </r>
  <r>
    <d v="2024-03-07T00:00:00"/>
    <x v="3"/>
    <x v="2"/>
    <x v="2"/>
    <n v="60455.07"/>
    <x v="3"/>
    <x v="2"/>
    <x v="2"/>
    <x v="6"/>
    <x v="1"/>
    <x v="1"/>
    <x v="1"/>
    <x v="1"/>
    <x v="1"/>
    <n v="7"/>
    <x v="0"/>
  </r>
  <r>
    <d v="2024-03-07T00:00:00"/>
    <x v="2"/>
    <x v="1"/>
    <x v="1"/>
    <n v="270121898.54000002"/>
    <x v="2"/>
    <x v="1"/>
    <x v="1"/>
    <x v="9"/>
    <x v="1"/>
    <x v="1"/>
    <x v="1"/>
    <x v="1"/>
    <x v="1"/>
    <n v="7"/>
    <x v="0"/>
  </r>
  <r>
    <d v="2024-03-07T00:00:00"/>
    <x v="3"/>
    <x v="3"/>
    <x v="1"/>
    <n v="501630.17"/>
    <x v="3"/>
    <x v="3"/>
    <x v="1"/>
    <x v="4"/>
    <x v="1"/>
    <x v="1"/>
    <x v="1"/>
    <x v="1"/>
    <x v="1"/>
    <n v="7"/>
    <x v="0"/>
  </r>
  <r>
    <d v="2024-03-07T00:00:00"/>
    <x v="0"/>
    <x v="1"/>
    <x v="1"/>
    <n v="10277539.02"/>
    <x v="0"/>
    <x v="1"/>
    <x v="1"/>
    <x v="5"/>
    <x v="1"/>
    <x v="1"/>
    <x v="1"/>
    <x v="1"/>
    <x v="1"/>
    <n v="7"/>
    <x v="0"/>
  </r>
  <r>
    <d v="2024-03-07T00:00:00"/>
    <x v="3"/>
    <x v="3"/>
    <x v="0"/>
    <n v="1256041999.28"/>
    <x v="3"/>
    <x v="3"/>
    <x v="0"/>
    <x v="8"/>
    <x v="1"/>
    <x v="1"/>
    <x v="1"/>
    <x v="1"/>
    <x v="1"/>
    <n v="7"/>
    <x v="0"/>
  </r>
  <r>
    <d v="2024-03-07T00:00:00"/>
    <x v="1"/>
    <x v="0"/>
    <x v="1"/>
    <n v="535092798.81999999"/>
    <x v="1"/>
    <x v="0"/>
    <x v="1"/>
    <x v="10"/>
    <x v="1"/>
    <x v="1"/>
    <x v="1"/>
    <x v="1"/>
    <x v="1"/>
    <n v="7"/>
    <x v="0"/>
  </r>
  <r>
    <d v="2024-03-07T00:00:00"/>
    <x v="1"/>
    <x v="0"/>
    <x v="0"/>
    <n v="58395240.299999997"/>
    <x v="1"/>
    <x v="0"/>
    <x v="0"/>
    <x v="11"/>
    <x v="1"/>
    <x v="1"/>
    <x v="1"/>
    <x v="1"/>
    <x v="1"/>
    <n v="7"/>
    <x v="0"/>
  </r>
  <r>
    <d v="2024-03-07T00:00:00"/>
    <x v="3"/>
    <x v="1"/>
    <x v="0"/>
    <n v="15256453.23"/>
    <x v="3"/>
    <x v="1"/>
    <x v="0"/>
    <x v="12"/>
    <x v="1"/>
    <x v="1"/>
    <x v="1"/>
    <x v="1"/>
    <x v="1"/>
    <n v="7"/>
    <x v="0"/>
  </r>
  <r>
    <d v="2024-03-07T00:00:00"/>
    <x v="3"/>
    <x v="2"/>
    <x v="1"/>
    <n v="6248901362.8999996"/>
    <x v="3"/>
    <x v="2"/>
    <x v="1"/>
    <x v="13"/>
    <x v="1"/>
    <x v="1"/>
    <x v="1"/>
    <x v="1"/>
    <x v="1"/>
    <n v="7"/>
    <x v="0"/>
  </r>
  <r>
    <d v="2024-03-07T00:00:00"/>
    <x v="3"/>
    <x v="2"/>
    <x v="0"/>
    <n v="790095382.10000002"/>
    <x v="3"/>
    <x v="2"/>
    <x v="0"/>
    <x v="14"/>
    <x v="1"/>
    <x v="1"/>
    <x v="1"/>
    <x v="1"/>
    <x v="1"/>
    <n v="7"/>
    <x v="0"/>
  </r>
  <r>
    <d v="2024-03-06T00:00:00"/>
    <x v="0"/>
    <x v="0"/>
    <x v="0"/>
    <n v="326"/>
    <x v="0"/>
    <x v="0"/>
    <x v="0"/>
    <x v="0"/>
    <x v="1"/>
    <x v="1"/>
    <x v="1"/>
    <x v="1"/>
    <x v="1"/>
    <n v="6"/>
    <x v="0"/>
  </r>
  <r>
    <d v="2024-03-06T00:00:00"/>
    <x v="1"/>
    <x v="1"/>
    <x v="0"/>
    <n v="254852.34"/>
    <x v="1"/>
    <x v="1"/>
    <x v="0"/>
    <x v="1"/>
    <x v="1"/>
    <x v="1"/>
    <x v="1"/>
    <x v="1"/>
    <x v="1"/>
    <n v="6"/>
    <x v="0"/>
  </r>
  <r>
    <d v="2024-03-06T00:00:00"/>
    <x v="0"/>
    <x v="1"/>
    <x v="0"/>
    <n v="17136511.77"/>
    <x v="0"/>
    <x v="1"/>
    <x v="0"/>
    <x v="2"/>
    <x v="1"/>
    <x v="1"/>
    <x v="1"/>
    <x v="1"/>
    <x v="1"/>
    <n v="6"/>
    <x v="0"/>
  </r>
  <r>
    <d v="2024-03-06T00:00:00"/>
    <x v="3"/>
    <x v="2"/>
    <x v="2"/>
    <n v="211295.35999999999"/>
    <x v="3"/>
    <x v="2"/>
    <x v="2"/>
    <x v="7"/>
    <x v="1"/>
    <x v="1"/>
    <x v="1"/>
    <x v="1"/>
    <x v="1"/>
    <n v="6"/>
    <x v="0"/>
  </r>
  <r>
    <d v="2024-03-06T00:00:00"/>
    <x v="3"/>
    <x v="3"/>
    <x v="2"/>
    <n v="18.5"/>
    <x v="3"/>
    <x v="3"/>
    <x v="2"/>
    <x v="3"/>
    <x v="1"/>
    <x v="1"/>
    <x v="1"/>
    <x v="1"/>
    <x v="1"/>
    <n v="6"/>
    <x v="0"/>
  </r>
  <r>
    <d v="2024-03-06T00:00:00"/>
    <x v="2"/>
    <x v="1"/>
    <x v="2"/>
    <n v="30137.040000000001"/>
    <x v="2"/>
    <x v="1"/>
    <x v="2"/>
    <x v="4"/>
    <x v="1"/>
    <x v="1"/>
    <x v="1"/>
    <x v="1"/>
    <x v="1"/>
    <n v="6"/>
    <x v="0"/>
  </r>
  <r>
    <d v="2024-03-06T00:00:00"/>
    <x v="2"/>
    <x v="1"/>
    <x v="0"/>
    <n v="99032377.760000005"/>
    <x v="2"/>
    <x v="1"/>
    <x v="0"/>
    <x v="9"/>
    <x v="1"/>
    <x v="1"/>
    <x v="1"/>
    <x v="1"/>
    <x v="1"/>
    <n v="6"/>
    <x v="0"/>
  </r>
  <r>
    <d v="2024-03-06T00:00:00"/>
    <x v="1"/>
    <x v="0"/>
    <x v="1"/>
    <n v="1686764647.73"/>
    <x v="1"/>
    <x v="0"/>
    <x v="1"/>
    <x v="11"/>
    <x v="1"/>
    <x v="1"/>
    <x v="1"/>
    <x v="1"/>
    <x v="1"/>
    <n v="6"/>
    <x v="0"/>
  </r>
  <r>
    <d v="2024-03-06T00:00:00"/>
    <x v="3"/>
    <x v="3"/>
    <x v="1"/>
    <n v="150845.53"/>
    <x v="3"/>
    <x v="3"/>
    <x v="1"/>
    <x v="5"/>
    <x v="1"/>
    <x v="1"/>
    <x v="1"/>
    <x v="1"/>
    <x v="1"/>
    <n v="6"/>
    <x v="0"/>
  </r>
  <r>
    <d v="2024-03-06T00:00:00"/>
    <x v="0"/>
    <x v="1"/>
    <x v="1"/>
    <n v="5414070.6900000004"/>
    <x v="0"/>
    <x v="1"/>
    <x v="1"/>
    <x v="6"/>
    <x v="1"/>
    <x v="1"/>
    <x v="1"/>
    <x v="1"/>
    <x v="1"/>
    <n v="6"/>
    <x v="0"/>
  </r>
  <r>
    <d v="2024-03-06T00:00:00"/>
    <x v="3"/>
    <x v="3"/>
    <x v="0"/>
    <n v="1139187430.3800001"/>
    <x v="3"/>
    <x v="3"/>
    <x v="0"/>
    <x v="8"/>
    <x v="1"/>
    <x v="1"/>
    <x v="1"/>
    <x v="1"/>
    <x v="1"/>
    <n v="6"/>
    <x v="0"/>
  </r>
  <r>
    <d v="2024-03-06T00:00:00"/>
    <x v="2"/>
    <x v="1"/>
    <x v="1"/>
    <n v="128153640.25"/>
    <x v="2"/>
    <x v="1"/>
    <x v="1"/>
    <x v="10"/>
    <x v="1"/>
    <x v="1"/>
    <x v="1"/>
    <x v="1"/>
    <x v="1"/>
    <n v="6"/>
    <x v="0"/>
  </r>
  <r>
    <d v="2024-03-06T00:00:00"/>
    <x v="1"/>
    <x v="0"/>
    <x v="0"/>
    <n v="102728566.98999999"/>
    <x v="1"/>
    <x v="0"/>
    <x v="0"/>
    <x v="12"/>
    <x v="1"/>
    <x v="1"/>
    <x v="1"/>
    <x v="1"/>
    <x v="1"/>
    <n v="6"/>
    <x v="0"/>
  </r>
  <r>
    <d v="2024-03-06T00:00:00"/>
    <x v="3"/>
    <x v="1"/>
    <x v="0"/>
    <n v="15613414.550000001"/>
    <x v="3"/>
    <x v="1"/>
    <x v="0"/>
    <x v="13"/>
    <x v="1"/>
    <x v="1"/>
    <x v="1"/>
    <x v="1"/>
    <x v="1"/>
    <n v="6"/>
    <x v="0"/>
  </r>
  <r>
    <d v="2024-03-06T00:00:00"/>
    <x v="3"/>
    <x v="2"/>
    <x v="1"/>
    <n v="15638303951.209999"/>
    <x v="3"/>
    <x v="2"/>
    <x v="1"/>
    <x v="14"/>
    <x v="1"/>
    <x v="1"/>
    <x v="1"/>
    <x v="1"/>
    <x v="1"/>
    <n v="6"/>
    <x v="0"/>
  </r>
  <r>
    <d v="2024-03-06T00:00:00"/>
    <x v="3"/>
    <x v="2"/>
    <x v="0"/>
    <n v="780350067.28999996"/>
    <x v="3"/>
    <x v="2"/>
    <x v="0"/>
    <x v="15"/>
    <x v="1"/>
    <x v="1"/>
    <x v="1"/>
    <x v="1"/>
    <x v="1"/>
    <n v="6"/>
    <x v="0"/>
  </r>
  <r>
    <d v="2024-03-05T00:00:00"/>
    <x v="0"/>
    <x v="0"/>
    <x v="0"/>
    <n v="11"/>
    <x v="0"/>
    <x v="0"/>
    <x v="0"/>
    <x v="0"/>
    <x v="1"/>
    <x v="1"/>
    <x v="1"/>
    <x v="1"/>
    <x v="1"/>
    <n v="5"/>
    <x v="0"/>
  </r>
  <r>
    <d v="2024-03-05T00:00:00"/>
    <x v="0"/>
    <x v="1"/>
    <x v="0"/>
    <n v="15107201.35"/>
    <x v="0"/>
    <x v="1"/>
    <x v="0"/>
    <x v="1"/>
    <x v="1"/>
    <x v="1"/>
    <x v="1"/>
    <x v="1"/>
    <x v="1"/>
    <n v="5"/>
    <x v="0"/>
  </r>
  <r>
    <d v="2024-03-05T00:00:00"/>
    <x v="3"/>
    <x v="3"/>
    <x v="2"/>
    <n v="30"/>
    <x v="3"/>
    <x v="3"/>
    <x v="2"/>
    <x v="2"/>
    <x v="1"/>
    <x v="1"/>
    <x v="1"/>
    <x v="1"/>
    <x v="1"/>
    <n v="5"/>
    <x v="0"/>
  </r>
  <r>
    <d v="2024-03-05T00:00:00"/>
    <x v="2"/>
    <x v="1"/>
    <x v="2"/>
    <n v="11575.15"/>
    <x v="2"/>
    <x v="1"/>
    <x v="2"/>
    <x v="3"/>
    <x v="1"/>
    <x v="1"/>
    <x v="1"/>
    <x v="1"/>
    <x v="1"/>
    <n v="5"/>
    <x v="0"/>
  </r>
  <r>
    <d v="2024-03-05T00:00:00"/>
    <x v="2"/>
    <x v="1"/>
    <x v="0"/>
    <n v="106114522.48999999"/>
    <x v="2"/>
    <x v="1"/>
    <x v="0"/>
    <x v="9"/>
    <x v="1"/>
    <x v="1"/>
    <x v="1"/>
    <x v="1"/>
    <x v="1"/>
    <n v="5"/>
    <x v="0"/>
  </r>
  <r>
    <d v="2024-03-05T00:00:00"/>
    <x v="3"/>
    <x v="2"/>
    <x v="2"/>
    <n v="122173.83"/>
    <x v="3"/>
    <x v="2"/>
    <x v="2"/>
    <x v="7"/>
    <x v="1"/>
    <x v="1"/>
    <x v="1"/>
    <x v="1"/>
    <x v="1"/>
    <n v="5"/>
    <x v="0"/>
  </r>
  <r>
    <d v="2024-03-05T00:00:00"/>
    <x v="0"/>
    <x v="0"/>
    <x v="1"/>
    <n v="-8095"/>
    <x v="0"/>
    <x v="0"/>
    <x v="1"/>
    <x v="4"/>
    <x v="1"/>
    <x v="1"/>
    <x v="1"/>
    <x v="1"/>
    <x v="1"/>
    <n v="5"/>
    <x v="1"/>
  </r>
  <r>
    <d v="2024-03-05T00:00:00"/>
    <x v="0"/>
    <x v="1"/>
    <x v="1"/>
    <n v="14895269.41"/>
    <x v="0"/>
    <x v="1"/>
    <x v="1"/>
    <x v="5"/>
    <x v="1"/>
    <x v="1"/>
    <x v="1"/>
    <x v="1"/>
    <x v="1"/>
    <n v="5"/>
    <x v="0"/>
  </r>
  <r>
    <d v="2024-03-05T00:00:00"/>
    <x v="1"/>
    <x v="1"/>
    <x v="0"/>
    <n v="296302.71999999997"/>
    <x v="1"/>
    <x v="1"/>
    <x v="0"/>
    <x v="6"/>
    <x v="1"/>
    <x v="1"/>
    <x v="1"/>
    <x v="1"/>
    <x v="1"/>
    <n v="5"/>
    <x v="0"/>
  </r>
  <r>
    <d v="2024-03-05T00:00:00"/>
    <x v="3"/>
    <x v="3"/>
    <x v="0"/>
    <n v="1626682525.6199999"/>
    <x v="3"/>
    <x v="3"/>
    <x v="0"/>
    <x v="8"/>
    <x v="1"/>
    <x v="1"/>
    <x v="1"/>
    <x v="1"/>
    <x v="1"/>
    <n v="5"/>
    <x v="0"/>
  </r>
  <r>
    <d v="2024-03-05T00:00:00"/>
    <x v="2"/>
    <x v="1"/>
    <x v="1"/>
    <n v="180734192.56"/>
    <x v="2"/>
    <x v="1"/>
    <x v="1"/>
    <x v="11"/>
    <x v="1"/>
    <x v="1"/>
    <x v="1"/>
    <x v="1"/>
    <x v="1"/>
    <n v="5"/>
    <x v="0"/>
  </r>
  <r>
    <d v="2024-03-05T00:00:00"/>
    <x v="1"/>
    <x v="0"/>
    <x v="1"/>
    <n v="371324824.81"/>
    <x v="1"/>
    <x v="0"/>
    <x v="1"/>
    <x v="10"/>
    <x v="1"/>
    <x v="1"/>
    <x v="1"/>
    <x v="1"/>
    <x v="1"/>
    <n v="5"/>
    <x v="0"/>
  </r>
  <r>
    <d v="2024-03-05T00:00:00"/>
    <x v="1"/>
    <x v="0"/>
    <x v="0"/>
    <n v="65383433.539999999"/>
    <x v="1"/>
    <x v="0"/>
    <x v="0"/>
    <x v="12"/>
    <x v="1"/>
    <x v="1"/>
    <x v="1"/>
    <x v="1"/>
    <x v="1"/>
    <n v="5"/>
    <x v="0"/>
  </r>
  <r>
    <d v="2024-03-05T00:00:00"/>
    <x v="3"/>
    <x v="1"/>
    <x v="0"/>
    <n v="13545551.9"/>
    <x v="3"/>
    <x v="1"/>
    <x v="0"/>
    <x v="13"/>
    <x v="1"/>
    <x v="1"/>
    <x v="1"/>
    <x v="1"/>
    <x v="1"/>
    <n v="5"/>
    <x v="0"/>
  </r>
  <r>
    <d v="2024-03-05T00:00:00"/>
    <x v="3"/>
    <x v="2"/>
    <x v="1"/>
    <n v="5227081924.1300001"/>
    <x v="3"/>
    <x v="2"/>
    <x v="1"/>
    <x v="14"/>
    <x v="1"/>
    <x v="1"/>
    <x v="1"/>
    <x v="1"/>
    <x v="1"/>
    <n v="5"/>
    <x v="0"/>
  </r>
  <r>
    <d v="2024-03-05T00:00:00"/>
    <x v="3"/>
    <x v="2"/>
    <x v="0"/>
    <n v="898181730.30999994"/>
    <x v="3"/>
    <x v="2"/>
    <x v="0"/>
    <x v="15"/>
    <x v="1"/>
    <x v="1"/>
    <x v="1"/>
    <x v="1"/>
    <x v="1"/>
    <n v="5"/>
    <x v="0"/>
  </r>
  <r>
    <d v="2024-03-04T00:00:00"/>
    <x v="0"/>
    <x v="1"/>
    <x v="0"/>
    <n v="7272088.3600000003"/>
    <x v="0"/>
    <x v="1"/>
    <x v="0"/>
    <x v="0"/>
    <x v="1"/>
    <x v="1"/>
    <x v="1"/>
    <x v="1"/>
    <x v="1"/>
    <n v="4"/>
    <x v="0"/>
  </r>
  <r>
    <d v="2024-03-04T00:00:00"/>
    <x v="3"/>
    <x v="2"/>
    <x v="2"/>
    <n v="219480.37"/>
    <x v="3"/>
    <x v="2"/>
    <x v="2"/>
    <x v="5"/>
    <x v="1"/>
    <x v="1"/>
    <x v="1"/>
    <x v="1"/>
    <x v="1"/>
    <n v="4"/>
    <x v="0"/>
  </r>
  <r>
    <d v="2024-03-04T00:00:00"/>
    <x v="3"/>
    <x v="3"/>
    <x v="2"/>
    <n v="731.21"/>
    <x v="3"/>
    <x v="3"/>
    <x v="2"/>
    <x v="1"/>
    <x v="1"/>
    <x v="1"/>
    <x v="1"/>
    <x v="1"/>
    <x v="1"/>
    <n v="4"/>
    <x v="0"/>
  </r>
  <r>
    <d v="2024-03-04T00:00:00"/>
    <x v="2"/>
    <x v="1"/>
    <x v="2"/>
    <n v="17316.66"/>
    <x v="2"/>
    <x v="1"/>
    <x v="2"/>
    <x v="2"/>
    <x v="1"/>
    <x v="1"/>
    <x v="1"/>
    <x v="1"/>
    <x v="1"/>
    <n v="4"/>
    <x v="0"/>
  </r>
  <r>
    <d v="2024-03-04T00:00:00"/>
    <x v="3"/>
    <x v="3"/>
    <x v="0"/>
    <n v="1097223109.78"/>
    <x v="3"/>
    <x v="3"/>
    <x v="0"/>
    <x v="6"/>
    <x v="1"/>
    <x v="1"/>
    <x v="1"/>
    <x v="1"/>
    <x v="1"/>
    <n v="4"/>
    <x v="0"/>
  </r>
  <r>
    <d v="2024-03-04T00:00:00"/>
    <x v="2"/>
    <x v="1"/>
    <x v="0"/>
    <n v="104876045.66"/>
    <x v="2"/>
    <x v="1"/>
    <x v="0"/>
    <x v="7"/>
    <x v="1"/>
    <x v="1"/>
    <x v="1"/>
    <x v="1"/>
    <x v="1"/>
    <n v="4"/>
    <x v="0"/>
  </r>
  <r>
    <d v="2024-03-04T00:00:00"/>
    <x v="2"/>
    <x v="1"/>
    <x v="1"/>
    <n v="156041471.77000001"/>
    <x v="2"/>
    <x v="1"/>
    <x v="1"/>
    <x v="8"/>
    <x v="1"/>
    <x v="1"/>
    <x v="1"/>
    <x v="1"/>
    <x v="1"/>
    <n v="4"/>
    <x v="0"/>
  </r>
  <r>
    <d v="2024-03-04T00:00:00"/>
    <x v="0"/>
    <x v="1"/>
    <x v="1"/>
    <n v="10335836.949999999"/>
    <x v="0"/>
    <x v="1"/>
    <x v="1"/>
    <x v="3"/>
    <x v="1"/>
    <x v="1"/>
    <x v="1"/>
    <x v="1"/>
    <x v="1"/>
    <n v="4"/>
    <x v="0"/>
  </r>
  <r>
    <d v="2024-03-04T00:00:00"/>
    <x v="1"/>
    <x v="1"/>
    <x v="0"/>
    <n v="29889.95"/>
    <x v="1"/>
    <x v="1"/>
    <x v="0"/>
    <x v="4"/>
    <x v="1"/>
    <x v="1"/>
    <x v="1"/>
    <x v="1"/>
    <x v="1"/>
    <n v="4"/>
    <x v="0"/>
  </r>
  <r>
    <d v="2024-03-04T00:00:00"/>
    <x v="1"/>
    <x v="0"/>
    <x v="1"/>
    <n v="311561030.57999998"/>
    <x v="1"/>
    <x v="0"/>
    <x v="1"/>
    <x v="9"/>
    <x v="1"/>
    <x v="1"/>
    <x v="1"/>
    <x v="1"/>
    <x v="1"/>
    <n v="4"/>
    <x v="0"/>
  </r>
  <r>
    <d v="2024-03-04T00:00:00"/>
    <x v="1"/>
    <x v="0"/>
    <x v="0"/>
    <n v="55346832.289999999"/>
    <x v="1"/>
    <x v="0"/>
    <x v="0"/>
    <x v="10"/>
    <x v="1"/>
    <x v="1"/>
    <x v="1"/>
    <x v="1"/>
    <x v="1"/>
    <n v="4"/>
    <x v="0"/>
  </r>
  <r>
    <d v="2024-03-04T00:00:00"/>
    <x v="3"/>
    <x v="2"/>
    <x v="1"/>
    <n v="35226012648.610001"/>
    <x v="3"/>
    <x v="2"/>
    <x v="1"/>
    <x v="11"/>
    <x v="1"/>
    <x v="1"/>
    <x v="1"/>
    <x v="1"/>
    <x v="1"/>
    <n v="4"/>
    <x v="0"/>
  </r>
  <r>
    <d v="2024-03-04T00:00:00"/>
    <x v="3"/>
    <x v="1"/>
    <x v="0"/>
    <n v="55984241.310000002"/>
    <x v="3"/>
    <x v="1"/>
    <x v="0"/>
    <x v="12"/>
    <x v="1"/>
    <x v="1"/>
    <x v="1"/>
    <x v="1"/>
    <x v="1"/>
    <n v="4"/>
    <x v="0"/>
  </r>
  <r>
    <d v="2024-03-04T00:00:00"/>
    <x v="3"/>
    <x v="2"/>
    <x v="0"/>
    <n v="1353073714.75"/>
    <x v="3"/>
    <x v="2"/>
    <x v="0"/>
    <x v="13"/>
    <x v="1"/>
    <x v="1"/>
    <x v="1"/>
    <x v="1"/>
    <x v="1"/>
    <n v="4"/>
    <x v="0"/>
  </r>
  <r>
    <d v="2024-03-01T00:00:00"/>
    <x v="1"/>
    <x v="1"/>
    <x v="0"/>
    <n v="46927.44"/>
    <x v="1"/>
    <x v="1"/>
    <x v="0"/>
    <x v="0"/>
    <x v="1"/>
    <x v="1"/>
    <x v="1"/>
    <x v="1"/>
    <x v="1"/>
    <n v="1"/>
    <x v="0"/>
  </r>
  <r>
    <d v="2024-03-01T00:00:00"/>
    <x v="0"/>
    <x v="1"/>
    <x v="0"/>
    <n v="11832237.01"/>
    <x v="0"/>
    <x v="1"/>
    <x v="0"/>
    <x v="1"/>
    <x v="1"/>
    <x v="1"/>
    <x v="1"/>
    <x v="1"/>
    <x v="1"/>
    <n v="1"/>
    <x v="0"/>
  </r>
  <r>
    <d v="2024-03-01T00:00:00"/>
    <x v="2"/>
    <x v="1"/>
    <x v="2"/>
    <n v="10764"/>
    <x v="2"/>
    <x v="1"/>
    <x v="2"/>
    <x v="2"/>
    <x v="1"/>
    <x v="1"/>
    <x v="1"/>
    <x v="1"/>
    <x v="1"/>
    <n v="1"/>
    <x v="0"/>
  </r>
  <r>
    <d v="2024-03-01T00:00:00"/>
    <x v="3"/>
    <x v="3"/>
    <x v="0"/>
    <n v="3567651115.4400001"/>
    <x v="3"/>
    <x v="3"/>
    <x v="0"/>
    <x v="6"/>
    <x v="1"/>
    <x v="1"/>
    <x v="1"/>
    <x v="1"/>
    <x v="1"/>
    <n v="1"/>
    <x v="0"/>
  </r>
  <r>
    <d v="2024-03-01T00:00:00"/>
    <x v="1"/>
    <x v="0"/>
    <x v="1"/>
    <n v="128625503.73999999"/>
    <x v="1"/>
    <x v="0"/>
    <x v="1"/>
    <x v="8"/>
    <x v="1"/>
    <x v="1"/>
    <x v="1"/>
    <x v="1"/>
    <x v="1"/>
    <n v="1"/>
    <x v="0"/>
  </r>
  <r>
    <d v="2024-03-01T00:00:00"/>
    <x v="0"/>
    <x v="1"/>
    <x v="1"/>
    <n v="5654680.1799999997"/>
    <x v="0"/>
    <x v="1"/>
    <x v="1"/>
    <x v="3"/>
    <x v="1"/>
    <x v="1"/>
    <x v="1"/>
    <x v="1"/>
    <x v="1"/>
    <n v="1"/>
    <x v="0"/>
  </r>
  <r>
    <d v="2024-03-01T00:00:00"/>
    <x v="1"/>
    <x v="0"/>
    <x v="0"/>
    <n v="62489337.93"/>
    <x v="1"/>
    <x v="0"/>
    <x v="0"/>
    <x v="9"/>
    <x v="1"/>
    <x v="1"/>
    <x v="1"/>
    <x v="1"/>
    <x v="1"/>
    <n v="1"/>
    <x v="0"/>
  </r>
  <r>
    <d v="2024-03-01T00:00:00"/>
    <x v="3"/>
    <x v="2"/>
    <x v="2"/>
    <n v="268657.09000000003"/>
    <x v="3"/>
    <x v="2"/>
    <x v="2"/>
    <x v="4"/>
    <x v="1"/>
    <x v="1"/>
    <x v="1"/>
    <x v="1"/>
    <x v="1"/>
    <n v="1"/>
    <x v="0"/>
  </r>
  <r>
    <d v="2024-03-01T00:00:00"/>
    <x v="2"/>
    <x v="1"/>
    <x v="0"/>
    <n v="95477469.879999995"/>
    <x v="2"/>
    <x v="1"/>
    <x v="0"/>
    <x v="5"/>
    <x v="1"/>
    <x v="1"/>
    <x v="1"/>
    <x v="1"/>
    <x v="1"/>
    <n v="1"/>
    <x v="0"/>
  </r>
  <r>
    <d v="2024-03-01T00:00:00"/>
    <x v="2"/>
    <x v="1"/>
    <x v="1"/>
    <n v="280598185.98000002"/>
    <x v="2"/>
    <x v="1"/>
    <x v="1"/>
    <x v="7"/>
    <x v="1"/>
    <x v="1"/>
    <x v="1"/>
    <x v="1"/>
    <x v="1"/>
    <n v="1"/>
    <x v="0"/>
  </r>
  <r>
    <d v="2024-03-01T00:00:00"/>
    <x v="3"/>
    <x v="1"/>
    <x v="0"/>
    <n v="16595438.949999999"/>
    <x v="3"/>
    <x v="1"/>
    <x v="0"/>
    <x v="10"/>
    <x v="1"/>
    <x v="1"/>
    <x v="1"/>
    <x v="1"/>
    <x v="1"/>
    <n v="1"/>
    <x v="0"/>
  </r>
  <r>
    <d v="2024-03-01T00:00:00"/>
    <x v="3"/>
    <x v="2"/>
    <x v="0"/>
    <n v="697318265.78999996"/>
    <x v="3"/>
    <x v="2"/>
    <x v="0"/>
    <x v="11"/>
    <x v="1"/>
    <x v="1"/>
    <x v="1"/>
    <x v="1"/>
    <x v="1"/>
    <n v="1"/>
    <x v="0"/>
  </r>
  <r>
    <d v="2024-03-01T00:00:00"/>
    <x v="3"/>
    <x v="2"/>
    <x v="1"/>
    <n v="40710766702.330002"/>
    <x v="3"/>
    <x v="2"/>
    <x v="1"/>
    <x v="12"/>
    <x v="1"/>
    <x v="1"/>
    <x v="1"/>
    <x v="1"/>
    <x v="1"/>
    <n v="1"/>
    <x v="0"/>
  </r>
  <r>
    <d v="2024-02-29T00:00:00"/>
    <x v="1"/>
    <x v="1"/>
    <x v="0"/>
    <n v="311815.59999999998"/>
    <x v="1"/>
    <x v="1"/>
    <x v="0"/>
    <x v="0"/>
    <x v="1"/>
    <x v="1"/>
    <x v="1"/>
    <x v="1"/>
    <x v="2"/>
    <n v="29"/>
    <x v="0"/>
  </r>
  <r>
    <d v="2024-02-29T00:00:00"/>
    <x v="0"/>
    <x v="1"/>
    <x v="0"/>
    <n v="12484436.51"/>
    <x v="0"/>
    <x v="1"/>
    <x v="0"/>
    <x v="1"/>
    <x v="1"/>
    <x v="1"/>
    <x v="1"/>
    <x v="1"/>
    <x v="2"/>
    <n v="29"/>
    <x v="0"/>
  </r>
  <r>
    <d v="2024-02-29T00:00:00"/>
    <x v="3"/>
    <x v="3"/>
    <x v="2"/>
    <n v="11"/>
    <x v="3"/>
    <x v="3"/>
    <x v="2"/>
    <x v="2"/>
    <x v="1"/>
    <x v="1"/>
    <x v="1"/>
    <x v="1"/>
    <x v="2"/>
    <n v="29"/>
    <x v="0"/>
  </r>
  <r>
    <d v="2024-02-29T00:00:00"/>
    <x v="2"/>
    <x v="1"/>
    <x v="0"/>
    <n v="130875611.95"/>
    <x v="2"/>
    <x v="1"/>
    <x v="0"/>
    <x v="7"/>
    <x v="1"/>
    <x v="1"/>
    <x v="1"/>
    <x v="1"/>
    <x v="2"/>
    <n v="29"/>
    <x v="0"/>
  </r>
  <r>
    <d v="2024-02-29T00:00:00"/>
    <x v="3"/>
    <x v="3"/>
    <x v="0"/>
    <n v="3703260571.21"/>
    <x v="3"/>
    <x v="3"/>
    <x v="0"/>
    <x v="8"/>
    <x v="1"/>
    <x v="1"/>
    <x v="1"/>
    <x v="1"/>
    <x v="2"/>
    <n v="29"/>
    <x v="0"/>
  </r>
  <r>
    <d v="2024-02-29T00:00:00"/>
    <x v="3"/>
    <x v="3"/>
    <x v="1"/>
    <n v="2167177.35"/>
    <x v="3"/>
    <x v="3"/>
    <x v="1"/>
    <x v="3"/>
    <x v="1"/>
    <x v="1"/>
    <x v="1"/>
    <x v="1"/>
    <x v="2"/>
    <n v="29"/>
    <x v="0"/>
  </r>
  <r>
    <d v="2024-02-29T00:00:00"/>
    <x v="0"/>
    <x v="1"/>
    <x v="1"/>
    <n v="5112404.75"/>
    <x v="0"/>
    <x v="1"/>
    <x v="1"/>
    <x v="4"/>
    <x v="1"/>
    <x v="1"/>
    <x v="1"/>
    <x v="1"/>
    <x v="2"/>
    <n v="29"/>
    <x v="0"/>
  </r>
  <r>
    <d v="2024-02-29T00:00:00"/>
    <x v="2"/>
    <x v="1"/>
    <x v="2"/>
    <n v="212602"/>
    <x v="2"/>
    <x v="1"/>
    <x v="2"/>
    <x v="5"/>
    <x v="1"/>
    <x v="1"/>
    <x v="1"/>
    <x v="1"/>
    <x v="2"/>
    <n v="29"/>
    <x v="0"/>
  </r>
  <r>
    <d v="2024-02-29T00:00:00"/>
    <x v="3"/>
    <x v="2"/>
    <x v="2"/>
    <n v="108027.36"/>
    <x v="3"/>
    <x v="2"/>
    <x v="2"/>
    <x v="6"/>
    <x v="1"/>
    <x v="1"/>
    <x v="1"/>
    <x v="1"/>
    <x v="2"/>
    <n v="29"/>
    <x v="0"/>
  </r>
  <r>
    <d v="2024-02-29T00:00:00"/>
    <x v="2"/>
    <x v="1"/>
    <x v="1"/>
    <n v="335413066.50999999"/>
    <x v="2"/>
    <x v="1"/>
    <x v="1"/>
    <x v="9"/>
    <x v="1"/>
    <x v="1"/>
    <x v="1"/>
    <x v="1"/>
    <x v="2"/>
    <n v="29"/>
    <x v="0"/>
  </r>
  <r>
    <d v="2024-02-29T00:00:00"/>
    <x v="1"/>
    <x v="0"/>
    <x v="1"/>
    <n v="307045926.51999998"/>
    <x v="1"/>
    <x v="0"/>
    <x v="1"/>
    <x v="10"/>
    <x v="1"/>
    <x v="1"/>
    <x v="1"/>
    <x v="1"/>
    <x v="2"/>
    <n v="29"/>
    <x v="0"/>
  </r>
  <r>
    <d v="2024-02-29T00:00:00"/>
    <x v="1"/>
    <x v="0"/>
    <x v="0"/>
    <n v="73532357.159999996"/>
    <x v="1"/>
    <x v="0"/>
    <x v="0"/>
    <x v="11"/>
    <x v="1"/>
    <x v="1"/>
    <x v="1"/>
    <x v="1"/>
    <x v="2"/>
    <n v="29"/>
    <x v="0"/>
  </r>
  <r>
    <d v="2024-02-29T00:00:00"/>
    <x v="3"/>
    <x v="1"/>
    <x v="0"/>
    <n v="14726079.279999999"/>
    <x v="3"/>
    <x v="1"/>
    <x v="0"/>
    <x v="12"/>
    <x v="1"/>
    <x v="1"/>
    <x v="1"/>
    <x v="1"/>
    <x v="2"/>
    <n v="29"/>
    <x v="0"/>
  </r>
  <r>
    <d v="2024-02-29T00:00:00"/>
    <x v="3"/>
    <x v="2"/>
    <x v="0"/>
    <n v="1166306491.9200001"/>
    <x v="3"/>
    <x v="2"/>
    <x v="0"/>
    <x v="13"/>
    <x v="1"/>
    <x v="1"/>
    <x v="1"/>
    <x v="1"/>
    <x v="2"/>
    <n v="29"/>
    <x v="0"/>
  </r>
  <r>
    <d v="2024-02-29T00:00:00"/>
    <x v="3"/>
    <x v="2"/>
    <x v="1"/>
    <n v="10859286041.68"/>
    <x v="3"/>
    <x v="2"/>
    <x v="1"/>
    <x v="14"/>
    <x v="1"/>
    <x v="1"/>
    <x v="1"/>
    <x v="1"/>
    <x v="2"/>
    <n v="29"/>
    <x v="0"/>
  </r>
  <r>
    <d v="2024-02-28T00:00:00"/>
    <x v="1"/>
    <x v="1"/>
    <x v="0"/>
    <n v="491852.03"/>
    <x v="1"/>
    <x v="1"/>
    <x v="0"/>
    <x v="0"/>
    <x v="1"/>
    <x v="1"/>
    <x v="1"/>
    <x v="1"/>
    <x v="2"/>
    <n v="28"/>
    <x v="0"/>
  </r>
  <r>
    <d v="2024-02-28T00:00:00"/>
    <x v="0"/>
    <x v="1"/>
    <x v="0"/>
    <n v="6907938.1699999999"/>
    <x v="0"/>
    <x v="1"/>
    <x v="0"/>
    <x v="1"/>
    <x v="1"/>
    <x v="1"/>
    <x v="1"/>
    <x v="1"/>
    <x v="2"/>
    <n v="28"/>
    <x v="0"/>
  </r>
  <r>
    <d v="2024-02-28T00:00:00"/>
    <x v="2"/>
    <x v="1"/>
    <x v="2"/>
    <n v="29388.080000000002"/>
    <x v="2"/>
    <x v="1"/>
    <x v="2"/>
    <x v="2"/>
    <x v="1"/>
    <x v="1"/>
    <x v="1"/>
    <x v="1"/>
    <x v="2"/>
    <n v="28"/>
    <x v="0"/>
  </r>
  <r>
    <d v="2024-02-28T00:00:00"/>
    <x v="2"/>
    <x v="1"/>
    <x v="0"/>
    <n v="136307208.12"/>
    <x v="2"/>
    <x v="1"/>
    <x v="0"/>
    <x v="7"/>
    <x v="1"/>
    <x v="1"/>
    <x v="1"/>
    <x v="1"/>
    <x v="2"/>
    <n v="28"/>
    <x v="0"/>
  </r>
  <r>
    <d v="2024-02-28T00:00:00"/>
    <x v="2"/>
    <x v="1"/>
    <x v="1"/>
    <n v="164712020.05000001"/>
    <x v="2"/>
    <x v="1"/>
    <x v="1"/>
    <x v="9"/>
    <x v="1"/>
    <x v="1"/>
    <x v="1"/>
    <x v="1"/>
    <x v="2"/>
    <n v="28"/>
    <x v="0"/>
  </r>
  <r>
    <d v="2024-02-28T00:00:00"/>
    <x v="3"/>
    <x v="3"/>
    <x v="1"/>
    <n v="119684.48"/>
    <x v="3"/>
    <x v="3"/>
    <x v="1"/>
    <x v="3"/>
    <x v="1"/>
    <x v="1"/>
    <x v="1"/>
    <x v="1"/>
    <x v="2"/>
    <n v="28"/>
    <x v="0"/>
  </r>
  <r>
    <d v="2024-02-28T00:00:00"/>
    <x v="0"/>
    <x v="0"/>
    <x v="1"/>
    <n v="6039245.5999999996"/>
    <x v="0"/>
    <x v="0"/>
    <x v="1"/>
    <x v="4"/>
    <x v="1"/>
    <x v="1"/>
    <x v="1"/>
    <x v="1"/>
    <x v="2"/>
    <n v="28"/>
    <x v="0"/>
  </r>
  <r>
    <d v="2024-02-28T00:00:00"/>
    <x v="0"/>
    <x v="1"/>
    <x v="1"/>
    <n v="8948274.1500000004"/>
    <x v="0"/>
    <x v="1"/>
    <x v="1"/>
    <x v="5"/>
    <x v="1"/>
    <x v="1"/>
    <x v="1"/>
    <x v="1"/>
    <x v="2"/>
    <n v="28"/>
    <x v="0"/>
  </r>
  <r>
    <d v="2024-02-28T00:00:00"/>
    <x v="3"/>
    <x v="2"/>
    <x v="2"/>
    <n v="91427.67"/>
    <x v="3"/>
    <x v="2"/>
    <x v="2"/>
    <x v="6"/>
    <x v="1"/>
    <x v="1"/>
    <x v="1"/>
    <x v="1"/>
    <x v="2"/>
    <n v="28"/>
    <x v="0"/>
  </r>
  <r>
    <d v="2024-02-28T00:00:00"/>
    <x v="3"/>
    <x v="3"/>
    <x v="0"/>
    <n v="1309560500.24"/>
    <x v="3"/>
    <x v="3"/>
    <x v="0"/>
    <x v="8"/>
    <x v="1"/>
    <x v="1"/>
    <x v="1"/>
    <x v="1"/>
    <x v="2"/>
    <n v="28"/>
    <x v="0"/>
  </r>
  <r>
    <d v="2024-02-28T00:00:00"/>
    <x v="1"/>
    <x v="0"/>
    <x v="1"/>
    <n v="647979222.57000005"/>
    <x v="1"/>
    <x v="0"/>
    <x v="1"/>
    <x v="10"/>
    <x v="1"/>
    <x v="1"/>
    <x v="1"/>
    <x v="1"/>
    <x v="2"/>
    <n v="28"/>
    <x v="0"/>
  </r>
  <r>
    <d v="2024-02-28T00:00:00"/>
    <x v="1"/>
    <x v="0"/>
    <x v="0"/>
    <n v="89425345.659999996"/>
    <x v="1"/>
    <x v="0"/>
    <x v="0"/>
    <x v="11"/>
    <x v="1"/>
    <x v="1"/>
    <x v="1"/>
    <x v="1"/>
    <x v="2"/>
    <n v="28"/>
    <x v="0"/>
  </r>
  <r>
    <d v="2024-02-28T00:00:00"/>
    <x v="3"/>
    <x v="1"/>
    <x v="0"/>
    <n v="14376965.32"/>
    <x v="3"/>
    <x v="1"/>
    <x v="0"/>
    <x v="12"/>
    <x v="1"/>
    <x v="1"/>
    <x v="1"/>
    <x v="1"/>
    <x v="2"/>
    <n v="28"/>
    <x v="0"/>
  </r>
  <r>
    <d v="2024-02-28T00:00:00"/>
    <x v="3"/>
    <x v="2"/>
    <x v="0"/>
    <n v="641467974.86000001"/>
    <x v="3"/>
    <x v="2"/>
    <x v="0"/>
    <x v="13"/>
    <x v="1"/>
    <x v="1"/>
    <x v="1"/>
    <x v="1"/>
    <x v="2"/>
    <n v="28"/>
    <x v="0"/>
  </r>
  <r>
    <d v="2024-02-28T00:00:00"/>
    <x v="3"/>
    <x v="2"/>
    <x v="1"/>
    <n v="11975863001.879999"/>
    <x v="3"/>
    <x v="2"/>
    <x v="1"/>
    <x v="14"/>
    <x v="1"/>
    <x v="1"/>
    <x v="1"/>
    <x v="1"/>
    <x v="2"/>
    <n v="28"/>
    <x v="0"/>
  </r>
  <r>
    <d v="2024-02-27T00:00:00"/>
    <x v="0"/>
    <x v="0"/>
    <x v="0"/>
    <n v="383.6"/>
    <x v="0"/>
    <x v="0"/>
    <x v="0"/>
    <x v="0"/>
    <x v="1"/>
    <x v="1"/>
    <x v="1"/>
    <x v="1"/>
    <x v="2"/>
    <n v="27"/>
    <x v="0"/>
  </r>
  <r>
    <d v="2024-02-27T00:00:00"/>
    <x v="1"/>
    <x v="1"/>
    <x v="0"/>
    <n v="619796.43000000005"/>
    <x v="1"/>
    <x v="1"/>
    <x v="0"/>
    <x v="1"/>
    <x v="1"/>
    <x v="1"/>
    <x v="1"/>
    <x v="1"/>
    <x v="2"/>
    <n v="27"/>
    <x v="0"/>
  </r>
  <r>
    <d v="2024-02-27T00:00:00"/>
    <x v="0"/>
    <x v="1"/>
    <x v="0"/>
    <n v="11164786.619999999"/>
    <x v="0"/>
    <x v="1"/>
    <x v="0"/>
    <x v="2"/>
    <x v="1"/>
    <x v="1"/>
    <x v="1"/>
    <x v="1"/>
    <x v="2"/>
    <n v="27"/>
    <x v="0"/>
  </r>
  <r>
    <d v="2024-02-27T00:00:00"/>
    <x v="2"/>
    <x v="1"/>
    <x v="0"/>
    <n v="120556142.89"/>
    <x v="2"/>
    <x v="1"/>
    <x v="0"/>
    <x v="8"/>
    <x v="1"/>
    <x v="1"/>
    <x v="1"/>
    <x v="1"/>
    <x v="2"/>
    <n v="27"/>
    <x v="0"/>
  </r>
  <r>
    <d v="2024-02-27T00:00:00"/>
    <x v="2"/>
    <x v="1"/>
    <x v="2"/>
    <n v="9526.2800000000007"/>
    <x v="2"/>
    <x v="1"/>
    <x v="2"/>
    <x v="3"/>
    <x v="1"/>
    <x v="1"/>
    <x v="1"/>
    <x v="1"/>
    <x v="2"/>
    <n v="27"/>
    <x v="0"/>
  </r>
  <r>
    <d v="2024-02-27T00:00:00"/>
    <x v="3"/>
    <x v="2"/>
    <x v="2"/>
    <n v="274530.58"/>
    <x v="3"/>
    <x v="2"/>
    <x v="2"/>
    <x v="7"/>
    <x v="1"/>
    <x v="1"/>
    <x v="1"/>
    <x v="1"/>
    <x v="2"/>
    <n v="27"/>
    <x v="0"/>
  </r>
  <r>
    <d v="2024-02-27T00:00:00"/>
    <x v="2"/>
    <x v="1"/>
    <x v="1"/>
    <n v="134548945.33000001"/>
    <x v="2"/>
    <x v="1"/>
    <x v="1"/>
    <x v="10"/>
    <x v="1"/>
    <x v="1"/>
    <x v="1"/>
    <x v="1"/>
    <x v="2"/>
    <n v="27"/>
    <x v="0"/>
  </r>
  <r>
    <d v="2024-02-27T00:00:00"/>
    <x v="1"/>
    <x v="0"/>
    <x v="1"/>
    <n v="209391663.31"/>
    <x v="1"/>
    <x v="0"/>
    <x v="1"/>
    <x v="11"/>
    <x v="1"/>
    <x v="1"/>
    <x v="1"/>
    <x v="1"/>
    <x v="2"/>
    <n v="27"/>
    <x v="0"/>
  </r>
  <r>
    <d v="2024-02-27T00:00:00"/>
    <x v="0"/>
    <x v="0"/>
    <x v="1"/>
    <n v="-3135"/>
    <x v="0"/>
    <x v="0"/>
    <x v="1"/>
    <x v="4"/>
    <x v="1"/>
    <x v="1"/>
    <x v="1"/>
    <x v="1"/>
    <x v="2"/>
    <n v="27"/>
    <x v="1"/>
  </r>
  <r>
    <d v="2024-02-27T00:00:00"/>
    <x v="3"/>
    <x v="3"/>
    <x v="1"/>
    <n v="3578085.55"/>
    <x v="3"/>
    <x v="3"/>
    <x v="1"/>
    <x v="5"/>
    <x v="1"/>
    <x v="1"/>
    <x v="1"/>
    <x v="1"/>
    <x v="2"/>
    <n v="27"/>
    <x v="0"/>
  </r>
  <r>
    <d v="2024-02-27T00:00:00"/>
    <x v="0"/>
    <x v="1"/>
    <x v="1"/>
    <n v="17822753.34"/>
    <x v="0"/>
    <x v="1"/>
    <x v="1"/>
    <x v="6"/>
    <x v="1"/>
    <x v="1"/>
    <x v="1"/>
    <x v="1"/>
    <x v="2"/>
    <n v="27"/>
    <x v="0"/>
  </r>
  <r>
    <d v="2024-02-27T00:00:00"/>
    <x v="3"/>
    <x v="3"/>
    <x v="0"/>
    <n v="1598989960.4000001"/>
    <x v="3"/>
    <x v="3"/>
    <x v="0"/>
    <x v="9"/>
    <x v="1"/>
    <x v="1"/>
    <x v="1"/>
    <x v="1"/>
    <x v="2"/>
    <n v="27"/>
    <x v="0"/>
  </r>
  <r>
    <d v="2024-02-27T00:00:00"/>
    <x v="1"/>
    <x v="0"/>
    <x v="0"/>
    <n v="79049674.890000001"/>
    <x v="1"/>
    <x v="0"/>
    <x v="0"/>
    <x v="12"/>
    <x v="1"/>
    <x v="1"/>
    <x v="1"/>
    <x v="1"/>
    <x v="2"/>
    <n v="27"/>
    <x v="0"/>
  </r>
  <r>
    <d v="2024-02-27T00:00:00"/>
    <x v="3"/>
    <x v="1"/>
    <x v="0"/>
    <n v="12751523.949999999"/>
    <x v="3"/>
    <x v="1"/>
    <x v="0"/>
    <x v="13"/>
    <x v="1"/>
    <x v="1"/>
    <x v="1"/>
    <x v="1"/>
    <x v="2"/>
    <n v="27"/>
    <x v="0"/>
  </r>
  <r>
    <d v="2024-02-27T00:00:00"/>
    <x v="3"/>
    <x v="2"/>
    <x v="1"/>
    <n v="5212801083.6999998"/>
    <x v="3"/>
    <x v="2"/>
    <x v="1"/>
    <x v="14"/>
    <x v="1"/>
    <x v="1"/>
    <x v="1"/>
    <x v="1"/>
    <x v="2"/>
    <n v="27"/>
    <x v="0"/>
  </r>
  <r>
    <d v="2024-02-27T00:00:00"/>
    <x v="3"/>
    <x v="2"/>
    <x v="0"/>
    <n v="904449554.94000006"/>
    <x v="3"/>
    <x v="2"/>
    <x v="0"/>
    <x v="15"/>
    <x v="1"/>
    <x v="1"/>
    <x v="1"/>
    <x v="1"/>
    <x v="2"/>
    <n v="27"/>
    <x v="0"/>
  </r>
  <r>
    <d v="2024-02-26T00:00:00"/>
    <x v="0"/>
    <x v="0"/>
    <x v="0"/>
    <n v="-494.5"/>
    <x v="0"/>
    <x v="0"/>
    <x v="0"/>
    <x v="0"/>
    <x v="1"/>
    <x v="1"/>
    <x v="1"/>
    <x v="1"/>
    <x v="2"/>
    <n v="26"/>
    <x v="1"/>
  </r>
  <r>
    <d v="2024-02-26T00:00:00"/>
    <x v="1"/>
    <x v="1"/>
    <x v="0"/>
    <n v="36624.28"/>
    <x v="1"/>
    <x v="1"/>
    <x v="0"/>
    <x v="1"/>
    <x v="1"/>
    <x v="1"/>
    <x v="1"/>
    <x v="1"/>
    <x v="2"/>
    <n v="26"/>
    <x v="0"/>
  </r>
  <r>
    <d v="2024-02-26T00:00:00"/>
    <x v="0"/>
    <x v="1"/>
    <x v="0"/>
    <n v="36153648.439999998"/>
    <x v="0"/>
    <x v="1"/>
    <x v="0"/>
    <x v="2"/>
    <x v="1"/>
    <x v="1"/>
    <x v="1"/>
    <x v="1"/>
    <x v="2"/>
    <n v="26"/>
    <x v="0"/>
  </r>
  <r>
    <d v="2024-02-26T00:00:00"/>
    <x v="2"/>
    <x v="1"/>
    <x v="0"/>
    <n v="78164952.159999996"/>
    <x v="2"/>
    <x v="1"/>
    <x v="0"/>
    <x v="7"/>
    <x v="1"/>
    <x v="1"/>
    <x v="1"/>
    <x v="1"/>
    <x v="2"/>
    <n v="26"/>
    <x v="0"/>
  </r>
  <r>
    <d v="2024-02-26T00:00:00"/>
    <x v="2"/>
    <x v="1"/>
    <x v="2"/>
    <n v="29144.19"/>
    <x v="2"/>
    <x v="1"/>
    <x v="2"/>
    <x v="5"/>
    <x v="1"/>
    <x v="1"/>
    <x v="1"/>
    <x v="1"/>
    <x v="2"/>
    <n v="26"/>
    <x v="0"/>
  </r>
  <r>
    <d v="2024-02-26T00:00:00"/>
    <x v="3"/>
    <x v="3"/>
    <x v="0"/>
    <n v="1616589670.72"/>
    <x v="3"/>
    <x v="3"/>
    <x v="0"/>
    <x v="8"/>
    <x v="1"/>
    <x v="1"/>
    <x v="1"/>
    <x v="1"/>
    <x v="2"/>
    <n v="26"/>
    <x v="0"/>
  </r>
  <r>
    <d v="2024-02-26T00:00:00"/>
    <x v="2"/>
    <x v="1"/>
    <x v="1"/>
    <n v="227525057.13"/>
    <x v="2"/>
    <x v="1"/>
    <x v="1"/>
    <x v="9"/>
    <x v="1"/>
    <x v="1"/>
    <x v="1"/>
    <x v="1"/>
    <x v="2"/>
    <n v="26"/>
    <x v="0"/>
  </r>
  <r>
    <d v="2024-02-26T00:00:00"/>
    <x v="1"/>
    <x v="0"/>
    <x v="1"/>
    <n v="213100598.97999999"/>
    <x v="1"/>
    <x v="0"/>
    <x v="1"/>
    <x v="10"/>
    <x v="1"/>
    <x v="1"/>
    <x v="1"/>
    <x v="1"/>
    <x v="2"/>
    <n v="26"/>
    <x v="0"/>
  </r>
  <r>
    <d v="2024-02-26T00:00:00"/>
    <x v="0"/>
    <x v="0"/>
    <x v="1"/>
    <n v="-15090"/>
    <x v="0"/>
    <x v="0"/>
    <x v="1"/>
    <x v="3"/>
    <x v="1"/>
    <x v="1"/>
    <x v="1"/>
    <x v="1"/>
    <x v="2"/>
    <n v="26"/>
    <x v="1"/>
  </r>
  <r>
    <d v="2024-02-26T00:00:00"/>
    <x v="0"/>
    <x v="1"/>
    <x v="1"/>
    <n v="4805835.22"/>
    <x v="0"/>
    <x v="1"/>
    <x v="1"/>
    <x v="4"/>
    <x v="1"/>
    <x v="1"/>
    <x v="1"/>
    <x v="1"/>
    <x v="2"/>
    <n v="26"/>
    <x v="0"/>
  </r>
  <r>
    <d v="2024-02-26T00:00:00"/>
    <x v="1"/>
    <x v="0"/>
    <x v="0"/>
    <n v="58232847.890000001"/>
    <x v="1"/>
    <x v="0"/>
    <x v="0"/>
    <x v="11"/>
    <x v="1"/>
    <x v="1"/>
    <x v="1"/>
    <x v="1"/>
    <x v="2"/>
    <n v="26"/>
    <x v="0"/>
  </r>
  <r>
    <d v="2024-02-26T00:00:00"/>
    <x v="3"/>
    <x v="2"/>
    <x v="2"/>
    <n v="322957.77"/>
    <x v="3"/>
    <x v="2"/>
    <x v="2"/>
    <x v="6"/>
    <x v="1"/>
    <x v="1"/>
    <x v="1"/>
    <x v="1"/>
    <x v="2"/>
    <n v="26"/>
    <x v="0"/>
  </r>
  <r>
    <d v="2024-02-26T00:00:00"/>
    <x v="3"/>
    <x v="2"/>
    <x v="1"/>
    <n v="28360204791.48"/>
    <x v="3"/>
    <x v="2"/>
    <x v="1"/>
    <x v="12"/>
    <x v="1"/>
    <x v="1"/>
    <x v="1"/>
    <x v="1"/>
    <x v="2"/>
    <n v="26"/>
    <x v="0"/>
  </r>
  <r>
    <d v="2024-02-26T00:00:00"/>
    <x v="3"/>
    <x v="1"/>
    <x v="0"/>
    <n v="47705989.869999997"/>
    <x v="3"/>
    <x v="1"/>
    <x v="0"/>
    <x v="13"/>
    <x v="1"/>
    <x v="1"/>
    <x v="1"/>
    <x v="1"/>
    <x v="2"/>
    <n v="26"/>
    <x v="0"/>
  </r>
  <r>
    <d v="2024-02-26T00:00:00"/>
    <x v="3"/>
    <x v="2"/>
    <x v="0"/>
    <n v="609568220.75999999"/>
    <x v="3"/>
    <x v="2"/>
    <x v="0"/>
    <x v="14"/>
    <x v="1"/>
    <x v="1"/>
    <x v="1"/>
    <x v="1"/>
    <x v="2"/>
    <n v="26"/>
    <x v="0"/>
  </r>
  <r>
    <d v="2024-02-23T00:00:00"/>
    <x v="1"/>
    <x v="1"/>
    <x v="0"/>
    <n v="142848.09"/>
    <x v="1"/>
    <x v="1"/>
    <x v="0"/>
    <x v="0"/>
    <x v="1"/>
    <x v="1"/>
    <x v="1"/>
    <x v="1"/>
    <x v="2"/>
    <n v="23"/>
    <x v="0"/>
  </r>
  <r>
    <d v="2024-02-23T00:00:00"/>
    <x v="0"/>
    <x v="1"/>
    <x v="0"/>
    <n v="11411904.029999999"/>
    <x v="0"/>
    <x v="1"/>
    <x v="0"/>
    <x v="1"/>
    <x v="1"/>
    <x v="1"/>
    <x v="1"/>
    <x v="1"/>
    <x v="2"/>
    <n v="23"/>
    <x v="0"/>
  </r>
  <r>
    <d v="2024-02-23T00:00:00"/>
    <x v="2"/>
    <x v="1"/>
    <x v="2"/>
    <n v="27834.43"/>
    <x v="2"/>
    <x v="1"/>
    <x v="2"/>
    <x v="4"/>
    <x v="1"/>
    <x v="1"/>
    <x v="1"/>
    <x v="1"/>
    <x v="2"/>
    <n v="23"/>
    <x v="0"/>
  </r>
  <r>
    <d v="2024-02-23T00:00:00"/>
    <x v="3"/>
    <x v="3"/>
    <x v="0"/>
    <n v="1845467477.21"/>
    <x v="3"/>
    <x v="3"/>
    <x v="0"/>
    <x v="6"/>
    <x v="1"/>
    <x v="1"/>
    <x v="1"/>
    <x v="1"/>
    <x v="2"/>
    <n v="23"/>
    <x v="0"/>
  </r>
  <r>
    <d v="2024-02-23T00:00:00"/>
    <x v="2"/>
    <x v="1"/>
    <x v="0"/>
    <n v="106578100.90000001"/>
    <x v="2"/>
    <x v="1"/>
    <x v="0"/>
    <x v="7"/>
    <x v="1"/>
    <x v="1"/>
    <x v="1"/>
    <x v="1"/>
    <x v="2"/>
    <n v="23"/>
    <x v="0"/>
  </r>
  <r>
    <d v="2024-02-23T00:00:00"/>
    <x v="2"/>
    <x v="1"/>
    <x v="1"/>
    <n v="136882431.59"/>
    <x v="2"/>
    <x v="1"/>
    <x v="1"/>
    <x v="8"/>
    <x v="1"/>
    <x v="1"/>
    <x v="1"/>
    <x v="1"/>
    <x v="2"/>
    <n v="23"/>
    <x v="0"/>
  </r>
  <r>
    <d v="2024-02-23T00:00:00"/>
    <x v="3"/>
    <x v="3"/>
    <x v="1"/>
    <n v="1790716.32"/>
    <x v="3"/>
    <x v="3"/>
    <x v="1"/>
    <x v="2"/>
    <x v="1"/>
    <x v="1"/>
    <x v="1"/>
    <x v="1"/>
    <x v="2"/>
    <n v="23"/>
    <x v="0"/>
  </r>
  <r>
    <d v="2024-02-23T00:00:00"/>
    <x v="0"/>
    <x v="1"/>
    <x v="1"/>
    <n v="13678182.189999999"/>
    <x v="0"/>
    <x v="1"/>
    <x v="1"/>
    <x v="3"/>
    <x v="1"/>
    <x v="1"/>
    <x v="1"/>
    <x v="1"/>
    <x v="2"/>
    <n v="23"/>
    <x v="0"/>
  </r>
  <r>
    <d v="2024-02-23T00:00:00"/>
    <x v="3"/>
    <x v="2"/>
    <x v="2"/>
    <n v="146955.26"/>
    <x v="3"/>
    <x v="2"/>
    <x v="2"/>
    <x v="5"/>
    <x v="1"/>
    <x v="1"/>
    <x v="1"/>
    <x v="1"/>
    <x v="2"/>
    <n v="23"/>
    <x v="0"/>
  </r>
  <r>
    <d v="2024-02-23T00:00:00"/>
    <x v="1"/>
    <x v="0"/>
    <x v="1"/>
    <n v="185542853.90000001"/>
    <x v="1"/>
    <x v="0"/>
    <x v="1"/>
    <x v="9"/>
    <x v="1"/>
    <x v="1"/>
    <x v="1"/>
    <x v="1"/>
    <x v="2"/>
    <n v="23"/>
    <x v="0"/>
  </r>
  <r>
    <d v="2024-02-23T00:00:00"/>
    <x v="1"/>
    <x v="0"/>
    <x v="0"/>
    <n v="51538311.75"/>
    <x v="1"/>
    <x v="0"/>
    <x v="0"/>
    <x v="10"/>
    <x v="1"/>
    <x v="1"/>
    <x v="1"/>
    <x v="1"/>
    <x v="2"/>
    <n v="23"/>
    <x v="0"/>
  </r>
  <r>
    <d v="2024-02-23T00:00:00"/>
    <x v="3"/>
    <x v="1"/>
    <x v="0"/>
    <n v="14975518.59"/>
    <x v="3"/>
    <x v="1"/>
    <x v="0"/>
    <x v="11"/>
    <x v="1"/>
    <x v="1"/>
    <x v="1"/>
    <x v="1"/>
    <x v="2"/>
    <n v="23"/>
    <x v="0"/>
  </r>
  <r>
    <d v="2024-02-23T00:00:00"/>
    <x v="3"/>
    <x v="2"/>
    <x v="1"/>
    <n v="10838971380.040001"/>
    <x v="3"/>
    <x v="2"/>
    <x v="1"/>
    <x v="12"/>
    <x v="1"/>
    <x v="1"/>
    <x v="1"/>
    <x v="1"/>
    <x v="2"/>
    <n v="23"/>
    <x v="0"/>
  </r>
  <r>
    <d v="2024-02-23T00:00:00"/>
    <x v="3"/>
    <x v="2"/>
    <x v="0"/>
    <n v="5640557957"/>
    <x v="3"/>
    <x v="2"/>
    <x v="0"/>
    <x v="13"/>
    <x v="1"/>
    <x v="1"/>
    <x v="1"/>
    <x v="1"/>
    <x v="2"/>
    <n v="23"/>
    <x v="0"/>
  </r>
  <r>
    <d v="2024-02-22T00:00:00"/>
    <x v="0"/>
    <x v="0"/>
    <x v="0"/>
    <n v="403.41"/>
    <x v="0"/>
    <x v="0"/>
    <x v="0"/>
    <x v="0"/>
    <x v="1"/>
    <x v="1"/>
    <x v="1"/>
    <x v="1"/>
    <x v="2"/>
    <n v="22"/>
    <x v="0"/>
  </r>
  <r>
    <d v="2024-02-22T00:00:00"/>
    <x v="1"/>
    <x v="1"/>
    <x v="0"/>
    <n v="75096.08"/>
    <x v="1"/>
    <x v="1"/>
    <x v="0"/>
    <x v="1"/>
    <x v="1"/>
    <x v="1"/>
    <x v="1"/>
    <x v="1"/>
    <x v="2"/>
    <n v="22"/>
    <x v="0"/>
  </r>
  <r>
    <d v="2024-02-22T00:00:00"/>
    <x v="0"/>
    <x v="1"/>
    <x v="0"/>
    <n v="9625351.6699999999"/>
    <x v="0"/>
    <x v="1"/>
    <x v="0"/>
    <x v="2"/>
    <x v="1"/>
    <x v="1"/>
    <x v="1"/>
    <x v="1"/>
    <x v="2"/>
    <n v="22"/>
    <x v="0"/>
  </r>
  <r>
    <d v="2024-02-22T00:00:00"/>
    <x v="2"/>
    <x v="1"/>
    <x v="2"/>
    <n v="32729.03"/>
    <x v="2"/>
    <x v="1"/>
    <x v="2"/>
    <x v="3"/>
    <x v="1"/>
    <x v="1"/>
    <x v="1"/>
    <x v="1"/>
    <x v="2"/>
    <n v="22"/>
    <x v="0"/>
  </r>
  <r>
    <d v="2024-02-22T00:00:00"/>
    <x v="2"/>
    <x v="1"/>
    <x v="0"/>
    <n v="115009909.06999999"/>
    <x v="2"/>
    <x v="1"/>
    <x v="0"/>
    <x v="8"/>
    <x v="1"/>
    <x v="1"/>
    <x v="1"/>
    <x v="1"/>
    <x v="2"/>
    <n v="22"/>
    <x v="0"/>
  </r>
  <r>
    <d v="2024-02-22T00:00:00"/>
    <x v="1"/>
    <x v="0"/>
    <x v="1"/>
    <n v="1322693755.0699999"/>
    <x v="1"/>
    <x v="0"/>
    <x v="1"/>
    <x v="10"/>
    <x v="1"/>
    <x v="1"/>
    <x v="1"/>
    <x v="1"/>
    <x v="2"/>
    <n v="22"/>
    <x v="0"/>
  </r>
  <r>
    <d v="2024-02-22T00:00:00"/>
    <x v="0"/>
    <x v="0"/>
    <x v="1"/>
    <n v="22750028.93"/>
    <x v="0"/>
    <x v="0"/>
    <x v="1"/>
    <x v="4"/>
    <x v="1"/>
    <x v="1"/>
    <x v="1"/>
    <x v="1"/>
    <x v="2"/>
    <n v="22"/>
    <x v="0"/>
  </r>
  <r>
    <d v="2024-02-22T00:00:00"/>
    <x v="0"/>
    <x v="1"/>
    <x v="1"/>
    <n v="5037111.6399999997"/>
    <x v="0"/>
    <x v="1"/>
    <x v="1"/>
    <x v="5"/>
    <x v="1"/>
    <x v="1"/>
    <x v="1"/>
    <x v="1"/>
    <x v="2"/>
    <n v="22"/>
    <x v="0"/>
  </r>
  <r>
    <d v="2024-02-22T00:00:00"/>
    <x v="3"/>
    <x v="2"/>
    <x v="2"/>
    <n v="176442.65"/>
    <x v="3"/>
    <x v="2"/>
    <x v="2"/>
    <x v="6"/>
    <x v="1"/>
    <x v="1"/>
    <x v="1"/>
    <x v="1"/>
    <x v="2"/>
    <n v="22"/>
    <x v="0"/>
  </r>
  <r>
    <d v="2024-02-22T00:00:00"/>
    <x v="3"/>
    <x v="3"/>
    <x v="0"/>
    <n v="964612210.33000004"/>
    <x v="3"/>
    <x v="3"/>
    <x v="0"/>
    <x v="7"/>
    <x v="1"/>
    <x v="1"/>
    <x v="1"/>
    <x v="1"/>
    <x v="2"/>
    <n v="22"/>
    <x v="0"/>
  </r>
  <r>
    <d v="2024-02-22T00:00:00"/>
    <x v="1"/>
    <x v="0"/>
    <x v="0"/>
    <n v="123072538.98"/>
    <x v="1"/>
    <x v="0"/>
    <x v="0"/>
    <x v="11"/>
    <x v="1"/>
    <x v="1"/>
    <x v="1"/>
    <x v="1"/>
    <x v="2"/>
    <n v="22"/>
    <x v="0"/>
  </r>
  <r>
    <d v="2024-02-22T00:00:00"/>
    <x v="2"/>
    <x v="1"/>
    <x v="1"/>
    <n v="182198970.63999999"/>
    <x v="2"/>
    <x v="1"/>
    <x v="1"/>
    <x v="9"/>
    <x v="1"/>
    <x v="1"/>
    <x v="1"/>
    <x v="1"/>
    <x v="2"/>
    <n v="22"/>
    <x v="0"/>
  </r>
  <r>
    <d v="2024-02-22T00:00:00"/>
    <x v="3"/>
    <x v="1"/>
    <x v="0"/>
    <n v="14952504.91"/>
    <x v="3"/>
    <x v="1"/>
    <x v="0"/>
    <x v="12"/>
    <x v="1"/>
    <x v="1"/>
    <x v="1"/>
    <x v="1"/>
    <x v="2"/>
    <n v="22"/>
    <x v="0"/>
  </r>
  <r>
    <d v="2024-02-22T00:00:00"/>
    <x v="3"/>
    <x v="2"/>
    <x v="1"/>
    <n v="13146100650.049999"/>
    <x v="3"/>
    <x v="2"/>
    <x v="1"/>
    <x v="13"/>
    <x v="1"/>
    <x v="1"/>
    <x v="1"/>
    <x v="1"/>
    <x v="2"/>
    <n v="22"/>
    <x v="0"/>
  </r>
  <r>
    <d v="2024-02-22T00:00:00"/>
    <x v="3"/>
    <x v="2"/>
    <x v="0"/>
    <n v="553226588.76999998"/>
    <x v="3"/>
    <x v="2"/>
    <x v="0"/>
    <x v="14"/>
    <x v="1"/>
    <x v="1"/>
    <x v="1"/>
    <x v="1"/>
    <x v="2"/>
    <n v="22"/>
    <x v="0"/>
  </r>
  <r>
    <d v="2024-02-21T00:00:00"/>
    <x v="0"/>
    <x v="0"/>
    <x v="0"/>
    <n v="1642"/>
    <x v="0"/>
    <x v="0"/>
    <x v="0"/>
    <x v="0"/>
    <x v="1"/>
    <x v="1"/>
    <x v="1"/>
    <x v="1"/>
    <x v="2"/>
    <n v="21"/>
    <x v="0"/>
  </r>
  <r>
    <d v="2024-02-21T00:00:00"/>
    <x v="0"/>
    <x v="1"/>
    <x v="0"/>
    <n v="17342147.960000001"/>
    <x v="0"/>
    <x v="1"/>
    <x v="0"/>
    <x v="1"/>
    <x v="1"/>
    <x v="1"/>
    <x v="1"/>
    <x v="1"/>
    <x v="2"/>
    <n v="21"/>
    <x v="0"/>
  </r>
  <r>
    <d v="2024-02-21T00:00:00"/>
    <x v="2"/>
    <x v="1"/>
    <x v="2"/>
    <n v="13112.62"/>
    <x v="2"/>
    <x v="1"/>
    <x v="2"/>
    <x v="2"/>
    <x v="1"/>
    <x v="1"/>
    <x v="1"/>
    <x v="1"/>
    <x v="2"/>
    <n v="21"/>
    <x v="0"/>
  </r>
  <r>
    <d v="2024-02-21T00:00:00"/>
    <x v="2"/>
    <x v="1"/>
    <x v="0"/>
    <n v="124926489.26000001"/>
    <x v="2"/>
    <x v="1"/>
    <x v="0"/>
    <x v="7"/>
    <x v="1"/>
    <x v="1"/>
    <x v="1"/>
    <x v="1"/>
    <x v="2"/>
    <n v="21"/>
    <x v="0"/>
  </r>
  <r>
    <d v="2024-02-21T00:00:00"/>
    <x v="2"/>
    <x v="1"/>
    <x v="1"/>
    <n v="181440767.53"/>
    <x v="2"/>
    <x v="1"/>
    <x v="1"/>
    <x v="8"/>
    <x v="1"/>
    <x v="1"/>
    <x v="1"/>
    <x v="1"/>
    <x v="2"/>
    <n v="21"/>
    <x v="0"/>
  </r>
  <r>
    <d v="2024-02-21T00:00:00"/>
    <x v="3"/>
    <x v="3"/>
    <x v="1"/>
    <n v="3313.65"/>
    <x v="3"/>
    <x v="3"/>
    <x v="1"/>
    <x v="3"/>
    <x v="1"/>
    <x v="1"/>
    <x v="1"/>
    <x v="1"/>
    <x v="2"/>
    <n v="21"/>
    <x v="0"/>
  </r>
  <r>
    <d v="2024-02-21T00:00:00"/>
    <x v="0"/>
    <x v="1"/>
    <x v="1"/>
    <n v="5013150.66"/>
    <x v="0"/>
    <x v="1"/>
    <x v="1"/>
    <x v="4"/>
    <x v="1"/>
    <x v="1"/>
    <x v="1"/>
    <x v="1"/>
    <x v="2"/>
    <n v="21"/>
    <x v="0"/>
  </r>
  <r>
    <d v="2024-02-21T00:00:00"/>
    <x v="1"/>
    <x v="1"/>
    <x v="0"/>
    <n v="251912.36"/>
    <x v="1"/>
    <x v="1"/>
    <x v="0"/>
    <x v="5"/>
    <x v="1"/>
    <x v="1"/>
    <x v="1"/>
    <x v="1"/>
    <x v="2"/>
    <n v="21"/>
    <x v="0"/>
  </r>
  <r>
    <d v="2024-02-21T00:00:00"/>
    <x v="3"/>
    <x v="2"/>
    <x v="2"/>
    <n v="290856.58"/>
    <x v="3"/>
    <x v="2"/>
    <x v="2"/>
    <x v="6"/>
    <x v="1"/>
    <x v="1"/>
    <x v="1"/>
    <x v="1"/>
    <x v="2"/>
    <n v="21"/>
    <x v="0"/>
  </r>
  <r>
    <d v="2024-02-21T00:00:00"/>
    <x v="1"/>
    <x v="0"/>
    <x v="1"/>
    <n v="304572594.67000002"/>
    <x v="1"/>
    <x v="0"/>
    <x v="1"/>
    <x v="9"/>
    <x v="1"/>
    <x v="1"/>
    <x v="1"/>
    <x v="1"/>
    <x v="2"/>
    <n v="21"/>
    <x v="0"/>
  </r>
  <r>
    <d v="2024-02-21T00:00:00"/>
    <x v="3"/>
    <x v="3"/>
    <x v="0"/>
    <n v="1378908819.3499999"/>
    <x v="3"/>
    <x v="3"/>
    <x v="0"/>
    <x v="10"/>
    <x v="1"/>
    <x v="1"/>
    <x v="1"/>
    <x v="1"/>
    <x v="2"/>
    <n v="21"/>
    <x v="0"/>
  </r>
  <r>
    <d v="2024-02-21T00:00:00"/>
    <x v="1"/>
    <x v="0"/>
    <x v="0"/>
    <n v="114398902"/>
    <x v="1"/>
    <x v="0"/>
    <x v="0"/>
    <x v="11"/>
    <x v="1"/>
    <x v="1"/>
    <x v="1"/>
    <x v="1"/>
    <x v="2"/>
    <n v="21"/>
    <x v="0"/>
  </r>
  <r>
    <d v="2024-02-21T00:00:00"/>
    <x v="3"/>
    <x v="1"/>
    <x v="0"/>
    <n v="15759459.109999999"/>
    <x v="3"/>
    <x v="1"/>
    <x v="0"/>
    <x v="12"/>
    <x v="1"/>
    <x v="1"/>
    <x v="1"/>
    <x v="1"/>
    <x v="2"/>
    <n v="21"/>
    <x v="0"/>
  </r>
  <r>
    <d v="2024-02-21T00:00:00"/>
    <x v="3"/>
    <x v="2"/>
    <x v="0"/>
    <n v="1051663789.34"/>
    <x v="3"/>
    <x v="2"/>
    <x v="0"/>
    <x v="13"/>
    <x v="1"/>
    <x v="1"/>
    <x v="1"/>
    <x v="1"/>
    <x v="2"/>
    <n v="21"/>
    <x v="0"/>
  </r>
  <r>
    <d v="2024-02-21T00:00:00"/>
    <x v="3"/>
    <x v="2"/>
    <x v="1"/>
    <n v="8444144107.0799999"/>
    <x v="3"/>
    <x v="2"/>
    <x v="1"/>
    <x v="14"/>
    <x v="1"/>
    <x v="1"/>
    <x v="1"/>
    <x v="1"/>
    <x v="2"/>
    <n v="21"/>
    <x v="0"/>
  </r>
  <r>
    <d v="2024-02-20T00:00:00"/>
    <x v="0"/>
    <x v="0"/>
    <x v="0"/>
    <n v="600"/>
    <x v="0"/>
    <x v="0"/>
    <x v="0"/>
    <x v="0"/>
    <x v="1"/>
    <x v="1"/>
    <x v="1"/>
    <x v="1"/>
    <x v="2"/>
    <n v="20"/>
    <x v="0"/>
  </r>
  <r>
    <d v="2024-02-20T00:00:00"/>
    <x v="1"/>
    <x v="1"/>
    <x v="0"/>
    <n v="231748.33"/>
    <x v="1"/>
    <x v="1"/>
    <x v="0"/>
    <x v="1"/>
    <x v="1"/>
    <x v="1"/>
    <x v="1"/>
    <x v="1"/>
    <x v="2"/>
    <n v="20"/>
    <x v="0"/>
  </r>
  <r>
    <d v="2024-02-20T00:00:00"/>
    <x v="0"/>
    <x v="1"/>
    <x v="0"/>
    <n v="11988344.689999999"/>
    <x v="0"/>
    <x v="1"/>
    <x v="0"/>
    <x v="2"/>
    <x v="1"/>
    <x v="1"/>
    <x v="1"/>
    <x v="1"/>
    <x v="2"/>
    <n v="20"/>
    <x v="0"/>
  </r>
  <r>
    <d v="2024-02-20T00:00:00"/>
    <x v="3"/>
    <x v="2"/>
    <x v="2"/>
    <n v="439453.02"/>
    <x v="3"/>
    <x v="2"/>
    <x v="2"/>
    <x v="7"/>
    <x v="1"/>
    <x v="1"/>
    <x v="1"/>
    <x v="1"/>
    <x v="2"/>
    <n v="20"/>
    <x v="0"/>
  </r>
  <r>
    <d v="2024-02-20T00:00:00"/>
    <x v="3"/>
    <x v="3"/>
    <x v="2"/>
    <n v="793.56"/>
    <x v="3"/>
    <x v="3"/>
    <x v="2"/>
    <x v="3"/>
    <x v="1"/>
    <x v="1"/>
    <x v="1"/>
    <x v="1"/>
    <x v="2"/>
    <n v="20"/>
    <x v="0"/>
  </r>
  <r>
    <d v="2024-02-20T00:00:00"/>
    <x v="2"/>
    <x v="1"/>
    <x v="0"/>
    <n v="71306110.290000007"/>
    <x v="2"/>
    <x v="1"/>
    <x v="0"/>
    <x v="8"/>
    <x v="1"/>
    <x v="1"/>
    <x v="1"/>
    <x v="1"/>
    <x v="2"/>
    <n v="20"/>
    <x v="0"/>
  </r>
  <r>
    <d v="2024-02-20T00:00:00"/>
    <x v="1"/>
    <x v="0"/>
    <x v="1"/>
    <n v="229180736.44999999"/>
    <x v="1"/>
    <x v="0"/>
    <x v="1"/>
    <x v="11"/>
    <x v="1"/>
    <x v="1"/>
    <x v="1"/>
    <x v="1"/>
    <x v="2"/>
    <n v="20"/>
    <x v="0"/>
  </r>
  <r>
    <d v="2024-02-20T00:00:00"/>
    <x v="3"/>
    <x v="3"/>
    <x v="1"/>
    <n v="15795.63"/>
    <x v="3"/>
    <x v="3"/>
    <x v="1"/>
    <x v="4"/>
    <x v="1"/>
    <x v="1"/>
    <x v="1"/>
    <x v="1"/>
    <x v="2"/>
    <n v="20"/>
    <x v="0"/>
  </r>
  <r>
    <d v="2024-02-20T00:00:00"/>
    <x v="0"/>
    <x v="1"/>
    <x v="1"/>
    <n v="1335920.5"/>
    <x v="0"/>
    <x v="1"/>
    <x v="1"/>
    <x v="5"/>
    <x v="1"/>
    <x v="1"/>
    <x v="1"/>
    <x v="1"/>
    <x v="2"/>
    <n v="20"/>
    <x v="0"/>
  </r>
  <r>
    <d v="2024-02-20T00:00:00"/>
    <x v="2"/>
    <x v="1"/>
    <x v="2"/>
    <n v="18063.57"/>
    <x v="2"/>
    <x v="1"/>
    <x v="2"/>
    <x v="6"/>
    <x v="1"/>
    <x v="1"/>
    <x v="1"/>
    <x v="1"/>
    <x v="2"/>
    <n v="20"/>
    <x v="0"/>
  </r>
  <r>
    <d v="2024-02-20T00:00:00"/>
    <x v="1"/>
    <x v="0"/>
    <x v="0"/>
    <n v="53839278.719999999"/>
    <x v="1"/>
    <x v="0"/>
    <x v="0"/>
    <x v="12"/>
    <x v="1"/>
    <x v="1"/>
    <x v="1"/>
    <x v="1"/>
    <x v="2"/>
    <n v="20"/>
    <x v="0"/>
  </r>
  <r>
    <d v="2024-02-20T00:00:00"/>
    <x v="3"/>
    <x v="3"/>
    <x v="0"/>
    <n v="3046254310.8200002"/>
    <x v="3"/>
    <x v="3"/>
    <x v="0"/>
    <x v="9"/>
    <x v="1"/>
    <x v="1"/>
    <x v="1"/>
    <x v="1"/>
    <x v="2"/>
    <n v="20"/>
    <x v="0"/>
  </r>
  <r>
    <d v="2024-02-20T00:00:00"/>
    <x v="2"/>
    <x v="1"/>
    <x v="1"/>
    <n v="198765467.75"/>
    <x v="2"/>
    <x v="1"/>
    <x v="1"/>
    <x v="10"/>
    <x v="1"/>
    <x v="1"/>
    <x v="1"/>
    <x v="1"/>
    <x v="2"/>
    <n v="20"/>
    <x v="0"/>
  </r>
  <r>
    <d v="2024-02-20T00:00:00"/>
    <x v="3"/>
    <x v="2"/>
    <x v="0"/>
    <n v="918487286.74000001"/>
    <x v="3"/>
    <x v="2"/>
    <x v="0"/>
    <x v="13"/>
    <x v="1"/>
    <x v="1"/>
    <x v="1"/>
    <x v="1"/>
    <x v="2"/>
    <n v="20"/>
    <x v="0"/>
  </r>
  <r>
    <d v="2024-02-20T00:00:00"/>
    <x v="3"/>
    <x v="1"/>
    <x v="0"/>
    <n v="57681015.979999997"/>
    <x v="3"/>
    <x v="1"/>
    <x v="0"/>
    <x v="14"/>
    <x v="1"/>
    <x v="1"/>
    <x v="1"/>
    <x v="1"/>
    <x v="2"/>
    <n v="20"/>
    <x v="0"/>
  </r>
  <r>
    <d v="2024-02-20T00:00:00"/>
    <x v="3"/>
    <x v="2"/>
    <x v="1"/>
    <n v="35025588022.230003"/>
    <x v="3"/>
    <x v="2"/>
    <x v="1"/>
    <x v="15"/>
    <x v="1"/>
    <x v="1"/>
    <x v="1"/>
    <x v="1"/>
    <x v="2"/>
    <n v="20"/>
    <x v="0"/>
  </r>
  <r>
    <d v="2024-02-16T00:00:00"/>
    <x v="0"/>
    <x v="0"/>
    <x v="0"/>
    <n v="6866.89"/>
    <x v="0"/>
    <x v="0"/>
    <x v="0"/>
    <x v="0"/>
    <x v="1"/>
    <x v="1"/>
    <x v="1"/>
    <x v="1"/>
    <x v="2"/>
    <n v="16"/>
    <x v="0"/>
  </r>
  <r>
    <d v="2024-02-16T00:00:00"/>
    <x v="1"/>
    <x v="1"/>
    <x v="0"/>
    <n v="79085.539999999994"/>
    <x v="1"/>
    <x v="1"/>
    <x v="0"/>
    <x v="1"/>
    <x v="1"/>
    <x v="1"/>
    <x v="1"/>
    <x v="1"/>
    <x v="2"/>
    <n v="16"/>
    <x v="0"/>
  </r>
  <r>
    <d v="2024-02-16T00:00:00"/>
    <x v="0"/>
    <x v="1"/>
    <x v="0"/>
    <n v="16167294.73"/>
    <x v="0"/>
    <x v="1"/>
    <x v="0"/>
    <x v="2"/>
    <x v="1"/>
    <x v="1"/>
    <x v="1"/>
    <x v="1"/>
    <x v="2"/>
    <n v="16"/>
    <x v="0"/>
  </r>
  <r>
    <d v="2024-02-16T00:00:00"/>
    <x v="2"/>
    <x v="1"/>
    <x v="2"/>
    <n v="21754"/>
    <x v="2"/>
    <x v="1"/>
    <x v="2"/>
    <x v="3"/>
    <x v="1"/>
    <x v="1"/>
    <x v="1"/>
    <x v="1"/>
    <x v="2"/>
    <n v="16"/>
    <x v="0"/>
  </r>
  <r>
    <d v="2024-02-16T00:00:00"/>
    <x v="3"/>
    <x v="3"/>
    <x v="0"/>
    <n v="1253725039.6300001"/>
    <x v="3"/>
    <x v="3"/>
    <x v="0"/>
    <x v="7"/>
    <x v="1"/>
    <x v="1"/>
    <x v="1"/>
    <x v="1"/>
    <x v="2"/>
    <n v="16"/>
    <x v="0"/>
  </r>
  <r>
    <d v="2024-02-16T00:00:00"/>
    <x v="2"/>
    <x v="1"/>
    <x v="0"/>
    <n v="92492898.819999993"/>
    <x v="2"/>
    <x v="1"/>
    <x v="0"/>
    <x v="8"/>
    <x v="1"/>
    <x v="1"/>
    <x v="1"/>
    <x v="1"/>
    <x v="2"/>
    <n v="16"/>
    <x v="0"/>
  </r>
  <r>
    <d v="2024-02-16T00:00:00"/>
    <x v="2"/>
    <x v="1"/>
    <x v="1"/>
    <n v="101767452.81"/>
    <x v="2"/>
    <x v="1"/>
    <x v="1"/>
    <x v="9"/>
    <x v="1"/>
    <x v="1"/>
    <x v="1"/>
    <x v="1"/>
    <x v="2"/>
    <n v="16"/>
    <x v="0"/>
  </r>
  <r>
    <d v="2024-02-16T00:00:00"/>
    <x v="3"/>
    <x v="2"/>
    <x v="2"/>
    <n v="169442.95"/>
    <x v="3"/>
    <x v="2"/>
    <x v="2"/>
    <x v="6"/>
    <x v="1"/>
    <x v="1"/>
    <x v="1"/>
    <x v="1"/>
    <x v="2"/>
    <n v="16"/>
    <x v="0"/>
  </r>
  <r>
    <d v="2024-02-16T00:00:00"/>
    <x v="3"/>
    <x v="3"/>
    <x v="1"/>
    <n v="5340023.57"/>
    <x v="3"/>
    <x v="3"/>
    <x v="1"/>
    <x v="4"/>
    <x v="1"/>
    <x v="1"/>
    <x v="1"/>
    <x v="1"/>
    <x v="2"/>
    <n v="16"/>
    <x v="0"/>
  </r>
  <r>
    <d v="2024-02-16T00:00:00"/>
    <x v="0"/>
    <x v="1"/>
    <x v="1"/>
    <n v="7024284.6500000004"/>
    <x v="0"/>
    <x v="1"/>
    <x v="1"/>
    <x v="5"/>
    <x v="1"/>
    <x v="1"/>
    <x v="1"/>
    <x v="1"/>
    <x v="2"/>
    <n v="16"/>
    <x v="0"/>
  </r>
  <r>
    <d v="2024-02-16T00:00:00"/>
    <x v="1"/>
    <x v="0"/>
    <x v="1"/>
    <n v="75672255.060000002"/>
    <x v="1"/>
    <x v="0"/>
    <x v="1"/>
    <x v="10"/>
    <x v="1"/>
    <x v="1"/>
    <x v="1"/>
    <x v="1"/>
    <x v="2"/>
    <n v="16"/>
    <x v="0"/>
  </r>
  <r>
    <d v="2024-02-16T00:00:00"/>
    <x v="1"/>
    <x v="0"/>
    <x v="0"/>
    <n v="50789756.869999997"/>
    <x v="1"/>
    <x v="0"/>
    <x v="0"/>
    <x v="11"/>
    <x v="1"/>
    <x v="1"/>
    <x v="1"/>
    <x v="1"/>
    <x v="2"/>
    <n v="16"/>
    <x v="0"/>
  </r>
  <r>
    <d v="2024-02-16T00:00:00"/>
    <x v="3"/>
    <x v="1"/>
    <x v="0"/>
    <n v="15892107.83"/>
    <x v="3"/>
    <x v="1"/>
    <x v="0"/>
    <x v="12"/>
    <x v="1"/>
    <x v="1"/>
    <x v="1"/>
    <x v="1"/>
    <x v="2"/>
    <n v="16"/>
    <x v="0"/>
  </r>
  <r>
    <d v="2024-02-16T00:00:00"/>
    <x v="3"/>
    <x v="2"/>
    <x v="0"/>
    <n v="532159651.18000001"/>
    <x v="3"/>
    <x v="2"/>
    <x v="0"/>
    <x v="13"/>
    <x v="1"/>
    <x v="1"/>
    <x v="1"/>
    <x v="1"/>
    <x v="2"/>
    <n v="16"/>
    <x v="0"/>
  </r>
  <r>
    <d v="2024-02-16T00:00:00"/>
    <x v="3"/>
    <x v="2"/>
    <x v="1"/>
    <n v="28657095533.18"/>
    <x v="3"/>
    <x v="2"/>
    <x v="1"/>
    <x v="14"/>
    <x v="1"/>
    <x v="1"/>
    <x v="1"/>
    <x v="1"/>
    <x v="2"/>
    <n v="16"/>
    <x v="0"/>
  </r>
  <r>
    <d v="2024-02-15T00:00:00"/>
    <x v="0"/>
    <x v="0"/>
    <x v="0"/>
    <n v="690.24"/>
    <x v="0"/>
    <x v="0"/>
    <x v="0"/>
    <x v="0"/>
    <x v="1"/>
    <x v="1"/>
    <x v="1"/>
    <x v="1"/>
    <x v="2"/>
    <n v="15"/>
    <x v="0"/>
  </r>
  <r>
    <d v="2024-02-15T00:00:00"/>
    <x v="1"/>
    <x v="1"/>
    <x v="0"/>
    <n v="348182.39"/>
    <x v="1"/>
    <x v="1"/>
    <x v="0"/>
    <x v="1"/>
    <x v="1"/>
    <x v="1"/>
    <x v="1"/>
    <x v="1"/>
    <x v="2"/>
    <n v="15"/>
    <x v="0"/>
  </r>
  <r>
    <d v="2024-02-15T00:00:00"/>
    <x v="0"/>
    <x v="1"/>
    <x v="0"/>
    <n v="10801558.060000001"/>
    <x v="0"/>
    <x v="1"/>
    <x v="0"/>
    <x v="2"/>
    <x v="1"/>
    <x v="1"/>
    <x v="1"/>
    <x v="1"/>
    <x v="2"/>
    <n v="15"/>
    <x v="0"/>
  </r>
  <r>
    <d v="2024-02-15T00:00:00"/>
    <x v="3"/>
    <x v="3"/>
    <x v="2"/>
    <n v="120"/>
    <x v="3"/>
    <x v="3"/>
    <x v="2"/>
    <x v="3"/>
    <x v="1"/>
    <x v="1"/>
    <x v="1"/>
    <x v="1"/>
    <x v="2"/>
    <n v="15"/>
    <x v="0"/>
  </r>
  <r>
    <d v="2024-02-15T00:00:00"/>
    <x v="2"/>
    <x v="1"/>
    <x v="2"/>
    <n v="14155.69"/>
    <x v="2"/>
    <x v="1"/>
    <x v="2"/>
    <x v="4"/>
    <x v="1"/>
    <x v="1"/>
    <x v="1"/>
    <x v="1"/>
    <x v="2"/>
    <n v="15"/>
    <x v="0"/>
  </r>
  <r>
    <d v="2024-02-15T00:00:00"/>
    <x v="3"/>
    <x v="3"/>
    <x v="0"/>
    <n v="1654652109.23"/>
    <x v="3"/>
    <x v="3"/>
    <x v="0"/>
    <x v="9"/>
    <x v="1"/>
    <x v="1"/>
    <x v="1"/>
    <x v="1"/>
    <x v="2"/>
    <n v="15"/>
    <x v="0"/>
  </r>
  <r>
    <d v="2024-02-15T00:00:00"/>
    <x v="2"/>
    <x v="1"/>
    <x v="1"/>
    <n v="87778056.599999994"/>
    <x v="2"/>
    <x v="1"/>
    <x v="1"/>
    <x v="10"/>
    <x v="1"/>
    <x v="1"/>
    <x v="1"/>
    <x v="1"/>
    <x v="2"/>
    <n v="15"/>
    <x v="0"/>
  </r>
  <r>
    <d v="2024-02-15T00:00:00"/>
    <x v="3"/>
    <x v="3"/>
    <x v="1"/>
    <n v="372158.58"/>
    <x v="3"/>
    <x v="3"/>
    <x v="1"/>
    <x v="5"/>
    <x v="1"/>
    <x v="1"/>
    <x v="1"/>
    <x v="1"/>
    <x v="2"/>
    <n v="15"/>
    <x v="0"/>
  </r>
  <r>
    <d v="2024-02-15T00:00:00"/>
    <x v="0"/>
    <x v="1"/>
    <x v="1"/>
    <n v="17646733.859999999"/>
    <x v="0"/>
    <x v="1"/>
    <x v="1"/>
    <x v="6"/>
    <x v="1"/>
    <x v="1"/>
    <x v="1"/>
    <x v="1"/>
    <x v="2"/>
    <n v="15"/>
    <x v="0"/>
  </r>
  <r>
    <d v="2024-02-15T00:00:00"/>
    <x v="3"/>
    <x v="2"/>
    <x v="2"/>
    <n v="136438.41"/>
    <x v="3"/>
    <x v="2"/>
    <x v="2"/>
    <x v="7"/>
    <x v="1"/>
    <x v="1"/>
    <x v="1"/>
    <x v="1"/>
    <x v="2"/>
    <n v="15"/>
    <x v="0"/>
  </r>
  <r>
    <d v="2024-02-15T00:00:00"/>
    <x v="2"/>
    <x v="1"/>
    <x v="0"/>
    <n v="76052123.769999996"/>
    <x v="2"/>
    <x v="1"/>
    <x v="0"/>
    <x v="8"/>
    <x v="1"/>
    <x v="1"/>
    <x v="1"/>
    <x v="1"/>
    <x v="2"/>
    <n v="15"/>
    <x v="0"/>
  </r>
  <r>
    <d v="2024-02-15T00:00:00"/>
    <x v="1"/>
    <x v="0"/>
    <x v="1"/>
    <n v="180259642.15000001"/>
    <x v="1"/>
    <x v="0"/>
    <x v="1"/>
    <x v="11"/>
    <x v="1"/>
    <x v="1"/>
    <x v="1"/>
    <x v="1"/>
    <x v="2"/>
    <n v="15"/>
    <x v="0"/>
  </r>
  <r>
    <d v="2024-02-15T00:00:00"/>
    <x v="1"/>
    <x v="0"/>
    <x v="0"/>
    <n v="87267714.450000003"/>
    <x v="1"/>
    <x v="0"/>
    <x v="0"/>
    <x v="12"/>
    <x v="1"/>
    <x v="1"/>
    <x v="1"/>
    <x v="1"/>
    <x v="2"/>
    <n v="15"/>
    <x v="0"/>
  </r>
  <r>
    <d v="2024-02-15T00:00:00"/>
    <x v="3"/>
    <x v="1"/>
    <x v="0"/>
    <n v="15278520.4"/>
    <x v="3"/>
    <x v="1"/>
    <x v="0"/>
    <x v="13"/>
    <x v="1"/>
    <x v="1"/>
    <x v="1"/>
    <x v="1"/>
    <x v="2"/>
    <n v="15"/>
    <x v="0"/>
  </r>
  <r>
    <d v="2024-02-15T00:00:00"/>
    <x v="3"/>
    <x v="2"/>
    <x v="1"/>
    <n v="13516974211.59"/>
    <x v="3"/>
    <x v="2"/>
    <x v="1"/>
    <x v="14"/>
    <x v="1"/>
    <x v="1"/>
    <x v="1"/>
    <x v="1"/>
    <x v="2"/>
    <n v="15"/>
    <x v="0"/>
  </r>
  <r>
    <d v="2024-02-15T00:00:00"/>
    <x v="3"/>
    <x v="2"/>
    <x v="0"/>
    <n v="596805695.35000002"/>
    <x v="3"/>
    <x v="2"/>
    <x v="0"/>
    <x v="15"/>
    <x v="1"/>
    <x v="1"/>
    <x v="1"/>
    <x v="1"/>
    <x v="2"/>
    <n v="15"/>
    <x v="0"/>
  </r>
  <r>
    <d v="2024-02-14T00:00:00"/>
    <x v="0"/>
    <x v="0"/>
    <x v="0"/>
    <n v="210"/>
    <x v="0"/>
    <x v="0"/>
    <x v="0"/>
    <x v="0"/>
    <x v="1"/>
    <x v="1"/>
    <x v="1"/>
    <x v="1"/>
    <x v="2"/>
    <n v="14"/>
    <x v="0"/>
  </r>
  <r>
    <d v="2024-02-14T00:00:00"/>
    <x v="1"/>
    <x v="1"/>
    <x v="0"/>
    <n v="28372.94"/>
    <x v="1"/>
    <x v="1"/>
    <x v="0"/>
    <x v="1"/>
    <x v="1"/>
    <x v="1"/>
    <x v="1"/>
    <x v="1"/>
    <x v="2"/>
    <n v="14"/>
    <x v="0"/>
  </r>
  <r>
    <d v="2024-02-14T00:00:00"/>
    <x v="0"/>
    <x v="1"/>
    <x v="0"/>
    <n v="10303794.74"/>
    <x v="0"/>
    <x v="1"/>
    <x v="0"/>
    <x v="2"/>
    <x v="1"/>
    <x v="1"/>
    <x v="1"/>
    <x v="1"/>
    <x v="2"/>
    <n v="14"/>
    <x v="0"/>
  </r>
  <r>
    <d v="2024-02-14T00:00:00"/>
    <x v="2"/>
    <x v="1"/>
    <x v="2"/>
    <n v="37197.85"/>
    <x v="2"/>
    <x v="1"/>
    <x v="2"/>
    <x v="3"/>
    <x v="1"/>
    <x v="1"/>
    <x v="1"/>
    <x v="1"/>
    <x v="2"/>
    <n v="14"/>
    <x v="0"/>
  </r>
  <r>
    <d v="2024-02-14T00:00:00"/>
    <x v="2"/>
    <x v="1"/>
    <x v="0"/>
    <n v="90572409.590000004"/>
    <x v="2"/>
    <x v="1"/>
    <x v="0"/>
    <x v="7"/>
    <x v="1"/>
    <x v="1"/>
    <x v="1"/>
    <x v="1"/>
    <x v="2"/>
    <n v="14"/>
    <x v="0"/>
  </r>
  <r>
    <d v="2024-02-14T00:00:00"/>
    <x v="3"/>
    <x v="2"/>
    <x v="2"/>
    <n v="289917"/>
    <x v="3"/>
    <x v="2"/>
    <x v="2"/>
    <x v="6"/>
    <x v="1"/>
    <x v="1"/>
    <x v="1"/>
    <x v="1"/>
    <x v="2"/>
    <n v="14"/>
    <x v="0"/>
  </r>
  <r>
    <d v="2024-02-14T00:00:00"/>
    <x v="3"/>
    <x v="3"/>
    <x v="0"/>
    <n v="1759849764.3"/>
    <x v="3"/>
    <x v="3"/>
    <x v="0"/>
    <x v="8"/>
    <x v="1"/>
    <x v="1"/>
    <x v="1"/>
    <x v="1"/>
    <x v="2"/>
    <n v="14"/>
    <x v="0"/>
  </r>
  <r>
    <d v="2024-02-14T00:00:00"/>
    <x v="2"/>
    <x v="1"/>
    <x v="1"/>
    <n v="107171155.68000001"/>
    <x v="2"/>
    <x v="1"/>
    <x v="1"/>
    <x v="9"/>
    <x v="1"/>
    <x v="1"/>
    <x v="1"/>
    <x v="1"/>
    <x v="2"/>
    <n v="14"/>
    <x v="0"/>
  </r>
  <r>
    <d v="2024-02-14T00:00:00"/>
    <x v="3"/>
    <x v="3"/>
    <x v="1"/>
    <n v="278851.02"/>
    <x v="3"/>
    <x v="3"/>
    <x v="1"/>
    <x v="4"/>
    <x v="1"/>
    <x v="1"/>
    <x v="1"/>
    <x v="1"/>
    <x v="2"/>
    <n v="14"/>
    <x v="0"/>
  </r>
  <r>
    <d v="2024-02-14T00:00:00"/>
    <x v="0"/>
    <x v="1"/>
    <x v="1"/>
    <n v="2413961.15"/>
    <x v="0"/>
    <x v="1"/>
    <x v="1"/>
    <x v="5"/>
    <x v="1"/>
    <x v="1"/>
    <x v="1"/>
    <x v="1"/>
    <x v="2"/>
    <n v="14"/>
    <x v="0"/>
  </r>
  <r>
    <d v="2024-02-14T00:00:00"/>
    <x v="1"/>
    <x v="0"/>
    <x v="1"/>
    <n v="628856310.47000003"/>
    <x v="1"/>
    <x v="0"/>
    <x v="1"/>
    <x v="10"/>
    <x v="1"/>
    <x v="1"/>
    <x v="1"/>
    <x v="1"/>
    <x v="2"/>
    <n v="14"/>
    <x v="0"/>
  </r>
  <r>
    <d v="2024-02-14T00:00:00"/>
    <x v="1"/>
    <x v="0"/>
    <x v="0"/>
    <n v="81869009.969999999"/>
    <x v="1"/>
    <x v="0"/>
    <x v="0"/>
    <x v="11"/>
    <x v="1"/>
    <x v="1"/>
    <x v="1"/>
    <x v="1"/>
    <x v="2"/>
    <n v="14"/>
    <x v="0"/>
  </r>
  <r>
    <d v="2024-02-14T00:00:00"/>
    <x v="3"/>
    <x v="1"/>
    <x v="0"/>
    <n v="14299837.1"/>
    <x v="3"/>
    <x v="1"/>
    <x v="0"/>
    <x v="12"/>
    <x v="1"/>
    <x v="1"/>
    <x v="1"/>
    <x v="1"/>
    <x v="2"/>
    <n v="14"/>
    <x v="0"/>
  </r>
  <r>
    <d v="2024-02-14T00:00:00"/>
    <x v="3"/>
    <x v="2"/>
    <x v="1"/>
    <n v="13190275917.5"/>
    <x v="3"/>
    <x v="2"/>
    <x v="1"/>
    <x v="13"/>
    <x v="1"/>
    <x v="1"/>
    <x v="1"/>
    <x v="1"/>
    <x v="2"/>
    <n v="14"/>
    <x v="0"/>
  </r>
  <r>
    <d v="2024-02-14T00:00:00"/>
    <x v="3"/>
    <x v="2"/>
    <x v="0"/>
    <n v="674835458.03999996"/>
    <x v="3"/>
    <x v="2"/>
    <x v="0"/>
    <x v="14"/>
    <x v="1"/>
    <x v="1"/>
    <x v="1"/>
    <x v="1"/>
    <x v="2"/>
    <n v="14"/>
    <x v="0"/>
  </r>
  <r>
    <d v="2024-02-13T00:00:00"/>
    <x v="0"/>
    <x v="0"/>
    <x v="0"/>
    <n v="-5868.49"/>
    <x v="0"/>
    <x v="0"/>
    <x v="0"/>
    <x v="0"/>
    <x v="1"/>
    <x v="1"/>
    <x v="1"/>
    <x v="1"/>
    <x v="2"/>
    <n v="13"/>
    <x v="1"/>
  </r>
  <r>
    <d v="2024-02-13T00:00:00"/>
    <x v="0"/>
    <x v="1"/>
    <x v="0"/>
    <n v="19638518.82"/>
    <x v="0"/>
    <x v="1"/>
    <x v="0"/>
    <x v="1"/>
    <x v="1"/>
    <x v="1"/>
    <x v="1"/>
    <x v="1"/>
    <x v="2"/>
    <n v="13"/>
    <x v="0"/>
  </r>
  <r>
    <d v="2024-02-13T00:00:00"/>
    <x v="3"/>
    <x v="3"/>
    <x v="2"/>
    <n v="266.5"/>
    <x v="3"/>
    <x v="3"/>
    <x v="2"/>
    <x v="2"/>
    <x v="1"/>
    <x v="1"/>
    <x v="1"/>
    <x v="1"/>
    <x v="2"/>
    <n v="13"/>
    <x v="0"/>
  </r>
  <r>
    <d v="2024-02-13T00:00:00"/>
    <x v="2"/>
    <x v="1"/>
    <x v="2"/>
    <n v="6954.22"/>
    <x v="2"/>
    <x v="1"/>
    <x v="2"/>
    <x v="3"/>
    <x v="1"/>
    <x v="1"/>
    <x v="1"/>
    <x v="1"/>
    <x v="2"/>
    <n v="13"/>
    <x v="0"/>
  </r>
  <r>
    <d v="2024-02-13T00:00:00"/>
    <x v="2"/>
    <x v="1"/>
    <x v="0"/>
    <n v="93704161.390000001"/>
    <x v="2"/>
    <x v="1"/>
    <x v="0"/>
    <x v="8"/>
    <x v="1"/>
    <x v="1"/>
    <x v="1"/>
    <x v="1"/>
    <x v="2"/>
    <n v="13"/>
    <x v="0"/>
  </r>
  <r>
    <d v="2024-02-13T00:00:00"/>
    <x v="3"/>
    <x v="3"/>
    <x v="0"/>
    <n v="1151283766.6099999"/>
    <x v="3"/>
    <x v="3"/>
    <x v="0"/>
    <x v="9"/>
    <x v="1"/>
    <x v="1"/>
    <x v="1"/>
    <x v="1"/>
    <x v="2"/>
    <n v="13"/>
    <x v="0"/>
  </r>
  <r>
    <d v="2024-02-13T00:00:00"/>
    <x v="2"/>
    <x v="1"/>
    <x v="1"/>
    <n v="88868962.310000002"/>
    <x v="2"/>
    <x v="1"/>
    <x v="1"/>
    <x v="10"/>
    <x v="1"/>
    <x v="1"/>
    <x v="1"/>
    <x v="1"/>
    <x v="2"/>
    <n v="13"/>
    <x v="0"/>
  </r>
  <r>
    <d v="2024-02-13T00:00:00"/>
    <x v="3"/>
    <x v="2"/>
    <x v="2"/>
    <n v="89539.89"/>
    <x v="3"/>
    <x v="2"/>
    <x v="2"/>
    <x v="7"/>
    <x v="1"/>
    <x v="1"/>
    <x v="1"/>
    <x v="1"/>
    <x v="2"/>
    <n v="13"/>
    <x v="0"/>
  </r>
  <r>
    <d v="2024-02-13T00:00:00"/>
    <x v="3"/>
    <x v="3"/>
    <x v="1"/>
    <n v="3647357.47"/>
    <x v="3"/>
    <x v="3"/>
    <x v="1"/>
    <x v="4"/>
    <x v="1"/>
    <x v="1"/>
    <x v="1"/>
    <x v="1"/>
    <x v="2"/>
    <n v="13"/>
    <x v="0"/>
  </r>
  <r>
    <d v="2024-02-13T00:00:00"/>
    <x v="0"/>
    <x v="1"/>
    <x v="1"/>
    <n v="3797300.97"/>
    <x v="0"/>
    <x v="1"/>
    <x v="1"/>
    <x v="5"/>
    <x v="1"/>
    <x v="1"/>
    <x v="1"/>
    <x v="1"/>
    <x v="2"/>
    <n v="13"/>
    <x v="0"/>
  </r>
  <r>
    <d v="2024-02-13T00:00:00"/>
    <x v="1"/>
    <x v="0"/>
    <x v="0"/>
    <n v="73616796.659999996"/>
    <x v="1"/>
    <x v="0"/>
    <x v="0"/>
    <x v="12"/>
    <x v="1"/>
    <x v="1"/>
    <x v="1"/>
    <x v="1"/>
    <x v="2"/>
    <n v="13"/>
    <x v="0"/>
  </r>
  <r>
    <d v="2024-02-13T00:00:00"/>
    <x v="1"/>
    <x v="1"/>
    <x v="0"/>
    <n v="987413.22"/>
    <x v="1"/>
    <x v="1"/>
    <x v="0"/>
    <x v="6"/>
    <x v="1"/>
    <x v="1"/>
    <x v="1"/>
    <x v="1"/>
    <x v="2"/>
    <n v="13"/>
    <x v="0"/>
  </r>
  <r>
    <d v="2024-02-13T00:00:00"/>
    <x v="1"/>
    <x v="0"/>
    <x v="1"/>
    <n v="201601467.19999999"/>
    <x v="1"/>
    <x v="0"/>
    <x v="1"/>
    <x v="11"/>
    <x v="1"/>
    <x v="1"/>
    <x v="1"/>
    <x v="1"/>
    <x v="2"/>
    <n v="13"/>
    <x v="0"/>
  </r>
  <r>
    <d v="2024-02-13T00:00:00"/>
    <x v="3"/>
    <x v="1"/>
    <x v="0"/>
    <n v="11270275.68"/>
    <x v="3"/>
    <x v="1"/>
    <x v="0"/>
    <x v="13"/>
    <x v="1"/>
    <x v="1"/>
    <x v="1"/>
    <x v="1"/>
    <x v="2"/>
    <n v="13"/>
    <x v="0"/>
  </r>
  <r>
    <d v="2024-02-13T00:00:00"/>
    <x v="3"/>
    <x v="2"/>
    <x v="1"/>
    <n v="3776842410.3899999"/>
    <x v="3"/>
    <x v="2"/>
    <x v="1"/>
    <x v="14"/>
    <x v="1"/>
    <x v="1"/>
    <x v="1"/>
    <x v="1"/>
    <x v="2"/>
    <n v="13"/>
    <x v="0"/>
  </r>
  <r>
    <d v="2024-02-13T00:00:00"/>
    <x v="3"/>
    <x v="2"/>
    <x v="0"/>
    <n v="750964531.34000003"/>
    <x v="3"/>
    <x v="2"/>
    <x v="0"/>
    <x v="15"/>
    <x v="1"/>
    <x v="1"/>
    <x v="1"/>
    <x v="1"/>
    <x v="2"/>
    <n v="13"/>
    <x v="0"/>
  </r>
  <r>
    <d v="2024-02-12T00:00:00"/>
    <x v="1"/>
    <x v="1"/>
    <x v="0"/>
    <n v="30996.22"/>
    <x v="1"/>
    <x v="1"/>
    <x v="0"/>
    <x v="0"/>
    <x v="1"/>
    <x v="1"/>
    <x v="1"/>
    <x v="1"/>
    <x v="2"/>
    <n v="12"/>
    <x v="0"/>
  </r>
  <r>
    <d v="2024-02-12T00:00:00"/>
    <x v="0"/>
    <x v="1"/>
    <x v="0"/>
    <n v="36535699.219999999"/>
    <x v="0"/>
    <x v="1"/>
    <x v="0"/>
    <x v="1"/>
    <x v="1"/>
    <x v="1"/>
    <x v="1"/>
    <x v="1"/>
    <x v="2"/>
    <n v="12"/>
    <x v="0"/>
  </r>
  <r>
    <d v="2024-02-12T00:00:00"/>
    <x v="2"/>
    <x v="1"/>
    <x v="0"/>
    <n v="81601062.810000002"/>
    <x v="2"/>
    <x v="1"/>
    <x v="0"/>
    <x v="5"/>
    <x v="1"/>
    <x v="1"/>
    <x v="1"/>
    <x v="1"/>
    <x v="2"/>
    <n v="12"/>
    <x v="0"/>
  </r>
  <r>
    <d v="2024-02-12T00:00:00"/>
    <x v="3"/>
    <x v="3"/>
    <x v="0"/>
    <n v="1085000082.03"/>
    <x v="3"/>
    <x v="3"/>
    <x v="0"/>
    <x v="6"/>
    <x v="1"/>
    <x v="1"/>
    <x v="1"/>
    <x v="1"/>
    <x v="2"/>
    <n v="12"/>
    <x v="0"/>
  </r>
  <r>
    <d v="2024-02-12T00:00:00"/>
    <x v="2"/>
    <x v="1"/>
    <x v="1"/>
    <n v="123951464.55"/>
    <x v="2"/>
    <x v="1"/>
    <x v="1"/>
    <x v="7"/>
    <x v="1"/>
    <x v="1"/>
    <x v="1"/>
    <x v="1"/>
    <x v="2"/>
    <n v="12"/>
    <x v="0"/>
  </r>
  <r>
    <d v="2024-02-12T00:00:00"/>
    <x v="0"/>
    <x v="1"/>
    <x v="1"/>
    <n v="13711534.68"/>
    <x v="0"/>
    <x v="1"/>
    <x v="1"/>
    <x v="2"/>
    <x v="1"/>
    <x v="1"/>
    <x v="1"/>
    <x v="1"/>
    <x v="2"/>
    <n v="12"/>
    <x v="0"/>
  </r>
  <r>
    <d v="2024-02-12T00:00:00"/>
    <x v="2"/>
    <x v="1"/>
    <x v="2"/>
    <n v="32245.98"/>
    <x v="2"/>
    <x v="1"/>
    <x v="2"/>
    <x v="3"/>
    <x v="1"/>
    <x v="1"/>
    <x v="1"/>
    <x v="1"/>
    <x v="2"/>
    <n v="12"/>
    <x v="0"/>
  </r>
  <r>
    <d v="2024-02-12T00:00:00"/>
    <x v="3"/>
    <x v="2"/>
    <x v="2"/>
    <n v="290746.12"/>
    <x v="3"/>
    <x v="2"/>
    <x v="2"/>
    <x v="4"/>
    <x v="1"/>
    <x v="1"/>
    <x v="1"/>
    <x v="1"/>
    <x v="2"/>
    <n v="12"/>
    <x v="0"/>
  </r>
  <r>
    <d v="2024-02-12T00:00:00"/>
    <x v="1"/>
    <x v="0"/>
    <x v="0"/>
    <n v="59761256.310000002"/>
    <x v="1"/>
    <x v="0"/>
    <x v="0"/>
    <x v="8"/>
    <x v="1"/>
    <x v="1"/>
    <x v="1"/>
    <x v="1"/>
    <x v="2"/>
    <n v="12"/>
    <x v="0"/>
  </r>
  <r>
    <d v="2024-02-12T00:00:00"/>
    <x v="1"/>
    <x v="0"/>
    <x v="1"/>
    <n v="184770100.22"/>
    <x v="1"/>
    <x v="0"/>
    <x v="1"/>
    <x v="9"/>
    <x v="1"/>
    <x v="1"/>
    <x v="1"/>
    <x v="1"/>
    <x v="2"/>
    <n v="12"/>
    <x v="0"/>
  </r>
  <r>
    <d v="2024-02-12T00:00:00"/>
    <x v="3"/>
    <x v="2"/>
    <x v="1"/>
    <n v="25307865891.779999"/>
    <x v="3"/>
    <x v="2"/>
    <x v="1"/>
    <x v="10"/>
    <x v="1"/>
    <x v="1"/>
    <x v="1"/>
    <x v="1"/>
    <x v="2"/>
    <n v="12"/>
    <x v="0"/>
  </r>
  <r>
    <d v="2024-02-12T00:00:00"/>
    <x v="3"/>
    <x v="1"/>
    <x v="0"/>
    <n v="49998816.25"/>
    <x v="3"/>
    <x v="1"/>
    <x v="0"/>
    <x v="11"/>
    <x v="1"/>
    <x v="1"/>
    <x v="1"/>
    <x v="1"/>
    <x v="2"/>
    <n v="12"/>
    <x v="0"/>
  </r>
  <r>
    <d v="2024-02-12T00:00:00"/>
    <x v="3"/>
    <x v="2"/>
    <x v="0"/>
    <n v="667415317.80999994"/>
    <x v="3"/>
    <x v="2"/>
    <x v="0"/>
    <x v="12"/>
    <x v="1"/>
    <x v="1"/>
    <x v="1"/>
    <x v="1"/>
    <x v="2"/>
    <n v="12"/>
    <x v="0"/>
  </r>
  <r>
    <d v="2024-02-09T00:00:00"/>
    <x v="0"/>
    <x v="0"/>
    <x v="0"/>
    <n v="7476"/>
    <x v="0"/>
    <x v="0"/>
    <x v="0"/>
    <x v="0"/>
    <x v="1"/>
    <x v="1"/>
    <x v="1"/>
    <x v="1"/>
    <x v="2"/>
    <n v="9"/>
    <x v="0"/>
  </r>
  <r>
    <d v="2024-02-09T00:00:00"/>
    <x v="0"/>
    <x v="1"/>
    <x v="0"/>
    <n v="14707094.279999999"/>
    <x v="0"/>
    <x v="1"/>
    <x v="0"/>
    <x v="1"/>
    <x v="1"/>
    <x v="1"/>
    <x v="1"/>
    <x v="1"/>
    <x v="2"/>
    <n v="9"/>
    <x v="0"/>
  </r>
  <r>
    <d v="2024-02-09T00:00:00"/>
    <x v="2"/>
    <x v="1"/>
    <x v="2"/>
    <n v="21786.74"/>
    <x v="2"/>
    <x v="1"/>
    <x v="2"/>
    <x v="2"/>
    <x v="1"/>
    <x v="1"/>
    <x v="1"/>
    <x v="1"/>
    <x v="2"/>
    <n v="9"/>
    <x v="0"/>
  </r>
  <r>
    <d v="2024-02-09T00:00:00"/>
    <x v="2"/>
    <x v="1"/>
    <x v="0"/>
    <n v="106494882.48"/>
    <x v="2"/>
    <x v="1"/>
    <x v="0"/>
    <x v="7"/>
    <x v="1"/>
    <x v="1"/>
    <x v="1"/>
    <x v="1"/>
    <x v="2"/>
    <n v="9"/>
    <x v="0"/>
  </r>
  <r>
    <d v="2024-02-09T00:00:00"/>
    <x v="2"/>
    <x v="1"/>
    <x v="1"/>
    <n v="222632761.25"/>
    <x v="2"/>
    <x v="1"/>
    <x v="1"/>
    <x v="8"/>
    <x v="1"/>
    <x v="1"/>
    <x v="1"/>
    <x v="1"/>
    <x v="2"/>
    <n v="9"/>
    <x v="0"/>
  </r>
  <r>
    <d v="2024-02-09T00:00:00"/>
    <x v="3"/>
    <x v="3"/>
    <x v="1"/>
    <n v="1500"/>
    <x v="3"/>
    <x v="3"/>
    <x v="1"/>
    <x v="3"/>
    <x v="1"/>
    <x v="1"/>
    <x v="1"/>
    <x v="1"/>
    <x v="2"/>
    <n v="9"/>
    <x v="0"/>
  </r>
  <r>
    <d v="2024-02-09T00:00:00"/>
    <x v="0"/>
    <x v="1"/>
    <x v="1"/>
    <n v="13672280.1"/>
    <x v="0"/>
    <x v="1"/>
    <x v="1"/>
    <x v="4"/>
    <x v="1"/>
    <x v="1"/>
    <x v="1"/>
    <x v="1"/>
    <x v="2"/>
    <n v="9"/>
    <x v="0"/>
  </r>
  <r>
    <d v="2024-02-09T00:00:00"/>
    <x v="1"/>
    <x v="1"/>
    <x v="0"/>
    <n v="677048.12"/>
    <x v="1"/>
    <x v="1"/>
    <x v="0"/>
    <x v="5"/>
    <x v="1"/>
    <x v="1"/>
    <x v="1"/>
    <x v="1"/>
    <x v="2"/>
    <n v="9"/>
    <x v="0"/>
  </r>
  <r>
    <d v="2024-02-09T00:00:00"/>
    <x v="3"/>
    <x v="2"/>
    <x v="2"/>
    <n v="423187"/>
    <x v="3"/>
    <x v="2"/>
    <x v="2"/>
    <x v="6"/>
    <x v="1"/>
    <x v="1"/>
    <x v="1"/>
    <x v="1"/>
    <x v="2"/>
    <n v="9"/>
    <x v="0"/>
  </r>
  <r>
    <d v="2024-02-09T00:00:00"/>
    <x v="3"/>
    <x v="3"/>
    <x v="0"/>
    <n v="1339706216.72"/>
    <x v="3"/>
    <x v="3"/>
    <x v="0"/>
    <x v="9"/>
    <x v="1"/>
    <x v="1"/>
    <x v="1"/>
    <x v="1"/>
    <x v="2"/>
    <n v="9"/>
    <x v="0"/>
  </r>
  <r>
    <d v="2024-02-09T00:00:00"/>
    <x v="1"/>
    <x v="0"/>
    <x v="0"/>
    <n v="48406751.329999998"/>
    <x v="1"/>
    <x v="0"/>
    <x v="0"/>
    <x v="10"/>
    <x v="1"/>
    <x v="1"/>
    <x v="1"/>
    <x v="1"/>
    <x v="2"/>
    <n v="9"/>
    <x v="0"/>
  </r>
  <r>
    <d v="2024-02-09T00:00:00"/>
    <x v="1"/>
    <x v="0"/>
    <x v="1"/>
    <n v="157765477.02000001"/>
    <x v="1"/>
    <x v="0"/>
    <x v="1"/>
    <x v="11"/>
    <x v="1"/>
    <x v="1"/>
    <x v="1"/>
    <x v="1"/>
    <x v="2"/>
    <n v="9"/>
    <x v="0"/>
  </r>
  <r>
    <d v="2024-02-09T00:00:00"/>
    <x v="3"/>
    <x v="1"/>
    <x v="0"/>
    <n v="14869835.01"/>
    <x v="3"/>
    <x v="1"/>
    <x v="0"/>
    <x v="12"/>
    <x v="1"/>
    <x v="1"/>
    <x v="1"/>
    <x v="1"/>
    <x v="2"/>
    <n v="9"/>
    <x v="0"/>
  </r>
  <r>
    <d v="2024-02-09T00:00:00"/>
    <x v="3"/>
    <x v="2"/>
    <x v="1"/>
    <n v="8895982819"/>
    <x v="3"/>
    <x v="2"/>
    <x v="1"/>
    <x v="13"/>
    <x v="1"/>
    <x v="1"/>
    <x v="1"/>
    <x v="1"/>
    <x v="2"/>
    <n v="9"/>
    <x v="0"/>
  </r>
  <r>
    <d v="2024-02-09T00:00:00"/>
    <x v="3"/>
    <x v="2"/>
    <x v="0"/>
    <n v="579926388.01999998"/>
    <x v="3"/>
    <x v="2"/>
    <x v="0"/>
    <x v="14"/>
    <x v="1"/>
    <x v="1"/>
    <x v="1"/>
    <x v="1"/>
    <x v="2"/>
    <n v="9"/>
    <x v="0"/>
  </r>
  <r>
    <d v="2024-02-08T00:00:00"/>
    <x v="0"/>
    <x v="1"/>
    <x v="0"/>
    <n v="8785746.9399999995"/>
    <x v="0"/>
    <x v="1"/>
    <x v="0"/>
    <x v="0"/>
    <x v="1"/>
    <x v="1"/>
    <x v="1"/>
    <x v="1"/>
    <x v="2"/>
    <n v="8"/>
    <x v="0"/>
  </r>
  <r>
    <d v="2024-02-08T00:00:00"/>
    <x v="2"/>
    <x v="1"/>
    <x v="2"/>
    <n v="24478.58"/>
    <x v="2"/>
    <x v="1"/>
    <x v="2"/>
    <x v="1"/>
    <x v="1"/>
    <x v="1"/>
    <x v="1"/>
    <x v="1"/>
    <x v="2"/>
    <n v="8"/>
    <x v="0"/>
  </r>
  <r>
    <d v="2024-02-08T00:00:00"/>
    <x v="2"/>
    <x v="1"/>
    <x v="0"/>
    <n v="115319748.41"/>
    <x v="2"/>
    <x v="1"/>
    <x v="0"/>
    <x v="6"/>
    <x v="1"/>
    <x v="1"/>
    <x v="1"/>
    <x v="1"/>
    <x v="2"/>
    <n v="8"/>
    <x v="0"/>
  </r>
  <r>
    <d v="2024-02-08T00:00:00"/>
    <x v="3"/>
    <x v="3"/>
    <x v="0"/>
    <n v="1087844519.3399999"/>
    <x v="3"/>
    <x v="3"/>
    <x v="0"/>
    <x v="7"/>
    <x v="1"/>
    <x v="1"/>
    <x v="1"/>
    <x v="1"/>
    <x v="2"/>
    <n v="8"/>
    <x v="0"/>
  </r>
  <r>
    <d v="2024-02-08T00:00:00"/>
    <x v="3"/>
    <x v="3"/>
    <x v="1"/>
    <n v="1333947.69"/>
    <x v="3"/>
    <x v="3"/>
    <x v="1"/>
    <x v="2"/>
    <x v="1"/>
    <x v="1"/>
    <x v="1"/>
    <x v="1"/>
    <x v="2"/>
    <n v="8"/>
    <x v="0"/>
  </r>
  <r>
    <d v="2024-02-08T00:00:00"/>
    <x v="0"/>
    <x v="1"/>
    <x v="1"/>
    <n v="3943842.22"/>
    <x v="0"/>
    <x v="1"/>
    <x v="1"/>
    <x v="3"/>
    <x v="1"/>
    <x v="1"/>
    <x v="1"/>
    <x v="1"/>
    <x v="2"/>
    <n v="8"/>
    <x v="0"/>
  </r>
  <r>
    <d v="2024-02-08T00:00:00"/>
    <x v="1"/>
    <x v="1"/>
    <x v="0"/>
    <n v="328303.14"/>
    <x v="1"/>
    <x v="1"/>
    <x v="0"/>
    <x v="4"/>
    <x v="1"/>
    <x v="1"/>
    <x v="1"/>
    <x v="1"/>
    <x v="2"/>
    <n v="8"/>
    <x v="0"/>
  </r>
  <r>
    <d v="2024-02-08T00:00:00"/>
    <x v="3"/>
    <x v="2"/>
    <x v="2"/>
    <n v="258871.42"/>
    <x v="3"/>
    <x v="2"/>
    <x v="2"/>
    <x v="5"/>
    <x v="1"/>
    <x v="1"/>
    <x v="1"/>
    <x v="1"/>
    <x v="2"/>
    <n v="8"/>
    <x v="0"/>
  </r>
  <r>
    <d v="2024-02-08T00:00:00"/>
    <x v="2"/>
    <x v="1"/>
    <x v="1"/>
    <n v="98356489.75"/>
    <x v="2"/>
    <x v="1"/>
    <x v="1"/>
    <x v="8"/>
    <x v="1"/>
    <x v="1"/>
    <x v="1"/>
    <x v="1"/>
    <x v="2"/>
    <n v="8"/>
    <x v="0"/>
  </r>
  <r>
    <d v="2024-02-08T00:00:00"/>
    <x v="1"/>
    <x v="0"/>
    <x v="0"/>
    <n v="63755185.719999999"/>
    <x v="1"/>
    <x v="0"/>
    <x v="0"/>
    <x v="9"/>
    <x v="1"/>
    <x v="1"/>
    <x v="1"/>
    <x v="1"/>
    <x v="2"/>
    <n v="8"/>
    <x v="0"/>
  </r>
  <r>
    <d v="2024-02-08T00:00:00"/>
    <x v="1"/>
    <x v="0"/>
    <x v="1"/>
    <n v="362480042.35000002"/>
    <x v="1"/>
    <x v="0"/>
    <x v="1"/>
    <x v="10"/>
    <x v="1"/>
    <x v="1"/>
    <x v="1"/>
    <x v="1"/>
    <x v="2"/>
    <n v="8"/>
    <x v="0"/>
  </r>
  <r>
    <d v="2024-02-08T00:00:00"/>
    <x v="3"/>
    <x v="1"/>
    <x v="0"/>
    <n v="14672690.18"/>
    <x v="3"/>
    <x v="1"/>
    <x v="0"/>
    <x v="11"/>
    <x v="1"/>
    <x v="1"/>
    <x v="1"/>
    <x v="1"/>
    <x v="2"/>
    <n v="8"/>
    <x v="0"/>
  </r>
  <r>
    <d v="2024-02-08T00:00:00"/>
    <x v="3"/>
    <x v="2"/>
    <x v="1"/>
    <n v="4352446241.5200005"/>
    <x v="3"/>
    <x v="2"/>
    <x v="1"/>
    <x v="12"/>
    <x v="1"/>
    <x v="1"/>
    <x v="1"/>
    <x v="1"/>
    <x v="2"/>
    <n v="8"/>
    <x v="0"/>
  </r>
  <r>
    <d v="2024-02-08T00:00:00"/>
    <x v="3"/>
    <x v="2"/>
    <x v="0"/>
    <n v="721255543.52999997"/>
    <x v="3"/>
    <x v="2"/>
    <x v="0"/>
    <x v="13"/>
    <x v="1"/>
    <x v="1"/>
    <x v="1"/>
    <x v="1"/>
    <x v="2"/>
    <n v="8"/>
    <x v="0"/>
  </r>
  <r>
    <d v="2024-02-07T00:00:00"/>
    <x v="0"/>
    <x v="0"/>
    <x v="0"/>
    <n v="70000"/>
    <x v="0"/>
    <x v="0"/>
    <x v="0"/>
    <x v="0"/>
    <x v="1"/>
    <x v="1"/>
    <x v="1"/>
    <x v="1"/>
    <x v="2"/>
    <n v="7"/>
    <x v="0"/>
  </r>
  <r>
    <d v="2024-02-07T00:00:00"/>
    <x v="1"/>
    <x v="1"/>
    <x v="0"/>
    <n v="253961.61"/>
    <x v="1"/>
    <x v="1"/>
    <x v="0"/>
    <x v="1"/>
    <x v="1"/>
    <x v="1"/>
    <x v="1"/>
    <x v="1"/>
    <x v="2"/>
    <n v="7"/>
    <x v="0"/>
  </r>
  <r>
    <d v="2024-02-07T00:00:00"/>
    <x v="0"/>
    <x v="1"/>
    <x v="0"/>
    <n v="9110095.9600000009"/>
    <x v="0"/>
    <x v="1"/>
    <x v="0"/>
    <x v="2"/>
    <x v="1"/>
    <x v="1"/>
    <x v="1"/>
    <x v="1"/>
    <x v="2"/>
    <n v="7"/>
    <x v="0"/>
  </r>
  <r>
    <d v="2024-02-07T00:00:00"/>
    <x v="2"/>
    <x v="1"/>
    <x v="2"/>
    <n v="527396.56999999995"/>
    <x v="2"/>
    <x v="1"/>
    <x v="2"/>
    <x v="3"/>
    <x v="1"/>
    <x v="1"/>
    <x v="1"/>
    <x v="1"/>
    <x v="2"/>
    <n v="7"/>
    <x v="0"/>
  </r>
  <r>
    <d v="2024-02-07T00:00:00"/>
    <x v="2"/>
    <x v="1"/>
    <x v="0"/>
    <n v="77939020.469999999"/>
    <x v="2"/>
    <x v="1"/>
    <x v="0"/>
    <x v="7"/>
    <x v="1"/>
    <x v="1"/>
    <x v="1"/>
    <x v="1"/>
    <x v="2"/>
    <n v="7"/>
    <x v="0"/>
  </r>
  <r>
    <d v="2024-02-07T00:00:00"/>
    <x v="2"/>
    <x v="1"/>
    <x v="1"/>
    <n v="158454575.91"/>
    <x v="2"/>
    <x v="1"/>
    <x v="1"/>
    <x v="8"/>
    <x v="1"/>
    <x v="1"/>
    <x v="1"/>
    <x v="1"/>
    <x v="2"/>
    <n v="7"/>
    <x v="0"/>
  </r>
  <r>
    <d v="2024-02-07T00:00:00"/>
    <x v="1"/>
    <x v="0"/>
    <x v="1"/>
    <n v="667825581.87"/>
    <x v="1"/>
    <x v="0"/>
    <x v="1"/>
    <x v="10"/>
    <x v="1"/>
    <x v="1"/>
    <x v="1"/>
    <x v="1"/>
    <x v="2"/>
    <n v="7"/>
    <x v="0"/>
  </r>
  <r>
    <d v="2024-02-07T00:00:00"/>
    <x v="3"/>
    <x v="3"/>
    <x v="1"/>
    <n v="135440.59"/>
    <x v="3"/>
    <x v="3"/>
    <x v="1"/>
    <x v="4"/>
    <x v="1"/>
    <x v="1"/>
    <x v="1"/>
    <x v="1"/>
    <x v="2"/>
    <n v="7"/>
    <x v="0"/>
  </r>
  <r>
    <d v="2024-02-07T00:00:00"/>
    <x v="0"/>
    <x v="1"/>
    <x v="1"/>
    <n v="5035564.47"/>
    <x v="0"/>
    <x v="1"/>
    <x v="1"/>
    <x v="5"/>
    <x v="1"/>
    <x v="1"/>
    <x v="1"/>
    <x v="1"/>
    <x v="2"/>
    <n v="7"/>
    <x v="0"/>
  </r>
  <r>
    <d v="2024-02-07T00:00:00"/>
    <x v="1"/>
    <x v="0"/>
    <x v="0"/>
    <n v="115535220.94"/>
    <x v="1"/>
    <x v="0"/>
    <x v="0"/>
    <x v="11"/>
    <x v="1"/>
    <x v="1"/>
    <x v="1"/>
    <x v="1"/>
    <x v="2"/>
    <n v="7"/>
    <x v="0"/>
  </r>
  <r>
    <d v="2024-02-07T00:00:00"/>
    <x v="3"/>
    <x v="2"/>
    <x v="2"/>
    <n v="254595"/>
    <x v="3"/>
    <x v="2"/>
    <x v="2"/>
    <x v="6"/>
    <x v="1"/>
    <x v="1"/>
    <x v="1"/>
    <x v="1"/>
    <x v="2"/>
    <n v="7"/>
    <x v="0"/>
  </r>
  <r>
    <d v="2024-02-07T00:00:00"/>
    <x v="3"/>
    <x v="3"/>
    <x v="0"/>
    <n v="1621620454.3800001"/>
    <x v="3"/>
    <x v="3"/>
    <x v="0"/>
    <x v="9"/>
    <x v="1"/>
    <x v="1"/>
    <x v="1"/>
    <x v="1"/>
    <x v="2"/>
    <n v="7"/>
    <x v="0"/>
  </r>
  <r>
    <d v="2024-02-07T00:00:00"/>
    <x v="3"/>
    <x v="1"/>
    <x v="0"/>
    <n v="15599580.15"/>
    <x v="3"/>
    <x v="1"/>
    <x v="0"/>
    <x v="12"/>
    <x v="1"/>
    <x v="1"/>
    <x v="1"/>
    <x v="1"/>
    <x v="2"/>
    <n v="7"/>
    <x v="0"/>
  </r>
  <r>
    <d v="2024-02-07T00:00:00"/>
    <x v="3"/>
    <x v="2"/>
    <x v="1"/>
    <n v="13370510352.74"/>
    <x v="3"/>
    <x v="2"/>
    <x v="1"/>
    <x v="13"/>
    <x v="1"/>
    <x v="1"/>
    <x v="1"/>
    <x v="1"/>
    <x v="2"/>
    <n v="7"/>
    <x v="0"/>
  </r>
  <r>
    <d v="2024-02-07T00:00:00"/>
    <x v="3"/>
    <x v="2"/>
    <x v="0"/>
    <n v="783163309.62"/>
    <x v="3"/>
    <x v="2"/>
    <x v="0"/>
    <x v="14"/>
    <x v="1"/>
    <x v="1"/>
    <x v="1"/>
    <x v="1"/>
    <x v="2"/>
    <n v="7"/>
    <x v="0"/>
  </r>
  <r>
    <d v="2024-02-06T00:00:00"/>
    <x v="0"/>
    <x v="1"/>
    <x v="0"/>
    <n v="34885585.439999998"/>
    <x v="0"/>
    <x v="1"/>
    <x v="0"/>
    <x v="0"/>
    <x v="1"/>
    <x v="1"/>
    <x v="1"/>
    <x v="1"/>
    <x v="2"/>
    <n v="6"/>
    <x v="0"/>
  </r>
  <r>
    <d v="2024-02-06T00:00:00"/>
    <x v="1"/>
    <x v="1"/>
    <x v="0"/>
    <n v="116848.68"/>
    <x v="1"/>
    <x v="1"/>
    <x v="0"/>
    <x v="5"/>
    <x v="1"/>
    <x v="1"/>
    <x v="1"/>
    <x v="1"/>
    <x v="2"/>
    <n v="6"/>
    <x v="0"/>
  </r>
  <r>
    <d v="2024-02-06T00:00:00"/>
    <x v="3"/>
    <x v="2"/>
    <x v="2"/>
    <n v="322815.33"/>
    <x v="3"/>
    <x v="2"/>
    <x v="2"/>
    <x v="7"/>
    <x v="1"/>
    <x v="1"/>
    <x v="1"/>
    <x v="1"/>
    <x v="2"/>
    <n v="6"/>
    <x v="0"/>
  </r>
  <r>
    <d v="2024-02-06T00:00:00"/>
    <x v="3"/>
    <x v="3"/>
    <x v="2"/>
    <n v="75"/>
    <x v="3"/>
    <x v="3"/>
    <x v="2"/>
    <x v="1"/>
    <x v="1"/>
    <x v="1"/>
    <x v="1"/>
    <x v="1"/>
    <x v="2"/>
    <n v="6"/>
    <x v="0"/>
  </r>
  <r>
    <d v="2024-02-06T00:00:00"/>
    <x v="2"/>
    <x v="1"/>
    <x v="2"/>
    <n v="19949.29"/>
    <x v="2"/>
    <x v="1"/>
    <x v="2"/>
    <x v="2"/>
    <x v="1"/>
    <x v="1"/>
    <x v="1"/>
    <x v="1"/>
    <x v="2"/>
    <n v="6"/>
    <x v="0"/>
  </r>
  <r>
    <d v="2024-02-06T00:00:00"/>
    <x v="2"/>
    <x v="1"/>
    <x v="0"/>
    <n v="104913256.66"/>
    <x v="2"/>
    <x v="1"/>
    <x v="0"/>
    <x v="9"/>
    <x v="1"/>
    <x v="1"/>
    <x v="1"/>
    <x v="1"/>
    <x v="2"/>
    <n v="6"/>
    <x v="0"/>
  </r>
  <r>
    <d v="2024-02-06T00:00:00"/>
    <x v="2"/>
    <x v="1"/>
    <x v="1"/>
    <n v="67851003.230000004"/>
    <x v="2"/>
    <x v="1"/>
    <x v="1"/>
    <x v="10"/>
    <x v="1"/>
    <x v="1"/>
    <x v="1"/>
    <x v="1"/>
    <x v="2"/>
    <n v="6"/>
    <x v="0"/>
  </r>
  <r>
    <d v="2024-02-06T00:00:00"/>
    <x v="1"/>
    <x v="0"/>
    <x v="1"/>
    <n v="274968866.38"/>
    <x v="1"/>
    <x v="0"/>
    <x v="1"/>
    <x v="11"/>
    <x v="1"/>
    <x v="1"/>
    <x v="1"/>
    <x v="1"/>
    <x v="2"/>
    <n v="6"/>
    <x v="0"/>
  </r>
  <r>
    <d v="2024-02-06T00:00:00"/>
    <x v="3"/>
    <x v="3"/>
    <x v="1"/>
    <n v="701894.5"/>
    <x v="3"/>
    <x v="3"/>
    <x v="1"/>
    <x v="3"/>
    <x v="1"/>
    <x v="1"/>
    <x v="1"/>
    <x v="1"/>
    <x v="2"/>
    <n v="6"/>
    <x v="0"/>
  </r>
  <r>
    <d v="2024-02-06T00:00:00"/>
    <x v="0"/>
    <x v="1"/>
    <x v="1"/>
    <n v="3402965.25"/>
    <x v="0"/>
    <x v="1"/>
    <x v="1"/>
    <x v="4"/>
    <x v="1"/>
    <x v="1"/>
    <x v="1"/>
    <x v="1"/>
    <x v="2"/>
    <n v="6"/>
    <x v="0"/>
  </r>
  <r>
    <d v="2024-02-06T00:00:00"/>
    <x v="3"/>
    <x v="3"/>
    <x v="0"/>
    <n v="1882184894.05"/>
    <x v="3"/>
    <x v="3"/>
    <x v="0"/>
    <x v="8"/>
    <x v="1"/>
    <x v="1"/>
    <x v="1"/>
    <x v="1"/>
    <x v="2"/>
    <n v="6"/>
    <x v="0"/>
  </r>
  <r>
    <d v="2024-02-06T00:00:00"/>
    <x v="1"/>
    <x v="0"/>
    <x v="0"/>
    <n v="66883495.149999999"/>
    <x v="1"/>
    <x v="0"/>
    <x v="0"/>
    <x v="6"/>
    <x v="1"/>
    <x v="1"/>
    <x v="1"/>
    <x v="1"/>
    <x v="2"/>
    <n v="6"/>
    <x v="0"/>
  </r>
  <r>
    <d v="2024-02-06T00:00:00"/>
    <x v="3"/>
    <x v="1"/>
    <x v="0"/>
    <n v="12703825.18"/>
    <x v="3"/>
    <x v="1"/>
    <x v="0"/>
    <x v="12"/>
    <x v="1"/>
    <x v="1"/>
    <x v="1"/>
    <x v="1"/>
    <x v="2"/>
    <n v="6"/>
    <x v="0"/>
  </r>
  <r>
    <d v="2024-02-06T00:00:00"/>
    <x v="3"/>
    <x v="2"/>
    <x v="1"/>
    <n v="4382857605.3599997"/>
    <x v="3"/>
    <x v="2"/>
    <x v="1"/>
    <x v="13"/>
    <x v="1"/>
    <x v="1"/>
    <x v="1"/>
    <x v="1"/>
    <x v="2"/>
    <n v="6"/>
    <x v="0"/>
  </r>
  <r>
    <d v="2024-02-06T00:00:00"/>
    <x v="3"/>
    <x v="2"/>
    <x v="0"/>
    <n v="1031326426.8200001"/>
    <x v="3"/>
    <x v="2"/>
    <x v="0"/>
    <x v="14"/>
    <x v="1"/>
    <x v="1"/>
    <x v="1"/>
    <x v="1"/>
    <x v="2"/>
    <n v="6"/>
    <x v="0"/>
  </r>
  <r>
    <d v="2024-02-05T00:00:00"/>
    <x v="1"/>
    <x v="1"/>
    <x v="0"/>
    <n v="18681.22"/>
    <x v="1"/>
    <x v="1"/>
    <x v="0"/>
    <x v="0"/>
    <x v="1"/>
    <x v="1"/>
    <x v="1"/>
    <x v="1"/>
    <x v="2"/>
    <n v="5"/>
    <x v="0"/>
  </r>
  <r>
    <d v="2024-02-05T00:00:00"/>
    <x v="0"/>
    <x v="1"/>
    <x v="0"/>
    <n v="9512667.8100000005"/>
    <x v="0"/>
    <x v="1"/>
    <x v="0"/>
    <x v="1"/>
    <x v="1"/>
    <x v="1"/>
    <x v="1"/>
    <x v="1"/>
    <x v="2"/>
    <n v="5"/>
    <x v="0"/>
  </r>
  <r>
    <d v="2024-02-05T00:00:00"/>
    <x v="3"/>
    <x v="3"/>
    <x v="2"/>
    <n v="169"/>
    <x v="3"/>
    <x v="3"/>
    <x v="2"/>
    <x v="2"/>
    <x v="1"/>
    <x v="1"/>
    <x v="1"/>
    <x v="1"/>
    <x v="2"/>
    <n v="5"/>
    <x v="0"/>
  </r>
  <r>
    <d v="2024-02-05T00:00:00"/>
    <x v="2"/>
    <x v="1"/>
    <x v="2"/>
    <n v="29738.95"/>
    <x v="2"/>
    <x v="1"/>
    <x v="2"/>
    <x v="3"/>
    <x v="1"/>
    <x v="1"/>
    <x v="1"/>
    <x v="1"/>
    <x v="2"/>
    <n v="5"/>
    <x v="0"/>
  </r>
  <r>
    <d v="2024-02-05T00:00:00"/>
    <x v="2"/>
    <x v="1"/>
    <x v="0"/>
    <n v="105907680.89"/>
    <x v="2"/>
    <x v="1"/>
    <x v="0"/>
    <x v="8"/>
    <x v="1"/>
    <x v="1"/>
    <x v="1"/>
    <x v="1"/>
    <x v="2"/>
    <n v="5"/>
    <x v="0"/>
  </r>
  <r>
    <d v="2024-02-05T00:00:00"/>
    <x v="2"/>
    <x v="1"/>
    <x v="1"/>
    <n v="135026334.34"/>
    <x v="2"/>
    <x v="1"/>
    <x v="1"/>
    <x v="9"/>
    <x v="1"/>
    <x v="1"/>
    <x v="1"/>
    <x v="1"/>
    <x v="2"/>
    <n v="5"/>
    <x v="0"/>
  </r>
  <r>
    <d v="2024-02-05T00:00:00"/>
    <x v="3"/>
    <x v="3"/>
    <x v="1"/>
    <n v="51503.98"/>
    <x v="3"/>
    <x v="3"/>
    <x v="1"/>
    <x v="4"/>
    <x v="1"/>
    <x v="1"/>
    <x v="1"/>
    <x v="1"/>
    <x v="2"/>
    <n v="5"/>
    <x v="0"/>
  </r>
  <r>
    <d v="2024-02-05T00:00:00"/>
    <x v="0"/>
    <x v="1"/>
    <x v="1"/>
    <n v="8052548.2400000002"/>
    <x v="0"/>
    <x v="1"/>
    <x v="1"/>
    <x v="5"/>
    <x v="1"/>
    <x v="1"/>
    <x v="1"/>
    <x v="1"/>
    <x v="2"/>
    <n v="5"/>
    <x v="0"/>
  </r>
  <r>
    <d v="2024-02-05T00:00:00"/>
    <x v="1"/>
    <x v="0"/>
    <x v="1"/>
    <n v="250141463.02000001"/>
    <x v="1"/>
    <x v="0"/>
    <x v="1"/>
    <x v="10"/>
    <x v="1"/>
    <x v="1"/>
    <x v="1"/>
    <x v="1"/>
    <x v="2"/>
    <n v="5"/>
    <x v="0"/>
  </r>
  <r>
    <d v="2024-02-05T00:00:00"/>
    <x v="3"/>
    <x v="2"/>
    <x v="2"/>
    <n v="227731.23"/>
    <x v="3"/>
    <x v="2"/>
    <x v="2"/>
    <x v="6"/>
    <x v="1"/>
    <x v="1"/>
    <x v="1"/>
    <x v="1"/>
    <x v="2"/>
    <n v="5"/>
    <x v="0"/>
  </r>
  <r>
    <d v="2024-02-05T00:00:00"/>
    <x v="3"/>
    <x v="3"/>
    <x v="0"/>
    <n v="2308756558.71"/>
    <x v="3"/>
    <x v="3"/>
    <x v="0"/>
    <x v="7"/>
    <x v="1"/>
    <x v="1"/>
    <x v="1"/>
    <x v="1"/>
    <x v="2"/>
    <n v="5"/>
    <x v="0"/>
  </r>
  <r>
    <d v="2024-02-05T00:00:00"/>
    <x v="1"/>
    <x v="0"/>
    <x v="0"/>
    <n v="71581580.510000005"/>
    <x v="1"/>
    <x v="0"/>
    <x v="0"/>
    <x v="11"/>
    <x v="1"/>
    <x v="1"/>
    <x v="1"/>
    <x v="1"/>
    <x v="2"/>
    <n v="5"/>
    <x v="0"/>
  </r>
  <r>
    <d v="2024-02-05T00:00:00"/>
    <x v="3"/>
    <x v="1"/>
    <x v="0"/>
    <n v="53472867.149999999"/>
    <x v="3"/>
    <x v="1"/>
    <x v="0"/>
    <x v="12"/>
    <x v="1"/>
    <x v="1"/>
    <x v="1"/>
    <x v="1"/>
    <x v="2"/>
    <n v="5"/>
    <x v="0"/>
  </r>
  <r>
    <d v="2024-02-05T00:00:00"/>
    <x v="3"/>
    <x v="2"/>
    <x v="1"/>
    <n v="27819290843.279999"/>
    <x v="3"/>
    <x v="2"/>
    <x v="1"/>
    <x v="13"/>
    <x v="1"/>
    <x v="1"/>
    <x v="1"/>
    <x v="1"/>
    <x v="2"/>
    <n v="5"/>
    <x v="0"/>
  </r>
  <r>
    <d v="2024-02-05T00:00:00"/>
    <x v="3"/>
    <x v="2"/>
    <x v="0"/>
    <n v="763483373.40999997"/>
    <x v="3"/>
    <x v="2"/>
    <x v="0"/>
    <x v="14"/>
    <x v="1"/>
    <x v="1"/>
    <x v="1"/>
    <x v="1"/>
    <x v="2"/>
    <n v="5"/>
    <x v="0"/>
  </r>
  <r>
    <d v="2024-02-02T00:00:00"/>
    <x v="1"/>
    <x v="1"/>
    <x v="0"/>
    <n v="966454"/>
    <x v="1"/>
    <x v="1"/>
    <x v="0"/>
    <x v="0"/>
    <x v="1"/>
    <x v="1"/>
    <x v="1"/>
    <x v="1"/>
    <x v="2"/>
    <n v="2"/>
    <x v="0"/>
  </r>
  <r>
    <d v="2024-02-02T00:00:00"/>
    <x v="0"/>
    <x v="1"/>
    <x v="0"/>
    <n v="12626531.699999999"/>
    <x v="0"/>
    <x v="1"/>
    <x v="0"/>
    <x v="1"/>
    <x v="1"/>
    <x v="1"/>
    <x v="1"/>
    <x v="1"/>
    <x v="2"/>
    <n v="2"/>
    <x v="0"/>
  </r>
  <r>
    <d v="2024-02-02T00:00:00"/>
    <x v="2"/>
    <x v="1"/>
    <x v="2"/>
    <n v="30128.61"/>
    <x v="2"/>
    <x v="1"/>
    <x v="2"/>
    <x v="2"/>
    <x v="1"/>
    <x v="1"/>
    <x v="1"/>
    <x v="1"/>
    <x v="2"/>
    <n v="2"/>
    <x v="0"/>
  </r>
  <r>
    <d v="2024-02-02T00:00:00"/>
    <x v="3"/>
    <x v="3"/>
    <x v="0"/>
    <n v="1336839833.25"/>
    <x v="3"/>
    <x v="3"/>
    <x v="0"/>
    <x v="5"/>
    <x v="1"/>
    <x v="1"/>
    <x v="1"/>
    <x v="1"/>
    <x v="2"/>
    <n v="2"/>
    <x v="0"/>
  </r>
  <r>
    <d v="2024-02-02T00:00:00"/>
    <x v="2"/>
    <x v="1"/>
    <x v="0"/>
    <n v="101669544.25"/>
    <x v="2"/>
    <x v="1"/>
    <x v="0"/>
    <x v="6"/>
    <x v="1"/>
    <x v="1"/>
    <x v="1"/>
    <x v="1"/>
    <x v="2"/>
    <n v="2"/>
    <x v="0"/>
  </r>
  <r>
    <d v="2024-02-02T00:00:00"/>
    <x v="0"/>
    <x v="1"/>
    <x v="1"/>
    <n v="9703606.8100000005"/>
    <x v="0"/>
    <x v="1"/>
    <x v="1"/>
    <x v="3"/>
    <x v="1"/>
    <x v="1"/>
    <x v="1"/>
    <x v="1"/>
    <x v="2"/>
    <n v="2"/>
    <x v="0"/>
  </r>
  <r>
    <d v="2024-02-02T00:00:00"/>
    <x v="3"/>
    <x v="2"/>
    <x v="2"/>
    <n v="337296"/>
    <x v="3"/>
    <x v="2"/>
    <x v="2"/>
    <x v="4"/>
    <x v="1"/>
    <x v="1"/>
    <x v="1"/>
    <x v="1"/>
    <x v="2"/>
    <n v="2"/>
    <x v="0"/>
  </r>
  <r>
    <d v="2024-02-02T00:00:00"/>
    <x v="2"/>
    <x v="1"/>
    <x v="1"/>
    <n v="78277899.439999998"/>
    <x v="2"/>
    <x v="1"/>
    <x v="1"/>
    <x v="7"/>
    <x v="1"/>
    <x v="1"/>
    <x v="1"/>
    <x v="1"/>
    <x v="2"/>
    <n v="2"/>
    <x v="0"/>
  </r>
  <r>
    <d v="2024-02-02T00:00:00"/>
    <x v="1"/>
    <x v="0"/>
    <x v="0"/>
    <n v="45843509.439999998"/>
    <x v="1"/>
    <x v="0"/>
    <x v="0"/>
    <x v="8"/>
    <x v="1"/>
    <x v="1"/>
    <x v="1"/>
    <x v="1"/>
    <x v="2"/>
    <n v="2"/>
    <x v="0"/>
  </r>
  <r>
    <d v="2024-02-02T00:00:00"/>
    <x v="1"/>
    <x v="0"/>
    <x v="1"/>
    <n v="210597361.56"/>
    <x v="1"/>
    <x v="0"/>
    <x v="1"/>
    <x v="9"/>
    <x v="1"/>
    <x v="1"/>
    <x v="1"/>
    <x v="1"/>
    <x v="2"/>
    <n v="2"/>
    <x v="0"/>
  </r>
  <r>
    <d v="2024-02-02T00:00:00"/>
    <x v="3"/>
    <x v="1"/>
    <x v="0"/>
    <n v="17030372.699999999"/>
    <x v="3"/>
    <x v="1"/>
    <x v="0"/>
    <x v="10"/>
    <x v="1"/>
    <x v="1"/>
    <x v="1"/>
    <x v="1"/>
    <x v="2"/>
    <n v="2"/>
    <x v="0"/>
  </r>
  <r>
    <d v="2024-02-02T00:00:00"/>
    <x v="3"/>
    <x v="2"/>
    <x v="0"/>
    <n v="1002577826.8"/>
    <x v="3"/>
    <x v="2"/>
    <x v="0"/>
    <x v="11"/>
    <x v="1"/>
    <x v="1"/>
    <x v="1"/>
    <x v="1"/>
    <x v="2"/>
    <n v="2"/>
    <x v="0"/>
  </r>
  <r>
    <d v="2024-02-02T00:00:00"/>
    <x v="3"/>
    <x v="2"/>
    <x v="1"/>
    <n v="17362115021.889999"/>
    <x v="3"/>
    <x v="2"/>
    <x v="1"/>
    <x v="12"/>
    <x v="1"/>
    <x v="1"/>
    <x v="1"/>
    <x v="1"/>
    <x v="2"/>
    <n v="2"/>
    <x v="0"/>
  </r>
  <r>
    <d v="2024-02-01T00:00:00"/>
    <x v="1"/>
    <x v="1"/>
    <x v="0"/>
    <n v="444251.1"/>
    <x v="1"/>
    <x v="1"/>
    <x v="0"/>
    <x v="0"/>
    <x v="1"/>
    <x v="1"/>
    <x v="1"/>
    <x v="1"/>
    <x v="2"/>
    <n v="1"/>
    <x v="0"/>
  </r>
  <r>
    <d v="2024-02-01T00:00:00"/>
    <x v="0"/>
    <x v="1"/>
    <x v="0"/>
    <n v="6399386.6399999997"/>
    <x v="0"/>
    <x v="1"/>
    <x v="0"/>
    <x v="1"/>
    <x v="1"/>
    <x v="1"/>
    <x v="1"/>
    <x v="1"/>
    <x v="2"/>
    <n v="1"/>
    <x v="0"/>
  </r>
  <r>
    <d v="2024-02-01T00:00:00"/>
    <x v="2"/>
    <x v="1"/>
    <x v="2"/>
    <n v="42937.64"/>
    <x v="2"/>
    <x v="1"/>
    <x v="2"/>
    <x v="2"/>
    <x v="1"/>
    <x v="1"/>
    <x v="1"/>
    <x v="1"/>
    <x v="2"/>
    <n v="1"/>
    <x v="0"/>
  </r>
  <r>
    <d v="2024-02-01T00:00:00"/>
    <x v="2"/>
    <x v="1"/>
    <x v="0"/>
    <n v="198256681.81999999"/>
    <x v="2"/>
    <x v="1"/>
    <x v="0"/>
    <x v="7"/>
    <x v="1"/>
    <x v="1"/>
    <x v="1"/>
    <x v="1"/>
    <x v="2"/>
    <n v="1"/>
    <x v="0"/>
  </r>
  <r>
    <d v="2024-02-01T00:00:00"/>
    <x v="3"/>
    <x v="3"/>
    <x v="1"/>
    <n v="405869.4"/>
    <x v="3"/>
    <x v="3"/>
    <x v="1"/>
    <x v="3"/>
    <x v="1"/>
    <x v="1"/>
    <x v="1"/>
    <x v="1"/>
    <x v="2"/>
    <n v="1"/>
    <x v="0"/>
  </r>
  <r>
    <d v="2024-02-01T00:00:00"/>
    <x v="0"/>
    <x v="1"/>
    <x v="1"/>
    <n v="12030238.470000001"/>
    <x v="0"/>
    <x v="1"/>
    <x v="1"/>
    <x v="4"/>
    <x v="1"/>
    <x v="1"/>
    <x v="1"/>
    <x v="1"/>
    <x v="2"/>
    <n v="1"/>
    <x v="0"/>
  </r>
  <r>
    <d v="2024-02-01T00:00:00"/>
    <x v="3"/>
    <x v="2"/>
    <x v="2"/>
    <n v="661380"/>
    <x v="3"/>
    <x v="2"/>
    <x v="2"/>
    <x v="5"/>
    <x v="1"/>
    <x v="1"/>
    <x v="1"/>
    <x v="1"/>
    <x v="2"/>
    <n v="1"/>
    <x v="0"/>
  </r>
  <r>
    <d v="2024-02-01T00:00:00"/>
    <x v="3"/>
    <x v="3"/>
    <x v="0"/>
    <n v="2738516075.6999998"/>
    <x v="3"/>
    <x v="3"/>
    <x v="0"/>
    <x v="6"/>
    <x v="1"/>
    <x v="1"/>
    <x v="1"/>
    <x v="1"/>
    <x v="2"/>
    <n v="1"/>
    <x v="0"/>
  </r>
  <r>
    <d v="2024-02-01T00:00:00"/>
    <x v="1"/>
    <x v="0"/>
    <x v="0"/>
    <n v="81614092.290000007"/>
    <x v="1"/>
    <x v="0"/>
    <x v="0"/>
    <x v="9"/>
    <x v="1"/>
    <x v="1"/>
    <x v="1"/>
    <x v="1"/>
    <x v="2"/>
    <n v="1"/>
    <x v="0"/>
  </r>
  <r>
    <d v="2024-02-01T00:00:00"/>
    <x v="2"/>
    <x v="1"/>
    <x v="1"/>
    <n v="146758464.52000001"/>
    <x v="2"/>
    <x v="1"/>
    <x v="1"/>
    <x v="8"/>
    <x v="1"/>
    <x v="1"/>
    <x v="1"/>
    <x v="1"/>
    <x v="2"/>
    <n v="1"/>
    <x v="0"/>
  </r>
  <r>
    <d v="2024-02-01T00:00:00"/>
    <x v="1"/>
    <x v="0"/>
    <x v="1"/>
    <n v="348270002.93000001"/>
    <x v="1"/>
    <x v="0"/>
    <x v="1"/>
    <x v="10"/>
    <x v="1"/>
    <x v="1"/>
    <x v="1"/>
    <x v="1"/>
    <x v="2"/>
    <n v="1"/>
    <x v="0"/>
  </r>
  <r>
    <d v="2024-02-01T00:00:00"/>
    <x v="3"/>
    <x v="1"/>
    <x v="0"/>
    <n v="17722613.23"/>
    <x v="3"/>
    <x v="1"/>
    <x v="0"/>
    <x v="11"/>
    <x v="1"/>
    <x v="1"/>
    <x v="1"/>
    <x v="1"/>
    <x v="2"/>
    <n v="1"/>
    <x v="0"/>
  </r>
  <r>
    <d v="2024-02-01T00:00:00"/>
    <x v="3"/>
    <x v="2"/>
    <x v="0"/>
    <n v="581051695.13999999"/>
    <x v="3"/>
    <x v="2"/>
    <x v="0"/>
    <x v="12"/>
    <x v="1"/>
    <x v="1"/>
    <x v="1"/>
    <x v="1"/>
    <x v="2"/>
    <n v="1"/>
    <x v="0"/>
  </r>
  <r>
    <d v="2024-02-01T00:00:00"/>
    <x v="3"/>
    <x v="2"/>
    <x v="1"/>
    <n v="29163031677.59"/>
    <x v="3"/>
    <x v="2"/>
    <x v="1"/>
    <x v="13"/>
    <x v="1"/>
    <x v="1"/>
    <x v="1"/>
    <x v="1"/>
    <x v="2"/>
    <n v="1"/>
    <x v="0"/>
  </r>
  <r>
    <d v="2024-01-31T00:00:00"/>
    <x v="1"/>
    <x v="1"/>
    <x v="0"/>
    <n v="259422"/>
    <x v="1"/>
    <x v="1"/>
    <x v="0"/>
    <x v="0"/>
    <x v="1"/>
    <x v="1"/>
    <x v="1"/>
    <x v="1"/>
    <x v="3"/>
    <n v="31"/>
    <x v="0"/>
  </r>
  <r>
    <d v="2024-01-31T00:00:00"/>
    <x v="0"/>
    <x v="1"/>
    <x v="0"/>
    <n v="8079559.7999999998"/>
    <x v="0"/>
    <x v="1"/>
    <x v="0"/>
    <x v="1"/>
    <x v="1"/>
    <x v="1"/>
    <x v="1"/>
    <x v="1"/>
    <x v="3"/>
    <n v="31"/>
    <x v="0"/>
  </r>
  <r>
    <d v="2024-01-31T00:00:00"/>
    <x v="3"/>
    <x v="2"/>
    <x v="2"/>
    <n v="633214.89"/>
    <x v="3"/>
    <x v="2"/>
    <x v="2"/>
    <x v="5"/>
    <x v="1"/>
    <x v="1"/>
    <x v="1"/>
    <x v="1"/>
    <x v="3"/>
    <n v="31"/>
    <x v="0"/>
  </r>
  <r>
    <d v="2024-01-31T00:00:00"/>
    <x v="2"/>
    <x v="1"/>
    <x v="2"/>
    <n v="793830.54"/>
    <x v="2"/>
    <x v="1"/>
    <x v="2"/>
    <x v="2"/>
    <x v="1"/>
    <x v="1"/>
    <x v="1"/>
    <x v="1"/>
    <x v="3"/>
    <n v="31"/>
    <x v="0"/>
  </r>
  <r>
    <d v="2024-01-31T00:00:00"/>
    <x v="3"/>
    <x v="3"/>
    <x v="0"/>
    <n v="3878612063.2399998"/>
    <x v="3"/>
    <x v="3"/>
    <x v="0"/>
    <x v="6"/>
    <x v="1"/>
    <x v="1"/>
    <x v="1"/>
    <x v="1"/>
    <x v="3"/>
    <n v="31"/>
    <x v="0"/>
  </r>
  <r>
    <d v="2024-01-31T00:00:00"/>
    <x v="2"/>
    <x v="1"/>
    <x v="0"/>
    <n v="92285892.769999996"/>
    <x v="2"/>
    <x v="1"/>
    <x v="0"/>
    <x v="7"/>
    <x v="1"/>
    <x v="1"/>
    <x v="1"/>
    <x v="1"/>
    <x v="3"/>
    <n v="31"/>
    <x v="0"/>
  </r>
  <r>
    <d v="2024-01-31T00:00:00"/>
    <x v="2"/>
    <x v="1"/>
    <x v="1"/>
    <n v="93442171.530000001"/>
    <x v="2"/>
    <x v="1"/>
    <x v="1"/>
    <x v="8"/>
    <x v="1"/>
    <x v="1"/>
    <x v="1"/>
    <x v="1"/>
    <x v="3"/>
    <n v="31"/>
    <x v="0"/>
  </r>
  <r>
    <d v="2024-01-31T00:00:00"/>
    <x v="3"/>
    <x v="3"/>
    <x v="1"/>
    <n v="1947466.83"/>
    <x v="3"/>
    <x v="3"/>
    <x v="1"/>
    <x v="3"/>
    <x v="1"/>
    <x v="1"/>
    <x v="1"/>
    <x v="1"/>
    <x v="3"/>
    <n v="31"/>
    <x v="0"/>
  </r>
  <r>
    <d v="2024-01-31T00:00:00"/>
    <x v="0"/>
    <x v="1"/>
    <x v="1"/>
    <n v="5151168.53"/>
    <x v="0"/>
    <x v="1"/>
    <x v="1"/>
    <x v="4"/>
    <x v="1"/>
    <x v="1"/>
    <x v="1"/>
    <x v="1"/>
    <x v="3"/>
    <n v="31"/>
    <x v="0"/>
  </r>
  <r>
    <d v="2024-01-31T00:00:00"/>
    <x v="1"/>
    <x v="0"/>
    <x v="0"/>
    <n v="167501252.55000001"/>
    <x v="1"/>
    <x v="0"/>
    <x v="0"/>
    <x v="9"/>
    <x v="1"/>
    <x v="1"/>
    <x v="1"/>
    <x v="1"/>
    <x v="3"/>
    <n v="31"/>
    <x v="0"/>
  </r>
  <r>
    <d v="2024-01-31T00:00:00"/>
    <x v="1"/>
    <x v="0"/>
    <x v="1"/>
    <n v="1394563830.8599999"/>
    <x v="1"/>
    <x v="0"/>
    <x v="1"/>
    <x v="10"/>
    <x v="1"/>
    <x v="1"/>
    <x v="1"/>
    <x v="1"/>
    <x v="3"/>
    <n v="31"/>
    <x v="0"/>
  </r>
  <r>
    <d v="2024-01-31T00:00:00"/>
    <x v="3"/>
    <x v="1"/>
    <x v="0"/>
    <n v="15482542.529999999"/>
    <x v="3"/>
    <x v="1"/>
    <x v="0"/>
    <x v="11"/>
    <x v="1"/>
    <x v="1"/>
    <x v="1"/>
    <x v="1"/>
    <x v="3"/>
    <n v="31"/>
    <x v="0"/>
  </r>
  <r>
    <d v="2024-01-31T00:00:00"/>
    <x v="3"/>
    <x v="2"/>
    <x v="0"/>
    <n v="889370496.83000004"/>
    <x v="3"/>
    <x v="2"/>
    <x v="0"/>
    <x v="12"/>
    <x v="1"/>
    <x v="1"/>
    <x v="1"/>
    <x v="1"/>
    <x v="3"/>
    <n v="31"/>
    <x v="0"/>
  </r>
  <r>
    <d v="2024-01-31T00:00:00"/>
    <x v="3"/>
    <x v="2"/>
    <x v="1"/>
    <n v="16356294890.780001"/>
    <x v="3"/>
    <x v="2"/>
    <x v="1"/>
    <x v="13"/>
    <x v="1"/>
    <x v="1"/>
    <x v="1"/>
    <x v="1"/>
    <x v="3"/>
    <n v="31"/>
    <x v="0"/>
  </r>
  <r>
    <d v="2024-01-30T00:00:00"/>
    <x v="1"/>
    <x v="1"/>
    <x v="0"/>
    <n v="1508730.99"/>
    <x v="1"/>
    <x v="1"/>
    <x v="0"/>
    <x v="0"/>
    <x v="1"/>
    <x v="1"/>
    <x v="1"/>
    <x v="1"/>
    <x v="3"/>
    <n v="30"/>
    <x v="0"/>
  </r>
  <r>
    <d v="2024-01-30T00:00:00"/>
    <x v="0"/>
    <x v="1"/>
    <x v="0"/>
    <n v="29102451.57"/>
    <x v="0"/>
    <x v="1"/>
    <x v="0"/>
    <x v="1"/>
    <x v="1"/>
    <x v="1"/>
    <x v="1"/>
    <x v="1"/>
    <x v="3"/>
    <n v="30"/>
    <x v="0"/>
  </r>
  <r>
    <d v="2024-01-30T00:00:00"/>
    <x v="2"/>
    <x v="1"/>
    <x v="2"/>
    <n v="40390.68"/>
    <x v="2"/>
    <x v="1"/>
    <x v="2"/>
    <x v="2"/>
    <x v="1"/>
    <x v="1"/>
    <x v="1"/>
    <x v="1"/>
    <x v="3"/>
    <n v="30"/>
    <x v="0"/>
  </r>
  <r>
    <d v="2024-01-30T00:00:00"/>
    <x v="3"/>
    <x v="3"/>
    <x v="0"/>
    <n v="1948735258.6199999"/>
    <x v="3"/>
    <x v="3"/>
    <x v="0"/>
    <x v="5"/>
    <x v="1"/>
    <x v="1"/>
    <x v="1"/>
    <x v="1"/>
    <x v="3"/>
    <n v="30"/>
    <x v="0"/>
  </r>
  <r>
    <d v="2024-01-30T00:00:00"/>
    <x v="2"/>
    <x v="1"/>
    <x v="0"/>
    <n v="91829796.840000004"/>
    <x v="2"/>
    <x v="1"/>
    <x v="0"/>
    <x v="6"/>
    <x v="1"/>
    <x v="1"/>
    <x v="1"/>
    <x v="1"/>
    <x v="3"/>
    <n v="30"/>
    <x v="0"/>
  </r>
  <r>
    <d v="2024-01-30T00:00:00"/>
    <x v="2"/>
    <x v="1"/>
    <x v="1"/>
    <n v="175646069.38999999"/>
    <x v="2"/>
    <x v="1"/>
    <x v="1"/>
    <x v="7"/>
    <x v="1"/>
    <x v="1"/>
    <x v="1"/>
    <x v="1"/>
    <x v="3"/>
    <n v="30"/>
    <x v="0"/>
  </r>
  <r>
    <d v="2024-01-30T00:00:00"/>
    <x v="0"/>
    <x v="1"/>
    <x v="1"/>
    <n v="4835107.58"/>
    <x v="0"/>
    <x v="1"/>
    <x v="1"/>
    <x v="3"/>
    <x v="1"/>
    <x v="1"/>
    <x v="1"/>
    <x v="1"/>
    <x v="3"/>
    <n v="30"/>
    <x v="0"/>
  </r>
  <r>
    <d v="2024-01-30T00:00:00"/>
    <x v="1"/>
    <x v="0"/>
    <x v="0"/>
    <n v="83304686.450000003"/>
    <x v="1"/>
    <x v="0"/>
    <x v="0"/>
    <x v="8"/>
    <x v="1"/>
    <x v="1"/>
    <x v="1"/>
    <x v="1"/>
    <x v="3"/>
    <n v="30"/>
    <x v="0"/>
  </r>
  <r>
    <d v="2024-01-30T00:00:00"/>
    <x v="3"/>
    <x v="2"/>
    <x v="2"/>
    <n v="330191"/>
    <x v="3"/>
    <x v="2"/>
    <x v="2"/>
    <x v="4"/>
    <x v="1"/>
    <x v="1"/>
    <x v="1"/>
    <x v="1"/>
    <x v="3"/>
    <n v="30"/>
    <x v="0"/>
  </r>
  <r>
    <d v="2024-01-30T00:00:00"/>
    <x v="1"/>
    <x v="0"/>
    <x v="1"/>
    <n v="694215239.24000001"/>
    <x v="1"/>
    <x v="0"/>
    <x v="1"/>
    <x v="9"/>
    <x v="1"/>
    <x v="1"/>
    <x v="1"/>
    <x v="1"/>
    <x v="3"/>
    <n v="30"/>
    <x v="0"/>
  </r>
  <r>
    <d v="2024-01-30T00:00:00"/>
    <x v="3"/>
    <x v="1"/>
    <x v="0"/>
    <n v="12101498.51"/>
    <x v="3"/>
    <x v="1"/>
    <x v="0"/>
    <x v="10"/>
    <x v="1"/>
    <x v="1"/>
    <x v="1"/>
    <x v="1"/>
    <x v="3"/>
    <n v="30"/>
    <x v="0"/>
  </r>
  <r>
    <d v="2024-01-30T00:00:00"/>
    <x v="3"/>
    <x v="2"/>
    <x v="0"/>
    <n v="810495146.94000006"/>
    <x v="3"/>
    <x v="2"/>
    <x v="0"/>
    <x v="11"/>
    <x v="1"/>
    <x v="1"/>
    <x v="1"/>
    <x v="1"/>
    <x v="3"/>
    <n v="30"/>
    <x v="0"/>
  </r>
  <r>
    <d v="2024-01-30T00:00:00"/>
    <x v="3"/>
    <x v="2"/>
    <x v="1"/>
    <n v="3831666609.4099998"/>
    <x v="3"/>
    <x v="2"/>
    <x v="1"/>
    <x v="12"/>
    <x v="1"/>
    <x v="1"/>
    <x v="1"/>
    <x v="1"/>
    <x v="3"/>
    <n v="30"/>
    <x v="0"/>
  </r>
  <r>
    <d v="2024-01-29T00:00:00"/>
    <x v="0"/>
    <x v="1"/>
    <x v="0"/>
    <n v="18108212.579999998"/>
    <x v="0"/>
    <x v="1"/>
    <x v="0"/>
    <x v="0"/>
    <x v="1"/>
    <x v="1"/>
    <x v="1"/>
    <x v="1"/>
    <x v="3"/>
    <n v="29"/>
    <x v="0"/>
  </r>
  <r>
    <d v="2024-01-29T00:00:00"/>
    <x v="2"/>
    <x v="1"/>
    <x v="2"/>
    <n v="39406.629999999997"/>
    <x v="2"/>
    <x v="1"/>
    <x v="2"/>
    <x v="1"/>
    <x v="1"/>
    <x v="1"/>
    <x v="1"/>
    <x v="1"/>
    <x v="3"/>
    <n v="29"/>
    <x v="0"/>
  </r>
  <r>
    <d v="2024-01-29T00:00:00"/>
    <x v="2"/>
    <x v="1"/>
    <x v="0"/>
    <n v="92754283.700000003"/>
    <x v="2"/>
    <x v="1"/>
    <x v="0"/>
    <x v="7"/>
    <x v="1"/>
    <x v="1"/>
    <x v="1"/>
    <x v="1"/>
    <x v="3"/>
    <n v="29"/>
    <x v="0"/>
  </r>
  <r>
    <d v="2024-01-29T00:00:00"/>
    <x v="3"/>
    <x v="3"/>
    <x v="1"/>
    <n v="907956.09"/>
    <x v="3"/>
    <x v="3"/>
    <x v="1"/>
    <x v="2"/>
    <x v="1"/>
    <x v="1"/>
    <x v="1"/>
    <x v="1"/>
    <x v="3"/>
    <n v="29"/>
    <x v="0"/>
  </r>
  <r>
    <d v="2024-01-29T00:00:00"/>
    <x v="0"/>
    <x v="1"/>
    <x v="1"/>
    <n v="8939922.2799999993"/>
    <x v="0"/>
    <x v="1"/>
    <x v="1"/>
    <x v="3"/>
    <x v="1"/>
    <x v="1"/>
    <x v="1"/>
    <x v="1"/>
    <x v="3"/>
    <n v="29"/>
    <x v="0"/>
  </r>
  <r>
    <d v="2024-01-29T00:00:00"/>
    <x v="1"/>
    <x v="1"/>
    <x v="0"/>
    <n v="51409.279999999999"/>
    <x v="1"/>
    <x v="1"/>
    <x v="0"/>
    <x v="4"/>
    <x v="1"/>
    <x v="1"/>
    <x v="1"/>
    <x v="1"/>
    <x v="3"/>
    <n v="29"/>
    <x v="0"/>
  </r>
  <r>
    <d v="2024-01-29T00:00:00"/>
    <x v="3"/>
    <x v="2"/>
    <x v="2"/>
    <n v="163864.32999999999"/>
    <x v="3"/>
    <x v="2"/>
    <x v="2"/>
    <x v="5"/>
    <x v="1"/>
    <x v="1"/>
    <x v="1"/>
    <x v="1"/>
    <x v="3"/>
    <n v="29"/>
    <x v="0"/>
  </r>
  <r>
    <d v="2024-01-29T00:00:00"/>
    <x v="3"/>
    <x v="3"/>
    <x v="0"/>
    <n v="1708887854.8299999"/>
    <x v="3"/>
    <x v="3"/>
    <x v="0"/>
    <x v="6"/>
    <x v="1"/>
    <x v="1"/>
    <x v="1"/>
    <x v="1"/>
    <x v="3"/>
    <n v="29"/>
    <x v="0"/>
  </r>
  <r>
    <d v="2024-01-29T00:00:00"/>
    <x v="2"/>
    <x v="1"/>
    <x v="1"/>
    <n v="257396043.24000001"/>
    <x v="2"/>
    <x v="1"/>
    <x v="1"/>
    <x v="8"/>
    <x v="1"/>
    <x v="1"/>
    <x v="1"/>
    <x v="1"/>
    <x v="3"/>
    <n v="29"/>
    <x v="0"/>
  </r>
  <r>
    <d v="2024-01-29T00:00:00"/>
    <x v="1"/>
    <x v="0"/>
    <x v="0"/>
    <n v="51903685.810000002"/>
    <x v="1"/>
    <x v="0"/>
    <x v="0"/>
    <x v="9"/>
    <x v="1"/>
    <x v="1"/>
    <x v="1"/>
    <x v="1"/>
    <x v="3"/>
    <n v="29"/>
    <x v="0"/>
  </r>
  <r>
    <d v="2024-01-29T00:00:00"/>
    <x v="1"/>
    <x v="0"/>
    <x v="1"/>
    <n v="1929358948.8299999"/>
    <x v="1"/>
    <x v="0"/>
    <x v="1"/>
    <x v="10"/>
    <x v="1"/>
    <x v="1"/>
    <x v="1"/>
    <x v="1"/>
    <x v="3"/>
    <n v="29"/>
    <x v="0"/>
  </r>
  <r>
    <d v="2024-01-29T00:00:00"/>
    <x v="3"/>
    <x v="1"/>
    <x v="0"/>
    <n v="47480189.710000001"/>
    <x v="3"/>
    <x v="1"/>
    <x v="0"/>
    <x v="11"/>
    <x v="1"/>
    <x v="1"/>
    <x v="1"/>
    <x v="1"/>
    <x v="3"/>
    <n v="29"/>
    <x v="0"/>
  </r>
  <r>
    <d v="2024-01-29T00:00:00"/>
    <x v="3"/>
    <x v="2"/>
    <x v="0"/>
    <n v="916344921.45000005"/>
    <x v="3"/>
    <x v="2"/>
    <x v="0"/>
    <x v="12"/>
    <x v="1"/>
    <x v="1"/>
    <x v="1"/>
    <x v="1"/>
    <x v="3"/>
    <n v="29"/>
    <x v="0"/>
  </r>
  <r>
    <d v="2024-01-29T00:00:00"/>
    <x v="3"/>
    <x v="2"/>
    <x v="1"/>
    <n v="25617727952.290001"/>
    <x v="3"/>
    <x v="2"/>
    <x v="1"/>
    <x v="13"/>
    <x v="1"/>
    <x v="1"/>
    <x v="1"/>
    <x v="1"/>
    <x v="3"/>
    <n v="29"/>
    <x v="0"/>
  </r>
  <r>
    <d v="2024-01-26T00:00:00"/>
    <x v="0"/>
    <x v="0"/>
    <x v="0"/>
    <n v="348.53"/>
    <x v="0"/>
    <x v="0"/>
    <x v="0"/>
    <x v="0"/>
    <x v="1"/>
    <x v="1"/>
    <x v="1"/>
    <x v="1"/>
    <x v="3"/>
    <n v="26"/>
    <x v="0"/>
  </r>
  <r>
    <d v="2024-01-26T00:00:00"/>
    <x v="1"/>
    <x v="1"/>
    <x v="0"/>
    <n v="149248.98000000001"/>
    <x v="1"/>
    <x v="1"/>
    <x v="0"/>
    <x v="1"/>
    <x v="1"/>
    <x v="1"/>
    <x v="1"/>
    <x v="1"/>
    <x v="3"/>
    <n v="26"/>
    <x v="0"/>
  </r>
  <r>
    <d v="2024-01-26T00:00:00"/>
    <x v="0"/>
    <x v="1"/>
    <x v="0"/>
    <n v="18744159.469999999"/>
    <x v="0"/>
    <x v="1"/>
    <x v="0"/>
    <x v="2"/>
    <x v="1"/>
    <x v="1"/>
    <x v="1"/>
    <x v="1"/>
    <x v="3"/>
    <n v="26"/>
    <x v="0"/>
  </r>
  <r>
    <d v="2024-01-26T00:00:00"/>
    <x v="3"/>
    <x v="2"/>
    <x v="2"/>
    <n v="347765.32"/>
    <x v="3"/>
    <x v="2"/>
    <x v="2"/>
    <x v="6"/>
    <x v="1"/>
    <x v="1"/>
    <x v="1"/>
    <x v="1"/>
    <x v="3"/>
    <n v="26"/>
    <x v="0"/>
  </r>
  <r>
    <d v="2024-01-26T00:00:00"/>
    <x v="3"/>
    <x v="3"/>
    <x v="2"/>
    <n v="25"/>
    <x v="3"/>
    <x v="3"/>
    <x v="2"/>
    <x v="3"/>
    <x v="1"/>
    <x v="1"/>
    <x v="1"/>
    <x v="1"/>
    <x v="3"/>
    <n v="26"/>
    <x v="0"/>
  </r>
  <r>
    <d v="2024-01-26T00:00:00"/>
    <x v="3"/>
    <x v="3"/>
    <x v="0"/>
    <n v="1122941330.9200001"/>
    <x v="3"/>
    <x v="3"/>
    <x v="0"/>
    <x v="7"/>
    <x v="1"/>
    <x v="1"/>
    <x v="1"/>
    <x v="1"/>
    <x v="3"/>
    <n v="26"/>
    <x v="0"/>
  </r>
  <r>
    <d v="2024-01-26T00:00:00"/>
    <x v="2"/>
    <x v="1"/>
    <x v="0"/>
    <n v="97050215.870000005"/>
    <x v="2"/>
    <x v="1"/>
    <x v="0"/>
    <x v="8"/>
    <x v="1"/>
    <x v="1"/>
    <x v="1"/>
    <x v="1"/>
    <x v="3"/>
    <n v="26"/>
    <x v="0"/>
  </r>
  <r>
    <d v="2024-01-26T00:00:00"/>
    <x v="2"/>
    <x v="1"/>
    <x v="2"/>
    <n v="25681.200000000001"/>
    <x v="2"/>
    <x v="1"/>
    <x v="2"/>
    <x v="5"/>
    <x v="1"/>
    <x v="1"/>
    <x v="1"/>
    <x v="1"/>
    <x v="3"/>
    <n v="26"/>
    <x v="0"/>
  </r>
  <r>
    <d v="2024-01-26T00:00:00"/>
    <x v="2"/>
    <x v="1"/>
    <x v="1"/>
    <n v="87814623.209999993"/>
    <x v="2"/>
    <x v="1"/>
    <x v="1"/>
    <x v="9"/>
    <x v="1"/>
    <x v="1"/>
    <x v="1"/>
    <x v="1"/>
    <x v="3"/>
    <n v="26"/>
    <x v="0"/>
  </r>
  <r>
    <d v="2024-01-26T00:00:00"/>
    <x v="0"/>
    <x v="1"/>
    <x v="1"/>
    <n v="14130505.85"/>
    <x v="0"/>
    <x v="1"/>
    <x v="1"/>
    <x v="4"/>
    <x v="1"/>
    <x v="1"/>
    <x v="1"/>
    <x v="1"/>
    <x v="3"/>
    <n v="26"/>
    <x v="0"/>
  </r>
  <r>
    <d v="2024-01-26T00:00:00"/>
    <x v="1"/>
    <x v="0"/>
    <x v="0"/>
    <n v="72302680.189999998"/>
    <x v="1"/>
    <x v="0"/>
    <x v="0"/>
    <x v="10"/>
    <x v="1"/>
    <x v="1"/>
    <x v="1"/>
    <x v="1"/>
    <x v="3"/>
    <n v="26"/>
    <x v="0"/>
  </r>
  <r>
    <d v="2024-01-26T00:00:00"/>
    <x v="1"/>
    <x v="0"/>
    <x v="1"/>
    <n v="2787584499.8400002"/>
    <x v="1"/>
    <x v="0"/>
    <x v="1"/>
    <x v="11"/>
    <x v="1"/>
    <x v="1"/>
    <x v="1"/>
    <x v="1"/>
    <x v="3"/>
    <n v="26"/>
    <x v="0"/>
  </r>
  <r>
    <d v="2024-01-26T00:00:00"/>
    <x v="3"/>
    <x v="1"/>
    <x v="0"/>
    <n v="13991802.68"/>
    <x v="3"/>
    <x v="1"/>
    <x v="0"/>
    <x v="12"/>
    <x v="1"/>
    <x v="1"/>
    <x v="1"/>
    <x v="1"/>
    <x v="3"/>
    <n v="26"/>
    <x v="0"/>
  </r>
  <r>
    <d v="2024-01-26T00:00:00"/>
    <x v="3"/>
    <x v="2"/>
    <x v="1"/>
    <n v="9824909878.2299995"/>
    <x v="3"/>
    <x v="2"/>
    <x v="1"/>
    <x v="13"/>
    <x v="1"/>
    <x v="1"/>
    <x v="1"/>
    <x v="1"/>
    <x v="3"/>
    <n v="26"/>
    <x v="0"/>
  </r>
  <r>
    <d v="2024-01-26T00:00:00"/>
    <x v="3"/>
    <x v="2"/>
    <x v="0"/>
    <n v="701755490.03999996"/>
    <x v="3"/>
    <x v="2"/>
    <x v="0"/>
    <x v="14"/>
    <x v="1"/>
    <x v="1"/>
    <x v="1"/>
    <x v="1"/>
    <x v="3"/>
    <n v="26"/>
    <x v="0"/>
  </r>
  <r>
    <d v="2024-01-25T00:00:00"/>
    <x v="0"/>
    <x v="0"/>
    <x v="0"/>
    <n v="1669.77"/>
    <x v="0"/>
    <x v="0"/>
    <x v="0"/>
    <x v="0"/>
    <x v="1"/>
    <x v="1"/>
    <x v="1"/>
    <x v="1"/>
    <x v="3"/>
    <n v="25"/>
    <x v="0"/>
  </r>
  <r>
    <d v="2024-01-25T00:00:00"/>
    <x v="1"/>
    <x v="1"/>
    <x v="0"/>
    <n v="580118.22"/>
    <x v="1"/>
    <x v="1"/>
    <x v="0"/>
    <x v="1"/>
    <x v="1"/>
    <x v="1"/>
    <x v="1"/>
    <x v="1"/>
    <x v="3"/>
    <n v="25"/>
    <x v="0"/>
  </r>
  <r>
    <d v="2024-01-25T00:00:00"/>
    <x v="0"/>
    <x v="1"/>
    <x v="0"/>
    <n v="10597851.5"/>
    <x v="0"/>
    <x v="1"/>
    <x v="0"/>
    <x v="2"/>
    <x v="1"/>
    <x v="1"/>
    <x v="1"/>
    <x v="1"/>
    <x v="3"/>
    <n v="25"/>
    <x v="0"/>
  </r>
  <r>
    <d v="2024-01-25T00:00:00"/>
    <x v="3"/>
    <x v="2"/>
    <x v="2"/>
    <n v="215262.72"/>
    <x v="3"/>
    <x v="2"/>
    <x v="2"/>
    <x v="6"/>
    <x v="1"/>
    <x v="1"/>
    <x v="1"/>
    <x v="1"/>
    <x v="3"/>
    <n v="25"/>
    <x v="0"/>
  </r>
  <r>
    <d v="2024-01-25T00:00:00"/>
    <x v="2"/>
    <x v="1"/>
    <x v="2"/>
    <n v="44945"/>
    <x v="2"/>
    <x v="1"/>
    <x v="2"/>
    <x v="3"/>
    <x v="1"/>
    <x v="1"/>
    <x v="1"/>
    <x v="1"/>
    <x v="3"/>
    <n v="25"/>
    <x v="0"/>
  </r>
  <r>
    <d v="2024-01-25T00:00:00"/>
    <x v="2"/>
    <x v="1"/>
    <x v="0"/>
    <n v="111110821.45999999"/>
    <x v="2"/>
    <x v="1"/>
    <x v="0"/>
    <x v="7"/>
    <x v="1"/>
    <x v="1"/>
    <x v="1"/>
    <x v="1"/>
    <x v="3"/>
    <n v="25"/>
    <x v="0"/>
  </r>
  <r>
    <d v="2024-01-25T00:00:00"/>
    <x v="3"/>
    <x v="3"/>
    <x v="0"/>
    <n v="1613336601.02"/>
    <x v="3"/>
    <x v="3"/>
    <x v="0"/>
    <x v="8"/>
    <x v="1"/>
    <x v="1"/>
    <x v="1"/>
    <x v="1"/>
    <x v="3"/>
    <n v="25"/>
    <x v="0"/>
  </r>
  <r>
    <d v="2024-01-25T00:00:00"/>
    <x v="2"/>
    <x v="1"/>
    <x v="1"/>
    <n v="107886693.17"/>
    <x v="2"/>
    <x v="1"/>
    <x v="1"/>
    <x v="9"/>
    <x v="1"/>
    <x v="1"/>
    <x v="1"/>
    <x v="1"/>
    <x v="3"/>
    <n v="25"/>
    <x v="0"/>
  </r>
  <r>
    <d v="2024-01-25T00:00:00"/>
    <x v="3"/>
    <x v="3"/>
    <x v="1"/>
    <n v="161157.85999999999"/>
    <x v="3"/>
    <x v="3"/>
    <x v="1"/>
    <x v="4"/>
    <x v="1"/>
    <x v="1"/>
    <x v="1"/>
    <x v="1"/>
    <x v="3"/>
    <n v="25"/>
    <x v="0"/>
  </r>
  <r>
    <d v="2024-01-25T00:00:00"/>
    <x v="0"/>
    <x v="1"/>
    <x v="1"/>
    <n v="1120158.68"/>
    <x v="0"/>
    <x v="1"/>
    <x v="1"/>
    <x v="5"/>
    <x v="1"/>
    <x v="1"/>
    <x v="1"/>
    <x v="1"/>
    <x v="3"/>
    <n v="25"/>
    <x v="0"/>
  </r>
  <r>
    <d v="2024-01-25T00:00:00"/>
    <x v="1"/>
    <x v="0"/>
    <x v="0"/>
    <n v="92342533.549999997"/>
    <x v="1"/>
    <x v="0"/>
    <x v="0"/>
    <x v="10"/>
    <x v="1"/>
    <x v="1"/>
    <x v="1"/>
    <x v="1"/>
    <x v="3"/>
    <n v="25"/>
    <x v="0"/>
  </r>
  <r>
    <d v="2024-01-25T00:00:00"/>
    <x v="1"/>
    <x v="0"/>
    <x v="1"/>
    <n v="3884371609.7800002"/>
    <x v="1"/>
    <x v="0"/>
    <x v="1"/>
    <x v="11"/>
    <x v="1"/>
    <x v="1"/>
    <x v="1"/>
    <x v="1"/>
    <x v="3"/>
    <n v="25"/>
    <x v="0"/>
  </r>
  <r>
    <d v="2024-01-25T00:00:00"/>
    <x v="3"/>
    <x v="1"/>
    <x v="0"/>
    <n v="13939667.779999999"/>
    <x v="3"/>
    <x v="1"/>
    <x v="0"/>
    <x v="12"/>
    <x v="1"/>
    <x v="1"/>
    <x v="1"/>
    <x v="1"/>
    <x v="3"/>
    <n v="25"/>
    <x v="0"/>
  </r>
  <r>
    <d v="2024-01-25T00:00:00"/>
    <x v="3"/>
    <x v="2"/>
    <x v="1"/>
    <n v="4131231979.98"/>
    <x v="3"/>
    <x v="2"/>
    <x v="1"/>
    <x v="13"/>
    <x v="1"/>
    <x v="1"/>
    <x v="1"/>
    <x v="1"/>
    <x v="3"/>
    <n v="25"/>
    <x v="0"/>
  </r>
  <r>
    <d v="2024-01-25T00:00:00"/>
    <x v="3"/>
    <x v="2"/>
    <x v="0"/>
    <n v="477399606.25"/>
    <x v="3"/>
    <x v="2"/>
    <x v="0"/>
    <x v="14"/>
    <x v="1"/>
    <x v="1"/>
    <x v="1"/>
    <x v="1"/>
    <x v="3"/>
    <n v="25"/>
    <x v="0"/>
  </r>
  <r>
    <d v="2024-01-24T00:00:00"/>
    <x v="0"/>
    <x v="0"/>
    <x v="0"/>
    <n v="2960"/>
    <x v="0"/>
    <x v="0"/>
    <x v="0"/>
    <x v="0"/>
    <x v="1"/>
    <x v="1"/>
    <x v="1"/>
    <x v="1"/>
    <x v="3"/>
    <n v="24"/>
    <x v="0"/>
  </r>
  <r>
    <d v="2024-01-24T00:00:00"/>
    <x v="1"/>
    <x v="1"/>
    <x v="0"/>
    <n v="49209.2"/>
    <x v="1"/>
    <x v="1"/>
    <x v="0"/>
    <x v="1"/>
    <x v="1"/>
    <x v="1"/>
    <x v="1"/>
    <x v="1"/>
    <x v="3"/>
    <n v="24"/>
    <x v="0"/>
  </r>
  <r>
    <d v="2024-01-24T00:00:00"/>
    <x v="0"/>
    <x v="1"/>
    <x v="0"/>
    <n v="14591568.449999999"/>
    <x v="0"/>
    <x v="1"/>
    <x v="0"/>
    <x v="2"/>
    <x v="1"/>
    <x v="1"/>
    <x v="1"/>
    <x v="1"/>
    <x v="3"/>
    <n v="24"/>
    <x v="0"/>
  </r>
  <r>
    <d v="2024-01-24T00:00:00"/>
    <x v="2"/>
    <x v="1"/>
    <x v="2"/>
    <n v="43368.14"/>
    <x v="2"/>
    <x v="1"/>
    <x v="2"/>
    <x v="3"/>
    <x v="1"/>
    <x v="1"/>
    <x v="1"/>
    <x v="1"/>
    <x v="3"/>
    <n v="24"/>
    <x v="0"/>
  </r>
  <r>
    <d v="2024-01-24T00:00:00"/>
    <x v="2"/>
    <x v="1"/>
    <x v="0"/>
    <n v="74957473.510000005"/>
    <x v="2"/>
    <x v="1"/>
    <x v="0"/>
    <x v="7"/>
    <x v="1"/>
    <x v="1"/>
    <x v="1"/>
    <x v="1"/>
    <x v="3"/>
    <n v="24"/>
    <x v="0"/>
  </r>
  <r>
    <d v="2024-01-24T00:00:00"/>
    <x v="3"/>
    <x v="3"/>
    <x v="1"/>
    <n v="134326.85"/>
    <x v="3"/>
    <x v="3"/>
    <x v="1"/>
    <x v="4"/>
    <x v="1"/>
    <x v="1"/>
    <x v="1"/>
    <x v="1"/>
    <x v="3"/>
    <n v="24"/>
    <x v="0"/>
  </r>
  <r>
    <d v="2024-01-24T00:00:00"/>
    <x v="0"/>
    <x v="1"/>
    <x v="1"/>
    <n v="3552872.25"/>
    <x v="0"/>
    <x v="1"/>
    <x v="1"/>
    <x v="5"/>
    <x v="1"/>
    <x v="1"/>
    <x v="1"/>
    <x v="1"/>
    <x v="3"/>
    <n v="24"/>
    <x v="0"/>
  </r>
  <r>
    <d v="2024-01-24T00:00:00"/>
    <x v="3"/>
    <x v="2"/>
    <x v="2"/>
    <n v="375130.2"/>
    <x v="3"/>
    <x v="2"/>
    <x v="2"/>
    <x v="6"/>
    <x v="1"/>
    <x v="1"/>
    <x v="1"/>
    <x v="1"/>
    <x v="3"/>
    <n v="24"/>
    <x v="0"/>
  </r>
  <r>
    <d v="2024-01-24T00:00:00"/>
    <x v="3"/>
    <x v="3"/>
    <x v="0"/>
    <n v="3621453748.0999999"/>
    <x v="3"/>
    <x v="3"/>
    <x v="0"/>
    <x v="8"/>
    <x v="1"/>
    <x v="1"/>
    <x v="1"/>
    <x v="1"/>
    <x v="3"/>
    <n v="24"/>
    <x v="0"/>
  </r>
  <r>
    <d v="2024-01-24T00:00:00"/>
    <x v="2"/>
    <x v="1"/>
    <x v="1"/>
    <n v="234915210.49000001"/>
    <x v="2"/>
    <x v="1"/>
    <x v="1"/>
    <x v="9"/>
    <x v="1"/>
    <x v="1"/>
    <x v="1"/>
    <x v="1"/>
    <x v="3"/>
    <n v="24"/>
    <x v="0"/>
  </r>
  <r>
    <d v="2024-01-24T00:00:00"/>
    <x v="1"/>
    <x v="0"/>
    <x v="0"/>
    <n v="94284596"/>
    <x v="1"/>
    <x v="0"/>
    <x v="0"/>
    <x v="10"/>
    <x v="1"/>
    <x v="1"/>
    <x v="1"/>
    <x v="1"/>
    <x v="3"/>
    <n v="24"/>
    <x v="0"/>
  </r>
  <r>
    <d v="2024-01-24T00:00:00"/>
    <x v="1"/>
    <x v="0"/>
    <x v="1"/>
    <n v="12894490593.309999"/>
    <x v="1"/>
    <x v="0"/>
    <x v="1"/>
    <x v="11"/>
    <x v="1"/>
    <x v="1"/>
    <x v="1"/>
    <x v="1"/>
    <x v="3"/>
    <n v="24"/>
    <x v="0"/>
  </r>
  <r>
    <d v="2024-01-24T00:00:00"/>
    <x v="3"/>
    <x v="1"/>
    <x v="0"/>
    <n v="16575781.73"/>
    <x v="3"/>
    <x v="1"/>
    <x v="0"/>
    <x v="12"/>
    <x v="1"/>
    <x v="1"/>
    <x v="1"/>
    <x v="1"/>
    <x v="3"/>
    <n v="24"/>
    <x v="0"/>
  </r>
  <r>
    <d v="2024-01-24T00:00:00"/>
    <x v="3"/>
    <x v="2"/>
    <x v="1"/>
    <n v="13725876662.280001"/>
    <x v="3"/>
    <x v="2"/>
    <x v="1"/>
    <x v="13"/>
    <x v="1"/>
    <x v="1"/>
    <x v="1"/>
    <x v="1"/>
    <x v="3"/>
    <n v="24"/>
    <x v="0"/>
  </r>
  <r>
    <d v="2024-01-24T00:00:00"/>
    <x v="3"/>
    <x v="2"/>
    <x v="0"/>
    <n v="5206893696.3000002"/>
    <x v="3"/>
    <x v="2"/>
    <x v="0"/>
    <x v="14"/>
    <x v="1"/>
    <x v="1"/>
    <x v="1"/>
    <x v="1"/>
    <x v="3"/>
    <n v="24"/>
    <x v="0"/>
  </r>
  <r>
    <d v="2024-01-23T00:00:00"/>
    <x v="0"/>
    <x v="0"/>
    <x v="0"/>
    <n v="1044.4000000000001"/>
    <x v="0"/>
    <x v="0"/>
    <x v="0"/>
    <x v="0"/>
    <x v="1"/>
    <x v="1"/>
    <x v="1"/>
    <x v="1"/>
    <x v="3"/>
    <n v="23"/>
    <x v="0"/>
  </r>
  <r>
    <d v="2024-01-23T00:00:00"/>
    <x v="1"/>
    <x v="1"/>
    <x v="0"/>
    <n v="21024.16"/>
    <x v="1"/>
    <x v="1"/>
    <x v="0"/>
    <x v="1"/>
    <x v="1"/>
    <x v="1"/>
    <x v="1"/>
    <x v="1"/>
    <x v="3"/>
    <n v="23"/>
    <x v="0"/>
  </r>
  <r>
    <d v="2024-01-23T00:00:00"/>
    <x v="0"/>
    <x v="1"/>
    <x v="0"/>
    <n v="9524456.8100000005"/>
    <x v="0"/>
    <x v="1"/>
    <x v="0"/>
    <x v="2"/>
    <x v="1"/>
    <x v="1"/>
    <x v="1"/>
    <x v="1"/>
    <x v="3"/>
    <n v="23"/>
    <x v="0"/>
  </r>
  <r>
    <d v="2024-01-23T00:00:00"/>
    <x v="3"/>
    <x v="2"/>
    <x v="2"/>
    <n v="355707.5"/>
    <x v="3"/>
    <x v="2"/>
    <x v="2"/>
    <x v="7"/>
    <x v="1"/>
    <x v="1"/>
    <x v="1"/>
    <x v="1"/>
    <x v="3"/>
    <n v="23"/>
    <x v="0"/>
  </r>
  <r>
    <d v="2024-01-23T00:00:00"/>
    <x v="3"/>
    <x v="3"/>
    <x v="2"/>
    <n v="18.5"/>
    <x v="3"/>
    <x v="3"/>
    <x v="2"/>
    <x v="3"/>
    <x v="1"/>
    <x v="1"/>
    <x v="1"/>
    <x v="1"/>
    <x v="3"/>
    <n v="23"/>
    <x v="0"/>
  </r>
  <r>
    <d v="2024-01-23T00:00:00"/>
    <x v="2"/>
    <x v="1"/>
    <x v="2"/>
    <n v="524616.69999999995"/>
    <x v="2"/>
    <x v="1"/>
    <x v="2"/>
    <x v="4"/>
    <x v="1"/>
    <x v="1"/>
    <x v="1"/>
    <x v="1"/>
    <x v="3"/>
    <n v="23"/>
    <x v="0"/>
  </r>
  <r>
    <d v="2024-01-23T00:00:00"/>
    <x v="2"/>
    <x v="1"/>
    <x v="0"/>
    <n v="82620878.890000001"/>
    <x v="2"/>
    <x v="1"/>
    <x v="0"/>
    <x v="8"/>
    <x v="1"/>
    <x v="1"/>
    <x v="1"/>
    <x v="1"/>
    <x v="3"/>
    <n v="23"/>
    <x v="0"/>
  </r>
  <r>
    <d v="2024-01-23T00:00:00"/>
    <x v="3"/>
    <x v="3"/>
    <x v="0"/>
    <n v="1642549223.74"/>
    <x v="3"/>
    <x v="3"/>
    <x v="0"/>
    <x v="9"/>
    <x v="1"/>
    <x v="1"/>
    <x v="1"/>
    <x v="1"/>
    <x v="3"/>
    <n v="23"/>
    <x v="0"/>
  </r>
  <r>
    <d v="2024-01-23T00:00:00"/>
    <x v="2"/>
    <x v="1"/>
    <x v="1"/>
    <n v="217362386.56999999"/>
    <x v="2"/>
    <x v="1"/>
    <x v="1"/>
    <x v="10"/>
    <x v="1"/>
    <x v="1"/>
    <x v="1"/>
    <x v="1"/>
    <x v="3"/>
    <n v="23"/>
    <x v="0"/>
  </r>
  <r>
    <d v="2024-01-23T00:00:00"/>
    <x v="3"/>
    <x v="3"/>
    <x v="1"/>
    <n v="116957.48"/>
    <x v="3"/>
    <x v="3"/>
    <x v="1"/>
    <x v="5"/>
    <x v="1"/>
    <x v="1"/>
    <x v="1"/>
    <x v="1"/>
    <x v="3"/>
    <n v="23"/>
    <x v="0"/>
  </r>
  <r>
    <d v="2024-01-23T00:00:00"/>
    <x v="0"/>
    <x v="1"/>
    <x v="1"/>
    <n v="4543787.4400000004"/>
    <x v="0"/>
    <x v="1"/>
    <x v="1"/>
    <x v="6"/>
    <x v="1"/>
    <x v="1"/>
    <x v="1"/>
    <x v="1"/>
    <x v="3"/>
    <n v="23"/>
    <x v="0"/>
  </r>
  <r>
    <d v="2024-01-23T00:00:00"/>
    <x v="1"/>
    <x v="0"/>
    <x v="0"/>
    <n v="88098686.200000003"/>
    <x v="1"/>
    <x v="0"/>
    <x v="0"/>
    <x v="11"/>
    <x v="1"/>
    <x v="1"/>
    <x v="1"/>
    <x v="1"/>
    <x v="3"/>
    <n v="23"/>
    <x v="0"/>
  </r>
  <r>
    <d v="2024-01-23T00:00:00"/>
    <x v="1"/>
    <x v="0"/>
    <x v="1"/>
    <n v="6230193565.2600002"/>
    <x v="1"/>
    <x v="0"/>
    <x v="1"/>
    <x v="12"/>
    <x v="1"/>
    <x v="1"/>
    <x v="1"/>
    <x v="1"/>
    <x v="3"/>
    <n v="23"/>
    <x v="0"/>
  </r>
  <r>
    <d v="2024-01-23T00:00:00"/>
    <x v="3"/>
    <x v="1"/>
    <x v="0"/>
    <n v="11931322.279999999"/>
    <x v="3"/>
    <x v="1"/>
    <x v="0"/>
    <x v="13"/>
    <x v="1"/>
    <x v="1"/>
    <x v="1"/>
    <x v="1"/>
    <x v="3"/>
    <n v="23"/>
    <x v="0"/>
  </r>
  <r>
    <d v="2024-01-23T00:00:00"/>
    <x v="3"/>
    <x v="2"/>
    <x v="1"/>
    <n v="4100466951.77"/>
    <x v="3"/>
    <x v="2"/>
    <x v="1"/>
    <x v="14"/>
    <x v="1"/>
    <x v="1"/>
    <x v="1"/>
    <x v="1"/>
    <x v="3"/>
    <n v="23"/>
    <x v="0"/>
  </r>
  <r>
    <d v="2024-01-23T00:00:00"/>
    <x v="3"/>
    <x v="2"/>
    <x v="0"/>
    <n v="771030916.71000004"/>
    <x v="3"/>
    <x v="2"/>
    <x v="0"/>
    <x v="15"/>
    <x v="1"/>
    <x v="1"/>
    <x v="1"/>
    <x v="1"/>
    <x v="3"/>
    <n v="23"/>
    <x v="0"/>
  </r>
  <r>
    <d v="2024-01-22T00:00:00"/>
    <x v="0"/>
    <x v="0"/>
    <x v="0"/>
    <n v="1891.98"/>
    <x v="0"/>
    <x v="0"/>
    <x v="0"/>
    <x v="0"/>
    <x v="1"/>
    <x v="1"/>
    <x v="1"/>
    <x v="1"/>
    <x v="3"/>
    <n v="22"/>
    <x v="0"/>
  </r>
  <r>
    <d v="2024-01-22T00:00:00"/>
    <x v="1"/>
    <x v="1"/>
    <x v="0"/>
    <n v="525932.5"/>
    <x v="1"/>
    <x v="1"/>
    <x v="0"/>
    <x v="1"/>
    <x v="1"/>
    <x v="1"/>
    <x v="1"/>
    <x v="1"/>
    <x v="3"/>
    <n v="22"/>
    <x v="0"/>
  </r>
  <r>
    <d v="2024-01-22T00:00:00"/>
    <x v="0"/>
    <x v="1"/>
    <x v="0"/>
    <n v="11839268.17"/>
    <x v="0"/>
    <x v="1"/>
    <x v="0"/>
    <x v="2"/>
    <x v="1"/>
    <x v="1"/>
    <x v="1"/>
    <x v="1"/>
    <x v="3"/>
    <n v="22"/>
    <x v="0"/>
  </r>
  <r>
    <d v="2024-01-22T00:00:00"/>
    <x v="3"/>
    <x v="3"/>
    <x v="2"/>
    <n v="412.68"/>
    <x v="3"/>
    <x v="3"/>
    <x v="2"/>
    <x v="3"/>
    <x v="1"/>
    <x v="1"/>
    <x v="1"/>
    <x v="1"/>
    <x v="3"/>
    <n v="22"/>
    <x v="0"/>
  </r>
  <r>
    <d v="2024-01-22T00:00:00"/>
    <x v="3"/>
    <x v="3"/>
    <x v="0"/>
    <n v="1960930397.97"/>
    <x v="3"/>
    <x v="3"/>
    <x v="0"/>
    <x v="9"/>
    <x v="1"/>
    <x v="1"/>
    <x v="1"/>
    <x v="1"/>
    <x v="3"/>
    <n v="22"/>
    <x v="0"/>
  </r>
  <r>
    <d v="2024-01-22T00:00:00"/>
    <x v="2"/>
    <x v="1"/>
    <x v="2"/>
    <n v="-85"/>
    <x v="2"/>
    <x v="1"/>
    <x v="2"/>
    <x v="6"/>
    <x v="1"/>
    <x v="1"/>
    <x v="1"/>
    <x v="1"/>
    <x v="3"/>
    <n v="22"/>
    <x v="1"/>
  </r>
  <r>
    <d v="2024-01-22T00:00:00"/>
    <x v="2"/>
    <x v="1"/>
    <x v="1"/>
    <n v="228093695.52000001"/>
    <x v="2"/>
    <x v="1"/>
    <x v="1"/>
    <x v="10"/>
    <x v="1"/>
    <x v="1"/>
    <x v="1"/>
    <x v="1"/>
    <x v="3"/>
    <n v="22"/>
    <x v="0"/>
  </r>
  <r>
    <d v="2024-01-22T00:00:00"/>
    <x v="3"/>
    <x v="2"/>
    <x v="2"/>
    <n v="185172.65"/>
    <x v="3"/>
    <x v="2"/>
    <x v="2"/>
    <x v="7"/>
    <x v="1"/>
    <x v="1"/>
    <x v="1"/>
    <x v="1"/>
    <x v="3"/>
    <n v="22"/>
    <x v="0"/>
  </r>
  <r>
    <d v="2024-01-22T00:00:00"/>
    <x v="3"/>
    <x v="3"/>
    <x v="1"/>
    <n v="3689278.39"/>
    <x v="3"/>
    <x v="3"/>
    <x v="1"/>
    <x v="4"/>
    <x v="1"/>
    <x v="1"/>
    <x v="1"/>
    <x v="1"/>
    <x v="3"/>
    <n v="22"/>
    <x v="0"/>
  </r>
  <r>
    <d v="2024-01-22T00:00:00"/>
    <x v="0"/>
    <x v="1"/>
    <x v="1"/>
    <n v="4793234.49"/>
    <x v="0"/>
    <x v="1"/>
    <x v="1"/>
    <x v="5"/>
    <x v="1"/>
    <x v="1"/>
    <x v="1"/>
    <x v="1"/>
    <x v="3"/>
    <n v="22"/>
    <x v="0"/>
  </r>
  <r>
    <d v="2024-01-22T00:00:00"/>
    <x v="2"/>
    <x v="1"/>
    <x v="0"/>
    <n v="82952263.959999993"/>
    <x v="2"/>
    <x v="1"/>
    <x v="0"/>
    <x v="8"/>
    <x v="1"/>
    <x v="1"/>
    <x v="1"/>
    <x v="1"/>
    <x v="3"/>
    <n v="22"/>
    <x v="0"/>
  </r>
  <r>
    <d v="2024-01-22T00:00:00"/>
    <x v="1"/>
    <x v="0"/>
    <x v="0"/>
    <n v="66014241.020000003"/>
    <x v="1"/>
    <x v="0"/>
    <x v="0"/>
    <x v="11"/>
    <x v="1"/>
    <x v="1"/>
    <x v="1"/>
    <x v="1"/>
    <x v="3"/>
    <n v="22"/>
    <x v="0"/>
  </r>
  <r>
    <d v="2024-01-22T00:00:00"/>
    <x v="1"/>
    <x v="0"/>
    <x v="1"/>
    <n v="5643658679.3800001"/>
    <x v="1"/>
    <x v="0"/>
    <x v="1"/>
    <x v="12"/>
    <x v="1"/>
    <x v="1"/>
    <x v="1"/>
    <x v="1"/>
    <x v="3"/>
    <n v="22"/>
    <x v="0"/>
  </r>
  <r>
    <d v="2024-01-22T00:00:00"/>
    <x v="3"/>
    <x v="1"/>
    <x v="0"/>
    <n v="47000140.219999999"/>
    <x v="3"/>
    <x v="1"/>
    <x v="0"/>
    <x v="13"/>
    <x v="1"/>
    <x v="1"/>
    <x v="1"/>
    <x v="1"/>
    <x v="3"/>
    <n v="22"/>
    <x v="0"/>
  </r>
  <r>
    <d v="2024-01-22T00:00:00"/>
    <x v="3"/>
    <x v="2"/>
    <x v="1"/>
    <n v="27064037363.18"/>
    <x v="3"/>
    <x v="2"/>
    <x v="1"/>
    <x v="14"/>
    <x v="1"/>
    <x v="1"/>
    <x v="1"/>
    <x v="1"/>
    <x v="3"/>
    <n v="22"/>
    <x v="0"/>
  </r>
  <r>
    <d v="2024-01-22T00:00:00"/>
    <x v="3"/>
    <x v="2"/>
    <x v="0"/>
    <n v="998395163.94000006"/>
    <x v="3"/>
    <x v="2"/>
    <x v="0"/>
    <x v="15"/>
    <x v="1"/>
    <x v="1"/>
    <x v="1"/>
    <x v="1"/>
    <x v="3"/>
    <n v="22"/>
    <x v="0"/>
  </r>
  <r>
    <d v="2024-01-19T00:00:00"/>
    <x v="1"/>
    <x v="1"/>
    <x v="0"/>
    <n v="249561.24"/>
    <x v="1"/>
    <x v="1"/>
    <x v="0"/>
    <x v="0"/>
    <x v="1"/>
    <x v="1"/>
    <x v="1"/>
    <x v="1"/>
    <x v="3"/>
    <n v="19"/>
    <x v="0"/>
  </r>
  <r>
    <d v="2024-01-19T00:00:00"/>
    <x v="0"/>
    <x v="1"/>
    <x v="0"/>
    <n v="8704942.7100000009"/>
    <x v="0"/>
    <x v="1"/>
    <x v="0"/>
    <x v="1"/>
    <x v="1"/>
    <x v="1"/>
    <x v="1"/>
    <x v="1"/>
    <x v="3"/>
    <n v="19"/>
    <x v="0"/>
  </r>
  <r>
    <d v="2024-01-19T00:00:00"/>
    <x v="2"/>
    <x v="1"/>
    <x v="2"/>
    <n v="47920.160000000003"/>
    <x v="2"/>
    <x v="1"/>
    <x v="2"/>
    <x v="2"/>
    <x v="1"/>
    <x v="1"/>
    <x v="1"/>
    <x v="1"/>
    <x v="3"/>
    <n v="19"/>
    <x v="0"/>
  </r>
  <r>
    <d v="2024-01-19T00:00:00"/>
    <x v="2"/>
    <x v="1"/>
    <x v="0"/>
    <n v="68768709.900000006"/>
    <x v="2"/>
    <x v="1"/>
    <x v="0"/>
    <x v="6"/>
    <x v="1"/>
    <x v="1"/>
    <x v="1"/>
    <x v="1"/>
    <x v="3"/>
    <n v="19"/>
    <x v="0"/>
  </r>
  <r>
    <d v="2024-01-19T00:00:00"/>
    <x v="3"/>
    <x v="3"/>
    <x v="0"/>
    <n v="1506664771.6800001"/>
    <x v="3"/>
    <x v="3"/>
    <x v="0"/>
    <x v="7"/>
    <x v="1"/>
    <x v="1"/>
    <x v="1"/>
    <x v="1"/>
    <x v="3"/>
    <n v="19"/>
    <x v="0"/>
  </r>
  <r>
    <d v="2024-01-19T00:00:00"/>
    <x v="2"/>
    <x v="1"/>
    <x v="1"/>
    <n v="228456803.47999999"/>
    <x v="2"/>
    <x v="1"/>
    <x v="1"/>
    <x v="8"/>
    <x v="1"/>
    <x v="1"/>
    <x v="1"/>
    <x v="1"/>
    <x v="3"/>
    <n v="19"/>
    <x v="0"/>
  </r>
  <r>
    <d v="2024-01-19T00:00:00"/>
    <x v="3"/>
    <x v="3"/>
    <x v="1"/>
    <n v="422084.65"/>
    <x v="3"/>
    <x v="3"/>
    <x v="1"/>
    <x v="3"/>
    <x v="1"/>
    <x v="1"/>
    <x v="1"/>
    <x v="1"/>
    <x v="3"/>
    <n v="19"/>
    <x v="0"/>
  </r>
  <r>
    <d v="2024-01-19T00:00:00"/>
    <x v="0"/>
    <x v="1"/>
    <x v="1"/>
    <n v="11155419.560000001"/>
    <x v="0"/>
    <x v="1"/>
    <x v="1"/>
    <x v="4"/>
    <x v="1"/>
    <x v="1"/>
    <x v="1"/>
    <x v="1"/>
    <x v="3"/>
    <n v="19"/>
    <x v="0"/>
  </r>
  <r>
    <d v="2024-01-19T00:00:00"/>
    <x v="3"/>
    <x v="2"/>
    <x v="2"/>
    <n v="298166.62"/>
    <x v="3"/>
    <x v="2"/>
    <x v="2"/>
    <x v="5"/>
    <x v="1"/>
    <x v="1"/>
    <x v="1"/>
    <x v="1"/>
    <x v="3"/>
    <n v="19"/>
    <x v="0"/>
  </r>
  <r>
    <d v="2024-01-19T00:00:00"/>
    <x v="1"/>
    <x v="0"/>
    <x v="0"/>
    <n v="95415571.840000004"/>
    <x v="1"/>
    <x v="0"/>
    <x v="0"/>
    <x v="9"/>
    <x v="1"/>
    <x v="1"/>
    <x v="1"/>
    <x v="1"/>
    <x v="3"/>
    <n v="19"/>
    <x v="0"/>
  </r>
  <r>
    <d v="2024-01-19T00:00:00"/>
    <x v="1"/>
    <x v="0"/>
    <x v="1"/>
    <n v="6509573718.3100004"/>
    <x v="1"/>
    <x v="0"/>
    <x v="1"/>
    <x v="10"/>
    <x v="1"/>
    <x v="1"/>
    <x v="1"/>
    <x v="1"/>
    <x v="3"/>
    <n v="19"/>
    <x v="0"/>
  </r>
  <r>
    <d v="2024-01-19T00:00:00"/>
    <x v="3"/>
    <x v="1"/>
    <x v="0"/>
    <n v="15000604.27"/>
    <x v="3"/>
    <x v="1"/>
    <x v="0"/>
    <x v="11"/>
    <x v="1"/>
    <x v="1"/>
    <x v="1"/>
    <x v="1"/>
    <x v="3"/>
    <n v="19"/>
    <x v="0"/>
  </r>
  <r>
    <d v="2024-01-19T00:00:00"/>
    <x v="3"/>
    <x v="2"/>
    <x v="1"/>
    <n v="11095085233.65"/>
    <x v="3"/>
    <x v="2"/>
    <x v="1"/>
    <x v="12"/>
    <x v="1"/>
    <x v="1"/>
    <x v="1"/>
    <x v="1"/>
    <x v="3"/>
    <n v="19"/>
    <x v="0"/>
  </r>
  <r>
    <d v="2024-01-19T00:00:00"/>
    <x v="3"/>
    <x v="2"/>
    <x v="0"/>
    <n v="433955940.58999997"/>
    <x v="3"/>
    <x v="2"/>
    <x v="0"/>
    <x v="13"/>
    <x v="1"/>
    <x v="1"/>
    <x v="1"/>
    <x v="1"/>
    <x v="3"/>
    <n v="19"/>
    <x v="0"/>
  </r>
  <r>
    <d v="2024-01-18T00:00:00"/>
    <x v="0"/>
    <x v="0"/>
    <x v="0"/>
    <n v="1000"/>
    <x v="0"/>
    <x v="0"/>
    <x v="0"/>
    <x v="0"/>
    <x v="1"/>
    <x v="1"/>
    <x v="1"/>
    <x v="1"/>
    <x v="3"/>
    <n v="18"/>
    <x v="0"/>
  </r>
  <r>
    <d v="2024-01-18T00:00:00"/>
    <x v="1"/>
    <x v="1"/>
    <x v="0"/>
    <n v="79561.740000000005"/>
    <x v="1"/>
    <x v="1"/>
    <x v="0"/>
    <x v="1"/>
    <x v="1"/>
    <x v="1"/>
    <x v="1"/>
    <x v="1"/>
    <x v="3"/>
    <n v="18"/>
    <x v="0"/>
  </r>
  <r>
    <d v="2024-01-18T00:00:00"/>
    <x v="0"/>
    <x v="1"/>
    <x v="0"/>
    <n v="9865189.4399999995"/>
    <x v="0"/>
    <x v="1"/>
    <x v="0"/>
    <x v="2"/>
    <x v="1"/>
    <x v="1"/>
    <x v="1"/>
    <x v="1"/>
    <x v="3"/>
    <n v="18"/>
    <x v="0"/>
  </r>
  <r>
    <d v="2024-01-18T00:00:00"/>
    <x v="3"/>
    <x v="2"/>
    <x v="2"/>
    <n v="390615.36"/>
    <x v="3"/>
    <x v="2"/>
    <x v="2"/>
    <x v="5"/>
    <x v="1"/>
    <x v="1"/>
    <x v="1"/>
    <x v="1"/>
    <x v="3"/>
    <n v="18"/>
    <x v="0"/>
  </r>
  <r>
    <d v="2024-01-18T00:00:00"/>
    <x v="2"/>
    <x v="1"/>
    <x v="2"/>
    <n v="24418.78"/>
    <x v="2"/>
    <x v="1"/>
    <x v="2"/>
    <x v="3"/>
    <x v="1"/>
    <x v="1"/>
    <x v="1"/>
    <x v="1"/>
    <x v="3"/>
    <n v="18"/>
    <x v="0"/>
  </r>
  <r>
    <d v="2024-01-18T00:00:00"/>
    <x v="2"/>
    <x v="1"/>
    <x v="0"/>
    <n v="110263934.42"/>
    <x v="2"/>
    <x v="1"/>
    <x v="0"/>
    <x v="7"/>
    <x v="1"/>
    <x v="1"/>
    <x v="1"/>
    <x v="1"/>
    <x v="3"/>
    <n v="18"/>
    <x v="0"/>
  </r>
  <r>
    <d v="2024-01-18T00:00:00"/>
    <x v="2"/>
    <x v="1"/>
    <x v="1"/>
    <n v="239048259.41999999"/>
    <x v="2"/>
    <x v="1"/>
    <x v="1"/>
    <x v="8"/>
    <x v="1"/>
    <x v="1"/>
    <x v="1"/>
    <x v="1"/>
    <x v="3"/>
    <n v="18"/>
    <x v="0"/>
  </r>
  <r>
    <d v="2024-01-18T00:00:00"/>
    <x v="0"/>
    <x v="1"/>
    <x v="1"/>
    <n v="5310341.05"/>
    <x v="0"/>
    <x v="1"/>
    <x v="1"/>
    <x v="4"/>
    <x v="1"/>
    <x v="1"/>
    <x v="1"/>
    <x v="1"/>
    <x v="3"/>
    <n v="18"/>
    <x v="0"/>
  </r>
  <r>
    <d v="2024-01-18T00:00:00"/>
    <x v="1"/>
    <x v="0"/>
    <x v="0"/>
    <n v="59302696.520000003"/>
    <x v="1"/>
    <x v="0"/>
    <x v="0"/>
    <x v="9"/>
    <x v="1"/>
    <x v="1"/>
    <x v="1"/>
    <x v="1"/>
    <x v="3"/>
    <n v="18"/>
    <x v="0"/>
  </r>
  <r>
    <d v="2024-01-18T00:00:00"/>
    <x v="3"/>
    <x v="3"/>
    <x v="0"/>
    <n v="1823894140.0899999"/>
    <x v="3"/>
    <x v="3"/>
    <x v="0"/>
    <x v="6"/>
    <x v="1"/>
    <x v="1"/>
    <x v="1"/>
    <x v="1"/>
    <x v="3"/>
    <n v="18"/>
    <x v="0"/>
  </r>
  <r>
    <d v="2024-01-18T00:00:00"/>
    <x v="1"/>
    <x v="0"/>
    <x v="1"/>
    <n v="10537183380.82"/>
    <x v="1"/>
    <x v="0"/>
    <x v="1"/>
    <x v="10"/>
    <x v="1"/>
    <x v="1"/>
    <x v="1"/>
    <x v="1"/>
    <x v="3"/>
    <n v="18"/>
    <x v="0"/>
  </r>
  <r>
    <d v="2024-01-18T00:00:00"/>
    <x v="3"/>
    <x v="1"/>
    <x v="0"/>
    <n v="13887847.279999999"/>
    <x v="3"/>
    <x v="1"/>
    <x v="0"/>
    <x v="11"/>
    <x v="1"/>
    <x v="1"/>
    <x v="1"/>
    <x v="1"/>
    <x v="3"/>
    <n v="18"/>
    <x v="0"/>
  </r>
  <r>
    <d v="2024-01-18T00:00:00"/>
    <x v="3"/>
    <x v="2"/>
    <x v="0"/>
    <n v="474242763.44999999"/>
    <x v="3"/>
    <x v="2"/>
    <x v="0"/>
    <x v="12"/>
    <x v="1"/>
    <x v="1"/>
    <x v="1"/>
    <x v="1"/>
    <x v="3"/>
    <n v="18"/>
    <x v="0"/>
  </r>
  <r>
    <d v="2024-01-18T00:00:00"/>
    <x v="3"/>
    <x v="2"/>
    <x v="1"/>
    <n v="12464348436.59"/>
    <x v="3"/>
    <x v="2"/>
    <x v="1"/>
    <x v="13"/>
    <x v="1"/>
    <x v="1"/>
    <x v="1"/>
    <x v="1"/>
    <x v="3"/>
    <n v="18"/>
    <x v="0"/>
  </r>
  <r>
    <d v="2024-01-17T00:00:00"/>
    <x v="1"/>
    <x v="1"/>
    <x v="0"/>
    <n v="25389.53"/>
    <x v="1"/>
    <x v="1"/>
    <x v="0"/>
    <x v="0"/>
    <x v="1"/>
    <x v="1"/>
    <x v="1"/>
    <x v="1"/>
    <x v="3"/>
    <n v="17"/>
    <x v="0"/>
  </r>
  <r>
    <d v="2024-01-17T00:00:00"/>
    <x v="0"/>
    <x v="1"/>
    <x v="0"/>
    <n v="10316853.65"/>
    <x v="0"/>
    <x v="1"/>
    <x v="0"/>
    <x v="1"/>
    <x v="1"/>
    <x v="1"/>
    <x v="1"/>
    <x v="1"/>
    <x v="3"/>
    <n v="17"/>
    <x v="0"/>
  </r>
  <r>
    <d v="2024-01-17T00:00:00"/>
    <x v="2"/>
    <x v="1"/>
    <x v="2"/>
    <n v="24375"/>
    <x v="2"/>
    <x v="1"/>
    <x v="2"/>
    <x v="2"/>
    <x v="1"/>
    <x v="1"/>
    <x v="1"/>
    <x v="1"/>
    <x v="3"/>
    <n v="17"/>
    <x v="0"/>
  </r>
  <r>
    <d v="2024-01-17T00:00:00"/>
    <x v="2"/>
    <x v="1"/>
    <x v="0"/>
    <n v="78263164.239999995"/>
    <x v="2"/>
    <x v="1"/>
    <x v="0"/>
    <x v="5"/>
    <x v="1"/>
    <x v="1"/>
    <x v="1"/>
    <x v="1"/>
    <x v="3"/>
    <n v="17"/>
    <x v="0"/>
  </r>
  <r>
    <d v="2024-01-17T00:00:00"/>
    <x v="3"/>
    <x v="3"/>
    <x v="0"/>
    <n v="1598514044.9000001"/>
    <x v="3"/>
    <x v="3"/>
    <x v="0"/>
    <x v="6"/>
    <x v="1"/>
    <x v="1"/>
    <x v="1"/>
    <x v="1"/>
    <x v="3"/>
    <n v="17"/>
    <x v="0"/>
  </r>
  <r>
    <d v="2024-01-17T00:00:00"/>
    <x v="2"/>
    <x v="1"/>
    <x v="1"/>
    <n v="226182473.02000001"/>
    <x v="2"/>
    <x v="1"/>
    <x v="1"/>
    <x v="7"/>
    <x v="1"/>
    <x v="1"/>
    <x v="1"/>
    <x v="1"/>
    <x v="3"/>
    <n v="17"/>
    <x v="0"/>
  </r>
  <r>
    <d v="2024-01-17T00:00:00"/>
    <x v="0"/>
    <x v="1"/>
    <x v="1"/>
    <n v="53067338.630000003"/>
    <x v="0"/>
    <x v="1"/>
    <x v="1"/>
    <x v="3"/>
    <x v="1"/>
    <x v="1"/>
    <x v="1"/>
    <x v="1"/>
    <x v="3"/>
    <n v="17"/>
    <x v="0"/>
  </r>
  <r>
    <d v="2024-01-17T00:00:00"/>
    <x v="1"/>
    <x v="0"/>
    <x v="0"/>
    <n v="61838296.189999998"/>
    <x v="1"/>
    <x v="0"/>
    <x v="0"/>
    <x v="9"/>
    <x v="1"/>
    <x v="1"/>
    <x v="1"/>
    <x v="1"/>
    <x v="3"/>
    <n v="17"/>
    <x v="0"/>
  </r>
  <r>
    <d v="2024-01-17T00:00:00"/>
    <x v="3"/>
    <x v="2"/>
    <x v="2"/>
    <n v="315254.21999999997"/>
    <x v="3"/>
    <x v="2"/>
    <x v="2"/>
    <x v="4"/>
    <x v="1"/>
    <x v="1"/>
    <x v="1"/>
    <x v="1"/>
    <x v="3"/>
    <n v="17"/>
    <x v="0"/>
  </r>
  <r>
    <d v="2024-01-17T00:00:00"/>
    <x v="1"/>
    <x v="0"/>
    <x v="1"/>
    <n v="2184269877.6100001"/>
    <x v="1"/>
    <x v="0"/>
    <x v="1"/>
    <x v="8"/>
    <x v="1"/>
    <x v="1"/>
    <x v="1"/>
    <x v="1"/>
    <x v="3"/>
    <n v="17"/>
    <x v="0"/>
  </r>
  <r>
    <d v="2024-01-17T00:00:00"/>
    <x v="3"/>
    <x v="1"/>
    <x v="0"/>
    <n v="13641058.1"/>
    <x v="3"/>
    <x v="1"/>
    <x v="0"/>
    <x v="10"/>
    <x v="1"/>
    <x v="1"/>
    <x v="1"/>
    <x v="1"/>
    <x v="3"/>
    <n v="17"/>
    <x v="0"/>
  </r>
  <r>
    <d v="2024-01-17T00:00:00"/>
    <x v="3"/>
    <x v="2"/>
    <x v="0"/>
    <n v="997949401.47000003"/>
    <x v="3"/>
    <x v="2"/>
    <x v="0"/>
    <x v="11"/>
    <x v="1"/>
    <x v="1"/>
    <x v="1"/>
    <x v="1"/>
    <x v="3"/>
    <n v="17"/>
    <x v="0"/>
  </r>
  <r>
    <d v="2024-01-17T00:00:00"/>
    <x v="3"/>
    <x v="2"/>
    <x v="1"/>
    <n v="14220487611.639999"/>
    <x v="3"/>
    <x v="2"/>
    <x v="1"/>
    <x v="12"/>
    <x v="1"/>
    <x v="1"/>
    <x v="1"/>
    <x v="1"/>
    <x v="3"/>
    <n v="17"/>
    <x v="0"/>
  </r>
  <r>
    <d v="2024-01-16T00:00:00"/>
    <x v="0"/>
    <x v="1"/>
    <x v="0"/>
    <n v="10033696"/>
    <x v="0"/>
    <x v="1"/>
    <x v="0"/>
    <x v="0"/>
    <x v="1"/>
    <x v="1"/>
    <x v="1"/>
    <x v="1"/>
    <x v="3"/>
    <n v="16"/>
    <x v="0"/>
  </r>
  <r>
    <d v="2024-01-16T00:00:00"/>
    <x v="2"/>
    <x v="1"/>
    <x v="2"/>
    <n v="25015.81"/>
    <x v="2"/>
    <x v="1"/>
    <x v="2"/>
    <x v="1"/>
    <x v="1"/>
    <x v="1"/>
    <x v="1"/>
    <x v="1"/>
    <x v="3"/>
    <n v="16"/>
    <x v="0"/>
  </r>
  <r>
    <d v="2024-01-16T00:00:00"/>
    <x v="3"/>
    <x v="3"/>
    <x v="0"/>
    <n v="1713728976.27"/>
    <x v="3"/>
    <x v="3"/>
    <x v="0"/>
    <x v="6"/>
    <x v="1"/>
    <x v="1"/>
    <x v="1"/>
    <x v="1"/>
    <x v="3"/>
    <n v="16"/>
    <x v="0"/>
  </r>
  <r>
    <d v="2024-01-16T00:00:00"/>
    <x v="2"/>
    <x v="1"/>
    <x v="0"/>
    <n v="73911432.400000006"/>
    <x v="2"/>
    <x v="1"/>
    <x v="0"/>
    <x v="7"/>
    <x v="1"/>
    <x v="1"/>
    <x v="1"/>
    <x v="1"/>
    <x v="3"/>
    <n v="16"/>
    <x v="0"/>
  </r>
  <r>
    <d v="2024-01-16T00:00:00"/>
    <x v="1"/>
    <x v="1"/>
    <x v="0"/>
    <n v="25890.49"/>
    <x v="1"/>
    <x v="1"/>
    <x v="0"/>
    <x v="4"/>
    <x v="1"/>
    <x v="1"/>
    <x v="1"/>
    <x v="1"/>
    <x v="3"/>
    <n v="16"/>
    <x v="0"/>
  </r>
  <r>
    <d v="2024-01-16T00:00:00"/>
    <x v="2"/>
    <x v="1"/>
    <x v="1"/>
    <n v="192070854.50999999"/>
    <x v="2"/>
    <x v="1"/>
    <x v="1"/>
    <x v="8"/>
    <x v="1"/>
    <x v="1"/>
    <x v="1"/>
    <x v="1"/>
    <x v="3"/>
    <n v="16"/>
    <x v="0"/>
  </r>
  <r>
    <d v="2024-01-16T00:00:00"/>
    <x v="3"/>
    <x v="3"/>
    <x v="1"/>
    <n v="2081770.94"/>
    <x v="3"/>
    <x v="3"/>
    <x v="1"/>
    <x v="2"/>
    <x v="1"/>
    <x v="1"/>
    <x v="1"/>
    <x v="1"/>
    <x v="3"/>
    <n v="16"/>
    <x v="0"/>
  </r>
  <r>
    <d v="2024-01-16T00:00:00"/>
    <x v="0"/>
    <x v="1"/>
    <x v="1"/>
    <n v="2343450.6"/>
    <x v="0"/>
    <x v="1"/>
    <x v="1"/>
    <x v="3"/>
    <x v="1"/>
    <x v="1"/>
    <x v="1"/>
    <x v="1"/>
    <x v="3"/>
    <n v="16"/>
    <x v="0"/>
  </r>
  <r>
    <d v="2024-01-16T00:00:00"/>
    <x v="3"/>
    <x v="2"/>
    <x v="2"/>
    <n v="247973.28"/>
    <x v="3"/>
    <x v="2"/>
    <x v="2"/>
    <x v="5"/>
    <x v="1"/>
    <x v="1"/>
    <x v="1"/>
    <x v="1"/>
    <x v="3"/>
    <n v="16"/>
    <x v="0"/>
  </r>
  <r>
    <d v="2024-01-16T00:00:00"/>
    <x v="1"/>
    <x v="0"/>
    <x v="0"/>
    <n v="44428475.25"/>
    <x v="1"/>
    <x v="0"/>
    <x v="0"/>
    <x v="9"/>
    <x v="1"/>
    <x v="1"/>
    <x v="1"/>
    <x v="1"/>
    <x v="3"/>
    <n v="16"/>
    <x v="0"/>
  </r>
  <r>
    <d v="2024-01-16T00:00:00"/>
    <x v="1"/>
    <x v="0"/>
    <x v="1"/>
    <n v="1692721547.5599999"/>
    <x v="1"/>
    <x v="0"/>
    <x v="1"/>
    <x v="10"/>
    <x v="1"/>
    <x v="1"/>
    <x v="1"/>
    <x v="1"/>
    <x v="3"/>
    <n v="16"/>
    <x v="0"/>
  </r>
  <r>
    <d v="2024-01-16T00:00:00"/>
    <x v="3"/>
    <x v="1"/>
    <x v="0"/>
    <n v="58281206.149999999"/>
    <x v="3"/>
    <x v="1"/>
    <x v="0"/>
    <x v="11"/>
    <x v="1"/>
    <x v="1"/>
    <x v="1"/>
    <x v="1"/>
    <x v="3"/>
    <n v="16"/>
    <x v="0"/>
  </r>
  <r>
    <d v="2024-01-16T00:00:00"/>
    <x v="3"/>
    <x v="2"/>
    <x v="0"/>
    <n v="746706161.17999995"/>
    <x v="3"/>
    <x v="2"/>
    <x v="0"/>
    <x v="12"/>
    <x v="1"/>
    <x v="1"/>
    <x v="1"/>
    <x v="1"/>
    <x v="3"/>
    <n v="16"/>
    <x v="0"/>
  </r>
  <r>
    <d v="2024-01-16T00:00:00"/>
    <x v="3"/>
    <x v="2"/>
    <x v="1"/>
    <n v="83426259922.820007"/>
    <x v="3"/>
    <x v="2"/>
    <x v="1"/>
    <x v="13"/>
    <x v="1"/>
    <x v="1"/>
    <x v="1"/>
    <x v="1"/>
    <x v="3"/>
    <n v="16"/>
    <x v="0"/>
  </r>
  <r>
    <d v="2024-01-12T00:00:00"/>
    <x v="0"/>
    <x v="0"/>
    <x v="0"/>
    <n v="-831"/>
    <x v="0"/>
    <x v="0"/>
    <x v="0"/>
    <x v="0"/>
    <x v="1"/>
    <x v="1"/>
    <x v="1"/>
    <x v="1"/>
    <x v="3"/>
    <n v="12"/>
    <x v="1"/>
  </r>
  <r>
    <d v="2024-01-12T00:00:00"/>
    <x v="1"/>
    <x v="1"/>
    <x v="0"/>
    <n v="1146836.79"/>
    <x v="1"/>
    <x v="1"/>
    <x v="0"/>
    <x v="1"/>
    <x v="1"/>
    <x v="1"/>
    <x v="1"/>
    <x v="1"/>
    <x v="3"/>
    <n v="12"/>
    <x v="0"/>
  </r>
  <r>
    <d v="2024-01-12T00:00:00"/>
    <x v="0"/>
    <x v="1"/>
    <x v="0"/>
    <n v="38675152.619999997"/>
    <x v="0"/>
    <x v="1"/>
    <x v="0"/>
    <x v="2"/>
    <x v="1"/>
    <x v="1"/>
    <x v="1"/>
    <x v="1"/>
    <x v="3"/>
    <n v="12"/>
    <x v="0"/>
  </r>
  <r>
    <d v="2024-01-12T00:00:00"/>
    <x v="3"/>
    <x v="3"/>
    <x v="2"/>
    <n v="647912.57999999996"/>
    <x v="3"/>
    <x v="3"/>
    <x v="2"/>
    <x v="3"/>
    <x v="1"/>
    <x v="1"/>
    <x v="1"/>
    <x v="1"/>
    <x v="3"/>
    <n v="12"/>
    <x v="0"/>
  </r>
  <r>
    <d v="2024-01-12T00:00:00"/>
    <x v="2"/>
    <x v="1"/>
    <x v="0"/>
    <n v="83589870.689999998"/>
    <x v="2"/>
    <x v="1"/>
    <x v="0"/>
    <x v="8"/>
    <x v="1"/>
    <x v="1"/>
    <x v="1"/>
    <x v="1"/>
    <x v="3"/>
    <n v="12"/>
    <x v="0"/>
  </r>
  <r>
    <d v="2024-01-12T00:00:00"/>
    <x v="3"/>
    <x v="3"/>
    <x v="0"/>
    <n v="1380524645.1300001"/>
    <x v="3"/>
    <x v="3"/>
    <x v="0"/>
    <x v="9"/>
    <x v="1"/>
    <x v="1"/>
    <x v="1"/>
    <x v="1"/>
    <x v="3"/>
    <n v="12"/>
    <x v="0"/>
  </r>
  <r>
    <d v="2024-01-12T00:00:00"/>
    <x v="2"/>
    <x v="1"/>
    <x v="2"/>
    <n v="22387.3"/>
    <x v="2"/>
    <x v="1"/>
    <x v="2"/>
    <x v="6"/>
    <x v="1"/>
    <x v="1"/>
    <x v="1"/>
    <x v="1"/>
    <x v="3"/>
    <n v="12"/>
    <x v="0"/>
  </r>
  <r>
    <d v="2024-01-12T00:00:00"/>
    <x v="2"/>
    <x v="1"/>
    <x v="1"/>
    <n v="222163640.86000001"/>
    <x v="2"/>
    <x v="1"/>
    <x v="1"/>
    <x v="10"/>
    <x v="1"/>
    <x v="1"/>
    <x v="1"/>
    <x v="1"/>
    <x v="3"/>
    <n v="12"/>
    <x v="0"/>
  </r>
  <r>
    <d v="2024-01-12T00:00:00"/>
    <x v="3"/>
    <x v="3"/>
    <x v="1"/>
    <n v="375828.52"/>
    <x v="3"/>
    <x v="3"/>
    <x v="1"/>
    <x v="4"/>
    <x v="1"/>
    <x v="1"/>
    <x v="1"/>
    <x v="1"/>
    <x v="3"/>
    <n v="12"/>
    <x v="0"/>
  </r>
  <r>
    <d v="2024-01-12T00:00:00"/>
    <x v="0"/>
    <x v="1"/>
    <x v="1"/>
    <n v="2145561.2999999998"/>
    <x v="0"/>
    <x v="1"/>
    <x v="1"/>
    <x v="5"/>
    <x v="1"/>
    <x v="1"/>
    <x v="1"/>
    <x v="1"/>
    <x v="3"/>
    <n v="12"/>
    <x v="0"/>
  </r>
  <r>
    <d v="2024-01-12T00:00:00"/>
    <x v="3"/>
    <x v="2"/>
    <x v="2"/>
    <n v="895554.47"/>
    <x v="3"/>
    <x v="2"/>
    <x v="2"/>
    <x v="7"/>
    <x v="1"/>
    <x v="1"/>
    <x v="1"/>
    <x v="1"/>
    <x v="3"/>
    <n v="12"/>
    <x v="0"/>
  </r>
  <r>
    <d v="2024-01-12T00:00:00"/>
    <x v="1"/>
    <x v="0"/>
    <x v="1"/>
    <n v="1110901829.3399999"/>
    <x v="1"/>
    <x v="0"/>
    <x v="1"/>
    <x v="12"/>
    <x v="1"/>
    <x v="1"/>
    <x v="1"/>
    <x v="1"/>
    <x v="3"/>
    <n v="12"/>
    <x v="0"/>
  </r>
  <r>
    <d v="2024-01-12T00:00:00"/>
    <x v="1"/>
    <x v="0"/>
    <x v="0"/>
    <n v="49093890.880000003"/>
    <x v="1"/>
    <x v="0"/>
    <x v="0"/>
    <x v="11"/>
    <x v="1"/>
    <x v="1"/>
    <x v="1"/>
    <x v="1"/>
    <x v="3"/>
    <n v="12"/>
    <x v="0"/>
  </r>
  <r>
    <d v="2024-01-12T00:00:00"/>
    <x v="3"/>
    <x v="1"/>
    <x v="0"/>
    <n v="16604208.43"/>
    <x v="3"/>
    <x v="1"/>
    <x v="0"/>
    <x v="13"/>
    <x v="1"/>
    <x v="1"/>
    <x v="1"/>
    <x v="1"/>
    <x v="3"/>
    <n v="12"/>
    <x v="0"/>
  </r>
  <r>
    <d v="2024-01-12T00:00:00"/>
    <x v="3"/>
    <x v="2"/>
    <x v="1"/>
    <n v="24863607883.040001"/>
    <x v="3"/>
    <x v="2"/>
    <x v="1"/>
    <x v="14"/>
    <x v="1"/>
    <x v="1"/>
    <x v="1"/>
    <x v="1"/>
    <x v="3"/>
    <n v="12"/>
    <x v="0"/>
  </r>
  <r>
    <d v="2024-01-12T00:00:00"/>
    <x v="3"/>
    <x v="2"/>
    <x v="0"/>
    <n v="744557112.87"/>
    <x v="3"/>
    <x v="2"/>
    <x v="0"/>
    <x v="15"/>
    <x v="1"/>
    <x v="1"/>
    <x v="1"/>
    <x v="1"/>
    <x v="3"/>
    <n v="12"/>
    <x v="0"/>
  </r>
  <r>
    <d v="2024-01-11T00:00:00"/>
    <x v="0"/>
    <x v="1"/>
    <x v="0"/>
    <n v="14064540.689999999"/>
    <x v="0"/>
    <x v="1"/>
    <x v="0"/>
    <x v="0"/>
    <x v="1"/>
    <x v="1"/>
    <x v="1"/>
    <x v="1"/>
    <x v="3"/>
    <n v="11"/>
    <x v="0"/>
  </r>
  <r>
    <d v="2024-01-11T00:00:00"/>
    <x v="3"/>
    <x v="2"/>
    <x v="2"/>
    <n v="289592"/>
    <x v="3"/>
    <x v="2"/>
    <x v="2"/>
    <x v="5"/>
    <x v="1"/>
    <x v="1"/>
    <x v="1"/>
    <x v="1"/>
    <x v="3"/>
    <n v="11"/>
    <x v="0"/>
  </r>
  <r>
    <d v="2024-01-11T00:00:00"/>
    <x v="3"/>
    <x v="3"/>
    <x v="2"/>
    <n v="60"/>
    <x v="3"/>
    <x v="3"/>
    <x v="2"/>
    <x v="1"/>
    <x v="1"/>
    <x v="1"/>
    <x v="1"/>
    <x v="1"/>
    <x v="3"/>
    <n v="11"/>
    <x v="0"/>
  </r>
  <r>
    <d v="2024-01-11T00:00:00"/>
    <x v="2"/>
    <x v="1"/>
    <x v="0"/>
    <n v="92423416.379999995"/>
    <x v="2"/>
    <x v="1"/>
    <x v="0"/>
    <x v="6"/>
    <x v="1"/>
    <x v="1"/>
    <x v="1"/>
    <x v="1"/>
    <x v="3"/>
    <n v="11"/>
    <x v="0"/>
  </r>
  <r>
    <d v="2024-01-11T00:00:00"/>
    <x v="3"/>
    <x v="3"/>
    <x v="0"/>
    <n v="1341528561.9400001"/>
    <x v="3"/>
    <x v="3"/>
    <x v="0"/>
    <x v="7"/>
    <x v="1"/>
    <x v="1"/>
    <x v="1"/>
    <x v="1"/>
    <x v="3"/>
    <n v="11"/>
    <x v="0"/>
  </r>
  <r>
    <d v="2024-01-11T00:00:00"/>
    <x v="0"/>
    <x v="1"/>
    <x v="1"/>
    <n v="8876683.1099999994"/>
    <x v="0"/>
    <x v="1"/>
    <x v="1"/>
    <x v="2"/>
    <x v="1"/>
    <x v="1"/>
    <x v="1"/>
    <x v="1"/>
    <x v="3"/>
    <n v="11"/>
    <x v="0"/>
  </r>
  <r>
    <d v="2024-01-11T00:00:00"/>
    <x v="2"/>
    <x v="1"/>
    <x v="2"/>
    <n v="67070.570000000007"/>
    <x v="2"/>
    <x v="1"/>
    <x v="2"/>
    <x v="3"/>
    <x v="1"/>
    <x v="1"/>
    <x v="1"/>
    <x v="1"/>
    <x v="3"/>
    <n v="11"/>
    <x v="0"/>
  </r>
  <r>
    <d v="2024-01-11T00:00:00"/>
    <x v="1"/>
    <x v="1"/>
    <x v="0"/>
    <n v="69053.59"/>
    <x v="1"/>
    <x v="1"/>
    <x v="0"/>
    <x v="4"/>
    <x v="1"/>
    <x v="1"/>
    <x v="1"/>
    <x v="1"/>
    <x v="3"/>
    <n v="11"/>
    <x v="0"/>
  </r>
  <r>
    <d v="2024-01-11T00:00:00"/>
    <x v="2"/>
    <x v="1"/>
    <x v="1"/>
    <n v="156782744.88"/>
    <x v="2"/>
    <x v="1"/>
    <x v="1"/>
    <x v="8"/>
    <x v="1"/>
    <x v="1"/>
    <x v="1"/>
    <x v="1"/>
    <x v="3"/>
    <n v="11"/>
    <x v="0"/>
  </r>
  <r>
    <d v="2024-01-11T00:00:00"/>
    <x v="1"/>
    <x v="0"/>
    <x v="0"/>
    <n v="53010332.079999998"/>
    <x v="1"/>
    <x v="0"/>
    <x v="0"/>
    <x v="9"/>
    <x v="1"/>
    <x v="1"/>
    <x v="1"/>
    <x v="1"/>
    <x v="3"/>
    <n v="11"/>
    <x v="0"/>
  </r>
  <r>
    <d v="2024-01-11T00:00:00"/>
    <x v="1"/>
    <x v="0"/>
    <x v="1"/>
    <n v="1657052151.53"/>
    <x v="1"/>
    <x v="0"/>
    <x v="1"/>
    <x v="10"/>
    <x v="1"/>
    <x v="1"/>
    <x v="1"/>
    <x v="1"/>
    <x v="3"/>
    <n v="11"/>
    <x v="0"/>
  </r>
  <r>
    <d v="2024-01-11T00:00:00"/>
    <x v="3"/>
    <x v="1"/>
    <x v="0"/>
    <n v="16118251.99"/>
    <x v="3"/>
    <x v="1"/>
    <x v="0"/>
    <x v="11"/>
    <x v="1"/>
    <x v="1"/>
    <x v="1"/>
    <x v="1"/>
    <x v="3"/>
    <n v="11"/>
    <x v="0"/>
  </r>
  <r>
    <d v="2024-01-11T00:00:00"/>
    <x v="3"/>
    <x v="2"/>
    <x v="1"/>
    <n v="9497326193.4300003"/>
    <x v="3"/>
    <x v="2"/>
    <x v="1"/>
    <x v="12"/>
    <x v="1"/>
    <x v="1"/>
    <x v="1"/>
    <x v="1"/>
    <x v="3"/>
    <n v="11"/>
    <x v="0"/>
  </r>
  <r>
    <d v="2024-01-11T00:00:00"/>
    <x v="3"/>
    <x v="2"/>
    <x v="0"/>
    <n v="577568732.48000002"/>
    <x v="3"/>
    <x v="2"/>
    <x v="0"/>
    <x v="13"/>
    <x v="1"/>
    <x v="1"/>
    <x v="1"/>
    <x v="1"/>
    <x v="3"/>
    <n v="11"/>
    <x v="0"/>
  </r>
  <r>
    <d v="2024-01-10T00:00:00"/>
    <x v="0"/>
    <x v="0"/>
    <x v="0"/>
    <n v="1000"/>
    <x v="0"/>
    <x v="0"/>
    <x v="0"/>
    <x v="0"/>
    <x v="1"/>
    <x v="1"/>
    <x v="1"/>
    <x v="1"/>
    <x v="3"/>
    <n v="10"/>
    <x v="0"/>
  </r>
  <r>
    <d v="2024-01-10T00:00:00"/>
    <x v="0"/>
    <x v="1"/>
    <x v="0"/>
    <n v="11782050.16"/>
    <x v="0"/>
    <x v="1"/>
    <x v="0"/>
    <x v="1"/>
    <x v="1"/>
    <x v="1"/>
    <x v="1"/>
    <x v="1"/>
    <x v="3"/>
    <n v="10"/>
    <x v="0"/>
  </r>
  <r>
    <d v="2024-01-10T00:00:00"/>
    <x v="3"/>
    <x v="2"/>
    <x v="2"/>
    <n v="413638"/>
    <x v="3"/>
    <x v="2"/>
    <x v="2"/>
    <x v="7"/>
    <x v="1"/>
    <x v="1"/>
    <x v="1"/>
    <x v="1"/>
    <x v="3"/>
    <n v="10"/>
    <x v="0"/>
  </r>
  <r>
    <d v="2024-01-10T00:00:00"/>
    <x v="3"/>
    <x v="3"/>
    <x v="0"/>
    <n v="1451766479.78"/>
    <x v="3"/>
    <x v="3"/>
    <x v="0"/>
    <x v="8"/>
    <x v="1"/>
    <x v="1"/>
    <x v="1"/>
    <x v="1"/>
    <x v="3"/>
    <n v="10"/>
    <x v="0"/>
  </r>
  <r>
    <d v="2024-01-10T00:00:00"/>
    <x v="2"/>
    <x v="1"/>
    <x v="2"/>
    <n v="32291.68"/>
    <x v="2"/>
    <x v="1"/>
    <x v="2"/>
    <x v="2"/>
    <x v="1"/>
    <x v="1"/>
    <x v="1"/>
    <x v="1"/>
    <x v="3"/>
    <n v="10"/>
    <x v="0"/>
  </r>
  <r>
    <d v="2024-01-10T00:00:00"/>
    <x v="2"/>
    <x v="1"/>
    <x v="0"/>
    <n v="65283752.039999999"/>
    <x v="2"/>
    <x v="1"/>
    <x v="0"/>
    <x v="9"/>
    <x v="1"/>
    <x v="1"/>
    <x v="1"/>
    <x v="1"/>
    <x v="3"/>
    <n v="10"/>
    <x v="0"/>
  </r>
  <r>
    <d v="2024-01-10T00:00:00"/>
    <x v="1"/>
    <x v="0"/>
    <x v="1"/>
    <n v="3531039658.8800001"/>
    <x v="1"/>
    <x v="0"/>
    <x v="1"/>
    <x v="11"/>
    <x v="1"/>
    <x v="1"/>
    <x v="1"/>
    <x v="1"/>
    <x v="3"/>
    <n v="10"/>
    <x v="0"/>
  </r>
  <r>
    <d v="2024-01-10T00:00:00"/>
    <x v="1"/>
    <x v="1"/>
    <x v="0"/>
    <n v="310105.55"/>
    <x v="1"/>
    <x v="1"/>
    <x v="0"/>
    <x v="5"/>
    <x v="1"/>
    <x v="1"/>
    <x v="1"/>
    <x v="1"/>
    <x v="3"/>
    <n v="10"/>
    <x v="0"/>
  </r>
  <r>
    <d v="2024-01-10T00:00:00"/>
    <x v="3"/>
    <x v="3"/>
    <x v="1"/>
    <n v="70312.399999999994"/>
    <x v="3"/>
    <x v="3"/>
    <x v="1"/>
    <x v="3"/>
    <x v="1"/>
    <x v="1"/>
    <x v="1"/>
    <x v="1"/>
    <x v="3"/>
    <n v="10"/>
    <x v="0"/>
  </r>
  <r>
    <d v="2024-01-10T00:00:00"/>
    <x v="0"/>
    <x v="1"/>
    <x v="1"/>
    <n v="10443834.66"/>
    <x v="0"/>
    <x v="1"/>
    <x v="1"/>
    <x v="4"/>
    <x v="1"/>
    <x v="1"/>
    <x v="1"/>
    <x v="1"/>
    <x v="3"/>
    <n v="10"/>
    <x v="0"/>
  </r>
  <r>
    <d v="2024-01-10T00:00:00"/>
    <x v="3"/>
    <x v="3"/>
    <x v="2"/>
    <n v="-500"/>
    <x v="3"/>
    <x v="3"/>
    <x v="2"/>
    <x v="6"/>
    <x v="1"/>
    <x v="1"/>
    <x v="1"/>
    <x v="1"/>
    <x v="3"/>
    <n v="10"/>
    <x v="1"/>
  </r>
  <r>
    <d v="2024-01-10T00:00:00"/>
    <x v="2"/>
    <x v="1"/>
    <x v="1"/>
    <n v="235852524.66"/>
    <x v="2"/>
    <x v="1"/>
    <x v="1"/>
    <x v="10"/>
    <x v="1"/>
    <x v="1"/>
    <x v="1"/>
    <x v="1"/>
    <x v="3"/>
    <n v="10"/>
    <x v="0"/>
  </r>
  <r>
    <d v="2024-01-10T00:00:00"/>
    <x v="1"/>
    <x v="0"/>
    <x v="0"/>
    <n v="81520234"/>
    <x v="1"/>
    <x v="0"/>
    <x v="0"/>
    <x v="12"/>
    <x v="1"/>
    <x v="1"/>
    <x v="1"/>
    <x v="1"/>
    <x v="3"/>
    <n v="10"/>
    <x v="0"/>
  </r>
  <r>
    <d v="2024-01-10T00:00:00"/>
    <x v="3"/>
    <x v="1"/>
    <x v="0"/>
    <n v="12757846.460000001"/>
    <x v="3"/>
    <x v="1"/>
    <x v="0"/>
    <x v="13"/>
    <x v="1"/>
    <x v="1"/>
    <x v="1"/>
    <x v="1"/>
    <x v="3"/>
    <n v="10"/>
    <x v="0"/>
  </r>
  <r>
    <d v="2024-01-10T00:00:00"/>
    <x v="3"/>
    <x v="2"/>
    <x v="1"/>
    <n v="13554813128.459999"/>
    <x v="3"/>
    <x v="2"/>
    <x v="1"/>
    <x v="14"/>
    <x v="1"/>
    <x v="1"/>
    <x v="1"/>
    <x v="1"/>
    <x v="3"/>
    <n v="10"/>
    <x v="0"/>
  </r>
  <r>
    <d v="2024-01-10T00:00:00"/>
    <x v="3"/>
    <x v="2"/>
    <x v="0"/>
    <n v="588384226.30999994"/>
    <x v="3"/>
    <x v="2"/>
    <x v="0"/>
    <x v="15"/>
    <x v="1"/>
    <x v="1"/>
    <x v="1"/>
    <x v="1"/>
    <x v="3"/>
    <n v="10"/>
    <x v="0"/>
  </r>
  <r>
    <d v="2024-01-09T00:00:00"/>
    <x v="0"/>
    <x v="1"/>
    <x v="0"/>
    <n v="62266147.149999999"/>
    <x v="0"/>
    <x v="1"/>
    <x v="0"/>
    <x v="0"/>
    <x v="1"/>
    <x v="1"/>
    <x v="1"/>
    <x v="1"/>
    <x v="3"/>
    <n v="9"/>
    <x v="0"/>
  </r>
  <r>
    <d v="2024-01-09T00:00:00"/>
    <x v="2"/>
    <x v="1"/>
    <x v="2"/>
    <n v="33373.33"/>
    <x v="2"/>
    <x v="1"/>
    <x v="2"/>
    <x v="1"/>
    <x v="1"/>
    <x v="1"/>
    <x v="1"/>
    <x v="1"/>
    <x v="3"/>
    <n v="9"/>
    <x v="0"/>
  </r>
  <r>
    <d v="2024-01-09T00:00:00"/>
    <x v="3"/>
    <x v="3"/>
    <x v="0"/>
    <n v="1348071912.47"/>
    <x v="3"/>
    <x v="3"/>
    <x v="0"/>
    <x v="7"/>
    <x v="1"/>
    <x v="1"/>
    <x v="1"/>
    <x v="1"/>
    <x v="3"/>
    <n v="9"/>
    <x v="0"/>
  </r>
  <r>
    <d v="2024-01-09T00:00:00"/>
    <x v="2"/>
    <x v="1"/>
    <x v="1"/>
    <n v="159505398.31"/>
    <x v="2"/>
    <x v="1"/>
    <x v="1"/>
    <x v="8"/>
    <x v="1"/>
    <x v="1"/>
    <x v="1"/>
    <x v="1"/>
    <x v="3"/>
    <n v="9"/>
    <x v="0"/>
  </r>
  <r>
    <d v="2024-01-09T00:00:00"/>
    <x v="1"/>
    <x v="0"/>
    <x v="1"/>
    <n v="763370614.03999996"/>
    <x v="1"/>
    <x v="0"/>
    <x v="1"/>
    <x v="9"/>
    <x v="1"/>
    <x v="1"/>
    <x v="1"/>
    <x v="1"/>
    <x v="3"/>
    <n v="9"/>
    <x v="0"/>
  </r>
  <r>
    <d v="2024-01-09T00:00:00"/>
    <x v="1"/>
    <x v="1"/>
    <x v="0"/>
    <n v="615506.99"/>
    <x v="1"/>
    <x v="1"/>
    <x v="0"/>
    <x v="4"/>
    <x v="1"/>
    <x v="1"/>
    <x v="1"/>
    <x v="1"/>
    <x v="3"/>
    <n v="9"/>
    <x v="0"/>
  </r>
  <r>
    <d v="2024-01-09T00:00:00"/>
    <x v="3"/>
    <x v="3"/>
    <x v="1"/>
    <n v="48864.05"/>
    <x v="3"/>
    <x v="3"/>
    <x v="1"/>
    <x v="2"/>
    <x v="1"/>
    <x v="1"/>
    <x v="1"/>
    <x v="1"/>
    <x v="3"/>
    <n v="9"/>
    <x v="0"/>
  </r>
  <r>
    <d v="2024-01-09T00:00:00"/>
    <x v="0"/>
    <x v="1"/>
    <x v="1"/>
    <n v="6083355.7699999996"/>
    <x v="0"/>
    <x v="1"/>
    <x v="1"/>
    <x v="3"/>
    <x v="1"/>
    <x v="1"/>
    <x v="1"/>
    <x v="1"/>
    <x v="3"/>
    <n v="9"/>
    <x v="0"/>
  </r>
  <r>
    <d v="2024-01-09T00:00:00"/>
    <x v="1"/>
    <x v="0"/>
    <x v="0"/>
    <n v="79712316.969999999"/>
    <x v="1"/>
    <x v="0"/>
    <x v="0"/>
    <x v="10"/>
    <x v="1"/>
    <x v="1"/>
    <x v="1"/>
    <x v="1"/>
    <x v="3"/>
    <n v="9"/>
    <x v="0"/>
  </r>
  <r>
    <d v="2024-01-09T00:00:00"/>
    <x v="3"/>
    <x v="2"/>
    <x v="2"/>
    <n v="242866.19"/>
    <x v="3"/>
    <x v="2"/>
    <x v="2"/>
    <x v="5"/>
    <x v="1"/>
    <x v="1"/>
    <x v="1"/>
    <x v="1"/>
    <x v="3"/>
    <n v="9"/>
    <x v="0"/>
  </r>
  <r>
    <d v="2024-01-09T00:00:00"/>
    <x v="2"/>
    <x v="1"/>
    <x v="0"/>
    <n v="89707818.870000005"/>
    <x v="2"/>
    <x v="1"/>
    <x v="0"/>
    <x v="6"/>
    <x v="1"/>
    <x v="1"/>
    <x v="1"/>
    <x v="1"/>
    <x v="3"/>
    <n v="9"/>
    <x v="0"/>
  </r>
  <r>
    <d v="2024-01-09T00:00:00"/>
    <x v="3"/>
    <x v="1"/>
    <x v="0"/>
    <n v="12515504.82"/>
    <x v="3"/>
    <x v="1"/>
    <x v="0"/>
    <x v="11"/>
    <x v="1"/>
    <x v="1"/>
    <x v="1"/>
    <x v="1"/>
    <x v="3"/>
    <n v="9"/>
    <x v="0"/>
  </r>
  <r>
    <d v="2024-01-09T00:00:00"/>
    <x v="3"/>
    <x v="2"/>
    <x v="1"/>
    <n v="5682950786.4899998"/>
    <x v="3"/>
    <x v="2"/>
    <x v="1"/>
    <x v="12"/>
    <x v="1"/>
    <x v="1"/>
    <x v="1"/>
    <x v="1"/>
    <x v="3"/>
    <n v="9"/>
    <x v="0"/>
  </r>
  <r>
    <d v="2024-01-09T00:00:00"/>
    <x v="3"/>
    <x v="2"/>
    <x v="0"/>
    <n v="1122948306.3599999"/>
    <x v="3"/>
    <x v="2"/>
    <x v="0"/>
    <x v="13"/>
    <x v="1"/>
    <x v="1"/>
    <x v="1"/>
    <x v="1"/>
    <x v="3"/>
    <n v="9"/>
    <x v="0"/>
  </r>
  <r>
    <d v="2024-01-08T00:00:00"/>
    <x v="0"/>
    <x v="0"/>
    <x v="0"/>
    <n v="238.54"/>
    <x v="0"/>
    <x v="0"/>
    <x v="0"/>
    <x v="0"/>
    <x v="1"/>
    <x v="1"/>
    <x v="1"/>
    <x v="1"/>
    <x v="3"/>
    <n v="8"/>
    <x v="0"/>
  </r>
  <r>
    <d v="2024-01-08T00:00:00"/>
    <x v="1"/>
    <x v="1"/>
    <x v="0"/>
    <n v="105942.25"/>
    <x v="1"/>
    <x v="1"/>
    <x v="0"/>
    <x v="1"/>
    <x v="1"/>
    <x v="1"/>
    <x v="1"/>
    <x v="1"/>
    <x v="3"/>
    <n v="8"/>
    <x v="0"/>
  </r>
  <r>
    <d v="2024-01-08T00:00:00"/>
    <x v="0"/>
    <x v="1"/>
    <x v="0"/>
    <n v="8419033"/>
    <x v="0"/>
    <x v="1"/>
    <x v="0"/>
    <x v="2"/>
    <x v="1"/>
    <x v="1"/>
    <x v="1"/>
    <x v="1"/>
    <x v="3"/>
    <n v="8"/>
    <x v="0"/>
  </r>
  <r>
    <d v="2024-01-08T00:00:00"/>
    <x v="3"/>
    <x v="3"/>
    <x v="2"/>
    <n v="970"/>
    <x v="3"/>
    <x v="3"/>
    <x v="2"/>
    <x v="3"/>
    <x v="1"/>
    <x v="1"/>
    <x v="1"/>
    <x v="1"/>
    <x v="3"/>
    <n v="8"/>
    <x v="0"/>
  </r>
  <r>
    <d v="2024-01-08T00:00:00"/>
    <x v="2"/>
    <x v="1"/>
    <x v="2"/>
    <n v="20720.48"/>
    <x v="2"/>
    <x v="1"/>
    <x v="2"/>
    <x v="4"/>
    <x v="1"/>
    <x v="1"/>
    <x v="1"/>
    <x v="1"/>
    <x v="3"/>
    <n v="8"/>
    <x v="0"/>
  </r>
  <r>
    <d v="2024-01-08T00:00:00"/>
    <x v="3"/>
    <x v="3"/>
    <x v="0"/>
    <n v="1534185911.22"/>
    <x v="3"/>
    <x v="3"/>
    <x v="0"/>
    <x v="9"/>
    <x v="1"/>
    <x v="1"/>
    <x v="1"/>
    <x v="1"/>
    <x v="3"/>
    <n v="8"/>
    <x v="0"/>
  </r>
  <r>
    <d v="2024-01-08T00:00:00"/>
    <x v="1"/>
    <x v="0"/>
    <x v="1"/>
    <n v="396904830.13"/>
    <x v="1"/>
    <x v="0"/>
    <x v="1"/>
    <x v="11"/>
    <x v="1"/>
    <x v="1"/>
    <x v="1"/>
    <x v="1"/>
    <x v="3"/>
    <n v="8"/>
    <x v="0"/>
  </r>
  <r>
    <d v="2024-01-08T00:00:00"/>
    <x v="3"/>
    <x v="3"/>
    <x v="1"/>
    <n v="1677741.87"/>
    <x v="3"/>
    <x v="3"/>
    <x v="1"/>
    <x v="5"/>
    <x v="1"/>
    <x v="1"/>
    <x v="1"/>
    <x v="1"/>
    <x v="3"/>
    <n v="8"/>
    <x v="0"/>
  </r>
  <r>
    <d v="2024-01-08T00:00:00"/>
    <x v="0"/>
    <x v="1"/>
    <x v="1"/>
    <n v="15021260.57"/>
    <x v="0"/>
    <x v="1"/>
    <x v="1"/>
    <x v="6"/>
    <x v="1"/>
    <x v="1"/>
    <x v="1"/>
    <x v="1"/>
    <x v="3"/>
    <n v="8"/>
    <x v="0"/>
  </r>
  <r>
    <d v="2024-01-08T00:00:00"/>
    <x v="3"/>
    <x v="2"/>
    <x v="2"/>
    <n v="327953.65000000002"/>
    <x v="3"/>
    <x v="2"/>
    <x v="2"/>
    <x v="7"/>
    <x v="1"/>
    <x v="1"/>
    <x v="1"/>
    <x v="1"/>
    <x v="3"/>
    <n v="8"/>
    <x v="0"/>
  </r>
  <r>
    <d v="2024-01-08T00:00:00"/>
    <x v="2"/>
    <x v="1"/>
    <x v="0"/>
    <n v="88362972.650000006"/>
    <x v="2"/>
    <x v="1"/>
    <x v="0"/>
    <x v="8"/>
    <x v="1"/>
    <x v="1"/>
    <x v="1"/>
    <x v="1"/>
    <x v="3"/>
    <n v="8"/>
    <x v="0"/>
  </r>
  <r>
    <d v="2024-01-08T00:00:00"/>
    <x v="2"/>
    <x v="1"/>
    <x v="1"/>
    <n v="421643288.83999997"/>
    <x v="2"/>
    <x v="1"/>
    <x v="1"/>
    <x v="10"/>
    <x v="1"/>
    <x v="1"/>
    <x v="1"/>
    <x v="1"/>
    <x v="3"/>
    <n v="8"/>
    <x v="0"/>
  </r>
  <r>
    <d v="2024-01-08T00:00:00"/>
    <x v="1"/>
    <x v="0"/>
    <x v="0"/>
    <n v="47974192.310000002"/>
    <x v="1"/>
    <x v="0"/>
    <x v="0"/>
    <x v="12"/>
    <x v="1"/>
    <x v="1"/>
    <x v="1"/>
    <x v="1"/>
    <x v="3"/>
    <n v="8"/>
    <x v="0"/>
  </r>
  <r>
    <d v="2024-01-08T00:00:00"/>
    <x v="3"/>
    <x v="2"/>
    <x v="1"/>
    <n v="26423609068.25"/>
    <x v="3"/>
    <x v="2"/>
    <x v="1"/>
    <x v="13"/>
    <x v="1"/>
    <x v="1"/>
    <x v="1"/>
    <x v="1"/>
    <x v="3"/>
    <n v="8"/>
    <x v="0"/>
  </r>
  <r>
    <d v="2024-01-08T00:00:00"/>
    <x v="3"/>
    <x v="1"/>
    <x v="0"/>
    <n v="49677514.43"/>
    <x v="3"/>
    <x v="1"/>
    <x v="0"/>
    <x v="14"/>
    <x v="1"/>
    <x v="1"/>
    <x v="1"/>
    <x v="1"/>
    <x v="3"/>
    <n v="8"/>
    <x v="0"/>
  </r>
  <r>
    <d v="2024-01-08T00:00:00"/>
    <x v="3"/>
    <x v="2"/>
    <x v="0"/>
    <n v="923264154.80999994"/>
    <x v="3"/>
    <x v="2"/>
    <x v="0"/>
    <x v="15"/>
    <x v="1"/>
    <x v="1"/>
    <x v="1"/>
    <x v="1"/>
    <x v="3"/>
    <n v="8"/>
    <x v="0"/>
  </r>
  <r>
    <d v="2024-01-05T00:00:00"/>
    <x v="0"/>
    <x v="0"/>
    <x v="0"/>
    <n v="-373.2"/>
    <x v="0"/>
    <x v="0"/>
    <x v="0"/>
    <x v="0"/>
    <x v="1"/>
    <x v="1"/>
    <x v="1"/>
    <x v="1"/>
    <x v="3"/>
    <n v="5"/>
    <x v="1"/>
  </r>
  <r>
    <d v="2024-01-05T00:00:00"/>
    <x v="1"/>
    <x v="1"/>
    <x v="0"/>
    <n v="229248.9"/>
    <x v="1"/>
    <x v="1"/>
    <x v="0"/>
    <x v="1"/>
    <x v="1"/>
    <x v="1"/>
    <x v="1"/>
    <x v="1"/>
    <x v="3"/>
    <n v="5"/>
    <x v="0"/>
  </r>
  <r>
    <d v="2024-01-05T00:00:00"/>
    <x v="0"/>
    <x v="1"/>
    <x v="0"/>
    <n v="15139769.98"/>
    <x v="0"/>
    <x v="1"/>
    <x v="0"/>
    <x v="2"/>
    <x v="1"/>
    <x v="1"/>
    <x v="1"/>
    <x v="1"/>
    <x v="3"/>
    <n v="5"/>
    <x v="0"/>
  </r>
  <r>
    <d v="2024-01-05T00:00:00"/>
    <x v="2"/>
    <x v="1"/>
    <x v="0"/>
    <n v="94359157.239999995"/>
    <x v="2"/>
    <x v="1"/>
    <x v="0"/>
    <x v="7"/>
    <x v="1"/>
    <x v="1"/>
    <x v="1"/>
    <x v="1"/>
    <x v="3"/>
    <n v="5"/>
    <x v="0"/>
  </r>
  <r>
    <d v="2024-01-05T00:00:00"/>
    <x v="2"/>
    <x v="1"/>
    <x v="2"/>
    <n v="439844.02"/>
    <x v="2"/>
    <x v="1"/>
    <x v="2"/>
    <x v="3"/>
    <x v="1"/>
    <x v="1"/>
    <x v="1"/>
    <x v="1"/>
    <x v="3"/>
    <n v="5"/>
    <x v="0"/>
  </r>
  <r>
    <d v="2024-01-05T00:00:00"/>
    <x v="3"/>
    <x v="3"/>
    <x v="0"/>
    <n v="1326401305.9100001"/>
    <x v="3"/>
    <x v="3"/>
    <x v="0"/>
    <x v="8"/>
    <x v="1"/>
    <x v="1"/>
    <x v="1"/>
    <x v="1"/>
    <x v="3"/>
    <n v="5"/>
    <x v="0"/>
  </r>
  <r>
    <d v="2024-01-05T00:00:00"/>
    <x v="2"/>
    <x v="1"/>
    <x v="1"/>
    <n v="214982618.61000001"/>
    <x v="2"/>
    <x v="1"/>
    <x v="1"/>
    <x v="9"/>
    <x v="1"/>
    <x v="1"/>
    <x v="1"/>
    <x v="1"/>
    <x v="3"/>
    <n v="5"/>
    <x v="0"/>
  </r>
  <r>
    <d v="2024-01-05T00:00:00"/>
    <x v="3"/>
    <x v="3"/>
    <x v="1"/>
    <n v="10058657.93"/>
    <x v="3"/>
    <x v="3"/>
    <x v="1"/>
    <x v="4"/>
    <x v="1"/>
    <x v="1"/>
    <x v="1"/>
    <x v="1"/>
    <x v="3"/>
    <n v="5"/>
    <x v="0"/>
  </r>
  <r>
    <d v="2024-01-05T00:00:00"/>
    <x v="0"/>
    <x v="1"/>
    <x v="1"/>
    <n v="18173154.129999999"/>
    <x v="0"/>
    <x v="1"/>
    <x v="1"/>
    <x v="5"/>
    <x v="1"/>
    <x v="1"/>
    <x v="1"/>
    <x v="1"/>
    <x v="3"/>
    <n v="5"/>
    <x v="0"/>
  </r>
  <r>
    <d v="2024-01-05T00:00:00"/>
    <x v="1"/>
    <x v="0"/>
    <x v="0"/>
    <n v="57372125.369999997"/>
    <x v="1"/>
    <x v="0"/>
    <x v="0"/>
    <x v="10"/>
    <x v="1"/>
    <x v="1"/>
    <x v="1"/>
    <x v="1"/>
    <x v="3"/>
    <n v="5"/>
    <x v="0"/>
  </r>
  <r>
    <d v="2024-01-05T00:00:00"/>
    <x v="3"/>
    <x v="2"/>
    <x v="2"/>
    <n v="637593.56000000006"/>
    <x v="3"/>
    <x v="2"/>
    <x v="2"/>
    <x v="6"/>
    <x v="1"/>
    <x v="1"/>
    <x v="1"/>
    <x v="1"/>
    <x v="3"/>
    <n v="5"/>
    <x v="0"/>
  </r>
  <r>
    <d v="2024-01-05T00:00:00"/>
    <x v="1"/>
    <x v="0"/>
    <x v="1"/>
    <n v="737924379.63"/>
    <x v="1"/>
    <x v="0"/>
    <x v="1"/>
    <x v="11"/>
    <x v="1"/>
    <x v="1"/>
    <x v="1"/>
    <x v="1"/>
    <x v="3"/>
    <n v="5"/>
    <x v="0"/>
  </r>
  <r>
    <d v="2024-01-05T00:00:00"/>
    <x v="3"/>
    <x v="1"/>
    <x v="0"/>
    <n v="16579318.970000001"/>
    <x v="3"/>
    <x v="1"/>
    <x v="0"/>
    <x v="12"/>
    <x v="1"/>
    <x v="1"/>
    <x v="1"/>
    <x v="1"/>
    <x v="3"/>
    <n v="5"/>
    <x v="0"/>
  </r>
  <r>
    <d v="2024-01-05T00:00:00"/>
    <x v="3"/>
    <x v="2"/>
    <x v="1"/>
    <n v="11361745823.629999"/>
    <x v="3"/>
    <x v="2"/>
    <x v="1"/>
    <x v="13"/>
    <x v="1"/>
    <x v="1"/>
    <x v="1"/>
    <x v="1"/>
    <x v="3"/>
    <n v="5"/>
    <x v="0"/>
  </r>
  <r>
    <d v="2024-01-05T00:00:00"/>
    <x v="3"/>
    <x v="2"/>
    <x v="0"/>
    <n v="677336262.90999997"/>
    <x v="3"/>
    <x v="2"/>
    <x v="0"/>
    <x v="14"/>
    <x v="1"/>
    <x v="1"/>
    <x v="1"/>
    <x v="1"/>
    <x v="3"/>
    <n v="5"/>
    <x v="0"/>
  </r>
  <r>
    <d v="2024-01-04T00:00:00"/>
    <x v="0"/>
    <x v="0"/>
    <x v="0"/>
    <n v="95"/>
    <x v="0"/>
    <x v="0"/>
    <x v="0"/>
    <x v="0"/>
    <x v="1"/>
    <x v="1"/>
    <x v="1"/>
    <x v="1"/>
    <x v="3"/>
    <n v="4"/>
    <x v="0"/>
  </r>
  <r>
    <d v="2024-01-04T00:00:00"/>
    <x v="1"/>
    <x v="1"/>
    <x v="0"/>
    <n v="38660.97"/>
    <x v="1"/>
    <x v="1"/>
    <x v="0"/>
    <x v="1"/>
    <x v="1"/>
    <x v="1"/>
    <x v="1"/>
    <x v="1"/>
    <x v="3"/>
    <n v="4"/>
    <x v="0"/>
  </r>
  <r>
    <d v="2024-01-04T00:00:00"/>
    <x v="0"/>
    <x v="1"/>
    <x v="0"/>
    <n v="9230884.8399999999"/>
    <x v="0"/>
    <x v="1"/>
    <x v="0"/>
    <x v="2"/>
    <x v="1"/>
    <x v="1"/>
    <x v="1"/>
    <x v="1"/>
    <x v="3"/>
    <n v="4"/>
    <x v="0"/>
  </r>
  <r>
    <d v="2024-01-04T00:00:00"/>
    <x v="2"/>
    <x v="1"/>
    <x v="2"/>
    <n v="34314.61"/>
    <x v="2"/>
    <x v="1"/>
    <x v="2"/>
    <x v="3"/>
    <x v="1"/>
    <x v="1"/>
    <x v="1"/>
    <x v="1"/>
    <x v="3"/>
    <n v="4"/>
    <x v="0"/>
  </r>
  <r>
    <d v="2024-01-04T00:00:00"/>
    <x v="2"/>
    <x v="1"/>
    <x v="0"/>
    <n v="121874805.76000001"/>
    <x v="2"/>
    <x v="1"/>
    <x v="0"/>
    <x v="8"/>
    <x v="1"/>
    <x v="1"/>
    <x v="1"/>
    <x v="1"/>
    <x v="3"/>
    <n v="4"/>
    <x v="0"/>
  </r>
  <r>
    <d v="2024-01-04T00:00:00"/>
    <x v="2"/>
    <x v="1"/>
    <x v="1"/>
    <n v="353493838.38"/>
    <x v="2"/>
    <x v="1"/>
    <x v="1"/>
    <x v="9"/>
    <x v="1"/>
    <x v="1"/>
    <x v="1"/>
    <x v="1"/>
    <x v="3"/>
    <n v="4"/>
    <x v="0"/>
  </r>
  <r>
    <d v="2024-01-04T00:00:00"/>
    <x v="1"/>
    <x v="0"/>
    <x v="1"/>
    <n v="2296489261.8299999"/>
    <x v="1"/>
    <x v="0"/>
    <x v="1"/>
    <x v="10"/>
    <x v="1"/>
    <x v="1"/>
    <x v="1"/>
    <x v="1"/>
    <x v="3"/>
    <n v="4"/>
    <x v="0"/>
  </r>
  <r>
    <d v="2024-01-04T00:00:00"/>
    <x v="3"/>
    <x v="3"/>
    <x v="1"/>
    <n v="5409486.4000000004"/>
    <x v="3"/>
    <x v="3"/>
    <x v="1"/>
    <x v="4"/>
    <x v="1"/>
    <x v="1"/>
    <x v="1"/>
    <x v="1"/>
    <x v="3"/>
    <n v="4"/>
    <x v="0"/>
  </r>
  <r>
    <d v="2024-01-04T00:00:00"/>
    <x v="0"/>
    <x v="1"/>
    <x v="1"/>
    <n v="5694234.1399999997"/>
    <x v="0"/>
    <x v="1"/>
    <x v="1"/>
    <x v="5"/>
    <x v="1"/>
    <x v="1"/>
    <x v="1"/>
    <x v="1"/>
    <x v="3"/>
    <n v="4"/>
    <x v="0"/>
  </r>
  <r>
    <d v="2024-01-04T00:00:00"/>
    <x v="1"/>
    <x v="0"/>
    <x v="0"/>
    <n v="105947371.19"/>
    <x v="1"/>
    <x v="0"/>
    <x v="0"/>
    <x v="11"/>
    <x v="1"/>
    <x v="1"/>
    <x v="1"/>
    <x v="1"/>
    <x v="3"/>
    <n v="4"/>
    <x v="0"/>
  </r>
  <r>
    <d v="2024-01-04T00:00:00"/>
    <x v="3"/>
    <x v="3"/>
    <x v="0"/>
    <n v="1367769684.3900001"/>
    <x v="3"/>
    <x v="3"/>
    <x v="0"/>
    <x v="7"/>
    <x v="1"/>
    <x v="1"/>
    <x v="1"/>
    <x v="1"/>
    <x v="3"/>
    <n v="4"/>
    <x v="0"/>
  </r>
  <r>
    <d v="2024-01-04T00:00:00"/>
    <x v="3"/>
    <x v="2"/>
    <x v="2"/>
    <n v="410880.5"/>
    <x v="3"/>
    <x v="2"/>
    <x v="2"/>
    <x v="6"/>
    <x v="1"/>
    <x v="1"/>
    <x v="1"/>
    <x v="1"/>
    <x v="3"/>
    <n v="4"/>
    <x v="0"/>
  </r>
  <r>
    <d v="2024-01-04T00:00:00"/>
    <x v="3"/>
    <x v="1"/>
    <x v="0"/>
    <n v="16146390.109999999"/>
    <x v="3"/>
    <x v="1"/>
    <x v="0"/>
    <x v="12"/>
    <x v="1"/>
    <x v="1"/>
    <x v="1"/>
    <x v="1"/>
    <x v="3"/>
    <n v="4"/>
    <x v="0"/>
  </r>
  <r>
    <d v="2024-01-04T00:00:00"/>
    <x v="3"/>
    <x v="2"/>
    <x v="1"/>
    <n v="15994469004.43"/>
    <x v="3"/>
    <x v="2"/>
    <x v="1"/>
    <x v="13"/>
    <x v="1"/>
    <x v="1"/>
    <x v="1"/>
    <x v="1"/>
    <x v="3"/>
    <n v="4"/>
    <x v="0"/>
  </r>
  <r>
    <d v="2024-01-04T00:00:00"/>
    <x v="3"/>
    <x v="2"/>
    <x v="0"/>
    <n v="538300207.26999998"/>
    <x v="3"/>
    <x v="2"/>
    <x v="0"/>
    <x v="14"/>
    <x v="1"/>
    <x v="1"/>
    <x v="1"/>
    <x v="1"/>
    <x v="3"/>
    <n v="4"/>
    <x v="0"/>
  </r>
  <r>
    <d v="2024-01-03T00:00:00"/>
    <x v="0"/>
    <x v="0"/>
    <x v="0"/>
    <n v="648.44000000000005"/>
    <x v="0"/>
    <x v="0"/>
    <x v="0"/>
    <x v="0"/>
    <x v="1"/>
    <x v="1"/>
    <x v="1"/>
    <x v="1"/>
    <x v="3"/>
    <n v="3"/>
    <x v="0"/>
  </r>
  <r>
    <d v="2024-01-03T00:00:00"/>
    <x v="1"/>
    <x v="1"/>
    <x v="0"/>
    <n v="33933.269999999997"/>
    <x v="1"/>
    <x v="1"/>
    <x v="0"/>
    <x v="1"/>
    <x v="1"/>
    <x v="1"/>
    <x v="1"/>
    <x v="1"/>
    <x v="3"/>
    <n v="3"/>
    <x v="0"/>
  </r>
  <r>
    <d v="2024-01-03T00:00:00"/>
    <x v="0"/>
    <x v="1"/>
    <x v="0"/>
    <n v="10478425.380000001"/>
    <x v="0"/>
    <x v="1"/>
    <x v="0"/>
    <x v="2"/>
    <x v="1"/>
    <x v="1"/>
    <x v="1"/>
    <x v="1"/>
    <x v="3"/>
    <n v="3"/>
    <x v="0"/>
  </r>
  <r>
    <d v="2024-01-03T00:00:00"/>
    <x v="2"/>
    <x v="1"/>
    <x v="0"/>
    <n v="105314054.19"/>
    <x v="2"/>
    <x v="1"/>
    <x v="0"/>
    <x v="8"/>
    <x v="1"/>
    <x v="1"/>
    <x v="1"/>
    <x v="1"/>
    <x v="3"/>
    <n v="3"/>
    <x v="0"/>
  </r>
  <r>
    <d v="2024-01-03T00:00:00"/>
    <x v="2"/>
    <x v="1"/>
    <x v="1"/>
    <n v="245154432.00999999"/>
    <x v="2"/>
    <x v="1"/>
    <x v="1"/>
    <x v="9"/>
    <x v="1"/>
    <x v="1"/>
    <x v="1"/>
    <x v="1"/>
    <x v="3"/>
    <n v="3"/>
    <x v="0"/>
  </r>
  <r>
    <d v="2024-01-03T00:00:00"/>
    <x v="3"/>
    <x v="3"/>
    <x v="1"/>
    <n v="233360.89"/>
    <x v="3"/>
    <x v="3"/>
    <x v="1"/>
    <x v="3"/>
    <x v="1"/>
    <x v="1"/>
    <x v="1"/>
    <x v="1"/>
    <x v="3"/>
    <n v="3"/>
    <x v="0"/>
  </r>
  <r>
    <d v="2024-01-03T00:00:00"/>
    <x v="0"/>
    <x v="0"/>
    <x v="1"/>
    <n v="-150"/>
    <x v="0"/>
    <x v="0"/>
    <x v="1"/>
    <x v="4"/>
    <x v="1"/>
    <x v="1"/>
    <x v="1"/>
    <x v="1"/>
    <x v="3"/>
    <n v="3"/>
    <x v="1"/>
  </r>
  <r>
    <d v="2024-01-03T00:00:00"/>
    <x v="0"/>
    <x v="1"/>
    <x v="1"/>
    <n v="22903444.260000002"/>
    <x v="0"/>
    <x v="1"/>
    <x v="1"/>
    <x v="5"/>
    <x v="1"/>
    <x v="1"/>
    <x v="1"/>
    <x v="1"/>
    <x v="3"/>
    <n v="3"/>
    <x v="0"/>
  </r>
  <r>
    <d v="2024-01-03T00:00:00"/>
    <x v="2"/>
    <x v="1"/>
    <x v="2"/>
    <n v="8744.14"/>
    <x v="2"/>
    <x v="1"/>
    <x v="2"/>
    <x v="6"/>
    <x v="1"/>
    <x v="1"/>
    <x v="1"/>
    <x v="1"/>
    <x v="3"/>
    <n v="3"/>
    <x v="0"/>
  </r>
  <r>
    <d v="2024-01-03T00:00:00"/>
    <x v="3"/>
    <x v="2"/>
    <x v="2"/>
    <n v="674530"/>
    <x v="3"/>
    <x v="2"/>
    <x v="2"/>
    <x v="7"/>
    <x v="1"/>
    <x v="1"/>
    <x v="1"/>
    <x v="1"/>
    <x v="3"/>
    <n v="3"/>
    <x v="0"/>
  </r>
  <r>
    <d v="2024-01-03T00:00:00"/>
    <x v="3"/>
    <x v="3"/>
    <x v="0"/>
    <n v="2452622407.9899998"/>
    <x v="3"/>
    <x v="3"/>
    <x v="0"/>
    <x v="10"/>
    <x v="1"/>
    <x v="1"/>
    <x v="1"/>
    <x v="1"/>
    <x v="3"/>
    <n v="3"/>
    <x v="0"/>
  </r>
  <r>
    <d v="2024-01-03T00:00:00"/>
    <x v="1"/>
    <x v="0"/>
    <x v="1"/>
    <n v="378958902.36000001"/>
    <x v="1"/>
    <x v="0"/>
    <x v="1"/>
    <x v="11"/>
    <x v="1"/>
    <x v="1"/>
    <x v="1"/>
    <x v="1"/>
    <x v="3"/>
    <n v="3"/>
    <x v="0"/>
  </r>
  <r>
    <d v="2024-01-03T00:00:00"/>
    <x v="1"/>
    <x v="0"/>
    <x v="0"/>
    <n v="73227262.090000004"/>
    <x v="1"/>
    <x v="0"/>
    <x v="0"/>
    <x v="12"/>
    <x v="1"/>
    <x v="1"/>
    <x v="1"/>
    <x v="1"/>
    <x v="3"/>
    <n v="3"/>
    <x v="0"/>
  </r>
  <r>
    <d v="2024-01-03T00:00:00"/>
    <x v="3"/>
    <x v="1"/>
    <x v="0"/>
    <n v="15397699.02"/>
    <x v="3"/>
    <x v="1"/>
    <x v="0"/>
    <x v="13"/>
    <x v="1"/>
    <x v="1"/>
    <x v="1"/>
    <x v="1"/>
    <x v="3"/>
    <n v="3"/>
    <x v="0"/>
  </r>
  <r>
    <d v="2024-01-03T00:00:00"/>
    <x v="3"/>
    <x v="2"/>
    <x v="1"/>
    <n v="12573857783.870001"/>
    <x v="3"/>
    <x v="2"/>
    <x v="1"/>
    <x v="14"/>
    <x v="1"/>
    <x v="1"/>
    <x v="1"/>
    <x v="1"/>
    <x v="3"/>
    <n v="3"/>
    <x v="0"/>
  </r>
  <r>
    <d v="2024-01-03T00:00:00"/>
    <x v="3"/>
    <x v="2"/>
    <x v="0"/>
    <n v="915494745.57000005"/>
    <x v="3"/>
    <x v="2"/>
    <x v="0"/>
    <x v="15"/>
    <x v="1"/>
    <x v="1"/>
    <x v="1"/>
    <x v="1"/>
    <x v="3"/>
    <n v="3"/>
    <x v="0"/>
  </r>
  <r>
    <d v="2024-01-02T00:00:00"/>
    <x v="0"/>
    <x v="0"/>
    <x v="0"/>
    <n v="23732.23"/>
    <x v="0"/>
    <x v="0"/>
    <x v="0"/>
    <x v="0"/>
    <x v="1"/>
    <x v="1"/>
    <x v="1"/>
    <x v="1"/>
    <x v="3"/>
    <n v="2"/>
    <x v="0"/>
  </r>
  <r>
    <d v="2024-01-02T00:00:00"/>
    <x v="0"/>
    <x v="1"/>
    <x v="0"/>
    <n v="10098819.640000001"/>
    <x v="0"/>
    <x v="1"/>
    <x v="0"/>
    <x v="1"/>
    <x v="1"/>
    <x v="1"/>
    <x v="1"/>
    <x v="1"/>
    <x v="3"/>
    <n v="2"/>
    <x v="0"/>
  </r>
  <r>
    <d v="2024-01-02T00:00:00"/>
    <x v="3"/>
    <x v="3"/>
    <x v="0"/>
    <n v="4703281725.1300001"/>
    <x v="3"/>
    <x v="3"/>
    <x v="0"/>
    <x v="8"/>
    <x v="1"/>
    <x v="1"/>
    <x v="1"/>
    <x v="1"/>
    <x v="3"/>
    <n v="2"/>
    <x v="0"/>
  </r>
  <r>
    <d v="2024-01-02T00:00:00"/>
    <x v="2"/>
    <x v="1"/>
    <x v="0"/>
    <n v="74586230.709999993"/>
    <x v="2"/>
    <x v="1"/>
    <x v="0"/>
    <x v="9"/>
    <x v="1"/>
    <x v="1"/>
    <x v="1"/>
    <x v="1"/>
    <x v="3"/>
    <n v="2"/>
    <x v="0"/>
  </r>
  <r>
    <d v="2024-01-02T00:00:00"/>
    <x v="2"/>
    <x v="1"/>
    <x v="1"/>
    <n v="34436310.719999999"/>
    <x v="2"/>
    <x v="1"/>
    <x v="1"/>
    <x v="10"/>
    <x v="1"/>
    <x v="1"/>
    <x v="1"/>
    <x v="1"/>
    <x v="3"/>
    <n v="2"/>
    <x v="0"/>
  </r>
  <r>
    <d v="2024-01-02T00:00:00"/>
    <x v="1"/>
    <x v="0"/>
    <x v="1"/>
    <n v="270707801.88"/>
    <x v="1"/>
    <x v="0"/>
    <x v="1"/>
    <x v="11"/>
    <x v="1"/>
    <x v="1"/>
    <x v="1"/>
    <x v="1"/>
    <x v="3"/>
    <n v="2"/>
    <x v="0"/>
  </r>
  <r>
    <d v="2024-01-02T00:00:00"/>
    <x v="1"/>
    <x v="1"/>
    <x v="0"/>
    <n v="9889.86"/>
    <x v="1"/>
    <x v="1"/>
    <x v="0"/>
    <x v="5"/>
    <x v="1"/>
    <x v="1"/>
    <x v="1"/>
    <x v="1"/>
    <x v="3"/>
    <n v="2"/>
    <x v="0"/>
  </r>
  <r>
    <d v="2024-01-02T00:00:00"/>
    <x v="0"/>
    <x v="0"/>
    <x v="1"/>
    <n v="150"/>
    <x v="0"/>
    <x v="0"/>
    <x v="1"/>
    <x v="2"/>
    <x v="1"/>
    <x v="1"/>
    <x v="1"/>
    <x v="1"/>
    <x v="3"/>
    <n v="2"/>
    <x v="0"/>
  </r>
  <r>
    <d v="2024-01-02T00:00:00"/>
    <x v="3"/>
    <x v="3"/>
    <x v="1"/>
    <n v="1742787.95"/>
    <x v="3"/>
    <x v="3"/>
    <x v="1"/>
    <x v="3"/>
    <x v="1"/>
    <x v="1"/>
    <x v="1"/>
    <x v="1"/>
    <x v="3"/>
    <n v="2"/>
    <x v="0"/>
  </r>
  <r>
    <d v="2024-01-02T00:00:00"/>
    <x v="0"/>
    <x v="1"/>
    <x v="1"/>
    <n v="136051.59"/>
    <x v="0"/>
    <x v="1"/>
    <x v="1"/>
    <x v="4"/>
    <x v="1"/>
    <x v="1"/>
    <x v="1"/>
    <x v="1"/>
    <x v="3"/>
    <n v="2"/>
    <x v="0"/>
  </r>
  <r>
    <d v="2024-01-02T00:00:00"/>
    <x v="1"/>
    <x v="0"/>
    <x v="0"/>
    <n v="59002499.700000003"/>
    <x v="1"/>
    <x v="0"/>
    <x v="0"/>
    <x v="12"/>
    <x v="1"/>
    <x v="1"/>
    <x v="1"/>
    <x v="1"/>
    <x v="3"/>
    <n v="2"/>
    <x v="0"/>
  </r>
  <r>
    <d v="2024-01-02T00:00:00"/>
    <x v="2"/>
    <x v="1"/>
    <x v="2"/>
    <n v="71124.02"/>
    <x v="2"/>
    <x v="1"/>
    <x v="2"/>
    <x v="6"/>
    <x v="1"/>
    <x v="1"/>
    <x v="1"/>
    <x v="1"/>
    <x v="3"/>
    <n v="2"/>
    <x v="0"/>
  </r>
  <r>
    <d v="2024-01-02T00:00:00"/>
    <x v="3"/>
    <x v="2"/>
    <x v="2"/>
    <n v="616804"/>
    <x v="3"/>
    <x v="2"/>
    <x v="2"/>
    <x v="7"/>
    <x v="1"/>
    <x v="1"/>
    <x v="1"/>
    <x v="1"/>
    <x v="3"/>
    <n v="2"/>
    <x v="0"/>
  </r>
  <r>
    <d v="2024-01-02T00:00:00"/>
    <x v="3"/>
    <x v="1"/>
    <x v="0"/>
    <n v="53871788.530000001"/>
    <x v="3"/>
    <x v="1"/>
    <x v="0"/>
    <x v="13"/>
    <x v="1"/>
    <x v="1"/>
    <x v="1"/>
    <x v="1"/>
    <x v="3"/>
    <n v="2"/>
    <x v="0"/>
  </r>
  <r>
    <d v="2024-01-02T00:00:00"/>
    <x v="3"/>
    <x v="2"/>
    <x v="0"/>
    <n v="1480128091.8800001"/>
    <x v="3"/>
    <x v="2"/>
    <x v="0"/>
    <x v="14"/>
    <x v="1"/>
    <x v="1"/>
    <x v="1"/>
    <x v="1"/>
    <x v="3"/>
    <n v="2"/>
    <x v="0"/>
  </r>
  <r>
    <d v="2024-01-02T00:00:00"/>
    <x v="3"/>
    <x v="2"/>
    <x v="1"/>
    <n v="55265457154.910004"/>
    <x v="3"/>
    <x v="2"/>
    <x v="1"/>
    <x v="15"/>
    <x v="1"/>
    <x v="1"/>
    <x v="1"/>
    <x v="1"/>
    <x v="3"/>
    <n v="2"/>
    <x v="0"/>
  </r>
  <r>
    <d v="2023-12-29T00:00:00"/>
    <x v="0"/>
    <x v="0"/>
    <x v="0"/>
    <n v="235.41"/>
    <x v="0"/>
    <x v="0"/>
    <x v="0"/>
    <x v="0"/>
    <x v="1"/>
    <x v="2"/>
    <x v="2"/>
    <x v="2"/>
    <x v="4"/>
    <n v="29"/>
    <x v="0"/>
  </r>
  <r>
    <d v="2023-12-29T00:00:00"/>
    <x v="1"/>
    <x v="1"/>
    <x v="0"/>
    <n v="63618.79"/>
    <x v="1"/>
    <x v="1"/>
    <x v="0"/>
    <x v="1"/>
    <x v="1"/>
    <x v="2"/>
    <x v="2"/>
    <x v="2"/>
    <x v="4"/>
    <n v="29"/>
    <x v="0"/>
  </r>
  <r>
    <d v="2023-12-29T00:00:00"/>
    <x v="0"/>
    <x v="1"/>
    <x v="0"/>
    <n v="5794993.3499999996"/>
    <x v="0"/>
    <x v="1"/>
    <x v="0"/>
    <x v="2"/>
    <x v="1"/>
    <x v="2"/>
    <x v="2"/>
    <x v="2"/>
    <x v="4"/>
    <n v="29"/>
    <x v="0"/>
  </r>
  <r>
    <d v="2023-12-29T00:00:00"/>
    <x v="2"/>
    <x v="1"/>
    <x v="2"/>
    <n v="33604.239999999998"/>
    <x v="2"/>
    <x v="1"/>
    <x v="2"/>
    <x v="3"/>
    <x v="1"/>
    <x v="2"/>
    <x v="2"/>
    <x v="2"/>
    <x v="4"/>
    <n v="29"/>
    <x v="0"/>
  </r>
  <r>
    <d v="2023-12-29T00:00:00"/>
    <x v="2"/>
    <x v="1"/>
    <x v="0"/>
    <n v="98038472.75"/>
    <x v="2"/>
    <x v="1"/>
    <x v="0"/>
    <x v="6"/>
    <x v="1"/>
    <x v="2"/>
    <x v="2"/>
    <x v="2"/>
    <x v="4"/>
    <n v="29"/>
    <x v="0"/>
  </r>
  <r>
    <d v="2023-12-29T00:00:00"/>
    <x v="2"/>
    <x v="1"/>
    <x v="1"/>
    <n v="129701293.51000001"/>
    <x v="2"/>
    <x v="1"/>
    <x v="1"/>
    <x v="7"/>
    <x v="1"/>
    <x v="2"/>
    <x v="2"/>
    <x v="2"/>
    <x v="4"/>
    <n v="29"/>
    <x v="0"/>
  </r>
  <r>
    <d v="2023-12-29T00:00:00"/>
    <x v="3"/>
    <x v="3"/>
    <x v="0"/>
    <n v="4401734856.21"/>
    <x v="3"/>
    <x v="3"/>
    <x v="0"/>
    <x v="8"/>
    <x v="1"/>
    <x v="2"/>
    <x v="2"/>
    <x v="2"/>
    <x v="4"/>
    <n v="29"/>
    <x v="0"/>
  </r>
  <r>
    <d v="2023-12-29T00:00:00"/>
    <x v="3"/>
    <x v="2"/>
    <x v="2"/>
    <n v="760090.15"/>
    <x v="3"/>
    <x v="2"/>
    <x v="2"/>
    <x v="5"/>
    <x v="1"/>
    <x v="2"/>
    <x v="2"/>
    <x v="2"/>
    <x v="4"/>
    <n v="29"/>
    <x v="0"/>
  </r>
  <r>
    <d v="2023-12-29T00:00:00"/>
    <x v="1"/>
    <x v="0"/>
    <x v="1"/>
    <n v="639311091.22000003"/>
    <x v="1"/>
    <x v="0"/>
    <x v="1"/>
    <x v="9"/>
    <x v="1"/>
    <x v="2"/>
    <x v="2"/>
    <x v="2"/>
    <x v="4"/>
    <n v="29"/>
    <x v="0"/>
  </r>
  <r>
    <d v="2023-12-29T00:00:00"/>
    <x v="0"/>
    <x v="1"/>
    <x v="1"/>
    <n v="7161447.21"/>
    <x v="0"/>
    <x v="1"/>
    <x v="1"/>
    <x v="4"/>
    <x v="1"/>
    <x v="2"/>
    <x v="2"/>
    <x v="2"/>
    <x v="4"/>
    <n v="29"/>
    <x v="0"/>
  </r>
  <r>
    <d v="2023-12-29T00:00:00"/>
    <x v="1"/>
    <x v="0"/>
    <x v="0"/>
    <n v="63131988.719999999"/>
    <x v="1"/>
    <x v="0"/>
    <x v="0"/>
    <x v="10"/>
    <x v="1"/>
    <x v="2"/>
    <x v="2"/>
    <x v="2"/>
    <x v="4"/>
    <n v="29"/>
    <x v="0"/>
  </r>
  <r>
    <d v="2023-12-29T00:00:00"/>
    <x v="3"/>
    <x v="1"/>
    <x v="0"/>
    <n v="16806302.960000001"/>
    <x v="3"/>
    <x v="1"/>
    <x v="0"/>
    <x v="11"/>
    <x v="1"/>
    <x v="2"/>
    <x v="2"/>
    <x v="2"/>
    <x v="4"/>
    <n v="29"/>
    <x v="0"/>
  </r>
  <r>
    <d v="2023-12-29T00:00:00"/>
    <x v="3"/>
    <x v="2"/>
    <x v="1"/>
    <n v="29064819824.799999"/>
    <x v="3"/>
    <x v="2"/>
    <x v="1"/>
    <x v="12"/>
    <x v="1"/>
    <x v="2"/>
    <x v="2"/>
    <x v="2"/>
    <x v="4"/>
    <n v="29"/>
    <x v="0"/>
  </r>
  <r>
    <d v="2023-12-29T00:00:00"/>
    <x v="3"/>
    <x v="2"/>
    <x v="0"/>
    <n v="1276033663.52"/>
    <x v="3"/>
    <x v="2"/>
    <x v="0"/>
    <x v="13"/>
    <x v="1"/>
    <x v="2"/>
    <x v="2"/>
    <x v="2"/>
    <x v="4"/>
    <n v="29"/>
    <x v="0"/>
  </r>
  <r>
    <d v="2023-12-28T00:00:00"/>
    <x v="1"/>
    <x v="1"/>
    <x v="0"/>
    <n v="135678.70000000001"/>
    <x v="1"/>
    <x v="1"/>
    <x v="0"/>
    <x v="0"/>
    <x v="1"/>
    <x v="2"/>
    <x v="2"/>
    <x v="2"/>
    <x v="4"/>
    <n v="28"/>
    <x v="0"/>
  </r>
  <r>
    <d v="2023-12-28T00:00:00"/>
    <x v="0"/>
    <x v="1"/>
    <x v="0"/>
    <n v="54829102.780000001"/>
    <x v="0"/>
    <x v="1"/>
    <x v="0"/>
    <x v="1"/>
    <x v="1"/>
    <x v="2"/>
    <x v="2"/>
    <x v="2"/>
    <x v="4"/>
    <n v="28"/>
    <x v="0"/>
  </r>
  <r>
    <d v="2023-12-28T00:00:00"/>
    <x v="3"/>
    <x v="2"/>
    <x v="2"/>
    <n v="464702.49"/>
    <x v="3"/>
    <x v="2"/>
    <x v="2"/>
    <x v="5"/>
    <x v="1"/>
    <x v="2"/>
    <x v="2"/>
    <x v="2"/>
    <x v="4"/>
    <n v="28"/>
    <x v="0"/>
  </r>
  <r>
    <d v="2023-12-28T00:00:00"/>
    <x v="2"/>
    <x v="1"/>
    <x v="0"/>
    <n v="132779286.75"/>
    <x v="2"/>
    <x v="1"/>
    <x v="0"/>
    <x v="6"/>
    <x v="1"/>
    <x v="2"/>
    <x v="2"/>
    <x v="2"/>
    <x v="4"/>
    <n v="28"/>
    <x v="0"/>
  </r>
  <r>
    <d v="2023-12-28T00:00:00"/>
    <x v="2"/>
    <x v="1"/>
    <x v="2"/>
    <n v="40798.15"/>
    <x v="2"/>
    <x v="1"/>
    <x v="2"/>
    <x v="4"/>
    <x v="1"/>
    <x v="2"/>
    <x v="2"/>
    <x v="2"/>
    <x v="4"/>
    <n v="28"/>
    <x v="0"/>
  </r>
  <r>
    <d v="2023-12-28T00:00:00"/>
    <x v="2"/>
    <x v="1"/>
    <x v="1"/>
    <n v="130762555.81"/>
    <x v="2"/>
    <x v="1"/>
    <x v="1"/>
    <x v="8"/>
    <x v="1"/>
    <x v="2"/>
    <x v="2"/>
    <x v="2"/>
    <x v="4"/>
    <n v="28"/>
    <x v="0"/>
  </r>
  <r>
    <d v="2023-12-28T00:00:00"/>
    <x v="1"/>
    <x v="0"/>
    <x v="1"/>
    <n v="1587941152.49"/>
    <x v="1"/>
    <x v="0"/>
    <x v="1"/>
    <x v="9"/>
    <x v="1"/>
    <x v="2"/>
    <x v="2"/>
    <x v="2"/>
    <x v="4"/>
    <n v="28"/>
    <x v="0"/>
  </r>
  <r>
    <d v="2023-12-28T00:00:00"/>
    <x v="3"/>
    <x v="3"/>
    <x v="1"/>
    <n v="269227.62"/>
    <x v="3"/>
    <x v="3"/>
    <x v="1"/>
    <x v="2"/>
    <x v="1"/>
    <x v="2"/>
    <x v="2"/>
    <x v="2"/>
    <x v="4"/>
    <n v="28"/>
    <x v="0"/>
  </r>
  <r>
    <d v="2023-12-28T00:00:00"/>
    <x v="0"/>
    <x v="1"/>
    <x v="1"/>
    <n v="6288482.6699999999"/>
    <x v="0"/>
    <x v="1"/>
    <x v="1"/>
    <x v="3"/>
    <x v="1"/>
    <x v="2"/>
    <x v="2"/>
    <x v="2"/>
    <x v="4"/>
    <n v="28"/>
    <x v="0"/>
  </r>
  <r>
    <d v="2023-12-28T00:00:00"/>
    <x v="3"/>
    <x v="3"/>
    <x v="0"/>
    <n v="1961691367.51"/>
    <x v="3"/>
    <x v="3"/>
    <x v="0"/>
    <x v="7"/>
    <x v="1"/>
    <x v="2"/>
    <x v="2"/>
    <x v="2"/>
    <x v="4"/>
    <n v="28"/>
    <x v="0"/>
  </r>
  <r>
    <d v="2023-12-28T00:00:00"/>
    <x v="1"/>
    <x v="0"/>
    <x v="0"/>
    <n v="85152642.180000007"/>
    <x v="1"/>
    <x v="0"/>
    <x v="0"/>
    <x v="10"/>
    <x v="1"/>
    <x v="2"/>
    <x v="2"/>
    <x v="2"/>
    <x v="4"/>
    <n v="28"/>
    <x v="0"/>
  </r>
  <r>
    <d v="2023-12-28T00:00:00"/>
    <x v="3"/>
    <x v="1"/>
    <x v="0"/>
    <n v="14191541.23"/>
    <x v="3"/>
    <x v="1"/>
    <x v="0"/>
    <x v="11"/>
    <x v="1"/>
    <x v="2"/>
    <x v="2"/>
    <x v="2"/>
    <x v="4"/>
    <n v="28"/>
    <x v="0"/>
  </r>
  <r>
    <d v="2023-12-28T00:00:00"/>
    <x v="3"/>
    <x v="2"/>
    <x v="1"/>
    <n v="16337481209.280001"/>
    <x v="3"/>
    <x v="2"/>
    <x v="1"/>
    <x v="12"/>
    <x v="1"/>
    <x v="2"/>
    <x v="2"/>
    <x v="2"/>
    <x v="4"/>
    <n v="28"/>
    <x v="0"/>
  </r>
  <r>
    <d v="2023-12-28T00:00:00"/>
    <x v="3"/>
    <x v="2"/>
    <x v="0"/>
    <n v="649734794.34000003"/>
    <x v="3"/>
    <x v="2"/>
    <x v="0"/>
    <x v="13"/>
    <x v="1"/>
    <x v="2"/>
    <x v="2"/>
    <x v="2"/>
    <x v="4"/>
    <n v="28"/>
    <x v="0"/>
  </r>
  <r>
    <d v="2023-12-27T00:00:00"/>
    <x v="0"/>
    <x v="0"/>
    <x v="0"/>
    <n v="726.95"/>
    <x v="0"/>
    <x v="0"/>
    <x v="0"/>
    <x v="0"/>
    <x v="1"/>
    <x v="2"/>
    <x v="2"/>
    <x v="2"/>
    <x v="4"/>
    <n v="27"/>
    <x v="0"/>
  </r>
  <r>
    <d v="2023-12-27T00:00:00"/>
    <x v="1"/>
    <x v="1"/>
    <x v="0"/>
    <n v="243104.79"/>
    <x v="1"/>
    <x v="1"/>
    <x v="0"/>
    <x v="1"/>
    <x v="1"/>
    <x v="2"/>
    <x v="2"/>
    <x v="2"/>
    <x v="4"/>
    <n v="27"/>
    <x v="0"/>
  </r>
  <r>
    <d v="2023-12-27T00:00:00"/>
    <x v="0"/>
    <x v="1"/>
    <x v="0"/>
    <n v="9395109.5399999991"/>
    <x v="0"/>
    <x v="1"/>
    <x v="0"/>
    <x v="2"/>
    <x v="1"/>
    <x v="2"/>
    <x v="2"/>
    <x v="2"/>
    <x v="4"/>
    <n v="27"/>
    <x v="0"/>
  </r>
  <r>
    <d v="2023-12-27T00:00:00"/>
    <x v="3"/>
    <x v="2"/>
    <x v="2"/>
    <n v="340448.95"/>
    <x v="3"/>
    <x v="2"/>
    <x v="2"/>
    <x v="6"/>
    <x v="1"/>
    <x v="2"/>
    <x v="2"/>
    <x v="2"/>
    <x v="4"/>
    <n v="27"/>
    <x v="0"/>
  </r>
  <r>
    <d v="2023-12-27T00:00:00"/>
    <x v="2"/>
    <x v="1"/>
    <x v="2"/>
    <n v="48241.05"/>
    <x v="2"/>
    <x v="1"/>
    <x v="2"/>
    <x v="3"/>
    <x v="1"/>
    <x v="2"/>
    <x v="2"/>
    <x v="2"/>
    <x v="4"/>
    <n v="27"/>
    <x v="0"/>
  </r>
  <r>
    <d v="2023-12-27T00:00:00"/>
    <x v="2"/>
    <x v="1"/>
    <x v="0"/>
    <n v="108002625.79000001"/>
    <x v="2"/>
    <x v="1"/>
    <x v="0"/>
    <x v="8"/>
    <x v="1"/>
    <x v="2"/>
    <x v="2"/>
    <x v="2"/>
    <x v="4"/>
    <n v="27"/>
    <x v="0"/>
  </r>
  <r>
    <d v="2023-12-27T00:00:00"/>
    <x v="1"/>
    <x v="0"/>
    <x v="1"/>
    <n v="420589935.06999999"/>
    <x v="1"/>
    <x v="0"/>
    <x v="1"/>
    <x v="10"/>
    <x v="1"/>
    <x v="2"/>
    <x v="2"/>
    <x v="2"/>
    <x v="4"/>
    <n v="27"/>
    <x v="0"/>
  </r>
  <r>
    <d v="2023-12-27T00:00:00"/>
    <x v="1"/>
    <x v="0"/>
    <x v="0"/>
    <n v="71210053.5"/>
    <x v="1"/>
    <x v="0"/>
    <x v="0"/>
    <x v="11"/>
    <x v="1"/>
    <x v="2"/>
    <x v="2"/>
    <x v="2"/>
    <x v="4"/>
    <n v="27"/>
    <x v="0"/>
  </r>
  <r>
    <d v="2023-12-27T00:00:00"/>
    <x v="3"/>
    <x v="3"/>
    <x v="1"/>
    <n v="2905.82"/>
    <x v="3"/>
    <x v="3"/>
    <x v="1"/>
    <x v="4"/>
    <x v="1"/>
    <x v="2"/>
    <x v="2"/>
    <x v="2"/>
    <x v="4"/>
    <n v="27"/>
    <x v="0"/>
  </r>
  <r>
    <d v="2023-12-27T00:00:00"/>
    <x v="0"/>
    <x v="1"/>
    <x v="1"/>
    <n v="8928690.3699999992"/>
    <x v="0"/>
    <x v="1"/>
    <x v="1"/>
    <x v="5"/>
    <x v="1"/>
    <x v="2"/>
    <x v="2"/>
    <x v="2"/>
    <x v="4"/>
    <n v="27"/>
    <x v="0"/>
  </r>
  <r>
    <d v="2023-12-27T00:00:00"/>
    <x v="3"/>
    <x v="3"/>
    <x v="0"/>
    <n v="1745081461.0599999"/>
    <x v="3"/>
    <x v="3"/>
    <x v="0"/>
    <x v="7"/>
    <x v="1"/>
    <x v="2"/>
    <x v="2"/>
    <x v="2"/>
    <x v="4"/>
    <n v="27"/>
    <x v="0"/>
  </r>
  <r>
    <d v="2023-12-27T00:00:00"/>
    <x v="2"/>
    <x v="1"/>
    <x v="1"/>
    <n v="228590095.33000001"/>
    <x v="2"/>
    <x v="1"/>
    <x v="1"/>
    <x v="9"/>
    <x v="1"/>
    <x v="2"/>
    <x v="2"/>
    <x v="2"/>
    <x v="4"/>
    <n v="27"/>
    <x v="0"/>
  </r>
  <r>
    <d v="2023-12-27T00:00:00"/>
    <x v="3"/>
    <x v="1"/>
    <x v="0"/>
    <n v="9817179.1600000001"/>
    <x v="3"/>
    <x v="1"/>
    <x v="0"/>
    <x v="12"/>
    <x v="1"/>
    <x v="2"/>
    <x v="2"/>
    <x v="2"/>
    <x v="4"/>
    <n v="27"/>
    <x v="0"/>
  </r>
  <r>
    <d v="2023-12-27T00:00:00"/>
    <x v="3"/>
    <x v="2"/>
    <x v="1"/>
    <n v="8661270908.1499996"/>
    <x v="3"/>
    <x v="2"/>
    <x v="1"/>
    <x v="13"/>
    <x v="1"/>
    <x v="2"/>
    <x v="2"/>
    <x v="2"/>
    <x v="4"/>
    <n v="27"/>
    <x v="0"/>
  </r>
  <r>
    <d v="2023-12-27T00:00:00"/>
    <x v="3"/>
    <x v="2"/>
    <x v="0"/>
    <n v="731640248.17999995"/>
    <x v="3"/>
    <x v="2"/>
    <x v="0"/>
    <x v="14"/>
    <x v="1"/>
    <x v="2"/>
    <x v="2"/>
    <x v="2"/>
    <x v="4"/>
    <n v="27"/>
    <x v="0"/>
  </r>
  <r>
    <d v="2023-12-26T00:00:00"/>
    <x v="1"/>
    <x v="1"/>
    <x v="0"/>
    <n v="33649"/>
    <x v="1"/>
    <x v="1"/>
    <x v="0"/>
    <x v="0"/>
    <x v="1"/>
    <x v="2"/>
    <x v="2"/>
    <x v="2"/>
    <x v="4"/>
    <n v="26"/>
    <x v="0"/>
  </r>
  <r>
    <d v="2023-12-26T00:00:00"/>
    <x v="0"/>
    <x v="1"/>
    <x v="0"/>
    <n v="19852564.489999998"/>
    <x v="0"/>
    <x v="1"/>
    <x v="0"/>
    <x v="1"/>
    <x v="1"/>
    <x v="2"/>
    <x v="2"/>
    <x v="2"/>
    <x v="4"/>
    <n v="26"/>
    <x v="0"/>
  </r>
  <r>
    <d v="2023-12-26T00:00:00"/>
    <x v="3"/>
    <x v="3"/>
    <x v="2"/>
    <n v="764.97"/>
    <x v="3"/>
    <x v="3"/>
    <x v="2"/>
    <x v="2"/>
    <x v="1"/>
    <x v="2"/>
    <x v="2"/>
    <x v="2"/>
    <x v="4"/>
    <n v="26"/>
    <x v="0"/>
  </r>
  <r>
    <d v="2023-12-26T00:00:00"/>
    <x v="2"/>
    <x v="1"/>
    <x v="0"/>
    <n v="81063886.829999998"/>
    <x v="2"/>
    <x v="1"/>
    <x v="0"/>
    <x v="6"/>
    <x v="1"/>
    <x v="2"/>
    <x v="2"/>
    <x v="2"/>
    <x v="4"/>
    <n v="26"/>
    <x v="0"/>
  </r>
  <r>
    <d v="2023-12-26T00:00:00"/>
    <x v="3"/>
    <x v="3"/>
    <x v="0"/>
    <n v="1451251598.4400001"/>
    <x v="3"/>
    <x v="3"/>
    <x v="0"/>
    <x v="7"/>
    <x v="1"/>
    <x v="2"/>
    <x v="2"/>
    <x v="2"/>
    <x v="4"/>
    <n v="26"/>
    <x v="0"/>
  </r>
  <r>
    <d v="2023-12-26T00:00:00"/>
    <x v="2"/>
    <x v="1"/>
    <x v="2"/>
    <n v="85862.53"/>
    <x v="2"/>
    <x v="1"/>
    <x v="2"/>
    <x v="4"/>
    <x v="1"/>
    <x v="2"/>
    <x v="2"/>
    <x v="2"/>
    <x v="4"/>
    <n v="26"/>
    <x v="0"/>
  </r>
  <r>
    <d v="2023-12-26T00:00:00"/>
    <x v="1"/>
    <x v="0"/>
    <x v="0"/>
    <n v="57818037.609999999"/>
    <x v="1"/>
    <x v="0"/>
    <x v="0"/>
    <x v="10"/>
    <x v="1"/>
    <x v="2"/>
    <x v="2"/>
    <x v="2"/>
    <x v="4"/>
    <n v="26"/>
    <x v="0"/>
  </r>
  <r>
    <d v="2023-12-26T00:00:00"/>
    <x v="0"/>
    <x v="1"/>
    <x v="1"/>
    <n v="4880345.29"/>
    <x v="0"/>
    <x v="1"/>
    <x v="1"/>
    <x v="3"/>
    <x v="1"/>
    <x v="2"/>
    <x v="2"/>
    <x v="2"/>
    <x v="4"/>
    <n v="26"/>
    <x v="0"/>
  </r>
  <r>
    <d v="2023-12-26T00:00:00"/>
    <x v="3"/>
    <x v="2"/>
    <x v="2"/>
    <n v="608409.31999999995"/>
    <x v="3"/>
    <x v="2"/>
    <x v="2"/>
    <x v="5"/>
    <x v="1"/>
    <x v="2"/>
    <x v="2"/>
    <x v="2"/>
    <x v="4"/>
    <n v="26"/>
    <x v="0"/>
  </r>
  <r>
    <d v="2023-12-26T00:00:00"/>
    <x v="2"/>
    <x v="1"/>
    <x v="1"/>
    <n v="182760065.02000001"/>
    <x v="2"/>
    <x v="1"/>
    <x v="1"/>
    <x v="8"/>
    <x v="1"/>
    <x v="2"/>
    <x v="2"/>
    <x v="2"/>
    <x v="4"/>
    <n v="26"/>
    <x v="0"/>
  </r>
  <r>
    <d v="2023-12-26T00:00:00"/>
    <x v="1"/>
    <x v="0"/>
    <x v="1"/>
    <n v="316716796.54000002"/>
    <x v="1"/>
    <x v="0"/>
    <x v="1"/>
    <x v="9"/>
    <x v="1"/>
    <x v="2"/>
    <x v="2"/>
    <x v="2"/>
    <x v="4"/>
    <n v="26"/>
    <x v="0"/>
  </r>
  <r>
    <d v="2023-12-26T00:00:00"/>
    <x v="3"/>
    <x v="2"/>
    <x v="1"/>
    <n v="32299197957.169998"/>
    <x v="3"/>
    <x v="2"/>
    <x v="1"/>
    <x v="11"/>
    <x v="1"/>
    <x v="2"/>
    <x v="2"/>
    <x v="2"/>
    <x v="4"/>
    <n v="26"/>
    <x v="0"/>
  </r>
  <r>
    <d v="2023-12-26T00:00:00"/>
    <x v="3"/>
    <x v="1"/>
    <x v="0"/>
    <n v="53212486.549999997"/>
    <x v="3"/>
    <x v="1"/>
    <x v="0"/>
    <x v="12"/>
    <x v="1"/>
    <x v="2"/>
    <x v="2"/>
    <x v="2"/>
    <x v="4"/>
    <n v="26"/>
    <x v="0"/>
  </r>
  <r>
    <d v="2023-12-26T00:00:00"/>
    <x v="3"/>
    <x v="2"/>
    <x v="0"/>
    <n v="645467860.17999995"/>
    <x v="3"/>
    <x v="2"/>
    <x v="0"/>
    <x v="13"/>
    <x v="1"/>
    <x v="2"/>
    <x v="2"/>
    <x v="2"/>
    <x v="4"/>
    <n v="26"/>
    <x v="0"/>
  </r>
  <r>
    <d v="2023-12-22T00:00:00"/>
    <x v="0"/>
    <x v="0"/>
    <x v="0"/>
    <n v="20"/>
    <x v="0"/>
    <x v="0"/>
    <x v="0"/>
    <x v="0"/>
    <x v="1"/>
    <x v="2"/>
    <x v="2"/>
    <x v="2"/>
    <x v="4"/>
    <n v="22"/>
    <x v="0"/>
  </r>
  <r>
    <d v="2023-12-22T00:00:00"/>
    <x v="0"/>
    <x v="1"/>
    <x v="0"/>
    <n v="9660859.6799999997"/>
    <x v="0"/>
    <x v="1"/>
    <x v="0"/>
    <x v="1"/>
    <x v="1"/>
    <x v="2"/>
    <x v="2"/>
    <x v="2"/>
    <x v="4"/>
    <n v="22"/>
    <x v="0"/>
  </r>
  <r>
    <d v="2023-12-22T00:00:00"/>
    <x v="3"/>
    <x v="2"/>
    <x v="2"/>
    <n v="1014974.81"/>
    <x v="3"/>
    <x v="2"/>
    <x v="2"/>
    <x v="6"/>
    <x v="1"/>
    <x v="2"/>
    <x v="2"/>
    <x v="2"/>
    <x v="4"/>
    <n v="22"/>
    <x v="0"/>
  </r>
  <r>
    <d v="2023-12-22T00:00:00"/>
    <x v="3"/>
    <x v="3"/>
    <x v="2"/>
    <n v="15"/>
    <x v="3"/>
    <x v="3"/>
    <x v="2"/>
    <x v="2"/>
    <x v="1"/>
    <x v="2"/>
    <x v="2"/>
    <x v="2"/>
    <x v="4"/>
    <n v="22"/>
    <x v="0"/>
  </r>
  <r>
    <d v="2023-12-22T00:00:00"/>
    <x v="2"/>
    <x v="1"/>
    <x v="2"/>
    <n v="20341"/>
    <x v="2"/>
    <x v="1"/>
    <x v="2"/>
    <x v="3"/>
    <x v="1"/>
    <x v="2"/>
    <x v="2"/>
    <x v="2"/>
    <x v="4"/>
    <n v="22"/>
    <x v="0"/>
  </r>
  <r>
    <d v="2023-12-22T00:00:00"/>
    <x v="2"/>
    <x v="1"/>
    <x v="0"/>
    <n v="120776565.59"/>
    <x v="2"/>
    <x v="1"/>
    <x v="0"/>
    <x v="7"/>
    <x v="1"/>
    <x v="2"/>
    <x v="2"/>
    <x v="2"/>
    <x v="4"/>
    <n v="22"/>
    <x v="0"/>
  </r>
  <r>
    <d v="2023-12-22T00:00:00"/>
    <x v="2"/>
    <x v="1"/>
    <x v="1"/>
    <n v="353424977.51999998"/>
    <x v="2"/>
    <x v="1"/>
    <x v="1"/>
    <x v="9"/>
    <x v="1"/>
    <x v="2"/>
    <x v="2"/>
    <x v="2"/>
    <x v="4"/>
    <n v="22"/>
    <x v="0"/>
  </r>
  <r>
    <d v="2023-12-22T00:00:00"/>
    <x v="1"/>
    <x v="0"/>
    <x v="1"/>
    <n v="239168003.13999999"/>
    <x v="1"/>
    <x v="0"/>
    <x v="1"/>
    <x v="10"/>
    <x v="1"/>
    <x v="2"/>
    <x v="2"/>
    <x v="2"/>
    <x v="4"/>
    <n v="22"/>
    <x v="0"/>
  </r>
  <r>
    <d v="2023-12-22T00:00:00"/>
    <x v="1"/>
    <x v="0"/>
    <x v="0"/>
    <n v="49909389.659999996"/>
    <x v="1"/>
    <x v="0"/>
    <x v="0"/>
    <x v="11"/>
    <x v="1"/>
    <x v="2"/>
    <x v="2"/>
    <x v="2"/>
    <x v="4"/>
    <n v="22"/>
    <x v="0"/>
  </r>
  <r>
    <d v="2023-12-22T00:00:00"/>
    <x v="0"/>
    <x v="1"/>
    <x v="1"/>
    <n v="4812035.0199999996"/>
    <x v="0"/>
    <x v="1"/>
    <x v="1"/>
    <x v="4"/>
    <x v="1"/>
    <x v="2"/>
    <x v="2"/>
    <x v="2"/>
    <x v="4"/>
    <n v="22"/>
    <x v="0"/>
  </r>
  <r>
    <d v="2023-12-22T00:00:00"/>
    <x v="1"/>
    <x v="1"/>
    <x v="0"/>
    <n v="613558.88"/>
    <x v="1"/>
    <x v="1"/>
    <x v="0"/>
    <x v="5"/>
    <x v="1"/>
    <x v="2"/>
    <x v="2"/>
    <x v="2"/>
    <x v="4"/>
    <n v="22"/>
    <x v="0"/>
  </r>
  <r>
    <d v="2023-12-22T00:00:00"/>
    <x v="3"/>
    <x v="3"/>
    <x v="0"/>
    <n v="1245331541.73"/>
    <x v="3"/>
    <x v="3"/>
    <x v="0"/>
    <x v="8"/>
    <x v="1"/>
    <x v="2"/>
    <x v="2"/>
    <x v="2"/>
    <x v="4"/>
    <n v="22"/>
    <x v="0"/>
  </r>
  <r>
    <d v="2023-12-22T00:00:00"/>
    <x v="3"/>
    <x v="1"/>
    <x v="0"/>
    <n v="18836774.539999999"/>
    <x v="3"/>
    <x v="1"/>
    <x v="0"/>
    <x v="12"/>
    <x v="1"/>
    <x v="2"/>
    <x v="2"/>
    <x v="2"/>
    <x v="4"/>
    <n v="22"/>
    <x v="0"/>
  </r>
  <r>
    <d v="2023-12-22T00:00:00"/>
    <x v="3"/>
    <x v="2"/>
    <x v="1"/>
    <n v="15979189340.43"/>
    <x v="3"/>
    <x v="2"/>
    <x v="1"/>
    <x v="13"/>
    <x v="1"/>
    <x v="2"/>
    <x v="2"/>
    <x v="2"/>
    <x v="4"/>
    <n v="22"/>
    <x v="0"/>
  </r>
  <r>
    <d v="2023-12-22T00:00:00"/>
    <x v="3"/>
    <x v="2"/>
    <x v="0"/>
    <n v="5177059716.7700005"/>
    <x v="3"/>
    <x v="2"/>
    <x v="0"/>
    <x v="14"/>
    <x v="1"/>
    <x v="2"/>
    <x v="2"/>
    <x v="2"/>
    <x v="4"/>
    <n v="22"/>
    <x v="0"/>
  </r>
  <r>
    <d v="2023-12-21T00:00:00"/>
    <x v="0"/>
    <x v="0"/>
    <x v="0"/>
    <n v="351.69"/>
    <x v="0"/>
    <x v="0"/>
    <x v="0"/>
    <x v="0"/>
    <x v="1"/>
    <x v="2"/>
    <x v="2"/>
    <x v="2"/>
    <x v="4"/>
    <n v="21"/>
    <x v="0"/>
  </r>
  <r>
    <d v="2023-12-21T00:00:00"/>
    <x v="1"/>
    <x v="1"/>
    <x v="0"/>
    <n v="207300.45"/>
    <x v="1"/>
    <x v="1"/>
    <x v="0"/>
    <x v="1"/>
    <x v="1"/>
    <x v="2"/>
    <x v="2"/>
    <x v="2"/>
    <x v="4"/>
    <n v="21"/>
    <x v="0"/>
  </r>
  <r>
    <d v="2023-12-21T00:00:00"/>
    <x v="0"/>
    <x v="1"/>
    <x v="0"/>
    <n v="25224619.190000001"/>
    <x v="0"/>
    <x v="1"/>
    <x v="0"/>
    <x v="2"/>
    <x v="1"/>
    <x v="2"/>
    <x v="2"/>
    <x v="2"/>
    <x v="4"/>
    <n v="21"/>
    <x v="0"/>
  </r>
  <r>
    <d v="2023-12-21T00:00:00"/>
    <x v="2"/>
    <x v="1"/>
    <x v="2"/>
    <n v="85695.28"/>
    <x v="2"/>
    <x v="1"/>
    <x v="2"/>
    <x v="3"/>
    <x v="1"/>
    <x v="2"/>
    <x v="2"/>
    <x v="2"/>
    <x v="4"/>
    <n v="21"/>
    <x v="0"/>
  </r>
  <r>
    <d v="2023-12-21T00:00:00"/>
    <x v="2"/>
    <x v="1"/>
    <x v="0"/>
    <n v="86724794.480000004"/>
    <x v="2"/>
    <x v="1"/>
    <x v="0"/>
    <x v="6"/>
    <x v="1"/>
    <x v="2"/>
    <x v="2"/>
    <x v="2"/>
    <x v="4"/>
    <n v="21"/>
    <x v="0"/>
  </r>
  <r>
    <d v="2023-12-21T00:00:00"/>
    <x v="2"/>
    <x v="1"/>
    <x v="1"/>
    <n v="189588739.30000001"/>
    <x v="2"/>
    <x v="1"/>
    <x v="1"/>
    <x v="8"/>
    <x v="1"/>
    <x v="2"/>
    <x v="2"/>
    <x v="2"/>
    <x v="4"/>
    <n v="21"/>
    <x v="0"/>
  </r>
  <r>
    <d v="2023-12-21T00:00:00"/>
    <x v="1"/>
    <x v="0"/>
    <x v="1"/>
    <n v="418806835.64999998"/>
    <x v="1"/>
    <x v="0"/>
    <x v="1"/>
    <x v="9"/>
    <x v="1"/>
    <x v="2"/>
    <x v="2"/>
    <x v="2"/>
    <x v="4"/>
    <n v="21"/>
    <x v="0"/>
  </r>
  <r>
    <d v="2023-12-21T00:00:00"/>
    <x v="0"/>
    <x v="1"/>
    <x v="1"/>
    <n v="2618668.87"/>
    <x v="0"/>
    <x v="1"/>
    <x v="1"/>
    <x v="4"/>
    <x v="1"/>
    <x v="2"/>
    <x v="2"/>
    <x v="2"/>
    <x v="4"/>
    <n v="21"/>
    <x v="0"/>
  </r>
  <r>
    <d v="2023-12-21T00:00:00"/>
    <x v="3"/>
    <x v="2"/>
    <x v="2"/>
    <n v="666839"/>
    <x v="3"/>
    <x v="2"/>
    <x v="2"/>
    <x v="5"/>
    <x v="1"/>
    <x v="2"/>
    <x v="2"/>
    <x v="2"/>
    <x v="4"/>
    <n v="21"/>
    <x v="0"/>
  </r>
  <r>
    <d v="2023-12-21T00:00:00"/>
    <x v="3"/>
    <x v="3"/>
    <x v="0"/>
    <n v="3412173687.1100001"/>
    <x v="3"/>
    <x v="3"/>
    <x v="0"/>
    <x v="7"/>
    <x v="1"/>
    <x v="2"/>
    <x v="2"/>
    <x v="2"/>
    <x v="4"/>
    <n v="21"/>
    <x v="0"/>
  </r>
  <r>
    <d v="2023-12-21T00:00:00"/>
    <x v="1"/>
    <x v="0"/>
    <x v="0"/>
    <n v="64913426.530000001"/>
    <x v="1"/>
    <x v="0"/>
    <x v="0"/>
    <x v="10"/>
    <x v="1"/>
    <x v="2"/>
    <x v="2"/>
    <x v="2"/>
    <x v="4"/>
    <n v="21"/>
    <x v="0"/>
  </r>
  <r>
    <d v="2023-12-21T00:00:00"/>
    <x v="3"/>
    <x v="1"/>
    <x v="0"/>
    <n v="17379784.289999999"/>
    <x v="3"/>
    <x v="1"/>
    <x v="0"/>
    <x v="11"/>
    <x v="1"/>
    <x v="2"/>
    <x v="2"/>
    <x v="2"/>
    <x v="4"/>
    <n v="21"/>
    <x v="0"/>
  </r>
  <r>
    <d v="2023-12-21T00:00:00"/>
    <x v="3"/>
    <x v="2"/>
    <x v="1"/>
    <n v="8490181420.5600004"/>
    <x v="3"/>
    <x v="2"/>
    <x v="1"/>
    <x v="12"/>
    <x v="1"/>
    <x v="2"/>
    <x v="2"/>
    <x v="2"/>
    <x v="4"/>
    <n v="21"/>
    <x v="0"/>
  </r>
  <r>
    <d v="2023-12-21T00:00:00"/>
    <x v="3"/>
    <x v="2"/>
    <x v="0"/>
    <n v="646558070.04999995"/>
    <x v="3"/>
    <x v="2"/>
    <x v="0"/>
    <x v="13"/>
    <x v="1"/>
    <x v="2"/>
    <x v="2"/>
    <x v="2"/>
    <x v="4"/>
    <n v="21"/>
    <x v="0"/>
  </r>
  <r>
    <d v="2023-12-20T00:00:00"/>
    <x v="0"/>
    <x v="0"/>
    <x v="0"/>
    <n v="1133.76"/>
    <x v="0"/>
    <x v="0"/>
    <x v="0"/>
    <x v="0"/>
    <x v="1"/>
    <x v="2"/>
    <x v="2"/>
    <x v="2"/>
    <x v="4"/>
    <n v="20"/>
    <x v="0"/>
  </r>
  <r>
    <d v="2023-12-20T00:00:00"/>
    <x v="1"/>
    <x v="1"/>
    <x v="0"/>
    <n v="18332.93"/>
    <x v="1"/>
    <x v="1"/>
    <x v="0"/>
    <x v="1"/>
    <x v="1"/>
    <x v="2"/>
    <x v="2"/>
    <x v="2"/>
    <x v="4"/>
    <n v="20"/>
    <x v="0"/>
  </r>
  <r>
    <d v="2023-12-20T00:00:00"/>
    <x v="0"/>
    <x v="1"/>
    <x v="0"/>
    <n v="14320486.439999999"/>
    <x v="0"/>
    <x v="1"/>
    <x v="0"/>
    <x v="2"/>
    <x v="1"/>
    <x v="2"/>
    <x v="2"/>
    <x v="2"/>
    <x v="4"/>
    <n v="20"/>
    <x v="0"/>
  </r>
  <r>
    <d v="2023-12-20T00:00:00"/>
    <x v="2"/>
    <x v="1"/>
    <x v="2"/>
    <n v="344209.47"/>
    <x v="2"/>
    <x v="1"/>
    <x v="2"/>
    <x v="3"/>
    <x v="1"/>
    <x v="2"/>
    <x v="2"/>
    <x v="2"/>
    <x v="4"/>
    <n v="20"/>
    <x v="0"/>
  </r>
  <r>
    <d v="2023-12-20T00:00:00"/>
    <x v="2"/>
    <x v="1"/>
    <x v="0"/>
    <n v="89606718.049999997"/>
    <x v="2"/>
    <x v="1"/>
    <x v="0"/>
    <x v="7"/>
    <x v="1"/>
    <x v="2"/>
    <x v="2"/>
    <x v="2"/>
    <x v="4"/>
    <n v="20"/>
    <x v="0"/>
  </r>
  <r>
    <d v="2023-12-20T00:00:00"/>
    <x v="3"/>
    <x v="3"/>
    <x v="0"/>
    <n v="1525582689.22"/>
    <x v="3"/>
    <x v="3"/>
    <x v="0"/>
    <x v="8"/>
    <x v="1"/>
    <x v="2"/>
    <x v="2"/>
    <x v="2"/>
    <x v="4"/>
    <n v="20"/>
    <x v="0"/>
  </r>
  <r>
    <d v="2023-12-20T00:00:00"/>
    <x v="2"/>
    <x v="1"/>
    <x v="1"/>
    <n v="327912232.62"/>
    <x v="2"/>
    <x v="1"/>
    <x v="1"/>
    <x v="9"/>
    <x v="1"/>
    <x v="2"/>
    <x v="2"/>
    <x v="2"/>
    <x v="4"/>
    <n v="20"/>
    <x v="0"/>
  </r>
  <r>
    <d v="2023-12-20T00:00:00"/>
    <x v="1"/>
    <x v="0"/>
    <x v="1"/>
    <n v="1211808672.27"/>
    <x v="1"/>
    <x v="0"/>
    <x v="1"/>
    <x v="10"/>
    <x v="1"/>
    <x v="2"/>
    <x v="2"/>
    <x v="2"/>
    <x v="4"/>
    <n v="20"/>
    <x v="0"/>
  </r>
  <r>
    <d v="2023-12-20T00:00:00"/>
    <x v="3"/>
    <x v="3"/>
    <x v="1"/>
    <n v="6391863.8899999997"/>
    <x v="3"/>
    <x v="3"/>
    <x v="1"/>
    <x v="4"/>
    <x v="1"/>
    <x v="2"/>
    <x v="2"/>
    <x v="2"/>
    <x v="4"/>
    <n v="20"/>
    <x v="0"/>
  </r>
  <r>
    <d v="2023-12-20T00:00:00"/>
    <x v="0"/>
    <x v="1"/>
    <x v="1"/>
    <n v="7095931.7599999998"/>
    <x v="0"/>
    <x v="1"/>
    <x v="1"/>
    <x v="5"/>
    <x v="1"/>
    <x v="2"/>
    <x v="2"/>
    <x v="2"/>
    <x v="4"/>
    <n v="20"/>
    <x v="0"/>
  </r>
  <r>
    <d v="2023-12-20T00:00:00"/>
    <x v="1"/>
    <x v="0"/>
    <x v="0"/>
    <n v="126740663.64"/>
    <x v="1"/>
    <x v="0"/>
    <x v="0"/>
    <x v="11"/>
    <x v="1"/>
    <x v="2"/>
    <x v="2"/>
    <x v="2"/>
    <x v="4"/>
    <n v="20"/>
    <x v="0"/>
  </r>
  <r>
    <d v="2023-12-20T00:00:00"/>
    <x v="3"/>
    <x v="2"/>
    <x v="2"/>
    <n v="684246"/>
    <x v="3"/>
    <x v="2"/>
    <x v="2"/>
    <x v="6"/>
    <x v="1"/>
    <x v="2"/>
    <x v="2"/>
    <x v="2"/>
    <x v="4"/>
    <n v="20"/>
    <x v="0"/>
  </r>
  <r>
    <d v="2023-12-20T00:00:00"/>
    <x v="3"/>
    <x v="1"/>
    <x v="0"/>
    <n v="17538143.25"/>
    <x v="3"/>
    <x v="1"/>
    <x v="0"/>
    <x v="12"/>
    <x v="1"/>
    <x v="2"/>
    <x v="2"/>
    <x v="2"/>
    <x v="4"/>
    <n v="20"/>
    <x v="0"/>
  </r>
  <r>
    <d v="2023-12-20T00:00:00"/>
    <x v="3"/>
    <x v="2"/>
    <x v="1"/>
    <n v="16900520081.76"/>
    <x v="3"/>
    <x v="2"/>
    <x v="1"/>
    <x v="13"/>
    <x v="1"/>
    <x v="2"/>
    <x v="2"/>
    <x v="2"/>
    <x v="4"/>
    <n v="20"/>
    <x v="0"/>
  </r>
  <r>
    <d v="2023-12-20T00:00:00"/>
    <x v="3"/>
    <x v="2"/>
    <x v="0"/>
    <n v="790800308.71000004"/>
    <x v="3"/>
    <x v="2"/>
    <x v="0"/>
    <x v="14"/>
    <x v="1"/>
    <x v="2"/>
    <x v="2"/>
    <x v="2"/>
    <x v="4"/>
    <n v="20"/>
    <x v="0"/>
  </r>
  <r>
    <d v="2023-12-19T00:00:00"/>
    <x v="0"/>
    <x v="0"/>
    <x v="0"/>
    <n v="603.29"/>
    <x v="0"/>
    <x v="0"/>
    <x v="0"/>
    <x v="0"/>
    <x v="1"/>
    <x v="2"/>
    <x v="2"/>
    <x v="2"/>
    <x v="4"/>
    <n v="19"/>
    <x v="0"/>
  </r>
  <r>
    <d v="2023-12-19T00:00:00"/>
    <x v="1"/>
    <x v="1"/>
    <x v="0"/>
    <n v="1027341.49"/>
    <x v="1"/>
    <x v="1"/>
    <x v="0"/>
    <x v="1"/>
    <x v="1"/>
    <x v="2"/>
    <x v="2"/>
    <x v="2"/>
    <x v="4"/>
    <n v="19"/>
    <x v="0"/>
  </r>
  <r>
    <d v="2023-12-19T00:00:00"/>
    <x v="0"/>
    <x v="1"/>
    <x v="0"/>
    <n v="9682831.3699999992"/>
    <x v="0"/>
    <x v="1"/>
    <x v="0"/>
    <x v="2"/>
    <x v="1"/>
    <x v="2"/>
    <x v="2"/>
    <x v="2"/>
    <x v="4"/>
    <n v="19"/>
    <x v="0"/>
  </r>
  <r>
    <d v="2023-12-19T00:00:00"/>
    <x v="3"/>
    <x v="3"/>
    <x v="2"/>
    <n v="50"/>
    <x v="3"/>
    <x v="3"/>
    <x v="2"/>
    <x v="3"/>
    <x v="1"/>
    <x v="2"/>
    <x v="2"/>
    <x v="2"/>
    <x v="4"/>
    <n v="19"/>
    <x v="0"/>
  </r>
  <r>
    <d v="2023-12-19T00:00:00"/>
    <x v="2"/>
    <x v="1"/>
    <x v="2"/>
    <n v="60978.239999999998"/>
    <x v="2"/>
    <x v="1"/>
    <x v="2"/>
    <x v="7"/>
    <x v="1"/>
    <x v="2"/>
    <x v="2"/>
    <x v="2"/>
    <x v="4"/>
    <n v="19"/>
    <x v="0"/>
  </r>
  <r>
    <d v="2023-12-19T00:00:00"/>
    <x v="3"/>
    <x v="3"/>
    <x v="1"/>
    <n v="471493.63"/>
    <x v="3"/>
    <x v="3"/>
    <x v="1"/>
    <x v="4"/>
    <x v="1"/>
    <x v="2"/>
    <x v="2"/>
    <x v="2"/>
    <x v="4"/>
    <n v="19"/>
    <x v="0"/>
  </r>
  <r>
    <d v="2023-12-19T00:00:00"/>
    <x v="0"/>
    <x v="1"/>
    <x v="1"/>
    <n v="3354504.12"/>
    <x v="0"/>
    <x v="1"/>
    <x v="1"/>
    <x v="5"/>
    <x v="1"/>
    <x v="2"/>
    <x v="2"/>
    <x v="2"/>
    <x v="4"/>
    <n v="19"/>
    <x v="0"/>
  </r>
  <r>
    <d v="2023-12-19T00:00:00"/>
    <x v="1"/>
    <x v="0"/>
    <x v="0"/>
    <n v="83337279.069999993"/>
    <x v="1"/>
    <x v="0"/>
    <x v="0"/>
    <x v="12"/>
    <x v="1"/>
    <x v="2"/>
    <x v="2"/>
    <x v="2"/>
    <x v="4"/>
    <n v="19"/>
    <x v="0"/>
  </r>
  <r>
    <d v="2023-12-19T00:00:00"/>
    <x v="3"/>
    <x v="2"/>
    <x v="2"/>
    <n v="712442.41"/>
    <x v="3"/>
    <x v="2"/>
    <x v="2"/>
    <x v="6"/>
    <x v="1"/>
    <x v="2"/>
    <x v="2"/>
    <x v="2"/>
    <x v="4"/>
    <n v="19"/>
    <x v="0"/>
  </r>
  <r>
    <d v="2023-12-19T00:00:00"/>
    <x v="2"/>
    <x v="1"/>
    <x v="0"/>
    <n v="87517467.989999995"/>
    <x v="2"/>
    <x v="1"/>
    <x v="0"/>
    <x v="8"/>
    <x v="1"/>
    <x v="2"/>
    <x v="2"/>
    <x v="2"/>
    <x v="4"/>
    <n v="19"/>
    <x v="0"/>
  </r>
  <r>
    <d v="2023-12-19T00:00:00"/>
    <x v="3"/>
    <x v="3"/>
    <x v="0"/>
    <n v="1378762568.96"/>
    <x v="3"/>
    <x v="3"/>
    <x v="0"/>
    <x v="9"/>
    <x v="1"/>
    <x v="2"/>
    <x v="2"/>
    <x v="2"/>
    <x v="4"/>
    <n v="19"/>
    <x v="0"/>
  </r>
  <r>
    <d v="2023-12-19T00:00:00"/>
    <x v="2"/>
    <x v="1"/>
    <x v="1"/>
    <n v="236204603.63999999"/>
    <x v="2"/>
    <x v="1"/>
    <x v="1"/>
    <x v="10"/>
    <x v="1"/>
    <x v="2"/>
    <x v="2"/>
    <x v="2"/>
    <x v="4"/>
    <n v="19"/>
    <x v="0"/>
  </r>
  <r>
    <d v="2023-12-19T00:00:00"/>
    <x v="1"/>
    <x v="0"/>
    <x v="1"/>
    <n v="339034384.38"/>
    <x v="1"/>
    <x v="0"/>
    <x v="1"/>
    <x v="11"/>
    <x v="1"/>
    <x v="2"/>
    <x v="2"/>
    <x v="2"/>
    <x v="4"/>
    <n v="19"/>
    <x v="0"/>
  </r>
  <r>
    <d v="2023-12-19T00:00:00"/>
    <x v="3"/>
    <x v="1"/>
    <x v="0"/>
    <n v="14367322.279999999"/>
    <x v="3"/>
    <x v="1"/>
    <x v="0"/>
    <x v="13"/>
    <x v="1"/>
    <x v="2"/>
    <x v="2"/>
    <x v="2"/>
    <x v="4"/>
    <n v="19"/>
    <x v="0"/>
  </r>
  <r>
    <d v="2023-12-19T00:00:00"/>
    <x v="3"/>
    <x v="2"/>
    <x v="0"/>
    <n v="627468901.37"/>
    <x v="3"/>
    <x v="2"/>
    <x v="0"/>
    <x v="14"/>
    <x v="1"/>
    <x v="2"/>
    <x v="2"/>
    <x v="2"/>
    <x v="4"/>
    <n v="19"/>
    <x v="0"/>
  </r>
  <r>
    <d v="2023-12-19T00:00:00"/>
    <x v="3"/>
    <x v="2"/>
    <x v="1"/>
    <n v="6394577903.6999998"/>
    <x v="3"/>
    <x v="2"/>
    <x v="1"/>
    <x v="15"/>
    <x v="1"/>
    <x v="2"/>
    <x v="2"/>
    <x v="2"/>
    <x v="4"/>
    <n v="19"/>
    <x v="0"/>
  </r>
  <r>
    <d v="2023-12-18T00:00:00"/>
    <x v="0"/>
    <x v="0"/>
    <x v="0"/>
    <n v="868.78"/>
    <x v="0"/>
    <x v="0"/>
    <x v="0"/>
    <x v="0"/>
    <x v="1"/>
    <x v="2"/>
    <x v="2"/>
    <x v="2"/>
    <x v="4"/>
    <n v="18"/>
    <x v="0"/>
  </r>
  <r>
    <d v="2023-12-18T00:00:00"/>
    <x v="1"/>
    <x v="1"/>
    <x v="0"/>
    <n v="66114.490000000005"/>
    <x v="1"/>
    <x v="1"/>
    <x v="0"/>
    <x v="1"/>
    <x v="1"/>
    <x v="2"/>
    <x v="2"/>
    <x v="2"/>
    <x v="4"/>
    <n v="18"/>
    <x v="0"/>
  </r>
  <r>
    <d v="2023-12-18T00:00:00"/>
    <x v="0"/>
    <x v="1"/>
    <x v="0"/>
    <n v="61102236"/>
    <x v="0"/>
    <x v="1"/>
    <x v="0"/>
    <x v="2"/>
    <x v="1"/>
    <x v="2"/>
    <x v="2"/>
    <x v="2"/>
    <x v="4"/>
    <n v="18"/>
    <x v="0"/>
  </r>
  <r>
    <d v="2023-12-18T00:00:00"/>
    <x v="2"/>
    <x v="1"/>
    <x v="2"/>
    <n v="32879.4"/>
    <x v="2"/>
    <x v="1"/>
    <x v="2"/>
    <x v="3"/>
    <x v="1"/>
    <x v="2"/>
    <x v="2"/>
    <x v="2"/>
    <x v="4"/>
    <n v="18"/>
    <x v="0"/>
  </r>
  <r>
    <d v="2023-12-18T00:00:00"/>
    <x v="2"/>
    <x v="1"/>
    <x v="1"/>
    <n v="114806578.11"/>
    <x v="2"/>
    <x v="1"/>
    <x v="1"/>
    <x v="8"/>
    <x v="1"/>
    <x v="2"/>
    <x v="2"/>
    <x v="2"/>
    <x v="4"/>
    <n v="18"/>
    <x v="0"/>
  </r>
  <r>
    <d v="2023-12-18T00:00:00"/>
    <x v="3"/>
    <x v="3"/>
    <x v="0"/>
    <n v="1710265941.8599999"/>
    <x v="3"/>
    <x v="3"/>
    <x v="0"/>
    <x v="9"/>
    <x v="1"/>
    <x v="2"/>
    <x v="2"/>
    <x v="2"/>
    <x v="4"/>
    <n v="18"/>
    <x v="0"/>
  </r>
  <r>
    <d v="2023-12-18T00:00:00"/>
    <x v="1"/>
    <x v="0"/>
    <x v="1"/>
    <n v="293029121.73000002"/>
    <x v="1"/>
    <x v="0"/>
    <x v="1"/>
    <x v="10"/>
    <x v="1"/>
    <x v="2"/>
    <x v="2"/>
    <x v="2"/>
    <x v="4"/>
    <n v="18"/>
    <x v="0"/>
  </r>
  <r>
    <d v="2023-12-18T00:00:00"/>
    <x v="1"/>
    <x v="0"/>
    <x v="0"/>
    <n v="54468385.030000001"/>
    <x v="1"/>
    <x v="0"/>
    <x v="0"/>
    <x v="11"/>
    <x v="1"/>
    <x v="2"/>
    <x v="2"/>
    <x v="2"/>
    <x v="4"/>
    <n v="18"/>
    <x v="0"/>
  </r>
  <r>
    <d v="2023-12-18T00:00:00"/>
    <x v="3"/>
    <x v="3"/>
    <x v="1"/>
    <n v="182847"/>
    <x v="3"/>
    <x v="3"/>
    <x v="1"/>
    <x v="4"/>
    <x v="1"/>
    <x v="2"/>
    <x v="2"/>
    <x v="2"/>
    <x v="4"/>
    <n v="18"/>
    <x v="0"/>
  </r>
  <r>
    <d v="2023-12-18T00:00:00"/>
    <x v="0"/>
    <x v="1"/>
    <x v="1"/>
    <n v="25010614.440000001"/>
    <x v="0"/>
    <x v="1"/>
    <x v="1"/>
    <x v="5"/>
    <x v="1"/>
    <x v="2"/>
    <x v="2"/>
    <x v="2"/>
    <x v="4"/>
    <n v="18"/>
    <x v="0"/>
  </r>
  <r>
    <d v="2023-12-18T00:00:00"/>
    <x v="3"/>
    <x v="2"/>
    <x v="2"/>
    <n v="458978.87"/>
    <x v="3"/>
    <x v="2"/>
    <x v="2"/>
    <x v="6"/>
    <x v="1"/>
    <x v="2"/>
    <x v="2"/>
    <x v="2"/>
    <x v="4"/>
    <n v="18"/>
    <x v="0"/>
  </r>
  <r>
    <d v="2023-12-18T00:00:00"/>
    <x v="2"/>
    <x v="1"/>
    <x v="0"/>
    <n v="74016065.909999996"/>
    <x v="2"/>
    <x v="1"/>
    <x v="0"/>
    <x v="7"/>
    <x v="1"/>
    <x v="2"/>
    <x v="2"/>
    <x v="2"/>
    <x v="4"/>
    <n v="18"/>
    <x v="0"/>
  </r>
  <r>
    <d v="2023-12-18T00:00:00"/>
    <x v="3"/>
    <x v="1"/>
    <x v="0"/>
    <n v="49379156.950000003"/>
    <x v="3"/>
    <x v="1"/>
    <x v="0"/>
    <x v="12"/>
    <x v="1"/>
    <x v="2"/>
    <x v="2"/>
    <x v="2"/>
    <x v="4"/>
    <n v="18"/>
    <x v="0"/>
  </r>
  <r>
    <d v="2023-12-18T00:00:00"/>
    <x v="3"/>
    <x v="2"/>
    <x v="0"/>
    <n v="676548230.11000001"/>
    <x v="3"/>
    <x v="2"/>
    <x v="0"/>
    <x v="13"/>
    <x v="1"/>
    <x v="2"/>
    <x v="2"/>
    <x v="2"/>
    <x v="4"/>
    <n v="18"/>
    <x v="0"/>
  </r>
  <r>
    <d v="2023-12-18T00:00:00"/>
    <x v="3"/>
    <x v="2"/>
    <x v="1"/>
    <n v="44315242312.669998"/>
    <x v="3"/>
    <x v="2"/>
    <x v="1"/>
    <x v="14"/>
    <x v="1"/>
    <x v="2"/>
    <x v="2"/>
    <x v="2"/>
    <x v="4"/>
    <n v="18"/>
    <x v="0"/>
  </r>
  <r>
    <d v="2023-12-15T00:00:00"/>
    <x v="0"/>
    <x v="0"/>
    <x v="0"/>
    <n v="1140.05"/>
    <x v="0"/>
    <x v="0"/>
    <x v="0"/>
    <x v="0"/>
    <x v="1"/>
    <x v="2"/>
    <x v="2"/>
    <x v="2"/>
    <x v="4"/>
    <n v="15"/>
    <x v="0"/>
  </r>
  <r>
    <d v="2023-12-15T00:00:00"/>
    <x v="1"/>
    <x v="1"/>
    <x v="0"/>
    <n v="54609.47"/>
    <x v="1"/>
    <x v="1"/>
    <x v="0"/>
    <x v="1"/>
    <x v="1"/>
    <x v="2"/>
    <x v="2"/>
    <x v="2"/>
    <x v="4"/>
    <n v="15"/>
    <x v="0"/>
  </r>
  <r>
    <d v="2023-12-15T00:00:00"/>
    <x v="0"/>
    <x v="1"/>
    <x v="0"/>
    <n v="12353250.439999999"/>
    <x v="0"/>
    <x v="1"/>
    <x v="0"/>
    <x v="2"/>
    <x v="1"/>
    <x v="2"/>
    <x v="2"/>
    <x v="2"/>
    <x v="4"/>
    <n v="15"/>
    <x v="0"/>
  </r>
  <r>
    <d v="2023-12-15T00:00:00"/>
    <x v="3"/>
    <x v="2"/>
    <x v="2"/>
    <n v="602623.93999999994"/>
    <x v="3"/>
    <x v="2"/>
    <x v="2"/>
    <x v="6"/>
    <x v="1"/>
    <x v="2"/>
    <x v="2"/>
    <x v="2"/>
    <x v="4"/>
    <n v="15"/>
    <x v="0"/>
  </r>
  <r>
    <d v="2023-12-15T00:00:00"/>
    <x v="2"/>
    <x v="1"/>
    <x v="2"/>
    <n v="121907.03"/>
    <x v="2"/>
    <x v="1"/>
    <x v="2"/>
    <x v="5"/>
    <x v="1"/>
    <x v="2"/>
    <x v="2"/>
    <x v="2"/>
    <x v="4"/>
    <n v="15"/>
    <x v="0"/>
  </r>
  <r>
    <d v="2023-12-15T00:00:00"/>
    <x v="2"/>
    <x v="1"/>
    <x v="1"/>
    <n v="194547088.69999999"/>
    <x v="2"/>
    <x v="1"/>
    <x v="1"/>
    <x v="9"/>
    <x v="1"/>
    <x v="2"/>
    <x v="2"/>
    <x v="2"/>
    <x v="4"/>
    <n v="15"/>
    <x v="0"/>
  </r>
  <r>
    <d v="2023-12-15T00:00:00"/>
    <x v="1"/>
    <x v="0"/>
    <x v="1"/>
    <n v="235010116.94999999"/>
    <x v="1"/>
    <x v="0"/>
    <x v="1"/>
    <x v="10"/>
    <x v="1"/>
    <x v="2"/>
    <x v="2"/>
    <x v="2"/>
    <x v="4"/>
    <n v="15"/>
    <x v="0"/>
  </r>
  <r>
    <d v="2023-12-15T00:00:00"/>
    <x v="3"/>
    <x v="3"/>
    <x v="1"/>
    <n v="1859504.94"/>
    <x v="3"/>
    <x v="3"/>
    <x v="1"/>
    <x v="3"/>
    <x v="1"/>
    <x v="2"/>
    <x v="2"/>
    <x v="2"/>
    <x v="4"/>
    <n v="15"/>
    <x v="0"/>
  </r>
  <r>
    <d v="2023-12-15T00:00:00"/>
    <x v="0"/>
    <x v="1"/>
    <x v="1"/>
    <n v="7817528.3600000003"/>
    <x v="0"/>
    <x v="1"/>
    <x v="1"/>
    <x v="4"/>
    <x v="1"/>
    <x v="2"/>
    <x v="2"/>
    <x v="2"/>
    <x v="4"/>
    <n v="15"/>
    <x v="0"/>
  </r>
  <r>
    <d v="2023-12-15T00:00:00"/>
    <x v="1"/>
    <x v="0"/>
    <x v="0"/>
    <n v="49916205.039999999"/>
    <x v="1"/>
    <x v="0"/>
    <x v="0"/>
    <x v="11"/>
    <x v="1"/>
    <x v="2"/>
    <x v="2"/>
    <x v="2"/>
    <x v="4"/>
    <n v="15"/>
    <x v="0"/>
  </r>
  <r>
    <d v="2023-12-15T00:00:00"/>
    <x v="2"/>
    <x v="1"/>
    <x v="0"/>
    <n v="83575196.969999999"/>
    <x v="2"/>
    <x v="1"/>
    <x v="0"/>
    <x v="8"/>
    <x v="1"/>
    <x v="2"/>
    <x v="2"/>
    <x v="2"/>
    <x v="4"/>
    <n v="15"/>
    <x v="0"/>
  </r>
  <r>
    <d v="2023-12-15T00:00:00"/>
    <x v="3"/>
    <x v="3"/>
    <x v="0"/>
    <n v="2199765398.27"/>
    <x v="3"/>
    <x v="3"/>
    <x v="0"/>
    <x v="7"/>
    <x v="1"/>
    <x v="2"/>
    <x v="2"/>
    <x v="2"/>
    <x v="4"/>
    <n v="15"/>
    <x v="0"/>
  </r>
  <r>
    <d v="2023-12-15T00:00:00"/>
    <x v="3"/>
    <x v="1"/>
    <x v="0"/>
    <n v="16000345.83"/>
    <x v="3"/>
    <x v="1"/>
    <x v="0"/>
    <x v="12"/>
    <x v="1"/>
    <x v="2"/>
    <x v="2"/>
    <x v="2"/>
    <x v="4"/>
    <n v="15"/>
    <x v="0"/>
  </r>
  <r>
    <d v="2023-12-15T00:00:00"/>
    <x v="3"/>
    <x v="2"/>
    <x v="1"/>
    <n v="63855255912.739998"/>
    <x v="3"/>
    <x v="2"/>
    <x v="1"/>
    <x v="13"/>
    <x v="1"/>
    <x v="2"/>
    <x v="2"/>
    <x v="2"/>
    <x v="4"/>
    <n v="15"/>
    <x v="0"/>
  </r>
  <r>
    <d v="2023-12-15T00:00:00"/>
    <x v="3"/>
    <x v="2"/>
    <x v="0"/>
    <n v="682063084.60000002"/>
    <x v="3"/>
    <x v="2"/>
    <x v="0"/>
    <x v="14"/>
    <x v="1"/>
    <x v="2"/>
    <x v="2"/>
    <x v="2"/>
    <x v="4"/>
    <n v="15"/>
    <x v="0"/>
  </r>
  <r>
    <d v="2023-12-14T00:00:00"/>
    <x v="0"/>
    <x v="1"/>
    <x v="0"/>
    <n v="14882650.76"/>
    <x v="0"/>
    <x v="1"/>
    <x v="0"/>
    <x v="0"/>
    <x v="1"/>
    <x v="2"/>
    <x v="2"/>
    <x v="2"/>
    <x v="4"/>
    <n v="14"/>
    <x v="0"/>
  </r>
  <r>
    <d v="2023-12-14T00:00:00"/>
    <x v="2"/>
    <x v="1"/>
    <x v="0"/>
    <n v="76380139.290000007"/>
    <x v="2"/>
    <x v="1"/>
    <x v="0"/>
    <x v="6"/>
    <x v="1"/>
    <x v="2"/>
    <x v="2"/>
    <x v="2"/>
    <x v="4"/>
    <n v="14"/>
    <x v="0"/>
  </r>
  <r>
    <d v="2023-12-14T00:00:00"/>
    <x v="3"/>
    <x v="3"/>
    <x v="0"/>
    <n v="1529962037.1400001"/>
    <x v="3"/>
    <x v="3"/>
    <x v="0"/>
    <x v="7"/>
    <x v="1"/>
    <x v="2"/>
    <x v="2"/>
    <x v="2"/>
    <x v="4"/>
    <n v="14"/>
    <x v="0"/>
  </r>
  <r>
    <d v="2023-12-14T00:00:00"/>
    <x v="1"/>
    <x v="0"/>
    <x v="1"/>
    <n v="358616021.88"/>
    <x v="1"/>
    <x v="0"/>
    <x v="1"/>
    <x v="9"/>
    <x v="1"/>
    <x v="2"/>
    <x v="2"/>
    <x v="2"/>
    <x v="4"/>
    <n v="14"/>
    <x v="0"/>
  </r>
  <r>
    <d v="2023-12-14T00:00:00"/>
    <x v="3"/>
    <x v="3"/>
    <x v="1"/>
    <n v="4456155.13"/>
    <x v="3"/>
    <x v="3"/>
    <x v="1"/>
    <x v="1"/>
    <x v="1"/>
    <x v="2"/>
    <x v="2"/>
    <x v="2"/>
    <x v="4"/>
    <n v="14"/>
    <x v="0"/>
  </r>
  <r>
    <d v="2023-12-14T00:00:00"/>
    <x v="0"/>
    <x v="1"/>
    <x v="1"/>
    <n v="2254660.7799999998"/>
    <x v="0"/>
    <x v="1"/>
    <x v="1"/>
    <x v="2"/>
    <x v="1"/>
    <x v="2"/>
    <x v="2"/>
    <x v="2"/>
    <x v="4"/>
    <n v="14"/>
    <x v="0"/>
  </r>
  <r>
    <d v="2023-12-14T00:00:00"/>
    <x v="2"/>
    <x v="1"/>
    <x v="2"/>
    <n v="43690"/>
    <x v="2"/>
    <x v="1"/>
    <x v="2"/>
    <x v="3"/>
    <x v="1"/>
    <x v="2"/>
    <x v="2"/>
    <x v="2"/>
    <x v="4"/>
    <n v="14"/>
    <x v="0"/>
  </r>
  <r>
    <d v="2023-12-14T00:00:00"/>
    <x v="1"/>
    <x v="1"/>
    <x v="0"/>
    <n v="128494"/>
    <x v="1"/>
    <x v="1"/>
    <x v="0"/>
    <x v="4"/>
    <x v="1"/>
    <x v="2"/>
    <x v="2"/>
    <x v="2"/>
    <x v="4"/>
    <n v="14"/>
    <x v="0"/>
  </r>
  <r>
    <d v="2023-12-14T00:00:00"/>
    <x v="3"/>
    <x v="2"/>
    <x v="2"/>
    <n v="716734.42"/>
    <x v="3"/>
    <x v="2"/>
    <x v="2"/>
    <x v="5"/>
    <x v="1"/>
    <x v="2"/>
    <x v="2"/>
    <x v="2"/>
    <x v="4"/>
    <n v="14"/>
    <x v="0"/>
  </r>
  <r>
    <d v="2023-12-14T00:00:00"/>
    <x v="2"/>
    <x v="1"/>
    <x v="1"/>
    <n v="148620378.25"/>
    <x v="2"/>
    <x v="1"/>
    <x v="1"/>
    <x v="8"/>
    <x v="1"/>
    <x v="2"/>
    <x v="2"/>
    <x v="2"/>
    <x v="4"/>
    <n v="14"/>
    <x v="0"/>
  </r>
  <r>
    <d v="2023-12-14T00:00:00"/>
    <x v="1"/>
    <x v="0"/>
    <x v="0"/>
    <n v="52963191.140000001"/>
    <x v="1"/>
    <x v="0"/>
    <x v="0"/>
    <x v="10"/>
    <x v="1"/>
    <x v="2"/>
    <x v="2"/>
    <x v="2"/>
    <x v="4"/>
    <n v="14"/>
    <x v="0"/>
  </r>
  <r>
    <d v="2023-12-14T00:00:00"/>
    <x v="3"/>
    <x v="1"/>
    <x v="0"/>
    <n v="15237931.859999999"/>
    <x v="3"/>
    <x v="1"/>
    <x v="0"/>
    <x v="11"/>
    <x v="1"/>
    <x v="2"/>
    <x v="2"/>
    <x v="2"/>
    <x v="4"/>
    <n v="14"/>
    <x v="0"/>
  </r>
  <r>
    <d v="2023-12-14T00:00:00"/>
    <x v="3"/>
    <x v="2"/>
    <x v="1"/>
    <n v="28636273646.68"/>
    <x v="3"/>
    <x v="2"/>
    <x v="1"/>
    <x v="12"/>
    <x v="1"/>
    <x v="2"/>
    <x v="2"/>
    <x v="2"/>
    <x v="4"/>
    <n v="14"/>
    <x v="0"/>
  </r>
  <r>
    <d v="2023-12-14T00:00:00"/>
    <x v="3"/>
    <x v="2"/>
    <x v="0"/>
    <n v="602097403.58000004"/>
    <x v="3"/>
    <x v="2"/>
    <x v="0"/>
    <x v="13"/>
    <x v="1"/>
    <x v="2"/>
    <x v="2"/>
    <x v="2"/>
    <x v="4"/>
    <n v="14"/>
    <x v="0"/>
  </r>
  <r>
    <d v="2023-12-13T00:00:00"/>
    <x v="0"/>
    <x v="0"/>
    <x v="0"/>
    <n v="250"/>
    <x v="0"/>
    <x v="0"/>
    <x v="0"/>
    <x v="0"/>
    <x v="1"/>
    <x v="2"/>
    <x v="2"/>
    <x v="2"/>
    <x v="4"/>
    <n v="13"/>
    <x v="0"/>
  </r>
  <r>
    <d v="2023-12-13T00:00:00"/>
    <x v="1"/>
    <x v="1"/>
    <x v="0"/>
    <n v="467199.37"/>
    <x v="1"/>
    <x v="1"/>
    <x v="0"/>
    <x v="1"/>
    <x v="1"/>
    <x v="2"/>
    <x v="2"/>
    <x v="2"/>
    <x v="4"/>
    <n v="13"/>
    <x v="0"/>
  </r>
  <r>
    <d v="2023-12-13T00:00:00"/>
    <x v="0"/>
    <x v="1"/>
    <x v="0"/>
    <n v="7791787.8300000001"/>
    <x v="0"/>
    <x v="1"/>
    <x v="0"/>
    <x v="2"/>
    <x v="1"/>
    <x v="2"/>
    <x v="2"/>
    <x v="2"/>
    <x v="4"/>
    <n v="13"/>
    <x v="0"/>
  </r>
  <r>
    <d v="2023-12-13T00:00:00"/>
    <x v="3"/>
    <x v="2"/>
    <x v="2"/>
    <n v="446356.02"/>
    <x v="3"/>
    <x v="2"/>
    <x v="2"/>
    <x v="6"/>
    <x v="1"/>
    <x v="2"/>
    <x v="2"/>
    <x v="2"/>
    <x v="4"/>
    <n v="13"/>
    <x v="0"/>
  </r>
  <r>
    <d v="2023-12-13T00:00:00"/>
    <x v="2"/>
    <x v="1"/>
    <x v="0"/>
    <n v="86897141.230000004"/>
    <x v="2"/>
    <x v="1"/>
    <x v="0"/>
    <x v="8"/>
    <x v="1"/>
    <x v="2"/>
    <x v="2"/>
    <x v="2"/>
    <x v="4"/>
    <n v="13"/>
    <x v="0"/>
  </r>
  <r>
    <d v="2023-12-13T00:00:00"/>
    <x v="2"/>
    <x v="1"/>
    <x v="2"/>
    <n v="41110.620000000003"/>
    <x v="2"/>
    <x v="1"/>
    <x v="2"/>
    <x v="5"/>
    <x v="1"/>
    <x v="2"/>
    <x v="2"/>
    <x v="2"/>
    <x v="4"/>
    <n v="13"/>
    <x v="0"/>
  </r>
  <r>
    <d v="2023-12-13T00:00:00"/>
    <x v="1"/>
    <x v="0"/>
    <x v="0"/>
    <n v="97678735.099999994"/>
    <x v="1"/>
    <x v="0"/>
    <x v="0"/>
    <x v="11"/>
    <x v="1"/>
    <x v="2"/>
    <x v="2"/>
    <x v="2"/>
    <x v="4"/>
    <n v="13"/>
    <x v="0"/>
  </r>
  <r>
    <d v="2023-12-13T00:00:00"/>
    <x v="3"/>
    <x v="3"/>
    <x v="1"/>
    <n v="47118.87"/>
    <x v="3"/>
    <x v="3"/>
    <x v="1"/>
    <x v="3"/>
    <x v="1"/>
    <x v="2"/>
    <x v="2"/>
    <x v="2"/>
    <x v="4"/>
    <n v="13"/>
    <x v="0"/>
  </r>
  <r>
    <d v="2023-12-13T00:00:00"/>
    <x v="0"/>
    <x v="1"/>
    <x v="1"/>
    <n v="8276986.8200000003"/>
    <x v="0"/>
    <x v="1"/>
    <x v="1"/>
    <x v="4"/>
    <x v="1"/>
    <x v="2"/>
    <x v="2"/>
    <x v="2"/>
    <x v="4"/>
    <n v="13"/>
    <x v="0"/>
  </r>
  <r>
    <d v="2023-12-13T00:00:00"/>
    <x v="3"/>
    <x v="3"/>
    <x v="0"/>
    <n v="2421844206.1100001"/>
    <x v="3"/>
    <x v="3"/>
    <x v="0"/>
    <x v="7"/>
    <x v="1"/>
    <x v="2"/>
    <x v="2"/>
    <x v="2"/>
    <x v="4"/>
    <n v="13"/>
    <x v="0"/>
  </r>
  <r>
    <d v="2023-12-13T00:00:00"/>
    <x v="2"/>
    <x v="1"/>
    <x v="1"/>
    <n v="324310579.38"/>
    <x v="2"/>
    <x v="1"/>
    <x v="1"/>
    <x v="9"/>
    <x v="1"/>
    <x v="2"/>
    <x v="2"/>
    <x v="2"/>
    <x v="4"/>
    <n v="13"/>
    <x v="0"/>
  </r>
  <r>
    <d v="2023-12-13T00:00:00"/>
    <x v="1"/>
    <x v="0"/>
    <x v="1"/>
    <n v="867180575.90999997"/>
    <x v="1"/>
    <x v="0"/>
    <x v="1"/>
    <x v="10"/>
    <x v="1"/>
    <x v="2"/>
    <x v="2"/>
    <x v="2"/>
    <x v="4"/>
    <n v="13"/>
    <x v="0"/>
  </r>
  <r>
    <d v="2023-12-13T00:00:00"/>
    <x v="3"/>
    <x v="1"/>
    <x v="0"/>
    <n v="15434308.07"/>
    <x v="3"/>
    <x v="1"/>
    <x v="0"/>
    <x v="12"/>
    <x v="1"/>
    <x v="2"/>
    <x v="2"/>
    <x v="2"/>
    <x v="4"/>
    <n v="13"/>
    <x v="0"/>
  </r>
  <r>
    <d v="2023-12-13T00:00:00"/>
    <x v="3"/>
    <x v="2"/>
    <x v="1"/>
    <n v="20679138693.990002"/>
    <x v="3"/>
    <x v="2"/>
    <x v="1"/>
    <x v="13"/>
    <x v="1"/>
    <x v="2"/>
    <x v="2"/>
    <x v="2"/>
    <x v="4"/>
    <n v="13"/>
    <x v="0"/>
  </r>
  <r>
    <d v="2023-12-13T00:00:00"/>
    <x v="3"/>
    <x v="2"/>
    <x v="0"/>
    <n v="485158922.19"/>
    <x v="3"/>
    <x v="2"/>
    <x v="0"/>
    <x v="14"/>
    <x v="1"/>
    <x v="2"/>
    <x v="2"/>
    <x v="2"/>
    <x v="4"/>
    <n v="13"/>
    <x v="0"/>
  </r>
  <r>
    <d v="2023-12-12T00:00:00"/>
    <x v="0"/>
    <x v="1"/>
    <x v="0"/>
    <n v="9028501.2200000007"/>
    <x v="0"/>
    <x v="1"/>
    <x v="0"/>
    <x v="0"/>
    <x v="1"/>
    <x v="2"/>
    <x v="2"/>
    <x v="2"/>
    <x v="4"/>
    <n v="12"/>
    <x v="0"/>
  </r>
  <r>
    <d v="2023-12-12T00:00:00"/>
    <x v="2"/>
    <x v="1"/>
    <x v="0"/>
    <n v="75651155.109999999"/>
    <x v="2"/>
    <x v="1"/>
    <x v="0"/>
    <x v="6"/>
    <x v="1"/>
    <x v="2"/>
    <x v="2"/>
    <x v="2"/>
    <x v="4"/>
    <n v="12"/>
    <x v="0"/>
  </r>
  <r>
    <d v="2023-12-12T00:00:00"/>
    <x v="3"/>
    <x v="3"/>
    <x v="0"/>
    <n v="1055503407.87"/>
    <x v="3"/>
    <x v="3"/>
    <x v="0"/>
    <x v="9"/>
    <x v="1"/>
    <x v="2"/>
    <x v="2"/>
    <x v="2"/>
    <x v="4"/>
    <n v="12"/>
    <x v="0"/>
  </r>
  <r>
    <d v="2023-12-12T00:00:00"/>
    <x v="1"/>
    <x v="0"/>
    <x v="0"/>
    <n v="63605685.619999997"/>
    <x v="1"/>
    <x v="0"/>
    <x v="0"/>
    <x v="10"/>
    <x v="1"/>
    <x v="2"/>
    <x v="2"/>
    <x v="2"/>
    <x v="4"/>
    <n v="12"/>
    <x v="0"/>
  </r>
  <r>
    <d v="2023-12-12T00:00:00"/>
    <x v="1"/>
    <x v="1"/>
    <x v="0"/>
    <n v="26688.18"/>
    <x v="1"/>
    <x v="1"/>
    <x v="0"/>
    <x v="3"/>
    <x v="1"/>
    <x v="2"/>
    <x v="2"/>
    <x v="2"/>
    <x v="4"/>
    <n v="12"/>
    <x v="0"/>
  </r>
  <r>
    <d v="2023-12-12T00:00:00"/>
    <x v="3"/>
    <x v="3"/>
    <x v="1"/>
    <n v="64959007.75"/>
    <x v="3"/>
    <x v="3"/>
    <x v="1"/>
    <x v="1"/>
    <x v="1"/>
    <x v="2"/>
    <x v="2"/>
    <x v="2"/>
    <x v="4"/>
    <n v="12"/>
    <x v="0"/>
  </r>
  <r>
    <d v="2023-12-12T00:00:00"/>
    <x v="0"/>
    <x v="1"/>
    <x v="1"/>
    <n v="16231823.23"/>
    <x v="0"/>
    <x v="1"/>
    <x v="1"/>
    <x v="2"/>
    <x v="1"/>
    <x v="2"/>
    <x v="2"/>
    <x v="2"/>
    <x v="4"/>
    <n v="12"/>
    <x v="0"/>
  </r>
  <r>
    <d v="2023-12-12T00:00:00"/>
    <x v="2"/>
    <x v="1"/>
    <x v="2"/>
    <n v="29615"/>
    <x v="2"/>
    <x v="1"/>
    <x v="2"/>
    <x v="4"/>
    <x v="1"/>
    <x v="2"/>
    <x v="2"/>
    <x v="2"/>
    <x v="4"/>
    <n v="12"/>
    <x v="0"/>
  </r>
  <r>
    <d v="2023-12-12T00:00:00"/>
    <x v="3"/>
    <x v="2"/>
    <x v="2"/>
    <n v="375472.7"/>
    <x v="3"/>
    <x v="2"/>
    <x v="2"/>
    <x v="5"/>
    <x v="1"/>
    <x v="2"/>
    <x v="2"/>
    <x v="2"/>
    <x v="4"/>
    <n v="12"/>
    <x v="0"/>
  </r>
  <r>
    <d v="2023-12-12T00:00:00"/>
    <x v="2"/>
    <x v="1"/>
    <x v="1"/>
    <n v="166303058.55000001"/>
    <x v="2"/>
    <x v="1"/>
    <x v="1"/>
    <x v="7"/>
    <x v="1"/>
    <x v="2"/>
    <x v="2"/>
    <x v="2"/>
    <x v="4"/>
    <n v="12"/>
    <x v="0"/>
  </r>
  <r>
    <d v="2023-12-12T00:00:00"/>
    <x v="1"/>
    <x v="0"/>
    <x v="1"/>
    <n v="286709237.81999999"/>
    <x v="1"/>
    <x v="0"/>
    <x v="1"/>
    <x v="8"/>
    <x v="1"/>
    <x v="2"/>
    <x v="2"/>
    <x v="2"/>
    <x v="4"/>
    <n v="12"/>
    <x v="0"/>
  </r>
  <r>
    <d v="2023-12-12T00:00:00"/>
    <x v="3"/>
    <x v="1"/>
    <x v="0"/>
    <n v="11906051.140000001"/>
    <x v="3"/>
    <x v="1"/>
    <x v="0"/>
    <x v="11"/>
    <x v="1"/>
    <x v="2"/>
    <x v="2"/>
    <x v="2"/>
    <x v="4"/>
    <n v="12"/>
    <x v="0"/>
  </r>
  <r>
    <d v="2023-12-12T00:00:00"/>
    <x v="3"/>
    <x v="2"/>
    <x v="1"/>
    <n v="7337390279.9099998"/>
    <x v="3"/>
    <x v="2"/>
    <x v="1"/>
    <x v="12"/>
    <x v="1"/>
    <x v="2"/>
    <x v="2"/>
    <x v="2"/>
    <x v="4"/>
    <n v="12"/>
    <x v="0"/>
  </r>
  <r>
    <d v="2023-12-12T00:00:00"/>
    <x v="3"/>
    <x v="2"/>
    <x v="0"/>
    <n v="723048399.38999999"/>
    <x v="3"/>
    <x v="2"/>
    <x v="0"/>
    <x v="13"/>
    <x v="1"/>
    <x v="2"/>
    <x v="2"/>
    <x v="2"/>
    <x v="4"/>
    <n v="12"/>
    <x v="0"/>
  </r>
  <r>
    <d v="2023-12-11T00:00:00"/>
    <x v="0"/>
    <x v="0"/>
    <x v="0"/>
    <n v="0"/>
    <x v="0"/>
    <x v="0"/>
    <x v="0"/>
    <x v="0"/>
    <x v="1"/>
    <x v="2"/>
    <x v="2"/>
    <x v="2"/>
    <x v="4"/>
    <n v="11"/>
    <x v="0"/>
  </r>
  <r>
    <d v="2023-12-11T00:00:00"/>
    <x v="0"/>
    <x v="1"/>
    <x v="0"/>
    <n v="7369757.21"/>
    <x v="0"/>
    <x v="1"/>
    <x v="0"/>
    <x v="1"/>
    <x v="1"/>
    <x v="2"/>
    <x v="2"/>
    <x v="2"/>
    <x v="4"/>
    <n v="11"/>
    <x v="0"/>
  </r>
  <r>
    <d v="2023-12-11T00:00:00"/>
    <x v="1"/>
    <x v="1"/>
    <x v="0"/>
    <n v="85039.05"/>
    <x v="1"/>
    <x v="1"/>
    <x v="0"/>
    <x v="7"/>
    <x v="1"/>
    <x v="2"/>
    <x v="2"/>
    <x v="2"/>
    <x v="4"/>
    <n v="11"/>
    <x v="0"/>
  </r>
  <r>
    <d v="2023-12-11T00:00:00"/>
    <x v="3"/>
    <x v="3"/>
    <x v="2"/>
    <n v="59"/>
    <x v="3"/>
    <x v="3"/>
    <x v="2"/>
    <x v="2"/>
    <x v="1"/>
    <x v="2"/>
    <x v="2"/>
    <x v="2"/>
    <x v="4"/>
    <n v="11"/>
    <x v="0"/>
  </r>
  <r>
    <d v="2023-12-11T00:00:00"/>
    <x v="2"/>
    <x v="1"/>
    <x v="2"/>
    <n v="119102.94"/>
    <x v="2"/>
    <x v="1"/>
    <x v="2"/>
    <x v="3"/>
    <x v="1"/>
    <x v="2"/>
    <x v="2"/>
    <x v="2"/>
    <x v="4"/>
    <n v="11"/>
    <x v="0"/>
  </r>
  <r>
    <d v="2023-12-11T00:00:00"/>
    <x v="2"/>
    <x v="1"/>
    <x v="0"/>
    <n v="67914048.769999996"/>
    <x v="2"/>
    <x v="1"/>
    <x v="0"/>
    <x v="8"/>
    <x v="1"/>
    <x v="2"/>
    <x v="2"/>
    <x v="2"/>
    <x v="4"/>
    <n v="11"/>
    <x v="0"/>
  </r>
  <r>
    <d v="2023-12-11T00:00:00"/>
    <x v="2"/>
    <x v="1"/>
    <x v="1"/>
    <n v="166619858.21000001"/>
    <x v="2"/>
    <x v="1"/>
    <x v="1"/>
    <x v="9"/>
    <x v="1"/>
    <x v="2"/>
    <x v="2"/>
    <x v="2"/>
    <x v="4"/>
    <n v="11"/>
    <x v="0"/>
  </r>
  <r>
    <d v="2023-12-11T00:00:00"/>
    <x v="1"/>
    <x v="0"/>
    <x v="1"/>
    <n v="256091766.05000001"/>
    <x v="1"/>
    <x v="0"/>
    <x v="1"/>
    <x v="10"/>
    <x v="1"/>
    <x v="2"/>
    <x v="2"/>
    <x v="2"/>
    <x v="4"/>
    <n v="11"/>
    <x v="0"/>
  </r>
  <r>
    <d v="2023-12-11T00:00:00"/>
    <x v="1"/>
    <x v="0"/>
    <x v="0"/>
    <n v="46453163.280000001"/>
    <x v="1"/>
    <x v="0"/>
    <x v="0"/>
    <x v="11"/>
    <x v="1"/>
    <x v="2"/>
    <x v="2"/>
    <x v="2"/>
    <x v="4"/>
    <n v="11"/>
    <x v="0"/>
  </r>
  <r>
    <d v="2023-12-11T00:00:00"/>
    <x v="3"/>
    <x v="3"/>
    <x v="1"/>
    <n v="4887592.66"/>
    <x v="3"/>
    <x v="3"/>
    <x v="1"/>
    <x v="4"/>
    <x v="1"/>
    <x v="2"/>
    <x v="2"/>
    <x v="2"/>
    <x v="4"/>
    <n v="11"/>
    <x v="0"/>
  </r>
  <r>
    <d v="2023-12-11T00:00:00"/>
    <x v="0"/>
    <x v="1"/>
    <x v="1"/>
    <n v="3387012.98"/>
    <x v="0"/>
    <x v="1"/>
    <x v="1"/>
    <x v="5"/>
    <x v="1"/>
    <x v="2"/>
    <x v="2"/>
    <x v="2"/>
    <x v="4"/>
    <n v="11"/>
    <x v="0"/>
  </r>
  <r>
    <d v="2023-12-11T00:00:00"/>
    <x v="3"/>
    <x v="2"/>
    <x v="2"/>
    <n v="414644"/>
    <x v="3"/>
    <x v="2"/>
    <x v="2"/>
    <x v="6"/>
    <x v="1"/>
    <x v="2"/>
    <x v="2"/>
    <x v="2"/>
    <x v="4"/>
    <n v="11"/>
    <x v="0"/>
  </r>
  <r>
    <d v="2023-12-11T00:00:00"/>
    <x v="3"/>
    <x v="3"/>
    <x v="0"/>
    <n v="1265386932.5"/>
    <x v="3"/>
    <x v="3"/>
    <x v="0"/>
    <x v="12"/>
    <x v="1"/>
    <x v="2"/>
    <x v="2"/>
    <x v="2"/>
    <x v="4"/>
    <n v="11"/>
    <x v="0"/>
  </r>
  <r>
    <d v="2023-12-11T00:00:00"/>
    <x v="3"/>
    <x v="2"/>
    <x v="1"/>
    <n v="27052573349.630001"/>
    <x v="3"/>
    <x v="2"/>
    <x v="1"/>
    <x v="13"/>
    <x v="1"/>
    <x v="2"/>
    <x v="2"/>
    <x v="2"/>
    <x v="4"/>
    <n v="11"/>
    <x v="0"/>
  </r>
  <r>
    <d v="2023-12-11T00:00:00"/>
    <x v="3"/>
    <x v="1"/>
    <x v="0"/>
    <n v="45820454.810000002"/>
    <x v="3"/>
    <x v="1"/>
    <x v="0"/>
    <x v="14"/>
    <x v="1"/>
    <x v="2"/>
    <x v="2"/>
    <x v="2"/>
    <x v="4"/>
    <n v="11"/>
    <x v="0"/>
  </r>
  <r>
    <d v="2023-12-11T00:00:00"/>
    <x v="3"/>
    <x v="2"/>
    <x v="0"/>
    <n v="783133935.83000004"/>
    <x v="3"/>
    <x v="2"/>
    <x v="0"/>
    <x v="15"/>
    <x v="1"/>
    <x v="2"/>
    <x v="2"/>
    <x v="2"/>
    <x v="4"/>
    <n v="11"/>
    <x v="0"/>
  </r>
  <r>
    <d v="2023-12-08T00:00:00"/>
    <x v="1"/>
    <x v="1"/>
    <x v="0"/>
    <n v="78124.08"/>
    <x v="1"/>
    <x v="1"/>
    <x v="0"/>
    <x v="0"/>
    <x v="1"/>
    <x v="2"/>
    <x v="2"/>
    <x v="2"/>
    <x v="4"/>
    <n v="8"/>
    <x v="0"/>
  </r>
  <r>
    <d v="2023-12-08T00:00:00"/>
    <x v="0"/>
    <x v="1"/>
    <x v="0"/>
    <n v="26965282.960000001"/>
    <x v="0"/>
    <x v="1"/>
    <x v="0"/>
    <x v="1"/>
    <x v="1"/>
    <x v="2"/>
    <x v="2"/>
    <x v="2"/>
    <x v="4"/>
    <n v="8"/>
    <x v="0"/>
  </r>
  <r>
    <d v="2023-12-08T00:00:00"/>
    <x v="3"/>
    <x v="2"/>
    <x v="2"/>
    <n v="395398.6"/>
    <x v="3"/>
    <x v="2"/>
    <x v="2"/>
    <x v="5"/>
    <x v="1"/>
    <x v="2"/>
    <x v="2"/>
    <x v="2"/>
    <x v="4"/>
    <n v="8"/>
    <x v="0"/>
  </r>
  <r>
    <d v="2023-12-08T00:00:00"/>
    <x v="2"/>
    <x v="1"/>
    <x v="2"/>
    <n v="413544"/>
    <x v="2"/>
    <x v="1"/>
    <x v="2"/>
    <x v="2"/>
    <x v="1"/>
    <x v="2"/>
    <x v="2"/>
    <x v="2"/>
    <x v="4"/>
    <n v="8"/>
    <x v="0"/>
  </r>
  <r>
    <d v="2023-12-08T00:00:00"/>
    <x v="2"/>
    <x v="1"/>
    <x v="0"/>
    <n v="84578031.859999999"/>
    <x v="2"/>
    <x v="1"/>
    <x v="0"/>
    <x v="7"/>
    <x v="1"/>
    <x v="2"/>
    <x v="2"/>
    <x v="2"/>
    <x v="4"/>
    <n v="8"/>
    <x v="0"/>
  </r>
  <r>
    <d v="2023-12-08T00:00:00"/>
    <x v="1"/>
    <x v="0"/>
    <x v="1"/>
    <n v="133688483.34999999"/>
    <x v="1"/>
    <x v="0"/>
    <x v="1"/>
    <x v="9"/>
    <x v="1"/>
    <x v="2"/>
    <x v="2"/>
    <x v="2"/>
    <x v="4"/>
    <n v="8"/>
    <x v="0"/>
  </r>
  <r>
    <d v="2023-12-08T00:00:00"/>
    <x v="3"/>
    <x v="3"/>
    <x v="1"/>
    <n v="3563.26"/>
    <x v="3"/>
    <x v="3"/>
    <x v="1"/>
    <x v="3"/>
    <x v="1"/>
    <x v="2"/>
    <x v="2"/>
    <x v="2"/>
    <x v="4"/>
    <n v="8"/>
    <x v="0"/>
  </r>
  <r>
    <d v="2023-12-08T00:00:00"/>
    <x v="0"/>
    <x v="1"/>
    <x v="1"/>
    <n v="17509448.350000001"/>
    <x v="0"/>
    <x v="1"/>
    <x v="1"/>
    <x v="4"/>
    <x v="1"/>
    <x v="2"/>
    <x v="2"/>
    <x v="2"/>
    <x v="4"/>
    <n v="8"/>
    <x v="0"/>
  </r>
  <r>
    <d v="2023-12-08T00:00:00"/>
    <x v="3"/>
    <x v="3"/>
    <x v="0"/>
    <n v="1106982959.9000001"/>
    <x v="3"/>
    <x v="3"/>
    <x v="0"/>
    <x v="6"/>
    <x v="1"/>
    <x v="2"/>
    <x v="2"/>
    <x v="2"/>
    <x v="4"/>
    <n v="8"/>
    <x v="0"/>
  </r>
  <r>
    <d v="2023-12-08T00:00:00"/>
    <x v="2"/>
    <x v="1"/>
    <x v="1"/>
    <n v="186622808.03999999"/>
    <x v="2"/>
    <x v="1"/>
    <x v="1"/>
    <x v="8"/>
    <x v="1"/>
    <x v="2"/>
    <x v="2"/>
    <x v="2"/>
    <x v="4"/>
    <n v="8"/>
    <x v="0"/>
  </r>
  <r>
    <d v="2023-12-08T00:00:00"/>
    <x v="1"/>
    <x v="0"/>
    <x v="0"/>
    <n v="39108988.560000002"/>
    <x v="1"/>
    <x v="0"/>
    <x v="0"/>
    <x v="10"/>
    <x v="1"/>
    <x v="2"/>
    <x v="2"/>
    <x v="2"/>
    <x v="4"/>
    <n v="8"/>
    <x v="0"/>
  </r>
  <r>
    <d v="2023-12-08T00:00:00"/>
    <x v="3"/>
    <x v="1"/>
    <x v="0"/>
    <n v="15742840.5"/>
    <x v="3"/>
    <x v="1"/>
    <x v="0"/>
    <x v="11"/>
    <x v="1"/>
    <x v="2"/>
    <x v="2"/>
    <x v="2"/>
    <x v="4"/>
    <n v="8"/>
    <x v="0"/>
  </r>
  <r>
    <d v="2023-12-08T00:00:00"/>
    <x v="3"/>
    <x v="2"/>
    <x v="1"/>
    <n v="12482643629.66"/>
    <x v="3"/>
    <x v="2"/>
    <x v="1"/>
    <x v="12"/>
    <x v="1"/>
    <x v="2"/>
    <x v="2"/>
    <x v="2"/>
    <x v="4"/>
    <n v="8"/>
    <x v="0"/>
  </r>
  <r>
    <d v="2023-12-08T00:00:00"/>
    <x v="3"/>
    <x v="2"/>
    <x v="0"/>
    <n v="580111885.39999998"/>
    <x v="3"/>
    <x v="2"/>
    <x v="0"/>
    <x v="13"/>
    <x v="1"/>
    <x v="2"/>
    <x v="2"/>
    <x v="2"/>
    <x v="4"/>
    <n v="8"/>
    <x v="0"/>
  </r>
  <r>
    <d v="2023-12-07T00:00:00"/>
    <x v="0"/>
    <x v="0"/>
    <x v="0"/>
    <n v="400"/>
    <x v="0"/>
    <x v="0"/>
    <x v="0"/>
    <x v="0"/>
    <x v="1"/>
    <x v="2"/>
    <x v="2"/>
    <x v="2"/>
    <x v="4"/>
    <n v="7"/>
    <x v="0"/>
  </r>
  <r>
    <d v="2023-12-07T00:00:00"/>
    <x v="1"/>
    <x v="1"/>
    <x v="0"/>
    <n v="233953.07"/>
    <x v="1"/>
    <x v="1"/>
    <x v="0"/>
    <x v="1"/>
    <x v="1"/>
    <x v="2"/>
    <x v="2"/>
    <x v="2"/>
    <x v="4"/>
    <n v="7"/>
    <x v="0"/>
  </r>
  <r>
    <d v="2023-12-07T00:00:00"/>
    <x v="0"/>
    <x v="1"/>
    <x v="0"/>
    <n v="14517024.68"/>
    <x v="0"/>
    <x v="1"/>
    <x v="0"/>
    <x v="2"/>
    <x v="1"/>
    <x v="2"/>
    <x v="2"/>
    <x v="2"/>
    <x v="4"/>
    <n v="7"/>
    <x v="0"/>
  </r>
  <r>
    <d v="2023-12-07T00:00:00"/>
    <x v="2"/>
    <x v="1"/>
    <x v="2"/>
    <n v="445810.35"/>
    <x v="2"/>
    <x v="1"/>
    <x v="2"/>
    <x v="3"/>
    <x v="1"/>
    <x v="2"/>
    <x v="2"/>
    <x v="2"/>
    <x v="4"/>
    <n v="7"/>
    <x v="0"/>
  </r>
  <r>
    <d v="2023-12-07T00:00:00"/>
    <x v="3"/>
    <x v="3"/>
    <x v="0"/>
    <n v="1290614707.8699999"/>
    <x v="3"/>
    <x v="3"/>
    <x v="0"/>
    <x v="8"/>
    <x v="1"/>
    <x v="2"/>
    <x v="2"/>
    <x v="2"/>
    <x v="4"/>
    <n v="7"/>
    <x v="0"/>
  </r>
  <r>
    <d v="2023-12-07T00:00:00"/>
    <x v="3"/>
    <x v="3"/>
    <x v="1"/>
    <n v="160029.44"/>
    <x v="3"/>
    <x v="3"/>
    <x v="1"/>
    <x v="4"/>
    <x v="1"/>
    <x v="2"/>
    <x v="2"/>
    <x v="2"/>
    <x v="4"/>
    <n v="7"/>
    <x v="0"/>
  </r>
  <r>
    <d v="2023-12-07T00:00:00"/>
    <x v="0"/>
    <x v="1"/>
    <x v="1"/>
    <n v="8814217.5999999996"/>
    <x v="0"/>
    <x v="1"/>
    <x v="1"/>
    <x v="5"/>
    <x v="1"/>
    <x v="2"/>
    <x v="2"/>
    <x v="2"/>
    <x v="4"/>
    <n v="7"/>
    <x v="0"/>
  </r>
  <r>
    <d v="2023-12-07T00:00:00"/>
    <x v="1"/>
    <x v="0"/>
    <x v="0"/>
    <n v="54469979.93"/>
    <x v="1"/>
    <x v="0"/>
    <x v="0"/>
    <x v="11"/>
    <x v="1"/>
    <x v="2"/>
    <x v="2"/>
    <x v="2"/>
    <x v="4"/>
    <n v="7"/>
    <x v="0"/>
  </r>
  <r>
    <d v="2023-12-07T00:00:00"/>
    <x v="3"/>
    <x v="2"/>
    <x v="2"/>
    <n v="511007.65"/>
    <x v="3"/>
    <x v="2"/>
    <x v="2"/>
    <x v="6"/>
    <x v="1"/>
    <x v="2"/>
    <x v="2"/>
    <x v="2"/>
    <x v="4"/>
    <n v="7"/>
    <x v="0"/>
  </r>
  <r>
    <d v="2023-12-07T00:00:00"/>
    <x v="2"/>
    <x v="1"/>
    <x v="0"/>
    <n v="77588907.890000001"/>
    <x v="2"/>
    <x v="1"/>
    <x v="0"/>
    <x v="7"/>
    <x v="1"/>
    <x v="2"/>
    <x v="2"/>
    <x v="2"/>
    <x v="4"/>
    <n v="7"/>
    <x v="0"/>
  </r>
  <r>
    <d v="2023-12-07T00:00:00"/>
    <x v="2"/>
    <x v="1"/>
    <x v="1"/>
    <n v="238945897.78"/>
    <x v="2"/>
    <x v="1"/>
    <x v="1"/>
    <x v="9"/>
    <x v="1"/>
    <x v="2"/>
    <x v="2"/>
    <x v="2"/>
    <x v="4"/>
    <n v="7"/>
    <x v="0"/>
  </r>
  <r>
    <d v="2023-12-07T00:00:00"/>
    <x v="1"/>
    <x v="0"/>
    <x v="1"/>
    <n v="203484510.11000001"/>
    <x v="1"/>
    <x v="0"/>
    <x v="1"/>
    <x v="10"/>
    <x v="1"/>
    <x v="2"/>
    <x v="2"/>
    <x v="2"/>
    <x v="4"/>
    <n v="7"/>
    <x v="0"/>
  </r>
  <r>
    <d v="2023-12-07T00:00:00"/>
    <x v="3"/>
    <x v="1"/>
    <x v="0"/>
    <n v="14749225.66"/>
    <x v="3"/>
    <x v="1"/>
    <x v="0"/>
    <x v="12"/>
    <x v="1"/>
    <x v="2"/>
    <x v="2"/>
    <x v="2"/>
    <x v="4"/>
    <n v="7"/>
    <x v="0"/>
  </r>
  <r>
    <d v="2023-12-07T00:00:00"/>
    <x v="3"/>
    <x v="2"/>
    <x v="1"/>
    <n v="4328361117.9399996"/>
    <x v="3"/>
    <x v="2"/>
    <x v="1"/>
    <x v="13"/>
    <x v="1"/>
    <x v="2"/>
    <x v="2"/>
    <x v="2"/>
    <x v="4"/>
    <n v="7"/>
    <x v="0"/>
  </r>
  <r>
    <d v="2023-12-07T00:00:00"/>
    <x v="3"/>
    <x v="2"/>
    <x v="0"/>
    <n v="819091309.27999997"/>
    <x v="3"/>
    <x v="2"/>
    <x v="0"/>
    <x v="14"/>
    <x v="1"/>
    <x v="2"/>
    <x v="2"/>
    <x v="2"/>
    <x v="4"/>
    <n v="7"/>
    <x v="0"/>
  </r>
  <r>
    <d v="2023-12-06T00:00:00"/>
    <x v="0"/>
    <x v="0"/>
    <x v="0"/>
    <n v="45"/>
    <x v="0"/>
    <x v="0"/>
    <x v="0"/>
    <x v="0"/>
    <x v="1"/>
    <x v="2"/>
    <x v="2"/>
    <x v="2"/>
    <x v="4"/>
    <n v="6"/>
    <x v="0"/>
  </r>
  <r>
    <d v="2023-12-06T00:00:00"/>
    <x v="1"/>
    <x v="1"/>
    <x v="0"/>
    <n v="237618.09"/>
    <x v="1"/>
    <x v="1"/>
    <x v="0"/>
    <x v="1"/>
    <x v="1"/>
    <x v="2"/>
    <x v="2"/>
    <x v="2"/>
    <x v="4"/>
    <n v="6"/>
    <x v="0"/>
  </r>
  <r>
    <d v="2023-12-06T00:00:00"/>
    <x v="0"/>
    <x v="1"/>
    <x v="0"/>
    <n v="16415193"/>
    <x v="0"/>
    <x v="1"/>
    <x v="0"/>
    <x v="2"/>
    <x v="1"/>
    <x v="2"/>
    <x v="2"/>
    <x v="2"/>
    <x v="4"/>
    <n v="6"/>
    <x v="0"/>
  </r>
  <r>
    <d v="2023-12-06T00:00:00"/>
    <x v="3"/>
    <x v="2"/>
    <x v="2"/>
    <n v="536564.78"/>
    <x v="3"/>
    <x v="2"/>
    <x v="2"/>
    <x v="5"/>
    <x v="1"/>
    <x v="2"/>
    <x v="2"/>
    <x v="2"/>
    <x v="4"/>
    <n v="6"/>
    <x v="0"/>
  </r>
  <r>
    <d v="2023-12-06T00:00:00"/>
    <x v="2"/>
    <x v="1"/>
    <x v="2"/>
    <n v="176250.58"/>
    <x v="2"/>
    <x v="1"/>
    <x v="2"/>
    <x v="3"/>
    <x v="1"/>
    <x v="2"/>
    <x v="2"/>
    <x v="2"/>
    <x v="4"/>
    <n v="6"/>
    <x v="0"/>
  </r>
  <r>
    <d v="2023-12-06T00:00:00"/>
    <x v="2"/>
    <x v="1"/>
    <x v="0"/>
    <n v="88625446.939999998"/>
    <x v="2"/>
    <x v="1"/>
    <x v="0"/>
    <x v="6"/>
    <x v="1"/>
    <x v="2"/>
    <x v="2"/>
    <x v="2"/>
    <x v="4"/>
    <n v="6"/>
    <x v="0"/>
  </r>
  <r>
    <d v="2023-12-06T00:00:00"/>
    <x v="3"/>
    <x v="3"/>
    <x v="0"/>
    <n v="1265449769.72"/>
    <x v="3"/>
    <x v="3"/>
    <x v="0"/>
    <x v="7"/>
    <x v="1"/>
    <x v="2"/>
    <x v="2"/>
    <x v="2"/>
    <x v="4"/>
    <n v="6"/>
    <x v="0"/>
  </r>
  <r>
    <d v="2023-12-06T00:00:00"/>
    <x v="1"/>
    <x v="0"/>
    <x v="1"/>
    <n v="640776454.19000006"/>
    <x v="1"/>
    <x v="0"/>
    <x v="1"/>
    <x v="9"/>
    <x v="1"/>
    <x v="2"/>
    <x v="2"/>
    <x v="2"/>
    <x v="4"/>
    <n v="6"/>
    <x v="0"/>
  </r>
  <r>
    <d v="2023-12-06T00:00:00"/>
    <x v="0"/>
    <x v="1"/>
    <x v="1"/>
    <n v="7623152.8600000003"/>
    <x v="0"/>
    <x v="1"/>
    <x v="1"/>
    <x v="4"/>
    <x v="1"/>
    <x v="2"/>
    <x v="2"/>
    <x v="2"/>
    <x v="4"/>
    <n v="6"/>
    <x v="0"/>
  </r>
  <r>
    <d v="2023-12-06T00:00:00"/>
    <x v="1"/>
    <x v="0"/>
    <x v="0"/>
    <n v="87475025.090000004"/>
    <x v="1"/>
    <x v="0"/>
    <x v="0"/>
    <x v="10"/>
    <x v="1"/>
    <x v="2"/>
    <x v="2"/>
    <x v="2"/>
    <x v="4"/>
    <n v="6"/>
    <x v="0"/>
  </r>
  <r>
    <d v="2023-12-06T00:00:00"/>
    <x v="2"/>
    <x v="1"/>
    <x v="1"/>
    <n v="217449862.88"/>
    <x v="2"/>
    <x v="1"/>
    <x v="1"/>
    <x v="8"/>
    <x v="1"/>
    <x v="2"/>
    <x v="2"/>
    <x v="2"/>
    <x v="4"/>
    <n v="6"/>
    <x v="0"/>
  </r>
  <r>
    <d v="2023-12-06T00:00:00"/>
    <x v="3"/>
    <x v="1"/>
    <x v="0"/>
    <n v="15326452.98"/>
    <x v="3"/>
    <x v="1"/>
    <x v="0"/>
    <x v="11"/>
    <x v="1"/>
    <x v="2"/>
    <x v="2"/>
    <x v="2"/>
    <x v="4"/>
    <n v="6"/>
    <x v="0"/>
  </r>
  <r>
    <d v="2023-12-06T00:00:00"/>
    <x v="3"/>
    <x v="2"/>
    <x v="1"/>
    <n v="14623127491.75"/>
    <x v="3"/>
    <x v="2"/>
    <x v="1"/>
    <x v="12"/>
    <x v="1"/>
    <x v="2"/>
    <x v="2"/>
    <x v="2"/>
    <x v="4"/>
    <n v="6"/>
    <x v="0"/>
  </r>
  <r>
    <d v="2023-12-06T00:00:00"/>
    <x v="3"/>
    <x v="2"/>
    <x v="0"/>
    <n v="704466487.78999996"/>
    <x v="3"/>
    <x v="2"/>
    <x v="0"/>
    <x v="13"/>
    <x v="1"/>
    <x v="2"/>
    <x v="2"/>
    <x v="2"/>
    <x v="4"/>
    <n v="6"/>
    <x v="0"/>
  </r>
  <r>
    <d v="2023-12-05T00:00:00"/>
    <x v="0"/>
    <x v="0"/>
    <x v="0"/>
    <n v="238.95"/>
    <x v="0"/>
    <x v="0"/>
    <x v="0"/>
    <x v="0"/>
    <x v="1"/>
    <x v="2"/>
    <x v="2"/>
    <x v="2"/>
    <x v="4"/>
    <n v="5"/>
    <x v="0"/>
  </r>
  <r>
    <d v="2023-12-05T00:00:00"/>
    <x v="0"/>
    <x v="1"/>
    <x v="0"/>
    <n v="28991102.449999999"/>
    <x v="0"/>
    <x v="1"/>
    <x v="0"/>
    <x v="1"/>
    <x v="1"/>
    <x v="2"/>
    <x v="2"/>
    <x v="2"/>
    <x v="4"/>
    <n v="5"/>
    <x v="0"/>
  </r>
  <r>
    <d v="2023-12-05T00:00:00"/>
    <x v="3"/>
    <x v="2"/>
    <x v="2"/>
    <n v="499844.63"/>
    <x v="3"/>
    <x v="2"/>
    <x v="2"/>
    <x v="5"/>
    <x v="1"/>
    <x v="2"/>
    <x v="2"/>
    <x v="2"/>
    <x v="4"/>
    <n v="5"/>
    <x v="0"/>
  </r>
  <r>
    <d v="2023-12-05T00:00:00"/>
    <x v="2"/>
    <x v="1"/>
    <x v="0"/>
    <n v="102333572.28"/>
    <x v="2"/>
    <x v="1"/>
    <x v="0"/>
    <x v="6"/>
    <x v="1"/>
    <x v="2"/>
    <x v="2"/>
    <x v="2"/>
    <x v="4"/>
    <n v="5"/>
    <x v="0"/>
  </r>
  <r>
    <d v="2023-12-05T00:00:00"/>
    <x v="2"/>
    <x v="1"/>
    <x v="1"/>
    <n v="362806450.26999998"/>
    <x v="2"/>
    <x v="1"/>
    <x v="1"/>
    <x v="8"/>
    <x v="1"/>
    <x v="2"/>
    <x v="2"/>
    <x v="2"/>
    <x v="4"/>
    <n v="5"/>
    <x v="0"/>
  </r>
  <r>
    <d v="2023-12-05T00:00:00"/>
    <x v="1"/>
    <x v="1"/>
    <x v="0"/>
    <n v="227598.06"/>
    <x v="1"/>
    <x v="1"/>
    <x v="0"/>
    <x v="3"/>
    <x v="1"/>
    <x v="2"/>
    <x v="2"/>
    <x v="2"/>
    <x v="4"/>
    <n v="5"/>
    <x v="0"/>
  </r>
  <r>
    <d v="2023-12-05T00:00:00"/>
    <x v="1"/>
    <x v="0"/>
    <x v="0"/>
    <n v="61395192.140000001"/>
    <x v="1"/>
    <x v="0"/>
    <x v="0"/>
    <x v="10"/>
    <x v="1"/>
    <x v="2"/>
    <x v="2"/>
    <x v="2"/>
    <x v="4"/>
    <n v="5"/>
    <x v="0"/>
  </r>
  <r>
    <d v="2023-12-05T00:00:00"/>
    <x v="2"/>
    <x v="1"/>
    <x v="2"/>
    <n v="632210.47"/>
    <x v="2"/>
    <x v="1"/>
    <x v="2"/>
    <x v="4"/>
    <x v="1"/>
    <x v="2"/>
    <x v="2"/>
    <x v="2"/>
    <x v="4"/>
    <n v="5"/>
    <x v="0"/>
  </r>
  <r>
    <d v="2023-12-05T00:00:00"/>
    <x v="0"/>
    <x v="1"/>
    <x v="1"/>
    <n v="8724509.3000000007"/>
    <x v="0"/>
    <x v="1"/>
    <x v="1"/>
    <x v="2"/>
    <x v="1"/>
    <x v="2"/>
    <x v="2"/>
    <x v="2"/>
    <x v="4"/>
    <n v="5"/>
    <x v="0"/>
  </r>
  <r>
    <d v="2023-12-05T00:00:00"/>
    <x v="3"/>
    <x v="3"/>
    <x v="0"/>
    <n v="1800753690.79"/>
    <x v="3"/>
    <x v="3"/>
    <x v="0"/>
    <x v="7"/>
    <x v="1"/>
    <x v="2"/>
    <x v="2"/>
    <x v="2"/>
    <x v="4"/>
    <n v="5"/>
    <x v="0"/>
  </r>
  <r>
    <d v="2023-12-05T00:00:00"/>
    <x v="1"/>
    <x v="0"/>
    <x v="1"/>
    <n v="162527562.49000001"/>
    <x v="1"/>
    <x v="0"/>
    <x v="1"/>
    <x v="9"/>
    <x v="1"/>
    <x v="2"/>
    <x v="2"/>
    <x v="2"/>
    <x v="4"/>
    <n v="5"/>
    <x v="0"/>
  </r>
  <r>
    <d v="2023-12-05T00:00:00"/>
    <x v="3"/>
    <x v="1"/>
    <x v="0"/>
    <n v="13236125.189999999"/>
    <x v="3"/>
    <x v="1"/>
    <x v="0"/>
    <x v="11"/>
    <x v="1"/>
    <x v="2"/>
    <x v="2"/>
    <x v="2"/>
    <x v="4"/>
    <n v="5"/>
    <x v="0"/>
  </r>
  <r>
    <d v="2023-12-05T00:00:00"/>
    <x v="3"/>
    <x v="2"/>
    <x v="1"/>
    <n v="4063151218.2800002"/>
    <x v="3"/>
    <x v="2"/>
    <x v="1"/>
    <x v="12"/>
    <x v="1"/>
    <x v="2"/>
    <x v="2"/>
    <x v="2"/>
    <x v="4"/>
    <n v="5"/>
    <x v="0"/>
  </r>
  <r>
    <d v="2023-12-05T00:00:00"/>
    <x v="3"/>
    <x v="2"/>
    <x v="0"/>
    <n v="863033614.88999999"/>
    <x v="3"/>
    <x v="2"/>
    <x v="0"/>
    <x v="13"/>
    <x v="1"/>
    <x v="2"/>
    <x v="2"/>
    <x v="2"/>
    <x v="4"/>
    <n v="5"/>
    <x v="0"/>
  </r>
  <r>
    <d v="2023-12-04T00:00:00"/>
    <x v="0"/>
    <x v="1"/>
    <x v="0"/>
    <n v="10262989.779999999"/>
    <x v="0"/>
    <x v="1"/>
    <x v="0"/>
    <x v="0"/>
    <x v="1"/>
    <x v="2"/>
    <x v="2"/>
    <x v="2"/>
    <x v="4"/>
    <n v="4"/>
    <x v="0"/>
  </r>
  <r>
    <d v="2023-12-04T00:00:00"/>
    <x v="3"/>
    <x v="2"/>
    <x v="2"/>
    <n v="347630.86"/>
    <x v="3"/>
    <x v="2"/>
    <x v="2"/>
    <x v="5"/>
    <x v="1"/>
    <x v="2"/>
    <x v="2"/>
    <x v="2"/>
    <x v="4"/>
    <n v="4"/>
    <x v="0"/>
  </r>
  <r>
    <d v="2023-12-04T00:00:00"/>
    <x v="3"/>
    <x v="3"/>
    <x v="0"/>
    <n v="1008317975.77"/>
    <x v="3"/>
    <x v="3"/>
    <x v="0"/>
    <x v="6"/>
    <x v="1"/>
    <x v="2"/>
    <x v="2"/>
    <x v="2"/>
    <x v="4"/>
    <n v="4"/>
    <x v="0"/>
  </r>
  <r>
    <d v="2023-12-04T00:00:00"/>
    <x v="2"/>
    <x v="1"/>
    <x v="0"/>
    <n v="91047042.060000002"/>
    <x v="2"/>
    <x v="1"/>
    <x v="0"/>
    <x v="7"/>
    <x v="1"/>
    <x v="2"/>
    <x v="2"/>
    <x v="2"/>
    <x v="4"/>
    <n v="4"/>
    <x v="0"/>
  </r>
  <r>
    <d v="2023-12-04T00:00:00"/>
    <x v="1"/>
    <x v="1"/>
    <x v="0"/>
    <n v="10755.02"/>
    <x v="1"/>
    <x v="1"/>
    <x v="0"/>
    <x v="3"/>
    <x v="1"/>
    <x v="2"/>
    <x v="2"/>
    <x v="2"/>
    <x v="4"/>
    <n v="4"/>
    <x v="0"/>
  </r>
  <r>
    <d v="2023-12-04T00:00:00"/>
    <x v="1"/>
    <x v="0"/>
    <x v="1"/>
    <n v="132002587.02"/>
    <x v="1"/>
    <x v="0"/>
    <x v="1"/>
    <x v="9"/>
    <x v="1"/>
    <x v="2"/>
    <x v="2"/>
    <x v="2"/>
    <x v="4"/>
    <n v="4"/>
    <x v="0"/>
  </r>
  <r>
    <d v="2023-12-04T00:00:00"/>
    <x v="2"/>
    <x v="1"/>
    <x v="2"/>
    <n v="1579995.53"/>
    <x v="2"/>
    <x v="1"/>
    <x v="2"/>
    <x v="4"/>
    <x v="1"/>
    <x v="2"/>
    <x v="2"/>
    <x v="2"/>
    <x v="4"/>
    <n v="4"/>
    <x v="0"/>
  </r>
  <r>
    <d v="2023-12-04T00:00:00"/>
    <x v="3"/>
    <x v="3"/>
    <x v="1"/>
    <n v="119409.63"/>
    <x v="3"/>
    <x v="3"/>
    <x v="1"/>
    <x v="1"/>
    <x v="1"/>
    <x v="2"/>
    <x v="2"/>
    <x v="2"/>
    <x v="4"/>
    <n v="4"/>
    <x v="0"/>
  </r>
  <r>
    <d v="2023-12-04T00:00:00"/>
    <x v="0"/>
    <x v="1"/>
    <x v="1"/>
    <n v="2111326.2999999998"/>
    <x v="0"/>
    <x v="1"/>
    <x v="1"/>
    <x v="2"/>
    <x v="1"/>
    <x v="2"/>
    <x v="2"/>
    <x v="2"/>
    <x v="4"/>
    <n v="4"/>
    <x v="0"/>
  </r>
  <r>
    <d v="2023-12-04T00:00:00"/>
    <x v="2"/>
    <x v="1"/>
    <x v="1"/>
    <n v="51004264.600000001"/>
    <x v="2"/>
    <x v="1"/>
    <x v="1"/>
    <x v="8"/>
    <x v="1"/>
    <x v="2"/>
    <x v="2"/>
    <x v="2"/>
    <x v="4"/>
    <n v="4"/>
    <x v="0"/>
  </r>
  <r>
    <d v="2023-12-04T00:00:00"/>
    <x v="1"/>
    <x v="0"/>
    <x v="0"/>
    <n v="41563890.740000002"/>
    <x v="1"/>
    <x v="0"/>
    <x v="0"/>
    <x v="10"/>
    <x v="1"/>
    <x v="2"/>
    <x v="2"/>
    <x v="2"/>
    <x v="4"/>
    <n v="4"/>
    <x v="0"/>
  </r>
  <r>
    <d v="2023-12-04T00:00:00"/>
    <x v="3"/>
    <x v="1"/>
    <x v="0"/>
    <n v="50555214.359999999"/>
    <x v="3"/>
    <x v="1"/>
    <x v="0"/>
    <x v="11"/>
    <x v="1"/>
    <x v="2"/>
    <x v="2"/>
    <x v="2"/>
    <x v="4"/>
    <n v="4"/>
    <x v="0"/>
  </r>
  <r>
    <d v="2023-12-04T00:00:00"/>
    <x v="3"/>
    <x v="2"/>
    <x v="1"/>
    <n v="25495268360.18"/>
    <x v="3"/>
    <x v="2"/>
    <x v="1"/>
    <x v="12"/>
    <x v="1"/>
    <x v="2"/>
    <x v="2"/>
    <x v="2"/>
    <x v="4"/>
    <n v="4"/>
    <x v="0"/>
  </r>
  <r>
    <d v="2023-12-04T00:00:00"/>
    <x v="3"/>
    <x v="2"/>
    <x v="0"/>
    <n v="1154014585.6800001"/>
    <x v="3"/>
    <x v="2"/>
    <x v="0"/>
    <x v="13"/>
    <x v="1"/>
    <x v="2"/>
    <x v="2"/>
    <x v="2"/>
    <x v="4"/>
    <n v="4"/>
    <x v="0"/>
  </r>
  <r>
    <d v="2023-12-01T00:00:00"/>
    <x v="0"/>
    <x v="0"/>
    <x v="0"/>
    <n v="928.9"/>
    <x v="0"/>
    <x v="0"/>
    <x v="0"/>
    <x v="0"/>
    <x v="1"/>
    <x v="2"/>
    <x v="2"/>
    <x v="2"/>
    <x v="4"/>
    <n v="1"/>
    <x v="0"/>
  </r>
  <r>
    <d v="2023-12-01T00:00:00"/>
    <x v="1"/>
    <x v="1"/>
    <x v="0"/>
    <n v="478593.74"/>
    <x v="1"/>
    <x v="1"/>
    <x v="0"/>
    <x v="1"/>
    <x v="1"/>
    <x v="2"/>
    <x v="2"/>
    <x v="2"/>
    <x v="4"/>
    <n v="1"/>
    <x v="0"/>
  </r>
  <r>
    <d v="2023-12-01T00:00:00"/>
    <x v="0"/>
    <x v="1"/>
    <x v="0"/>
    <n v="15354578.91"/>
    <x v="0"/>
    <x v="1"/>
    <x v="0"/>
    <x v="2"/>
    <x v="1"/>
    <x v="2"/>
    <x v="2"/>
    <x v="2"/>
    <x v="4"/>
    <n v="1"/>
    <x v="0"/>
  </r>
  <r>
    <d v="2023-12-01T00:00:00"/>
    <x v="2"/>
    <x v="1"/>
    <x v="2"/>
    <n v="41432.15"/>
    <x v="2"/>
    <x v="1"/>
    <x v="2"/>
    <x v="3"/>
    <x v="1"/>
    <x v="2"/>
    <x v="2"/>
    <x v="2"/>
    <x v="4"/>
    <n v="1"/>
    <x v="0"/>
  </r>
  <r>
    <d v="2023-12-01T00:00:00"/>
    <x v="3"/>
    <x v="2"/>
    <x v="2"/>
    <n v="462747.57"/>
    <x v="3"/>
    <x v="2"/>
    <x v="2"/>
    <x v="4"/>
    <x v="1"/>
    <x v="2"/>
    <x v="2"/>
    <x v="2"/>
    <x v="4"/>
    <n v="1"/>
    <x v="0"/>
  </r>
  <r>
    <d v="2023-12-01T00:00:00"/>
    <x v="2"/>
    <x v="1"/>
    <x v="0"/>
    <n v="67068874.240000002"/>
    <x v="2"/>
    <x v="1"/>
    <x v="0"/>
    <x v="7"/>
    <x v="1"/>
    <x v="2"/>
    <x v="2"/>
    <x v="2"/>
    <x v="4"/>
    <n v="1"/>
    <x v="0"/>
  </r>
  <r>
    <d v="2023-12-01T00:00:00"/>
    <x v="2"/>
    <x v="1"/>
    <x v="1"/>
    <n v="128298426.7"/>
    <x v="2"/>
    <x v="1"/>
    <x v="1"/>
    <x v="8"/>
    <x v="1"/>
    <x v="2"/>
    <x v="2"/>
    <x v="2"/>
    <x v="4"/>
    <n v="1"/>
    <x v="0"/>
  </r>
  <r>
    <d v="2023-12-01T00:00:00"/>
    <x v="3"/>
    <x v="3"/>
    <x v="0"/>
    <n v="4549453416.4700003"/>
    <x v="3"/>
    <x v="3"/>
    <x v="0"/>
    <x v="9"/>
    <x v="1"/>
    <x v="2"/>
    <x v="2"/>
    <x v="2"/>
    <x v="4"/>
    <n v="1"/>
    <x v="0"/>
  </r>
  <r>
    <d v="2023-12-01T00:00:00"/>
    <x v="3"/>
    <x v="3"/>
    <x v="1"/>
    <n v="4118353.16"/>
    <x v="3"/>
    <x v="3"/>
    <x v="1"/>
    <x v="5"/>
    <x v="1"/>
    <x v="2"/>
    <x v="2"/>
    <x v="2"/>
    <x v="4"/>
    <n v="1"/>
    <x v="0"/>
  </r>
  <r>
    <d v="2023-12-01T00:00:00"/>
    <x v="0"/>
    <x v="1"/>
    <x v="1"/>
    <n v="18357961.920000002"/>
    <x v="0"/>
    <x v="1"/>
    <x v="1"/>
    <x v="6"/>
    <x v="1"/>
    <x v="2"/>
    <x v="2"/>
    <x v="2"/>
    <x v="4"/>
    <n v="1"/>
    <x v="0"/>
  </r>
  <r>
    <d v="2023-12-01T00:00:00"/>
    <x v="1"/>
    <x v="0"/>
    <x v="1"/>
    <n v="70448362.209999993"/>
    <x v="1"/>
    <x v="0"/>
    <x v="1"/>
    <x v="10"/>
    <x v="1"/>
    <x v="2"/>
    <x v="2"/>
    <x v="2"/>
    <x v="4"/>
    <n v="1"/>
    <x v="0"/>
  </r>
  <r>
    <d v="2023-12-01T00:00:00"/>
    <x v="1"/>
    <x v="0"/>
    <x v="0"/>
    <n v="40064217.460000001"/>
    <x v="1"/>
    <x v="0"/>
    <x v="0"/>
    <x v="11"/>
    <x v="1"/>
    <x v="2"/>
    <x v="2"/>
    <x v="2"/>
    <x v="4"/>
    <n v="1"/>
    <x v="0"/>
  </r>
  <r>
    <d v="2023-12-01T00:00:00"/>
    <x v="3"/>
    <x v="1"/>
    <x v="0"/>
    <n v="15936981.77"/>
    <x v="3"/>
    <x v="1"/>
    <x v="0"/>
    <x v="12"/>
    <x v="1"/>
    <x v="2"/>
    <x v="2"/>
    <x v="2"/>
    <x v="4"/>
    <n v="1"/>
    <x v="0"/>
  </r>
  <r>
    <d v="2023-12-01T00:00:00"/>
    <x v="3"/>
    <x v="2"/>
    <x v="1"/>
    <n v="29547160368.84"/>
    <x v="3"/>
    <x v="2"/>
    <x v="1"/>
    <x v="13"/>
    <x v="1"/>
    <x v="2"/>
    <x v="2"/>
    <x v="2"/>
    <x v="4"/>
    <n v="1"/>
    <x v="0"/>
  </r>
  <r>
    <d v="2023-12-01T00:00:00"/>
    <x v="3"/>
    <x v="2"/>
    <x v="0"/>
    <n v="698953601.12"/>
    <x v="3"/>
    <x v="2"/>
    <x v="0"/>
    <x v="14"/>
    <x v="1"/>
    <x v="2"/>
    <x v="2"/>
    <x v="2"/>
    <x v="4"/>
    <n v="1"/>
    <x v="0"/>
  </r>
  <r>
    <d v="2023-11-30T00:00:00"/>
    <x v="0"/>
    <x v="0"/>
    <x v="0"/>
    <n v="-4220.62"/>
    <x v="0"/>
    <x v="0"/>
    <x v="0"/>
    <x v="0"/>
    <x v="1"/>
    <x v="2"/>
    <x v="2"/>
    <x v="2"/>
    <x v="5"/>
    <n v="30"/>
    <x v="1"/>
  </r>
  <r>
    <d v="2023-11-30T00:00:00"/>
    <x v="1"/>
    <x v="1"/>
    <x v="0"/>
    <n v="50193.34"/>
    <x v="1"/>
    <x v="1"/>
    <x v="0"/>
    <x v="1"/>
    <x v="1"/>
    <x v="2"/>
    <x v="2"/>
    <x v="2"/>
    <x v="5"/>
    <n v="30"/>
    <x v="0"/>
  </r>
  <r>
    <d v="2023-11-30T00:00:00"/>
    <x v="0"/>
    <x v="1"/>
    <x v="0"/>
    <n v="8526333.8000000007"/>
    <x v="0"/>
    <x v="1"/>
    <x v="0"/>
    <x v="2"/>
    <x v="1"/>
    <x v="2"/>
    <x v="2"/>
    <x v="2"/>
    <x v="5"/>
    <n v="30"/>
    <x v="0"/>
  </r>
  <r>
    <d v="2023-11-30T00:00:00"/>
    <x v="2"/>
    <x v="1"/>
    <x v="0"/>
    <n v="71472179.560000002"/>
    <x v="2"/>
    <x v="1"/>
    <x v="0"/>
    <x v="7"/>
    <x v="1"/>
    <x v="2"/>
    <x v="2"/>
    <x v="2"/>
    <x v="5"/>
    <n v="30"/>
    <x v="0"/>
  </r>
  <r>
    <d v="2023-11-30T00:00:00"/>
    <x v="2"/>
    <x v="1"/>
    <x v="2"/>
    <n v="15740.76"/>
    <x v="2"/>
    <x v="1"/>
    <x v="2"/>
    <x v="5"/>
    <x v="1"/>
    <x v="2"/>
    <x v="2"/>
    <x v="2"/>
    <x v="5"/>
    <n v="30"/>
    <x v="0"/>
  </r>
  <r>
    <d v="2023-11-30T00:00:00"/>
    <x v="3"/>
    <x v="3"/>
    <x v="0"/>
    <n v="4189056813.0300002"/>
    <x v="3"/>
    <x v="3"/>
    <x v="0"/>
    <x v="9"/>
    <x v="1"/>
    <x v="2"/>
    <x v="2"/>
    <x v="2"/>
    <x v="5"/>
    <n v="30"/>
    <x v="0"/>
  </r>
  <r>
    <d v="2023-11-30T00:00:00"/>
    <x v="3"/>
    <x v="3"/>
    <x v="1"/>
    <n v="59261.08"/>
    <x v="3"/>
    <x v="3"/>
    <x v="1"/>
    <x v="3"/>
    <x v="1"/>
    <x v="2"/>
    <x v="2"/>
    <x v="2"/>
    <x v="5"/>
    <n v="30"/>
    <x v="0"/>
  </r>
  <r>
    <d v="2023-11-30T00:00:00"/>
    <x v="0"/>
    <x v="1"/>
    <x v="1"/>
    <n v="6695513.0300000003"/>
    <x v="0"/>
    <x v="1"/>
    <x v="1"/>
    <x v="4"/>
    <x v="1"/>
    <x v="2"/>
    <x v="2"/>
    <x v="2"/>
    <x v="5"/>
    <n v="30"/>
    <x v="0"/>
  </r>
  <r>
    <d v="2023-11-30T00:00:00"/>
    <x v="1"/>
    <x v="0"/>
    <x v="0"/>
    <n v="59588898.93"/>
    <x v="1"/>
    <x v="0"/>
    <x v="0"/>
    <x v="10"/>
    <x v="1"/>
    <x v="2"/>
    <x v="2"/>
    <x v="2"/>
    <x v="5"/>
    <n v="30"/>
    <x v="0"/>
  </r>
  <r>
    <d v="2023-11-30T00:00:00"/>
    <x v="3"/>
    <x v="2"/>
    <x v="2"/>
    <n v="369451.5"/>
    <x v="3"/>
    <x v="2"/>
    <x v="2"/>
    <x v="6"/>
    <x v="1"/>
    <x v="2"/>
    <x v="2"/>
    <x v="2"/>
    <x v="5"/>
    <n v="30"/>
    <x v="0"/>
  </r>
  <r>
    <d v="2023-11-30T00:00:00"/>
    <x v="2"/>
    <x v="1"/>
    <x v="1"/>
    <n v="638588250.71000004"/>
    <x v="2"/>
    <x v="1"/>
    <x v="1"/>
    <x v="8"/>
    <x v="1"/>
    <x v="2"/>
    <x v="2"/>
    <x v="2"/>
    <x v="5"/>
    <n v="30"/>
    <x v="0"/>
  </r>
  <r>
    <d v="2023-11-30T00:00:00"/>
    <x v="1"/>
    <x v="0"/>
    <x v="1"/>
    <n v="99181499.489999995"/>
    <x v="1"/>
    <x v="0"/>
    <x v="1"/>
    <x v="11"/>
    <x v="1"/>
    <x v="2"/>
    <x v="2"/>
    <x v="2"/>
    <x v="5"/>
    <n v="30"/>
    <x v="0"/>
  </r>
  <r>
    <d v="2023-11-30T00:00:00"/>
    <x v="3"/>
    <x v="1"/>
    <x v="0"/>
    <n v="14648211.880000001"/>
    <x v="3"/>
    <x v="1"/>
    <x v="0"/>
    <x v="12"/>
    <x v="1"/>
    <x v="2"/>
    <x v="2"/>
    <x v="2"/>
    <x v="5"/>
    <n v="30"/>
    <x v="0"/>
  </r>
  <r>
    <d v="2023-11-30T00:00:00"/>
    <x v="3"/>
    <x v="2"/>
    <x v="1"/>
    <n v="6274859796.4200001"/>
    <x v="3"/>
    <x v="2"/>
    <x v="1"/>
    <x v="13"/>
    <x v="1"/>
    <x v="2"/>
    <x v="2"/>
    <x v="2"/>
    <x v="5"/>
    <n v="30"/>
    <x v="0"/>
  </r>
  <r>
    <d v="2023-11-30T00:00:00"/>
    <x v="3"/>
    <x v="2"/>
    <x v="0"/>
    <n v="700801081.45000005"/>
    <x v="3"/>
    <x v="2"/>
    <x v="0"/>
    <x v="14"/>
    <x v="1"/>
    <x v="2"/>
    <x v="2"/>
    <x v="2"/>
    <x v="5"/>
    <n v="30"/>
    <x v="0"/>
  </r>
  <r>
    <d v="2023-11-29T00:00:00"/>
    <x v="0"/>
    <x v="0"/>
    <x v="0"/>
    <n v="11227.81"/>
    <x v="0"/>
    <x v="0"/>
    <x v="0"/>
    <x v="0"/>
    <x v="1"/>
    <x v="2"/>
    <x v="2"/>
    <x v="2"/>
    <x v="5"/>
    <n v="29"/>
    <x v="0"/>
  </r>
  <r>
    <d v="2023-11-29T00:00:00"/>
    <x v="1"/>
    <x v="1"/>
    <x v="0"/>
    <n v="4955.45"/>
    <x v="1"/>
    <x v="1"/>
    <x v="0"/>
    <x v="1"/>
    <x v="1"/>
    <x v="2"/>
    <x v="2"/>
    <x v="2"/>
    <x v="5"/>
    <n v="29"/>
    <x v="0"/>
  </r>
  <r>
    <d v="2023-11-29T00:00:00"/>
    <x v="0"/>
    <x v="1"/>
    <x v="0"/>
    <n v="7357487.3799999999"/>
    <x v="0"/>
    <x v="1"/>
    <x v="0"/>
    <x v="2"/>
    <x v="1"/>
    <x v="2"/>
    <x v="2"/>
    <x v="2"/>
    <x v="5"/>
    <n v="29"/>
    <x v="0"/>
  </r>
  <r>
    <d v="2023-11-29T00:00:00"/>
    <x v="3"/>
    <x v="2"/>
    <x v="2"/>
    <n v="322321.49"/>
    <x v="3"/>
    <x v="2"/>
    <x v="2"/>
    <x v="6"/>
    <x v="1"/>
    <x v="2"/>
    <x v="2"/>
    <x v="2"/>
    <x v="5"/>
    <n v="29"/>
    <x v="0"/>
  </r>
  <r>
    <d v="2023-11-29T00:00:00"/>
    <x v="2"/>
    <x v="1"/>
    <x v="2"/>
    <n v="47782.01"/>
    <x v="2"/>
    <x v="1"/>
    <x v="2"/>
    <x v="3"/>
    <x v="1"/>
    <x v="2"/>
    <x v="2"/>
    <x v="2"/>
    <x v="5"/>
    <n v="29"/>
    <x v="0"/>
  </r>
  <r>
    <d v="2023-11-29T00:00:00"/>
    <x v="2"/>
    <x v="1"/>
    <x v="0"/>
    <n v="70948650.060000002"/>
    <x v="2"/>
    <x v="1"/>
    <x v="0"/>
    <x v="8"/>
    <x v="1"/>
    <x v="2"/>
    <x v="2"/>
    <x v="2"/>
    <x v="5"/>
    <n v="29"/>
    <x v="0"/>
  </r>
  <r>
    <d v="2023-11-29T00:00:00"/>
    <x v="2"/>
    <x v="1"/>
    <x v="1"/>
    <n v="141954833.00999999"/>
    <x v="2"/>
    <x v="1"/>
    <x v="1"/>
    <x v="9"/>
    <x v="1"/>
    <x v="2"/>
    <x v="2"/>
    <x v="2"/>
    <x v="5"/>
    <n v="29"/>
    <x v="0"/>
  </r>
  <r>
    <d v="2023-11-29T00:00:00"/>
    <x v="1"/>
    <x v="0"/>
    <x v="1"/>
    <n v="813436771.27999997"/>
    <x v="1"/>
    <x v="0"/>
    <x v="1"/>
    <x v="10"/>
    <x v="1"/>
    <x v="2"/>
    <x v="2"/>
    <x v="2"/>
    <x v="5"/>
    <n v="29"/>
    <x v="0"/>
  </r>
  <r>
    <d v="2023-11-29T00:00:00"/>
    <x v="3"/>
    <x v="3"/>
    <x v="1"/>
    <n v="27025.65"/>
    <x v="3"/>
    <x v="3"/>
    <x v="1"/>
    <x v="4"/>
    <x v="1"/>
    <x v="2"/>
    <x v="2"/>
    <x v="2"/>
    <x v="5"/>
    <n v="29"/>
    <x v="0"/>
  </r>
  <r>
    <d v="2023-11-29T00:00:00"/>
    <x v="0"/>
    <x v="1"/>
    <x v="1"/>
    <n v="3220906.12"/>
    <x v="0"/>
    <x v="1"/>
    <x v="1"/>
    <x v="5"/>
    <x v="1"/>
    <x v="2"/>
    <x v="2"/>
    <x v="2"/>
    <x v="5"/>
    <n v="29"/>
    <x v="0"/>
  </r>
  <r>
    <d v="2023-11-29T00:00:00"/>
    <x v="1"/>
    <x v="0"/>
    <x v="0"/>
    <n v="69963374.760000005"/>
    <x v="1"/>
    <x v="0"/>
    <x v="0"/>
    <x v="11"/>
    <x v="1"/>
    <x v="2"/>
    <x v="2"/>
    <x v="2"/>
    <x v="5"/>
    <n v="29"/>
    <x v="0"/>
  </r>
  <r>
    <d v="2023-11-29T00:00:00"/>
    <x v="3"/>
    <x v="3"/>
    <x v="0"/>
    <n v="2456632342.3400002"/>
    <x v="3"/>
    <x v="3"/>
    <x v="0"/>
    <x v="7"/>
    <x v="1"/>
    <x v="2"/>
    <x v="2"/>
    <x v="2"/>
    <x v="5"/>
    <n v="29"/>
    <x v="0"/>
  </r>
  <r>
    <d v="2023-11-29T00:00:00"/>
    <x v="3"/>
    <x v="1"/>
    <x v="0"/>
    <n v="14257525.939999999"/>
    <x v="3"/>
    <x v="1"/>
    <x v="0"/>
    <x v="12"/>
    <x v="1"/>
    <x v="2"/>
    <x v="2"/>
    <x v="2"/>
    <x v="5"/>
    <n v="29"/>
    <x v="0"/>
  </r>
  <r>
    <d v="2023-11-29T00:00:00"/>
    <x v="3"/>
    <x v="2"/>
    <x v="1"/>
    <n v="11964564512.040001"/>
    <x v="3"/>
    <x v="2"/>
    <x v="1"/>
    <x v="13"/>
    <x v="1"/>
    <x v="2"/>
    <x v="2"/>
    <x v="2"/>
    <x v="5"/>
    <n v="29"/>
    <x v="0"/>
  </r>
  <r>
    <d v="2023-11-29T00:00:00"/>
    <x v="3"/>
    <x v="2"/>
    <x v="0"/>
    <n v="773867351.41999996"/>
    <x v="3"/>
    <x v="2"/>
    <x v="0"/>
    <x v="14"/>
    <x v="1"/>
    <x v="2"/>
    <x v="2"/>
    <x v="2"/>
    <x v="5"/>
    <n v="29"/>
    <x v="0"/>
  </r>
  <r>
    <d v="2023-11-28T00:00:00"/>
    <x v="0"/>
    <x v="0"/>
    <x v="0"/>
    <n v="1038.4100000000001"/>
    <x v="0"/>
    <x v="0"/>
    <x v="0"/>
    <x v="0"/>
    <x v="1"/>
    <x v="2"/>
    <x v="2"/>
    <x v="2"/>
    <x v="5"/>
    <n v="28"/>
    <x v="0"/>
  </r>
  <r>
    <d v="2023-11-28T00:00:00"/>
    <x v="1"/>
    <x v="1"/>
    <x v="0"/>
    <n v="97363.39"/>
    <x v="1"/>
    <x v="1"/>
    <x v="0"/>
    <x v="1"/>
    <x v="1"/>
    <x v="2"/>
    <x v="2"/>
    <x v="2"/>
    <x v="5"/>
    <n v="28"/>
    <x v="0"/>
  </r>
  <r>
    <d v="2023-11-28T00:00:00"/>
    <x v="0"/>
    <x v="1"/>
    <x v="0"/>
    <n v="9993794.5999999996"/>
    <x v="0"/>
    <x v="1"/>
    <x v="0"/>
    <x v="2"/>
    <x v="1"/>
    <x v="2"/>
    <x v="2"/>
    <x v="2"/>
    <x v="5"/>
    <n v="28"/>
    <x v="0"/>
  </r>
  <r>
    <d v="2023-11-28T00:00:00"/>
    <x v="2"/>
    <x v="1"/>
    <x v="2"/>
    <n v="1475.57"/>
    <x v="2"/>
    <x v="1"/>
    <x v="2"/>
    <x v="3"/>
    <x v="1"/>
    <x v="2"/>
    <x v="2"/>
    <x v="2"/>
    <x v="5"/>
    <n v="28"/>
    <x v="0"/>
  </r>
  <r>
    <d v="2023-11-28T00:00:00"/>
    <x v="3"/>
    <x v="2"/>
    <x v="2"/>
    <n v="355629.25"/>
    <x v="3"/>
    <x v="2"/>
    <x v="2"/>
    <x v="4"/>
    <x v="1"/>
    <x v="2"/>
    <x v="2"/>
    <x v="2"/>
    <x v="5"/>
    <n v="28"/>
    <x v="0"/>
  </r>
  <r>
    <d v="2023-11-28T00:00:00"/>
    <x v="2"/>
    <x v="1"/>
    <x v="0"/>
    <n v="79377440.739999995"/>
    <x v="2"/>
    <x v="1"/>
    <x v="0"/>
    <x v="6"/>
    <x v="1"/>
    <x v="2"/>
    <x v="2"/>
    <x v="2"/>
    <x v="5"/>
    <n v="28"/>
    <x v="0"/>
  </r>
  <r>
    <d v="2023-11-28T00:00:00"/>
    <x v="3"/>
    <x v="3"/>
    <x v="0"/>
    <n v="1734713335.0599999"/>
    <x v="3"/>
    <x v="3"/>
    <x v="0"/>
    <x v="7"/>
    <x v="1"/>
    <x v="2"/>
    <x v="2"/>
    <x v="2"/>
    <x v="5"/>
    <n v="28"/>
    <x v="0"/>
  </r>
  <r>
    <d v="2023-11-28T00:00:00"/>
    <x v="2"/>
    <x v="1"/>
    <x v="1"/>
    <n v="184906473.09"/>
    <x v="2"/>
    <x v="1"/>
    <x v="1"/>
    <x v="8"/>
    <x v="1"/>
    <x v="2"/>
    <x v="2"/>
    <x v="2"/>
    <x v="5"/>
    <n v="28"/>
    <x v="0"/>
  </r>
  <r>
    <d v="2023-11-28T00:00:00"/>
    <x v="0"/>
    <x v="1"/>
    <x v="1"/>
    <n v="5466400.7599999998"/>
    <x v="0"/>
    <x v="1"/>
    <x v="1"/>
    <x v="5"/>
    <x v="1"/>
    <x v="2"/>
    <x v="2"/>
    <x v="2"/>
    <x v="5"/>
    <n v="28"/>
    <x v="0"/>
  </r>
  <r>
    <d v="2023-11-28T00:00:00"/>
    <x v="1"/>
    <x v="0"/>
    <x v="0"/>
    <n v="97743902.030000001"/>
    <x v="1"/>
    <x v="0"/>
    <x v="0"/>
    <x v="9"/>
    <x v="1"/>
    <x v="2"/>
    <x v="2"/>
    <x v="2"/>
    <x v="5"/>
    <n v="28"/>
    <x v="0"/>
  </r>
  <r>
    <d v="2023-11-28T00:00:00"/>
    <x v="1"/>
    <x v="0"/>
    <x v="1"/>
    <n v="478383093.88"/>
    <x v="1"/>
    <x v="0"/>
    <x v="1"/>
    <x v="10"/>
    <x v="1"/>
    <x v="2"/>
    <x v="2"/>
    <x v="2"/>
    <x v="5"/>
    <n v="28"/>
    <x v="0"/>
  </r>
  <r>
    <d v="2023-11-28T00:00:00"/>
    <x v="3"/>
    <x v="1"/>
    <x v="0"/>
    <n v="11876878.970000001"/>
    <x v="3"/>
    <x v="1"/>
    <x v="0"/>
    <x v="11"/>
    <x v="1"/>
    <x v="2"/>
    <x v="2"/>
    <x v="2"/>
    <x v="5"/>
    <n v="28"/>
    <x v="0"/>
  </r>
  <r>
    <d v="2023-11-28T00:00:00"/>
    <x v="3"/>
    <x v="2"/>
    <x v="1"/>
    <n v="3974946652.3499999"/>
    <x v="3"/>
    <x v="2"/>
    <x v="1"/>
    <x v="12"/>
    <x v="1"/>
    <x v="2"/>
    <x v="2"/>
    <x v="2"/>
    <x v="5"/>
    <n v="28"/>
    <x v="0"/>
  </r>
  <r>
    <d v="2023-11-28T00:00:00"/>
    <x v="3"/>
    <x v="2"/>
    <x v="0"/>
    <n v="764325769.45000005"/>
    <x v="3"/>
    <x v="2"/>
    <x v="0"/>
    <x v="13"/>
    <x v="1"/>
    <x v="2"/>
    <x v="2"/>
    <x v="2"/>
    <x v="5"/>
    <n v="28"/>
    <x v="0"/>
  </r>
  <r>
    <d v="2023-11-27T00:00:00"/>
    <x v="0"/>
    <x v="1"/>
    <x v="0"/>
    <n v="15114400.49"/>
    <x v="0"/>
    <x v="1"/>
    <x v="0"/>
    <x v="0"/>
    <x v="1"/>
    <x v="2"/>
    <x v="2"/>
    <x v="2"/>
    <x v="5"/>
    <n v="27"/>
    <x v="0"/>
  </r>
  <r>
    <d v="2023-11-27T00:00:00"/>
    <x v="3"/>
    <x v="2"/>
    <x v="2"/>
    <n v="54031.97"/>
    <x v="3"/>
    <x v="2"/>
    <x v="2"/>
    <x v="6"/>
    <x v="1"/>
    <x v="2"/>
    <x v="2"/>
    <x v="2"/>
    <x v="5"/>
    <n v="27"/>
    <x v="0"/>
  </r>
  <r>
    <d v="2023-11-27T00:00:00"/>
    <x v="3"/>
    <x v="3"/>
    <x v="2"/>
    <n v="88.75"/>
    <x v="3"/>
    <x v="3"/>
    <x v="2"/>
    <x v="1"/>
    <x v="1"/>
    <x v="2"/>
    <x v="2"/>
    <x v="2"/>
    <x v="5"/>
    <n v="27"/>
    <x v="0"/>
  </r>
  <r>
    <d v="2023-11-27T00:00:00"/>
    <x v="2"/>
    <x v="1"/>
    <x v="0"/>
    <n v="49758297.039999999"/>
    <x v="2"/>
    <x v="1"/>
    <x v="0"/>
    <x v="7"/>
    <x v="1"/>
    <x v="2"/>
    <x v="2"/>
    <x v="2"/>
    <x v="5"/>
    <n v="27"/>
    <x v="0"/>
  </r>
  <r>
    <d v="2023-11-27T00:00:00"/>
    <x v="1"/>
    <x v="1"/>
    <x v="0"/>
    <n v="1997.62"/>
    <x v="1"/>
    <x v="1"/>
    <x v="0"/>
    <x v="4"/>
    <x v="1"/>
    <x v="2"/>
    <x v="2"/>
    <x v="2"/>
    <x v="5"/>
    <n v="27"/>
    <x v="0"/>
  </r>
  <r>
    <d v="2023-11-27T00:00:00"/>
    <x v="3"/>
    <x v="3"/>
    <x v="0"/>
    <n v="1404733473.6700001"/>
    <x v="3"/>
    <x v="3"/>
    <x v="0"/>
    <x v="8"/>
    <x v="1"/>
    <x v="2"/>
    <x v="2"/>
    <x v="2"/>
    <x v="5"/>
    <n v="27"/>
    <x v="0"/>
  </r>
  <r>
    <d v="2023-11-27T00:00:00"/>
    <x v="2"/>
    <x v="1"/>
    <x v="2"/>
    <n v="7595.44"/>
    <x v="2"/>
    <x v="1"/>
    <x v="2"/>
    <x v="5"/>
    <x v="1"/>
    <x v="2"/>
    <x v="2"/>
    <x v="2"/>
    <x v="5"/>
    <n v="27"/>
    <x v="0"/>
  </r>
  <r>
    <d v="2023-11-27T00:00:00"/>
    <x v="2"/>
    <x v="1"/>
    <x v="1"/>
    <n v="137703434.41999999"/>
    <x v="2"/>
    <x v="1"/>
    <x v="1"/>
    <x v="9"/>
    <x v="1"/>
    <x v="2"/>
    <x v="2"/>
    <x v="2"/>
    <x v="5"/>
    <n v="27"/>
    <x v="0"/>
  </r>
  <r>
    <d v="2023-11-27T00:00:00"/>
    <x v="3"/>
    <x v="3"/>
    <x v="1"/>
    <n v="3379.18"/>
    <x v="3"/>
    <x v="3"/>
    <x v="1"/>
    <x v="2"/>
    <x v="1"/>
    <x v="2"/>
    <x v="2"/>
    <x v="2"/>
    <x v="5"/>
    <n v="27"/>
    <x v="0"/>
  </r>
  <r>
    <d v="2023-11-27T00:00:00"/>
    <x v="0"/>
    <x v="1"/>
    <x v="1"/>
    <n v="19534098.73"/>
    <x v="0"/>
    <x v="1"/>
    <x v="1"/>
    <x v="3"/>
    <x v="1"/>
    <x v="2"/>
    <x v="2"/>
    <x v="2"/>
    <x v="5"/>
    <n v="27"/>
    <x v="0"/>
  </r>
  <r>
    <d v="2023-11-27T00:00:00"/>
    <x v="1"/>
    <x v="0"/>
    <x v="1"/>
    <n v="473644869.29000002"/>
    <x v="1"/>
    <x v="0"/>
    <x v="1"/>
    <x v="10"/>
    <x v="1"/>
    <x v="2"/>
    <x v="2"/>
    <x v="2"/>
    <x v="5"/>
    <n v="27"/>
    <x v="0"/>
  </r>
  <r>
    <d v="2023-11-27T00:00:00"/>
    <x v="1"/>
    <x v="0"/>
    <x v="0"/>
    <n v="54522340.280000001"/>
    <x v="1"/>
    <x v="0"/>
    <x v="0"/>
    <x v="11"/>
    <x v="1"/>
    <x v="2"/>
    <x v="2"/>
    <x v="2"/>
    <x v="5"/>
    <n v="27"/>
    <x v="0"/>
  </r>
  <r>
    <d v="2023-11-27T00:00:00"/>
    <x v="3"/>
    <x v="1"/>
    <x v="0"/>
    <n v="31811707.449999999"/>
    <x v="3"/>
    <x v="1"/>
    <x v="0"/>
    <x v="12"/>
    <x v="1"/>
    <x v="2"/>
    <x v="2"/>
    <x v="2"/>
    <x v="5"/>
    <n v="27"/>
    <x v="0"/>
  </r>
  <r>
    <d v="2023-11-27T00:00:00"/>
    <x v="3"/>
    <x v="2"/>
    <x v="1"/>
    <n v="22703951944.900002"/>
    <x v="3"/>
    <x v="2"/>
    <x v="1"/>
    <x v="13"/>
    <x v="1"/>
    <x v="2"/>
    <x v="2"/>
    <x v="2"/>
    <x v="5"/>
    <n v="27"/>
    <x v="0"/>
  </r>
  <r>
    <d v="2023-11-27T00:00:00"/>
    <x v="3"/>
    <x v="2"/>
    <x v="0"/>
    <n v="647659080.63999999"/>
    <x v="3"/>
    <x v="2"/>
    <x v="0"/>
    <x v="14"/>
    <x v="1"/>
    <x v="2"/>
    <x v="2"/>
    <x v="2"/>
    <x v="5"/>
    <n v="27"/>
    <x v="0"/>
  </r>
  <r>
    <d v="2023-11-24T00:00:00"/>
    <x v="0"/>
    <x v="0"/>
    <x v="0"/>
    <n v="4620.6000000000004"/>
    <x v="0"/>
    <x v="0"/>
    <x v="0"/>
    <x v="0"/>
    <x v="1"/>
    <x v="2"/>
    <x v="2"/>
    <x v="2"/>
    <x v="5"/>
    <n v="24"/>
    <x v="0"/>
  </r>
  <r>
    <d v="2023-11-24T00:00:00"/>
    <x v="1"/>
    <x v="1"/>
    <x v="0"/>
    <n v="118373.95"/>
    <x v="1"/>
    <x v="1"/>
    <x v="0"/>
    <x v="1"/>
    <x v="1"/>
    <x v="2"/>
    <x v="2"/>
    <x v="2"/>
    <x v="5"/>
    <n v="24"/>
    <x v="0"/>
  </r>
  <r>
    <d v="2023-11-24T00:00:00"/>
    <x v="0"/>
    <x v="1"/>
    <x v="0"/>
    <n v="4548301.3"/>
    <x v="0"/>
    <x v="1"/>
    <x v="0"/>
    <x v="2"/>
    <x v="1"/>
    <x v="2"/>
    <x v="2"/>
    <x v="2"/>
    <x v="5"/>
    <n v="24"/>
    <x v="0"/>
  </r>
  <r>
    <d v="2023-11-24T00:00:00"/>
    <x v="2"/>
    <x v="1"/>
    <x v="2"/>
    <n v="13618.67"/>
    <x v="2"/>
    <x v="1"/>
    <x v="2"/>
    <x v="3"/>
    <x v="1"/>
    <x v="2"/>
    <x v="2"/>
    <x v="2"/>
    <x v="5"/>
    <n v="24"/>
    <x v="0"/>
  </r>
  <r>
    <d v="2023-11-24T00:00:00"/>
    <x v="2"/>
    <x v="1"/>
    <x v="0"/>
    <n v="103262501.98"/>
    <x v="2"/>
    <x v="1"/>
    <x v="0"/>
    <x v="7"/>
    <x v="1"/>
    <x v="2"/>
    <x v="2"/>
    <x v="2"/>
    <x v="5"/>
    <n v="24"/>
    <x v="0"/>
  </r>
  <r>
    <d v="2023-11-24T00:00:00"/>
    <x v="2"/>
    <x v="1"/>
    <x v="1"/>
    <n v="163027940.43000001"/>
    <x v="2"/>
    <x v="1"/>
    <x v="1"/>
    <x v="8"/>
    <x v="1"/>
    <x v="2"/>
    <x v="2"/>
    <x v="2"/>
    <x v="5"/>
    <n v="24"/>
    <x v="0"/>
  </r>
  <r>
    <d v="2023-11-24T00:00:00"/>
    <x v="1"/>
    <x v="0"/>
    <x v="1"/>
    <n v="947229722.35000002"/>
    <x v="1"/>
    <x v="0"/>
    <x v="1"/>
    <x v="9"/>
    <x v="1"/>
    <x v="2"/>
    <x v="2"/>
    <x v="2"/>
    <x v="5"/>
    <n v="24"/>
    <x v="0"/>
  </r>
  <r>
    <d v="2023-11-24T00:00:00"/>
    <x v="0"/>
    <x v="1"/>
    <x v="1"/>
    <n v="3543010.66"/>
    <x v="0"/>
    <x v="1"/>
    <x v="1"/>
    <x v="4"/>
    <x v="1"/>
    <x v="2"/>
    <x v="2"/>
    <x v="2"/>
    <x v="5"/>
    <n v="24"/>
    <x v="0"/>
  </r>
  <r>
    <d v="2023-11-24T00:00:00"/>
    <x v="3"/>
    <x v="2"/>
    <x v="2"/>
    <n v="424308.24"/>
    <x v="3"/>
    <x v="2"/>
    <x v="2"/>
    <x v="5"/>
    <x v="1"/>
    <x v="2"/>
    <x v="2"/>
    <x v="2"/>
    <x v="5"/>
    <n v="24"/>
    <x v="0"/>
  </r>
  <r>
    <d v="2023-11-24T00:00:00"/>
    <x v="3"/>
    <x v="3"/>
    <x v="0"/>
    <n v="722848985.87"/>
    <x v="3"/>
    <x v="3"/>
    <x v="0"/>
    <x v="6"/>
    <x v="1"/>
    <x v="2"/>
    <x v="2"/>
    <x v="2"/>
    <x v="5"/>
    <n v="24"/>
    <x v="0"/>
  </r>
  <r>
    <d v="2023-11-24T00:00:00"/>
    <x v="1"/>
    <x v="0"/>
    <x v="0"/>
    <n v="82904780.75"/>
    <x v="1"/>
    <x v="0"/>
    <x v="0"/>
    <x v="10"/>
    <x v="1"/>
    <x v="2"/>
    <x v="2"/>
    <x v="2"/>
    <x v="5"/>
    <n v="24"/>
    <x v="0"/>
  </r>
  <r>
    <d v="2023-11-24T00:00:00"/>
    <x v="3"/>
    <x v="1"/>
    <x v="0"/>
    <n v="22737573.739999998"/>
    <x v="3"/>
    <x v="1"/>
    <x v="0"/>
    <x v="11"/>
    <x v="1"/>
    <x v="2"/>
    <x v="2"/>
    <x v="2"/>
    <x v="5"/>
    <n v="24"/>
    <x v="0"/>
  </r>
  <r>
    <d v="2023-11-24T00:00:00"/>
    <x v="3"/>
    <x v="2"/>
    <x v="1"/>
    <n v="13945944894.84"/>
    <x v="3"/>
    <x v="2"/>
    <x v="1"/>
    <x v="12"/>
    <x v="1"/>
    <x v="2"/>
    <x v="2"/>
    <x v="2"/>
    <x v="5"/>
    <n v="24"/>
    <x v="0"/>
  </r>
  <r>
    <d v="2023-11-24T00:00:00"/>
    <x v="3"/>
    <x v="2"/>
    <x v="0"/>
    <n v="5581520825.9499998"/>
    <x v="3"/>
    <x v="2"/>
    <x v="0"/>
    <x v="13"/>
    <x v="1"/>
    <x v="2"/>
    <x v="2"/>
    <x v="2"/>
    <x v="5"/>
    <n v="24"/>
    <x v="0"/>
  </r>
  <r>
    <d v="2023-11-22T00:00:00"/>
    <x v="0"/>
    <x v="0"/>
    <x v="0"/>
    <n v="265"/>
    <x v="0"/>
    <x v="0"/>
    <x v="0"/>
    <x v="0"/>
    <x v="1"/>
    <x v="2"/>
    <x v="2"/>
    <x v="2"/>
    <x v="5"/>
    <n v="22"/>
    <x v="0"/>
  </r>
  <r>
    <d v="2023-11-22T00:00:00"/>
    <x v="1"/>
    <x v="1"/>
    <x v="0"/>
    <n v="53564.68"/>
    <x v="1"/>
    <x v="1"/>
    <x v="0"/>
    <x v="1"/>
    <x v="1"/>
    <x v="2"/>
    <x v="2"/>
    <x v="2"/>
    <x v="5"/>
    <n v="22"/>
    <x v="0"/>
  </r>
  <r>
    <d v="2023-11-22T00:00:00"/>
    <x v="0"/>
    <x v="1"/>
    <x v="0"/>
    <n v="4938898.8099999996"/>
    <x v="0"/>
    <x v="1"/>
    <x v="0"/>
    <x v="2"/>
    <x v="1"/>
    <x v="2"/>
    <x v="2"/>
    <x v="2"/>
    <x v="5"/>
    <n v="22"/>
    <x v="0"/>
  </r>
  <r>
    <d v="2023-11-22T00:00:00"/>
    <x v="3"/>
    <x v="2"/>
    <x v="2"/>
    <n v="218351.67"/>
    <x v="3"/>
    <x v="2"/>
    <x v="2"/>
    <x v="5"/>
    <x v="1"/>
    <x v="2"/>
    <x v="2"/>
    <x v="2"/>
    <x v="5"/>
    <n v="22"/>
    <x v="0"/>
  </r>
  <r>
    <d v="2023-11-22T00:00:00"/>
    <x v="2"/>
    <x v="1"/>
    <x v="2"/>
    <n v="15973.5"/>
    <x v="2"/>
    <x v="1"/>
    <x v="2"/>
    <x v="3"/>
    <x v="1"/>
    <x v="2"/>
    <x v="2"/>
    <x v="2"/>
    <x v="5"/>
    <n v="22"/>
    <x v="0"/>
  </r>
  <r>
    <d v="2023-11-22T00:00:00"/>
    <x v="2"/>
    <x v="1"/>
    <x v="0"/>
    <n v="171423838.36000001"/>
    <x v="2"/>
    <x v="1"/>
    <x v="0"/>
    <x v="7"/>
    <x v="1"/>
    <x v="2"/>
    <x v="2"/>
    <x v="2"/>
    <x v="5"/>
    <n v="22"/>
    <x v="0"/>
  </r>
  <r>
    <d v="2023-11-22T00:00:00"/>
    <x v="1"/>
    <x v="0"/>
    <x v="1"/>
    <n v="947384489.70000005"/>
    <x v="1"/>
    <x v="0"/>
    <x v="1"/>
    <x v="9"/>
    <x v="1"/>
    <x v="2"/>
    <x v="2"/>
    <x v="2"/>
    <x v="5"/>
    <n v="22"/>
    <x v="0"/>
  </r>
  <r>
    <d v="2023-11-22T00:00:00"/>
    <x v="1"/>
    <x v="0"/>
    <x v="0"/>
    <n v="106292482.42"/>
    <x v="1"/>
    <x v="0"/>
    <x v="0"/>
    <x v="10"/>
    <x v="1"/>
    <x v="2"/>
    <x v="2"/>
    <x v="2"/>
    <x v="5"/>
    <n v="22"/>
    <x v="0"/>
  </r>
  <r>
    <d v="2023-11-22T00:00:00"/>
    <x v="0"/>
    <x v="1"/>
    <x v="1"/>
    <n v="8496627.3000000007"/>
    <x v="0"/>
    <x v="1"/>
    <x v="1"/>
    <x v="4"/>
    <x v="1"/>
    <x v="2"/>
    <x v="2"/>
    <x v="2"/>
    <x v="5"/>
    <n v="22"/>
    <x v="0"/>
  </r>
  <r>
    <d v="2023-11-22T00:00:00"/>
    <x v="3"/>
    <x v="3"/>
    <x v="0"/>
    <n v="1867986017.8599999"/>
    <x v="3"/>
    <x v="3"/>
    <x v="0"/>
    <x v="6"/>
    <x v="1"/>
    <x v="2"/>
    <x v="2"/>
    <x v="2"/>
    <x v="5"/>
    <n v="22"/>
    <x v="0"/>
  </r>
  <r>
    <d v="2023-11-22T00:00:00"/>
    <x v="2"/>
    <x v="1"/>
    <x v="1"/>
    <n v="536594903.37"/>
    <x v="2"/>
    <x v="1"/>
    <x v="1"/>
    <x v="8"/>
    <x v="1"/>
    <x v="2"/>
    <x v="2"/>
    <x v="2"/>
    <x v="5"/>
    <n v="22"/>
    <x v="0"/>
  </r>
  <r>
    <d v="2023-11-22T00:00:00"/>
    <x v="3"/>
    <x v="1"/>
    <x v="0"/>
    <n v="20326373.170000002"/>
    <x v="3"/>
    <x v="1"/>
    <x v="0"/>
    <x v="11"/>
    <x v="1"/>
    <x v="2"/>
    <x v="2"/>
    <x v="2"/>
    <x v="5"/>
    <n v="22"/>
    <x v="0"/>
  </r>
  <r>
    <d v="2023-11-22T00:00:00"/>
    <x v="3"/>
    <x v="2"/>
    <x v="1"/>
    <n v="14588603789.959999"/>
    <x v="3"/>
    <x v="2"/>
    <x v="1"/>
    <x v="12"/>
    <x v="1"/>
    <x v="2"/>
    <x v="2"/>
    <x v="2"/>
    <x v="5"/>
    <n v="22"/>
    <x v="0"/>
  </r>
  <r>
    <d v="2023-11-22T00:00:00"/>
    <x v="3"/>
    <x v="2"/>
    <x v="0"/>
    <n v="510166738.08999997"/>
    <x v="3"/>
    <x v="2"/>
    <x v="0"/>
    <x v="13"/>
    <x v="1"/>
    <x v="2"/>
    <x v="2"/>
    <x v="2"/>
    <x v="5"/>
    <n v="22"/>
    <x v="0"/>
  </r>
  <r>
    <d v="2023-11-21T00:00:00"/>
    <x v="0"/>
    <x v="0"/>
    <x v="0"/>
    <n v="635.95000000000005"/>
    <x v="0"/>
    <x v="0"/>
    <x v="0"/>
    <x v="0"/>
    <x v="1"/>
    <x v="2"/>
    <x v="2"/>
    <x v="2"/>
    <x v="5"/>
    <n v="21"/>
    <x v="0"/>
  </r>
  <r>
    <d v="2023-11-21T00:00:00"/>
    <x v="1"/>
    <x v="1"/>
    <x v="0"/>
    <n v="82119.13"/>
    <x v="1"/>
    <x v="1"/>
    <x v="0"/>
    <x v="1"/>
    <x v="1"/>
    <x v="2"/>
    <x v="2"/>
    <x v="2"/>
    <x v="5"/>
    <n v="21"/>
    <x v="0"/>
  </r>
  <r>
    <d v="2023-11-21T00:00:00"/>
    <x v="0"/>
    <x v="1"/>
    <x v="0"/>
    <n v="7910427.9100000001"/>
    <x v="0"/>
    <x v="1"/>
    <x v="0"/>
    <x v="2"/>
    <x v="1"/>
    <x v="2"/>
    <x v="2"/>
    <x v="2"/>
    <x v="5"/>
    <n v="21"/>
    <x v="0"/>
  </r>
  <r>
    <d v="2023-11-21T00:00:00"/>
    <x v="2"/>
    <x v="1"/>
    <x v="2"/>
    <n v="7037.86"/>
    <x v="2"/>
    <x v="1"/>
    <x v="2"/>
    <x v="3"/>
    <x v="1"/>
    <x v="2"/>
    <x v="2"/>
    <x v="2"/>
    <x v="5"/>
    <n v="21"/>
    <x v="0"/>
  </r>
  <r>
    <d v="2023-11-21T00:00:00"/>
    <x v="3"/>
    <x v="3"/>
    <x v="0"/>
    <n v="1323284644.8"/>
    <x v="3"/>
    <x v="3"/>
    <x v="0"/>
    <x v="7"/>
    <x v="1"/>
    <x v="2"/>
    <x v="2"/>
    <x v="2"/>
    <x v="5"/>
    <n v="21"/>
    <x v="0"/>
  </r>
  <r>
    <d v="2023-11-21T00:00:00"/>
    <x v="2"/>
    <x v="1"/>
    <x v="1"/>
    <n v="297455920.04000002"/>
    <x v="2"/>
    <x v="1"/>
    <x v="1"/>
    <x v="8"/>
    <x v="1"/>
    <x v="2"/>
    <x v="2"/>
    <x v="2"/>
    <x v="5"/>
    <n v="21"/>
    <x v="0"/>
  </r>
  <r>
    <d v="2023-11-21T00:00:00"/>
    <x v="1"/>
    <x v="0"/>
    <x v="1"/>
    <n v="225335907.96000001"/>
    <x v="1"/>
    <x v="0"/>
    <x v="1"/>
    <x v="9"/>
    <x v="1"/>
    <x v="2"/>
    <x v="2"/>
    <x v="2"/>
    <x v="5"/>
    <n v="21"/>
    <x v="0"/>
  </r>
  <r>
    <d v="2023-11-21T00:00:00"/>
    <x v="3"/>
    <x v="2"/>
    <x v="2"/>
    <n v="388493.38"/>
    <x v="3"/>
    <x v="2"/>
    <x v="2"/>
    <x v="5"/>
    <x v="1"/>
    <x v="2"/>
    <x v="2"/>
    <x v="2"/>
    <x v="5"/>
    <n v="21"/>
    <x v="0"/>
  </r>
  <r>
    <d v="2023-11-21T00:00:00"/>
    <x v="1"/>
    <x v="0"/>
    <x v="0"/>
    <n v="73013421"/>
    <x v="1"/>
    <x v="0"/>
    <x v="0"/>
    <x v="10"/>
    <x v="1"/>
    <x v="2"/>
    <x v="2"/>
    <x v="2"/>
    <x v="5"/>
    <n v="21"/>
    <x v="0"/>
  </r>
  <r>
    <d v="2023-11-21T00:00:00"/>
    <x v="0"/>
    <x v="1"/>
    <x v="1"/>
    <n v="20134764.82"/>
    <x v="0"/>
    <x v="1"/>
    <x v="1"/>
    <x v="4"/>
    <x v="1"/>
    <x v="2"/>
    <x v="2"/>
    <x v="2"/>
    <x v="5"/>
    <n v="21"/>
    <x v="0"/>
  </r>
  <r>
    <d v="2023-11-21T00:00:00"/>
    <x v="2"/>
    <x v="1"/>
    <x v="0"/>
    <n v="71527607.219999999"/>
    <x v="2"/>
    <x v="1"/>
    <x v="0"/>
    <x v="6"/>
    <x v="1"/>
    <x v="2"/>
    <x v="2"/>
    <x v="2"/>
    <x v="5"/>
    <n v="21"/>
    <x v="0"/>
  </r>
  <r>
    <d v="2023-11-21T00:00:00"/>
    <x v="3"/>
    <x v="1"/>
    <x v="0"/>
    <n v="17398316.260000002"/>
    <x v="3"/>
    <x v="1"/>
    <x v="0"/>
    <x v="11"/>
    <x v="1"/>
    <x v="2"/>
    <x v="2"/>
    <x v="2"/>
    <x v="5"/>
    <n v="21"/>
    <x v="0"/>
  </r>
  <r>
    <d v="2023-11-21T00:00:00"/>
    <x v="3"/>
    <x v="2"/>
    <x v="1"/>
    <n v="4466889655.1899996"/>
    <x v="3"/>
    <x v="2"/>
    <x v="1"/>
    <x v="12"/>
    <x v="1"/>
    <x v="2"/>
    <x v="2"/>
    <x v="2"/>
    <x v="5"/>
    <n v="21"/>
    <x v="0"/>
  </r>
  <r>
    <d v="2023-11-21T00:00:00"/>
    <x v="3"/>
    <x v="2"/>
    <x v="0"/>
    <n v="784001086.78999996"/>
    <x v="3"/>
    <x v="2"/>
    <x v="0"/>
    <x v="13"/>
    <x v="1"/>
    <x v="2"/>
    <x v="2"/>
    <x v="2"/>
    <x v="5"/>
    <n v="21"/>
    <x v="0"/>
  </r>
  <r>
    <d v="2023-11-20T00:00:00"/>
    <x v="0"/>
    <x v="1"/>
    <x v="0"/>
    <n v="11378518.34"/>
    <x v="0"/>
    <x v="1"/>
    <x v="0"/>
    <x v="0"/>
    <x v="1"/>
    <x v="2"/>
    <x v="2"/>
    <x v="2"/>
    <x v="5"/>
    <n v="20"/>
    <x v="0"/>
  </r>
  <r>
    <d v="2023-11-20T00:00:00"/>
    <x v="2"/>
    <x v="1"/>
    <x v="2"/>
    <n v="4683.3100000000004"/>
    <x v="2"/>
    <x v="1"/>
    <x v="2"/>
    <x v="1"/>
    <x v="1"/>
    <x v="2"/>
    <x v="2"/>
    <x v="2"/>
    <x v="5"/>
    <n v="20"/>
    <x v="0"/>
  </r>
  <r>
    <d v="2023-11-20T00:00:00"/>
    <x v="2"/>
    <x v="1"/>
    <x v="0"/>
    <n v="75398391.760000005"/>
    <x v="2"/>
    <x v="1"/>
    <x v="0"/>
    <x v="5"/>
    <x v="1"/>
    <x v="2"/>
    <x v="2"/>
    <x v="2"/>
    <x v="5"/>
    <n v="20"/>
    <x v="0"/>
  </r>
  <r>
    <d v="2023-11-20T00:00:00"/>
    <x v="3"/>
    <x v="3"/>
    <x v="0"/>
    <n v="2121258289.6500001"/>
    <x v="3"/>
    <x v="3"/>
    <x v="0"/>
    <x v="7"/>
    <x v="1"/>
    <x v="2"/>
    <x v="2"/>
    <x v="2"/>
    <x v="5"/>
    <n v="20"/>
    <x v="0"/>
  </r>
  <r>
    <d v="2023-11-20T00:00:00"/>
    <x v="1"/>
    <x v="0"/>
    <x v="0"/>
    <n v="56671464.979999997"/>
    <x v="1"/>
    <x v="0"/>
    <x v="0"/>
    <x v="9"/>
    <x v="1"/>
    <x v="2"/>
    <x v="2"/>
    <x v="2"/>
    <x v="5"/>
    <n v="20"/>
    <x v="0"/>
  </r>
  <r>
    <d v="2023-11-20T00:00:00"/>
    <x v="0"/>
    <x v="1"/>
    <x v="1"/>
    <n v="19491849.600000001"/>
    <x v="0"/>
    <x v="1"/>
    <x v="1"/>
    <x v="2"/>
    <x v="1"/>
    <x v="2"/>
    <x v="2"/>
    <x v="2"/>
    <x v="5"/>
    <n v="20"/>
    <x v="0"/>
  </r>
  <r>
    <d v="2023-11-20T00:00:00"/>
    <x v="1"/>
    <x v="1"/>
    <x v="0"/>
    <n v="173618.8"/>
    <x v="1"/>
    <x v="1"/>
    <x v="0"/>
    <x v="3"/>
    <x v="1"/>
    <x v="2"/>
    <x v="2"/>
    <x v="2"/>
    <x v="5"/>
    <n v="20"/>
    <x v="0"/>
  </r>
  <r>
    <d v="2023-11-20T00:00:00"/>
    <x v="3"/>
    <x v="2"/>
    <x v="2"/>
    <n v="146674.44"/>
    <x v="3"/>
    <x v="2"/>
    <x v="2"/>
    <x v="4"/>
    <x v="1"/>
    <x v="2"/>
    <x v="2"/>
    <x v="2"/>
    <x v="5"/>
    <n v="20"/>
    <x v="0"/>
  </r>
  <r>
    <d v="2023-11-20T00:00:00"/>
    <x v="2"/>
    <x v="1"/>
    <x v="1"/>
    <n v="254371850.50999999"/>
    <x v="2"/>
    <x v="1"/>
    <x v="1"/>
    <x v="6"/>
    <x v="1"/>
    <x v="2"/>
    <x v="2"/>
    <x v="2"/>
    <x v="5"/>
    <n v="20"/>
    <x v="0"/>
  </r>
  <r>
    <d v="2023-11-20T00:00:00"/>
    <x v="1"/>
    <x v="0"/>
    <x v="1"/>
    <n v="200963905.97999999"/>
    <x v="1"/>
    <x v="0"/>
    <x v="1"/>
    <x v="8"/>
    <x v="1"/>
    <x v="2"/>
    <x v="2"/>
    <x v="2"/>
    <x v="5"/>
    <n v="20"/>
    <x v="0"/>
  </r>
  <r>
    <d v="2023-11-20T00:00:00"/>
    <x v="3"/>
    <x v="1"/>
    <x v="0"/>
    <n v="57181177.880000003"/>
    <x v="3"/>
    <x v="1"/>
    <x v="0"/>
    <x v="10"/>
    <x v="1"/>
    <x v="2"/>
    <x v="2"/>
    <x v="2"/>
    <x v="5"/>
    <n v="20"/>
    <x v="0"/>
  </r>
  <r>
    <d v="2023-11-20T00:00:00"/>
    <x v="3"/>
    <x v="2"/>
    <x v="1"/>
    <n v="21319728326.68"/>
    <x v="3"/>
    <x v="2"/>
    <x v="1"/>
    <x v="11"/>
    <x v="1"/>
    <x v="2"/>
    <x v="2"/>
    <x v="2"/>
    <x v="5"/>
    <n v="20"/>
    <x v="0"/>
  </r>
  <r>
    <d v="2023-11-20T00:00:00"/>
    <x v="3"/>
    <x v="2"/>
    <x v="0"/>
    <n v="822753675.65999997"/>
    <x v="3"/>
    <x v="2"/>
    <x v="0"/>
    <x v="12"/>
    <x v="1"/>
    <x v="2"/>
    <x v="2"/>
    <x v="2"/>
    <x v="5"/>
    <n v="20"/>
    <x v="0"/>
  </r>
  <r>
    <d v="2023-11-17T00:00:00"/>
    <x v="1"/>
    <x v="1"/>
    <x v="0"/>
    <n v="1213933.24"/>
    <x v="1"/>
    <x v="1"/>
    <x v="0"/>
    <x v="0"/>
    <x v="1"/>
    <x v="2"/>
    <x v="2"/>
    <x v="2"/>
    <x v="5"/>
    <n v="17"/>
    <x v="0"/>
  </r>
  <r>
    <d v="2023-11-17T00:00:00"/>
    <x v="0"/>
    <x v="1"/>
    <x v="0"/>
    <n v="13241464.02"/>
    <x v="0"/>
    <x v="1"/>
    <x v="0"/>
    <x v="1"/>
    <x v="1"/>
    <x v="2"/>
    <x v="2"/>
    <x v="2"/>
    <x v="5"/>
    <n v="17"/>
    <x v="0"/>
  </r>
  <r>
    <d v="2023-11-17T00:00:00"/>
    <x v="3"/>
    <x v="3"/>
    <x v="0"/>
    <n v="2262340355.1799998"/>
    <x v="3"/>
    <x v="3"/>
    <x v="0"/>
    <x v="6"/>
    <x v="1"/>
    <x v="2"/>
    <x v="2"/>
    <x v="2"/>
    <x v="5"/>
    <n v="17"/>
    <x v="0"/>
  </r>
  <r>
    <d v="2023-11-17T00:00:00"/>
    <x v="2"/>
    <x v="1"/>
    <x v="2"/>
    <n v="11547.89"/>
    <x v="2"/>
    <x v="1"/>
    <x v="2"/>
    <x v="2"/>
    <x v="1"/>
    <x v="2"/>
    <x v="2"/>
    <x v="2"/>
    <x v="5"/>
    <n v="17"/>
    <x v="0"/>
  </r>
  <r>
    <d v="2023-11-17T00:00:00"/>
    <x v="2"/>
    <x v="1"/>
    <x v="0"/>
    <n v="100343554.23"/>
    <x v="2"/>
    <x v="1"/>
    <x v="0"/>
    <x v="7"/>
    <x v="1"/>
    <x v="2"/>
    <x v="2"/>
    <x v="2"/>
    <x v="5"/>
    <n v="17"/>
    <x v="0"/>
  </r>
  <r>
    <d v="2023-11-17T00:00:00"/>
    <x v="2"/>
    <x v="1"/>
    <x v="1"/>
    <n v="106330011.65000001"/>
    <x v="2"/>
    <x v="1"/>
    <x v="1"/>
    <x v="8"/>
    <x v="1"/>
    <x v="2"/>
    <x v="2"/>
    <x v="2"/>
    <x v="5"/>
    <n v="17"/>
    <x v="0"/>
  </r>
  <r>
    <d v="2023-11-17T00:00:00"/>
    <x v="1"/>
    <x v="0"/>
    <x v="1"/>
    <n v="151279410.06999999"/>
    <x v="1"/>
    <x v="0"/>
    <x v="1"/>
    <x v="9"/>
    <x v="1"/>
    <x v="2"/>
    <x v="2"/>
    <x v="2"/>
    <x v="5"/>
    <n v="17"/>
    <x v="0"/>
  </r>
  <r>
    <d v="2023-11-17T00:00:00"/>
    <x v="3"/>
    <x v="3"/>
    <x v="1"/>
    <n v="13379.37"/>
    <x v="3"/>
    <x v="3"/>
    <x v="1"/>
    <x v="3"/>
    <x v="1"/>
    <x v="2"/>
    <x v="2"/>
    <x v="2"/>
    <x v="5"/>
    <n v="17"/>
    <x v="0"/>
  </r>
  <r>
    <d v="2023-11-17T00:00:00"/>
    <x v="0"/>
    <x v="1"/>
    <x v="1"/>
    <n v="1622588.19"/>
    <x v="0"/>
    <x v="1"/>
    <x v="1"/>
    <x v="4"/>
    <x v="1"/>
    <x v="2"/>
    <x v="2"/>
    <x v="2"/>
    <x v="5"/>
    <n v="17"/>
    <x v="0"/>
  </r>
  <r>
    <d v="2023-11-17T00:00:00"/>
    <x v="3"/>
    <x v="2"/>
    <x v="2"/>
    <n v="421425.19"/>
    <x v="3"/>
    <x v="2"/>
    <x v="2"/>
    <x v="5"/>
    <x v="1"/>
    <x v="2"/>
    <x v="2"/>
    <x v="2"/>
    <x v="5"/>
    <n v="17"/>
    <x v="0"/>
  </r>
  <r>
    <d v="2023-11-17T00:00:00"/>
    <x v="1"/>
    <x v="0"/>
    <x v="0"/>
    <n v="38548457.130000003"/>
    <x v="1"/>
    <x v="0"/>
    <x v="0"/>
    <x v="10"/>
    <x v="1"/>
    <x v="2"/>
    <x v="2"/>
    <x v="2"/>
    <x v="5"/>
    <n v="17"/>
    <x v="0"/>
  </r>
  <r>
    <d v="2023-11-17T00:00:00"/>
    <x v="3"/>
    <x v="1"/>
    <x v="0"/>
    <n v="17384568.93"/>
    <x v="3"/>
    <x v="1"/>
    <x v="0"/>
    <x v="11"/>
    <x v="1"/>
    <x v="2"/>
    <x v="2"/>
    <x v="2"/>
    <x v="5"/>
    <n v="17"/>
    <x v="0"/>
  </r>
  <r>
    <d v="2023-11-17T00:00:00"/>
    <x v="3"/>
    <x v="2"/>
    <x v="0"/>
    <n v="480628210.91000003"/>
    <x v="3"/>
    <x v="2"/>
    <x v="0"/>
    <x v="12"/>
    <x v="1"/>
    <x v="2"/>
    <x v="2"/>
    <x v="2"/>
    <x v="5"/>
    <n v="17"/>
    <x v="0"/>
  </r>
  <r>
    <d v="2023-11-17T00:00:00"/>
    <x v="3"/>
    <x v="2"/>
    <x v="1"/>
    <n v="11748199340.200001"/>
    <x v="3"/>
    <x v="2"/>
    <x v="1"/>
    <x v="13"/>
    <x v="1"/>
    <x v="2"/>
    <x v="2"/>
    <x v="2"/>
    <x v="5"/>
    <n v="17"/>
    <x v="0"/>
  </r>
  <r>
    <d v="2023-11-16T00:00:00"/>
    <x v="1"/>
    <x v="1"/>
    <x v="0"/>
    <n v="95991.18"/>
    <x v="1"/>
    <x v="1"/>
    <x v="0"/>
    <x v="0"/>
    <x v="1"/>
    <x v="2"/>
    <x v="2"/>
    <x v="2"/>
    <x v="5"/>
    <n v="16"/>
    <x v="0"/>
  </r>
  <r>
    <d v="2023-11-16T00:00:00"/>
    <x v="0"/>
    <x v="1"/>
    <x v="0"/>
    <n v="18675148.780000001"/>
    <x v="0"/>
    <x v="1"/>
    <x v="0"/>
    <x v="1"/>
    <x v="1"/>
    <x v="2"/>
    <x v="2"/>
    <x v="2"/>
    <x v="5"/>
    <n v="16"/>
    <x v="0"/>
  </r>
  <r>
    <d v="2023-11-16T00:00:00"/>
    <x v="2"/>
    <x v="1"/>
    <x v="2"/>
    <n v="33873.35"/>
    <x v="2"/>
    <x v="1"/>
    <x v="2"/>
    <x v="2"/>
    <x v="1"/>
    <x v="2"/>
    <x v="2"/>
    <x v="2"/>
    <x v="5"/>
    <n v="16"/>
    <x v="0"/>
  </r>
  <r>
    <d v="2023-11-16T00:00:00"/>
    <x v="2"/>
    <x v="1"/>
    <x v="0"/>
    <n v="129608720.12"/>
    <x v="2"/>
    <x v="1"/>
    <x v="0"/>
    <x v="5"/>
    <x v="1"/>
    <x v="2"/>
    <x v="2"/>
    <x v="2"/>
    <x v="5"/>
    <n v="16"/>
    <x v="0"/>
  </r>
  <r>
    <d v="2023-11-16T00:00:00"/>
    <x v="1"/>
    <x v="0"/>
    <x v="1"/>
    <n v="156928006.06999999"/>
    <x v="1"/>
    <x v="0"/>
    <x v="1"/>
    <x v="8"/>
    <x v="1"/>
    <x v="2"/>
    <x v="2"/>
    <x v="2"/>
    <x v="5"/>
    <n v="16"/>
    <x v="0"/>
  </r>
  <r>
    <d v="2023-11-16T00:00:00"/>
    <x v="0"/>
    <x v="1"/>
    <x v="1"/>
    <n v="12436160.15"/>
    <x v="0"/>
    <x v="1"/>
    <x v="1"/>
    <x v="3"/>
    <x v="1"/>
    <x v="2"/>
    <x v="2"/>
    <x v="2"/>
    <x v="5"/>
    <n v="16"/>
    <x v="0"/>
  </r>
  <r>
    <d v="2023-11-16T00:00:00"/>
    <x v="1"/>
    <x v="0"/>
    <x v="0"/>
    <n v="55395768.079999998"/>
    <x v="1"/>
    <x v="0"/>
    <x v="0"/>
    <x v="9"/>
    <x v="1"/>
    <x v="2"/>
    <x v="2"/>
    <x v="2"/>
    <x v="5"/>
    <n v="16"/>
    <x v="0"/>
  </r>
  <r>
    <d v="2023-11-16T00:00:00"/>
    <x v="3"/>
    <x v="2"/>
    <x v="2"/>
    <n v="170000.36"/>
    <x v="3"/>
    <x v="2"/>
    <x v="2"/>
    <x v="4"/>
    <x v="1"/>
    <x v="2"/>
    <x v="2"/>
    <x v="2"/>
    <x v="5"/>
    <n v="16"/>
    <x v="0"/>
  </r>
  <r>
    <d v="2023-11-16T00:00:00"/>
    <x v="3"/>
    <x v="3"/>
    <x v="0"/>
    <n v="1840518619.9000001"/>
    <x v="3"/>
    <x v="3"/>
    <x v="0"/>
    <x v="6"/>
    <x v="1"/>
    <x v="2"/>
    <x v="2"/>
    <x v="2"/>
    <x v="5"/>
    <n v="16"/>
    <x v="0"/>
  </r>
  <r>
    <d v="2023-11-16T00:00:00"/>
    <x v="2"/>
    <x v="1"/>
    <x v="1"/>
    <n v="113815540.09999999"/>
    <x v="2"/>
    <x v="1"/>
    <x v="1"/>
    <x v="7"/>
    <x v="1"/>
    <x v="2"/>
    <x v="2"/>
    <x v="2"/>
    <x v="5"/>
    <n v="16"/>
    <x v="0"/>
  </r>
  <r>
    <d v="2023-11-16T00:00:00"/>
    <x v="3"/>
    <x v="1"/>
    <x v="0"/>
    <n v="17530512.199999999"/>
    <x v="3"/>
    <x v="1"/>
    <x v="0"/>
    <x v="10"/>
    <x v="1"/>
    <x v="2"/>
    <x v="2"/>
    <x v="2"/>
    <x v="5"/>
    <n v="16"/>
    <x v="0"/>
  </r>
  <r>
    <d v="2023-11-16T00:00:00"/>
    <x v="3"/>
    <x v="2"/>
    <x v="0"/>
    <n v="494230755.57999998"/>
    <x v="3"/>
    <x v="2"/>
    <x v="0"/>
    <x v="11"/>
    <x v="1"/>
    <x v="2"/>
    <x v="2"/>
    <x v="2"/>
    <x v="5"/>
    <n v="16"/>
    <x v="0"/>
  </r>
  <r>
    <d v="2023-11-16T00:00:00"/>
    <x v="3"/>
    <x v="2"/>
    <x v="1"/>
    <n v="17644971769.700001"/>
    <x v="3"/>
    <x v="2"/>
    <x v="1"/>
    <x v="12"/>
    <x v="1"/>
    <x v="2"/>
    <x v="2"/>
    <x v="2"/>
    <x v="5"/>
    <n v="16"/>
    <x v="0"/>
  </r>
  <r>
    <d v="2023-11-15T00:00:00"/>
    <x v="0"/>
    <x v="0"/>
    <x v="0"/>
    <n v="534.91999999999996"/>
    <x v="0"/>
    <x v="0"/>
    <x v="0"/>
    <x v="0"/>
    <x v="1"/>
    <x v="2"/>
    <x v="2"/>
    <x v="2"/>
    <x v="5"/>
    <n v="15"/>
    <x v="0"/>
  </r>
  <r>
    <d v="2023-11-15T00:00:00"/>
    <x v="1"/>
    <x v="1"/>
    <x v="0"/>
    <n v="409058.99"/>
    <x v="1"/>
    <x v="1"/>
    <x v="0"/>
    <x v="1"/>
    <x v="1"/>
    <x v="2"/>
    <x v="2"/>
    <x v="2"/>
    <x v="5"/>
    <n v="15"/>
    <x v="0"/>
  </r>
  <r>
    <d v="2023-11-15T00:00:00"/>
    <x v="0"/>
    <x v="1"/>
    <x v="0"/>
    <n v="11814961.289999999"/>
    <x v="0"/>
    <x v="1"/>
    <x v="0"/>
    <x v="2"/>
    <x v="1"/>
    <x v="2"/>
    <x v="2"/>
    <x v="2"/>
    <x v="5"/>
    <n v="15"/>
    <x v="0"/>
  </r>
  <r>
    <d v="2023-11-15T00:00:00"/>
    <x v="2"/>
    <x v="1"/>
    <x v="2"/>
    <n v="12782.35"/>
    <x v="2"/>
    <x v="1"/>
    <x v="2"/>
    <x v="3"/>
    <x v="1"/>
    <x v="2"/>
    <x v="2"/>
    <x v="2"/>
    <x v="5"/>
    <n v="15"/>
    <x v="0"/>
  </r>
  <r>
    <d v="2023-11-15T00:00:00"/>
    <x v="3"/>
    <x v="2"/>
    <x v="2"/>
    <n v="573002.48"/>
    <x v="3"/>
    <x v="2"/>
    <x v="2"/>
    <x v="4"/>
    <x v="1"/>
    <x v="2"/>
    <x v="2"/>
    <x v="2"/>
    <x v="5"/>
    <n v="15"/>
    <x v="0"/>
  </r>
  <r>
    <d v="2023-11-15T00:00:00"/>
    <x v="1"/>
    <x v="0"/>
    <x v="1"/>
    <n v="568225591.65999997"/>
    <x v="1"/>
    <x v="0"/>
    <x v="1"/>
    <x v="10"/>
    <x v="1"/>
    <x v="2"/>
    <x v="2"/>
    <x v="2"/>
    <x v="5"/>
    <n v="15"/>
    <x v="0"/>
  </r>
  <r>
    <d v="2023-11-15T00:00:00"/>
    <x v="1"/>
    <x v="0"/>
    <x v="0"/>
    <n v="84877987.629999995"/>
    <x v="1"/>
    <x v="0"/>
    <x v="0"/>
    <x v="11"/>
    <x v="1"/>
    <x v="2"/>
    <x v="2"/>
    <x v="2"/>
    <x v="5"/>
    <n v="15"/>
    <x v="0"/>
  </r>
  <r>
    <d v="2023-11-15T00:00:00"/>
    <x v="3"/>
    <x v="3"/>
    <x v="1"/>
    <n v="2267705.9500000002"/>
    <x v="3"/>
    <x v="3"/>
    <x v="1"/>
    <x v="5"/>
    <x v="1"/>
    <x v="2"/>
    <x v="2"/>
    <x v="2"/>
    <x v="5"/>
    <n v="15"/>
    <x v="0"/>
  </r>
  <r>
    <d v="2023-11-15T00:00:00"/>
    <x v="0"/>
    <x v="1"/>
    <x v="1"/>
    <n v="7532545.1399999997"/>
    <x v="0"/>
    <x v="1"/>
    <x v="1"/>
    <x v="6"/>
    <x v="1"/>
    <x v="2"/>
    <x v="2"/>
    <x v="2"/>
    <x v="5"/>
    <n v="15"/>
    <x v="0"/>
  </r>
  <r>
    <d v="2023-11-15T00:00:00"/>
    <x v="2"/>
    <x v="1"/>
    <x v="0"/>
    <n v="99038089.280000001"/>
    <x v="2"/>
    <x v="1"/>
    <x v="0"/>
    <x v="7"/>
    <x v="1"/>
    <x v="2"/>
    <x v="2"/>
    <x v="2"/>
    <x v="5"/>
    <n v="15"/>
    <x v="0"/>
  </r>
  <r>
    <d v="2023-11-15T00:00:00"/>
    <x v="3"/>
    <x v="3"/>
    <x v="0"/>
    <n v="1254063876.21"/>
    <x v="3"/>
    <x v="3"/>
    <x v="0"/>
    <x v="8"/>
    <x v="1"/>
    <x v="2"/>
    <x v="2"/>
    <x v="2"/>
    <x v="5"/>
    <n v="15"/>
    <x v="0"/>
  </r>
  <r>
    <d v="2023-11-15T00:00:00"/>
    <x v="2"/>
    <x v="1"/>
    <x v="1"/>
    <n v="315375821.44999999"/>
    <x v="2"/>
    <x v="1"/>
    <x v="1"/>
    <x v="9"/>
    <x v="1"/>
    <x v="2"/>
    <x v="2"/>
    <x v="2"/>
    <x v="5"/>
    <n v="15"/>
    <x v="0"/>
  </r>
  <r>
    <d v="2023-11-15T00:00:00"/>
    <x v="3"/>
    <x v="1"/>
    <x v="0"/>
    <n v="18364991.879999999"/>
    <x v="3"/>
    <x v="1"/>
    <x v="0"/>
    <x v="12"/>
    <x v="1"/>
    <x v="2"/>
    <x v="2"/>
    <x v="2"/>
    <x v="5"/>
    <n v="15"/>
    <x v="0"/>
  </r>
  <r>
    <d v="2023-11-15T00:00:00"/>
    <x v="3"/>
    <x v="2"/>
    <x v="1"/>
    <n v="18364364123.400002"/>
    <x v="3"/>
    <x v="2"/>
    <x v="1"/>
    <x v="13"/>
    <x v="1"/>
    <x v="2"/>
    <x v="2"/>
    <x v="2"/>
    <x v="5"/>
    <n v="15"/>
    <x v="0"/>
  </r>
  <r>
    <d v="2023-11-15T00:00:00"/>
    <x v="3"/>
    <x v="2"/>
    <x v="0"/>
    <n v="678237110.79999995"/>
    <x v="3"/>
    <x v="2"/>
    <x v="0"/>
    <x v="14"/>
    <x v="1"/>
    <x v="2"/>
    <x v="2"/>
    <x v="2"/>
    <x v="5"/>
    <n v="15"/>
    <x v="0"/>
  </r>
  <r>
    <d v="2023-11-14T00:00:00"/>
    <x v="1"/>
    <x v="1"/>
    <x v="0"/>
    <n v="69374.38"/>
    <x v="1"/>
    <x v="1"/>
    <x v="0"/>
    <x v="0"/>
    <x v="1"/>
    <x v="2"/>
    <x v="2"/>
    <x v="2"/>
    <x v="5"/>
    <n v="14"/>
    <x v="0"/>
  </r>
  <r>
    <d v="2023-11-14T00:00:00"/>
    <x v="0"/>
    <x v="1"/>
    <x v="0"/>
    <n v="10055070.99"/>
    <x v="0"/>
    <x v="1"/>
    <x v="0"/>
    <x v="1"/>
    <x v="1"/>
    <x v="2"/>
    <x v="2"/>
    <x v="2"/>
    <x v="5"/>
    <n v="14"/>
    <x v="0"/>
  </r>
  <r>
    <d v="2023-11-14T00:00:00"/>
    <x v="2"/>
    <x v="1"/>
    <x v="2"/>
    <n v="6480"/>
    <x v="2"/>
    <x v="1"/>
    <x v="2"/>
    <x v="2"/>
    <x v="1"/>
    <x v="2"/>
    <x v="2"/>
    <x v="2"/>
    <x v="5"/>
    <n v="14"/>
    <x v="0"/>
  </r>
  <r>
    <d v="2023-11-14T00:00:00"/>
    <x v="2"/>
    <x v="1"/>
    <x v="0"/>
    <n v="83248959.480000004"/>
    <x v="2"/>
    <x v="1"/>
    <x v="0"/>
    <x v="5"/>
    <x v="1"/>
    <x v="2"/>
    <x v="2"/>
    <x v="2"/>
    <x v="5"/>
    <n v="14"/>
    <x v="0"/>
  </r>
  <r>
    <d v="2023-11-14T00:00:00"/>
    <x v="3"/>
    <x v="3"/>
    <x v="0"/>
    <n v="1544699757.4400001"/>
    <x v="3"/>
    <x v="3"/>
    <x v="0"/>
    <x v="6"/>
    <x v="1"/>
    <x v="2"/>
    <x v="2"/>
    <x v="2"/>
    <x v="5"/>
    <n v="14"/>
    <x v="0"/>
  </r>
  <r>
    <d v="2023-11-14T00:00:00"/>
    <x v="3"/>
    <x v="2"/>
    <x v="2"/>
    <n v="481500.24"/>
    <x v="3"/>
    <x v="2"/>
    <x v="2"/>
    <x v="4"/>
    <x v="1"/>
    <x v="2"/>
    <x v="2"/>
    <x v="2"/>
    <x v="5"/>
    <n v="14"/>
    <x v="0"/>
  </r>
  <r>
    <d v="2023-11-14T00:00:00"/>
    <x v="2"/>
    <x v="1"/>
    <x v="1"/>
    <n v="393121525.55000001"/>
    <x v="2"/>
    <x v="1"/>
    <x v="1"/>
    <x v="7"/>
    <x v="1"/>
    <x v="2"/>
    <x v="2"/>
    <x v="2"/>
    <x v="5"/>
    <n v="14"/>
    <x v="0"/>
  </r>
  <r>
    <d v="2023-11-14T00:00:00"/>
    <x v="1"/>
    <x v="0"/>
    <x v="1"/>
    <n v="162324335.99000001"/>
    <x v="1"/>
    <x v="0"/>
    <x v="1"/>
    <x v="8"/>
    <x v="1"/>
    <x v="2"/>
    <x v="2"/>
    <x v="2"/>
    <x v="5"/>
    <n v="14"/>
    <x v="0"/>
  </r>
  <r>
    <d v="2023-11-14T00:00:00"/>
    <x v="1"/>
    <x v="0"/>
    <x v="0"/>
    <n v="66787842.549999997"/>
    <x v="1"/>
    <x v="0"/>
    <x v="0"/>
    <x v="9"/>
    <x v="1"/>
    <x v="2"/>
    <x v="2"/>
    <x v="2"/>
    <x v="5"/>
    <n v="14"/>
    <x v="0"/>
  </r>
  <r>
    <d v="2023-11-14T00:00:00"/>
    <x v="0"/>
    <x v="1"/>
    <x v="1"/>
    <n v="5310955.7699999996"/>
    <x v="0"/>
    <x v="1"/>
    <x v="1"/>
    <x v="3"/>
    <x v="1"/>
    <x v="2"/>
    <x v="2"/>
    <x v="2"/>
    <x v="5"/>
    <n v="14"/>
    <x v="0"/>
  </r>
  <r>
    <d v="2023-11-14T00:00:00"/>
    <x v="3"/>
    <x v="1"/>
    <x v="0"/>
    <n v="14141282.619999999"/>
    <x v="3"/>
    <x v="1"/>
    <x v="0"/>
    <x v="10"/>
    <x v="1"/>
    <x v="2"/>
    <x v="2"/>
    <x v="2"/>
    <x v="5"/>
    <n v="14"/>
    <x v="0"/>
  </r>
  <r>
    <d v="2023-11-14T00:00:00"/>
    <x v="3"/>
    <x v="2"/>
    <x v="1"/>
    <n v="6611976963.1400003"/>
    <x v="3"/>
    <x v="2"/>
    <x v="1"/>
    <x v="11"/>
    <x v="1"/>
    <x v="2"/>
    <x v="2"/>
    <x v="2"/>
    <x v="5"/>
    <n v="14"/>
    <x v="0"/>
  </r>
  <r>
    <d v="2023-11-14T00:00:00"/>
    <x v="3"/>
    <x v="2"/>
    <x v="0"/>
    <n v="894626274.97000003"/>
    <x v="3"/>
    <x v="2"/>
    <x v="0"/>
    <x v="12"/>
    <x v="1"/>
    <x v="2"/>
    <x v="2"/>
    <x v="2"/>
    <x v="5"/>
    <n v="14"/>
    <x v="0"/>
  </r>
  <r>
    <d v="2023-11-13T00:00:00"/>
    <x v="1"/>
    <x v="1"/>
    <x v="0"/>
    <n v="1451.53"/>
    <x v="1"/>
    <x v="1"/>
    <x v="0"/>
    <x v="0"/>
    <x v="1"/>
    <x v="2"/>
    <x v="2"/>
    <x v="2"/>
    <x v="5"/>
    <n v="13"/>
    <x v="0"/>
  </r>
  <r>
    <d v="2023-11-13T00:00:00"/>
    <x v="0"/>
    <x v="1"/>
    <x v="0"/>
    <n v="15298234.5"/>
    <x v="0"/>
    <x v="1"/>
    <x v="0"/>
    <x v="1"/>
    <x v="1"/>
    <x v="2"/>
    <x v="2"/>
    <x v="2"/>
    <x v="5"/>
    <n v="13"/>
    <x v="0"/>
  </r>
  <r>
    <d v="2023-11-13T00:00:00"/>
    <x v="3"/>
    <x v="3"/>
    <x v="2"/>
    <n v="1238.0899999999999"/>
    <x v="3"/>
    <x v="3"/>
    <x v="2"/>
    <x v="2"/>
    <x v="1"/>
    <x v="2"/>
    <x v="2"/>
    <x v="2"/>
    <x v="5"/>
    <n v="13"/>
    <x v="0"/>
  </r>
  <r>
    <d v="2023-11-13T00:00:00"/>
    <x v="3"/>
    <x v="3"/>
    <x v="0"/>
    <n v="1685163389.48"/>
    <x v="3"/>
    <x v="3"/>
    <x v="0"/>
    <x v="5"/>
    <x v="1"/>
    <x v="2"/>
    <x v="2"/>
    <x v="2"/>
    <x v="5"/>
    <n v="13"/>
    <x v="0"/>
  </r>
  <r>
    <d v="2023-11-13T00:00:00"/>
    <x v="2"/>
    <x v="1"/>
    <x v="0"/>
    <n v="10704471.02"/>
    <x v="2"/>
    <x v="1"/>
    <x v="0"/>
    <x v="6"/>
    <x v="1"/>
    <x v="2"/>
    <x v="2"/>
    <x v="2"/>
    <x v="5"/>
    <n v="13"/>
    <x v="0"/>
  </r>
  <r>
    <d v="2023-11-13T00:00:00"/>
    <x v="3"/>
    <x v="2"/>
    <x v="2"/>
    <n v="289974"/>
    <x v="3"/>
    <x v="2"/>
    <x v="2"/>
    <x v="4"/>
    <x v="1"/>
    <x v="2"/>
    <x v="2"/>
    <x v="2"/>
    <x v="5"/>
    <n v="13"/>
    <x v="0"/>
  </r>
  <r>
    <d v="2023-11-13T00:00:00"/>
    <x v="1"/>
    <x v="0"/>
    <x v="0"/>
    <n v="43503054.159999996"/>
    <x v="1"/>
    <x v="0"/>
    <x v="0"/>
    <x v="8"/>
    <x v="1"/>
    <x v="2"/>
    <x v="2"/>
    <x v="2"/>
    <x v="5"/>
    <n v="13"/>
    <x v="0"/>
  </r>
  <r>
    <d v="2023-11-13T00:00:00"/>
    <x v="1"/>
    <x v="0"/>
    <x v="1"/>
    <n v="102358674.26000001"/>
    <x v="1"/>
    <x v="0"/>
    <x v="1"/>
    <x v="9"/>
    <x v="1"/>
    <x v="2"/>
    <x v="2"/>
    <x v="2"/>
    <x v="5"/>
    <n v="13"/>
    <x v="0"/>
  </r>
  <r>
    <d v="2023-11-13T00:00:00"/>
    <x v="0"/>
    <x v="1"/>
    <x v="1"/>
    <n v="1526129.75"/>
    <x v="0"/>
    <x v="1"/>
    <x v="1"/>
    <x v="3"/>
    <x v="1"/>
    <x v="2"/>
    <x v="2"/>
    <x v="2"/>
    <x v="5"/>
    <n v="13"/>
    <x v="0"/>
  </r>
  <r>
    <d v="2023-11-13T00:00:00"/>
    <x v="2"/>
    <x v="1"/>
    <x v="1"/>
    <n v="-3383834.16"/>
    <x v="2"/>
    <x v="1"/>
    <x v="1"/>
    <x v="7"/>
    <x v="1"/>
    <x v="2"/>
    <x v="2"/>
    <x v="2"/>
    <x v="5"/>
    <n v="13"/>
    <x v="1"/>
  </r>
  <r>
    <d v="2023-11-13T00:00:00"/>
    <x v="3"/>
    <x v="2"/>
    <x v="1"/>
    <n v="26993266552.200001"/>
    <x v="3"/>
    <x v="2"/>
    <x v="1"/>
    <x v="10"/>
    <x v="1"/>
    <x v="2"/>
    <x v="2"/>
    <x v="2"/>
    <x v="5"/>
    <n v="13"/>
    <x v="0"/>
  </r>
  <r>
    <d v="2023-11-13T00:00:00"/>
    <x v="3"/>
    <x v="1"/>
    <x v="0"/>
    <n v="41161429.700000003"/>
    <x v="3"/>
    <x v="1"/>
    <x v="0"/>
    <x v="11"/>
    <x v="1"/>
    <x v="2"/>
    <x v="2"/>
    <x v="2"/>
    <x v="5"/>
    <n v="13"/>
    <x v="0"/>
  </r>
  <r>
    <d v="2023-11-13T00:00:00"/>
    <x v="3"/>
    <x v="2"/>
    <x v="0"/>
    <n v="596714824.13999999"/>
    <x v="3"/>
    <x v="2"/>
    <x v="0"/>
    <x v="12"/>
    <x v="1"/>
    <x v="2"/>
    <x v="2"/>
    <x v="2"/>
    <x v="5"/>
    <n v="13"/>
    <x v="0"/>
  </r>
  <r>
    <d v="2023-11-10T00:00:00"/>
    <x v="0"/>
    <x v="0"/>
    <x v="0"/>
    <n v="530.84"/>
    <x v="0"/>
    <x v="0"/>
    <x v="0"/>
    <x v="0"/>
    <x v="1"/>
    <x v="2"/>
    <x v="2"/>
    <x v="2"/>
    <x v="5"/>
    <n v="10"/>
    <x v="0"/>
  </r>
  <r>
    <d v="2023-11-10T00:00:00"/>
    <x v="0"/>
    <x v="1"/>
    <x v="0"/>
    <n v="5984390.7300000004"/>
    <x v="0"/>
    <x v="1"/>
    <x v="0"/>
    <x v="1"/>
    <x v="1"/>
    <x v="2"/>
    <x v="2"/>
    <x v="2"/>
    <x v="5"/>
    <n v="10"/>
    <x v="0"/>
  </r>
  <r>
    <d v="2023-11-10T00:00:00"/>
    <x v="2"/>
    <x v="1"/>
    <x v="2"/>
    <n v="80902.3"/>
    <x v="2"/>
    <x v="1"/>
    <x v="2"/>
    <x v="2"/>
    <x v="1"/>
    <x v="2"/>
    <x v="2"/>
    <x v="2"/>
    <x v="5"/>
    <n v="10"/>
    <x v="0"/>
  </r>
  <r>
    <d v="2023-11-10T00:00:00"/>
    <x v="2"/>
    <x v="1"/>
    <x v="0"/>
    <n v="92752015.450000003"/>
    <x v="2"/>
    <x v="1"/>
    <x v="0"/>
    <x v="7"/>
    <x v="1"/>
    <x v="2"/>
    <x v="2"/>
    <x v="2"/>
    <x v="5"/>
    <n v="10"/>
    <x v="0"/>
  </r>
  <r>
    <d v="2023-11-10T00:00:00"/>
    <x v="1"/>
    <x v="1"/>
    <x v="0"/>
    <n v="76584.03"/>
    <x v="1"/>
    <x v="1"/>
    <x v="0"/>
    <x v="5"/>
    <x v="1"/>
    <x v="2"/>
    <x v="2"/>
    <x v="2"/>
    <x v="5"/>
    <n v="10"/>
    <x v="0"/>
  </r>
  <r>
    <d v="2023-11-10T00:00:00"/>
    <x v="3"/>
    <x v="3"/>
    <x v="1"/>
    <n v="64412103.509999998"/>
    <x v="3"/>
    <x v="3"/>
    <x v="1"/>
    <x v="3"/>
    <x v="1"/>
    <x v="2"/>
    <x v="2"/>
    <x v="2"/>
    <x v="5"/>
    <n v="10"/>
    <x v="0"/>
  </r>
  <r>
    <d v="2023-11-10T00:00:00"/>
    <x v="0"/>
    <x v="1"/>
    <x v="1"/>
    <n v="18162482.870000001"/>
    <x v="0"/>
    <x v="1"/>
    <x v="1"/>
    <x v="4"/>
    <x v="1"/>
    <x v="2"/>
    <x v="2"/>
    <x v="2"/>
    <x v="5"/>
    <n v="10"/>
    <x v="0"/>
  </r>
  <r>
    <d v="2023-11-10T00:00:00"/>
    <x v="3"/>
    <x v="2"/>
    <x v="2"/>
    <n v="628883"/>
    <x v="3"/>
    <x v="2"/>
    <x v="2"/>
    <x v="6"/>
    <x v="1"/>
    <x v="2"/>
    <x v="2"/>
    <x v="2"/>
    <x v="5"/>
    <n v="10"/>
    <x v="0"/>
  </r>
  <r>
    <d v="2023-11-10T00:00:00"/>
    <x v="3"/>
    <x v="3"/>
    <x v="0"/>
    <n v="570708506.84000003"/>
    <x v="3"/>
    <x v="3"/>
    <x v="0"/>
    <x v="8"/>
    <x v="1"/>
    <x v="2"/>
    <x v="2"/>
    <x v="2"/>
    <x v="5"/>
    <n v="10"/>
    <x v="0"/>
  </r>
  <r>
    <d v="2023-11-10T00:00:00"/>
    <x v="2"/>
    <x v="1"/>
    <x v="1"/>
    <n v="80537945.049999997"/>
    <x v="2"/>
    <x v="1"/>
    <x v="1"/>
    <x v="9"/>
    <x v="1"/>
    <x v="2"/>
    <x v="2"/>
    <x v="2"/>
    <x v="5"/>
    <n v="10"/>
    <x v="0"/>
  </r>
  <r>
    <d v="2023-11-10T00:00:00"/>
    <x v="1"/>
    <x v="0"/>
    <x v="0"/>
    <n v="52210308.07"/>
    <x v="1"/>
    <x v="0"/>
    <x v="0"/>
    <x v="10"/>
    <x v="1"/>
    <x v="2"/>
    <x v="2"/>
    <x v="2"/>
    <x v="5"/>
    <n v="10"/>
    <x v="0"/>
  </r>
  <r>
    <d v="2023-11-10T00:00:00"/>
    <x v="1"/>
    <x v="0"/>
    <x v="1"/>
    <n v="133937120.18000001"/>
    <x v="1"/>
    <x v="0"/>
    <x v="1"/>
    <x v="11"/>
    <x v="1"/>
    <x v="2"/>
    <x v="2"/>
    <x v="2"/>
    <x v="5"/>
    <n v="10"/>
    <x v="0"/>
  </r>
  <r>
    <d v="2023-11-10T00:00:00"/>
    <x v="3"/>
    <x v="1"/>
    <x v="0"/>
    <n v="16202756.27"/>
    <x v="3"/>
    <x v="1"/>
    <x v="0"/>
    <x v="12"/>
    <x v="1"/>
    <x v="2"/>
    <x v="2"/>
    <x v="2"/>
    <x v="5"/>
    <n v="10"/>
    <x v="0"/>
  </r>
  <r>
    <d v="2023-11-10T00:00:00"/>
    <x v="3"/>
    <x v="2"/>
    <x v="1"/>
    <n v="7439052562.5799999"/>
    <x v="3"/>
    <x v="2"/>
    <x v="1"/>
    <x v="13"/>
    <x v="1"/>
    <x v="2"/>
    <x v="2"/>
    <x v="2"/>
    <x v="5"/>
    <n v="10"/>
    <x v="0"/>
  </r>
  <r>
    <d v="2023-11-10T00:00:00"/>
    <x v="3"/>
    <x v="2"/>
    <x v="0"/>
    <n v="515887141.75"/>
    <x v="3"/>
    <x v="2"/>
    <x v="0"/>
    <x v="14"/>
    <x v="1"/>
    <x v="2"/>
    <x v="2"/>
    <x v="2"/>
    <x v="5"/>
    <n v="10"/>
    <x v="0"/>
  </r>
  <r>
    <d v="2023-11-09T00:00:00"/>
    <x v="0"/>
    <x v="1"/>
    <x v="0"/>
    <n v="6132267.5199999996"/>
    <x v="0"/>
    <x v="1"/>
    <x v="0"/>
    <x v="0"/>
    <x v="1"/>
    <x v="2"/>
    <x v="2"/>
    <x v="2"/>
    <x v="5"/>
    <n v="9"/>
    <x v="0"/>
  </r>
  <r>
    <d v="2023-11-09T00:00:00"/>
    <x v="3"/>
    <x v="2"/>
    <x v="2"/>
    <n v="395808.54"/>
    <x v="3"/>
    <x v="2"/>
    <x v="2"/>
    <x v="5"/>
    <x v="1"/>
    <x v="2"/>
    <x v="2"/>
    <x v="2"/>
    <x v="5"/>
    <n v="9"/>
    <x v="0"/>
  </r>
  <r>
    <d v="2023-11-09T00:00:00"/>
    <x v="2"/>
    <x v="1"/>
    <x v="2"/>
    <n v="4364.74"/>
    <x v="2"/>
    <x v="1"/>
    <x v="2"/>
    <x v="1"/>
    <x v="1"/>
    <x v="2"/>
    <x v="2"/>
    <x v="2"/>
    <x v="5"/>
    <n v="9"/>
    <x v="0"/>
  </r>
  <r>
    <d v="2023-11-09T00:00:00"/>
    <x v="2"/>
    <x v="1"/>
    <x v="0"/>
    <n v="80331604.540000007"/>
    <x v="2"/>
    <x v="1"/>
    <x v="0"/>
    <x v="6"/>
    <x v="1"/>
    <x v="2"/>
    <x v="2"/>
    <x v="2"/>
    <x v="5"/>
    <n v="9"/>
    <x v="0"/>
  </r>
  <r>
    <d v="2023-11-09T00:00:00"/>
    <x v="1"/>
    <x v="1"/>
    <x v="0"/>
    <n v="285975.28999999998"/>
    <x v="1"/>
    <x v="1"/>
    <x v="0"/>
    <x v="4"/>
    <x v="1"/>
    <x v="2"/>
    <x v="2"/>
    <x v="2"/>
    <x v="5"/>
    <n v="9"/>
    <x v="0"/>
  </r>
  <r>
    <d v="2023-11-09T00:00:00"/>
    <x v="2"/>
    <x v="1"/>
    <x v="1"/>
    <n v="132832823.33"/>
    <x v="2"/>
    <x v="1"/>
    <x v="1"/>
    <x v="7"/>
    <x v="1"/>
    <x v="2"/>
    <x v="2"/>
    <x v="2"/>
    <x v="5"/>
    <n v="9"/>
    <x v="0"/>
  </r>
  <r>
    <d v="2023-11-09T00:00:00"/>
    <x v="3"/>
    <x v="3"/>
    <x v="0"/>
    <n v="1471958418.8599999"/>
    <x v="3"/>
    <x v="3"/>
    <x v="0"/>
    <x v="8"/>
    <x v="1"/>
    <x v="2"/>
    <x v="2"/>
    <x v="2"/>
    <x v="5"/>
    <n v="9"/>
    <x v="0"/>
  </r>
  <r>
    <d v="2023-11-09T00:00:00"/>
    <x v="1"/>
    <x v="0"/>
    <x v="0"/>
    <n v="48548674.68"/>
    <x v="1"/>
    <x v="0"/>
    <x v="0"/>
    <x v="9"/>
    <x v="1"/>
    <x v="2"/>
    <x v="2"/>
    <x v="2"/>
    <x v="5"/>
    <n v="9"/>
    <x v="0"/>
  </r>
  <r>
    <d v="2023-11-09T00:00:00"/>
    <x v="3"/>
    <x v="3"/>
    <x v="1"/>
    <n v="1663500.01"/>
    <x v="3"/>
    <x v="3"/>
    <x v="1"/>
    <x v="2"/>
    <x v="1"/>
    <x v="2"/>
    <x v="2"/>
    <x v="2"/>
    <x v="5"/>
    <n v="9"/>
    <x v="0"/>
  </r>
  <r>
    <d v="2023-11-09T00:00:00"/>
    <x v="0"/>
    <x v="1"/>
    <x v="1"/>
    <n v="1105952.17"/>
    <x v="0"/>
    <x v="1"/>
    <x v="1"/>
    <x v="3"/>
    <x v="1"/>
    <x v="2"/>
    <x v="2"/>
    <x v="2"/>
    <x v="5"/>
    <n v="9"/>
    <x v="0"/>
  </r>
  <r>
    <d v="2023-11-09T00:00:00"/>
    <x v="1"/>
    <x v="0"/>
    <x v="1"/>
    <n v="240022208.56999999"/>
    <x v="1"/>
    <x v="0"/>
    <x v="1"/>
    <x v="10"/>
    <x v="1"/>
    <x v="2"/>
    <x v="2"/>
    <x v="2"/>
    <x v="5"/>
    <n v="9"/>
    <x v="0"/>
  </r>
  <r>
    <d v="2023-11-09T00:00:00"/>
    <x v="3"/>
    <x v="1"/>
    <x v="0"/>
    <n v="15085574.23"/>
    <x v="3"/>
    <x v="1"/>
    <x v="0"/>
    <x v="11"/>
    <x v="1"/>
    <x v="2"/>
    <x v="2"/>
    <x v="2"/>
    <x v="5"/>
    <n v="9"/>
    <x v="0"/>
  </r>
  <r>
    <d v="2023-11-09T00:00:00"/>
    <x v="3"/>
    <x v="2"/>
    <x v="1"/>
    <n v="5360177101.8500004"/>
    <x v="3"/>
    <x v="2"/>
    <x v="1"/>
    <x v="12"/>
    <x v="1"/>
    <x v="2"/>
    <x v="2"/>
    <x v="2"/>
    <x v="5"/>
    <n v="9"/>
    <x v="0"/>
  </r>
  <r>
    <d v="2023-11-09T00:00:00"/>
    <x v="3"/>
    <x v="2"/>
    <x v="0"/>
    <n v="524939901.63"/>
    <x v="3"/>
    <x v="2"/>
    <x v="0"/>
    <x v="13"/>
    <x v="1"/>
    <x v="2"/>
    <x v="2"/>
    <x v="2"/>
    <x v="5"/>
    <n v="9"/>
    <x v="0"/>
  </r>
  <r>
    <d v="2023-11-08T00:00:00"/>
    <x v="0"/>
    <x v="0"/>
    <x v="0"/>
    <n v="753.6"/>
    <x v="0"/>
    <x v="0"/>
    <x v="0"/>
    <x v="0"/>
    <x v="1"/>
    <x v="2"/>
    <x v="2"/>
    <x v="2"/>
    <x v="5"/>
    <n v="8"/>
    <x v="0"/>
  </r>
  <r>
    <d v="2023-11-08T00:00:00"/>
    <x v="0"/>
    <x v="1"/>
    <x v="0"/>
    <n v="15270949.93"/>
    <x v="0"/>
    <x v="1"/>
    <x v="0"/>
    <x v="1"/>
    <x v="1"/>
    <x v="2"/>
    <x v="2"/>
    <x v="2"/>
    <x v="5"/>
    <n v="8"/>
    <x v="0"/>
  </r>
  <r>
    <d v="2023-11-08T00:00:00"/>
    <x v="3"/>
    <x v="3"/>
    <x v="0"/>
    <n v="1467316376.8399999"/>
    <x v="3"/>
    <x v="3"/>
    <x v="0"/>
    <x v="7"/>
    <x v="1"/>
    <x v="2"/>
    <x v="2"/>
    <x v="2"/>
    <x v="5"/>
    <n v="8"/>
    <x v="0"/>
  </r>
  <r>
    <d v="2023-11-08T00:00:00"/>
    <x v="2"/>
    <x v="1"/>
    <x v="2"/>
    <n v="13535.25"/>
    <x v="2"/>
    <x v="1"/>
    <x v="2"/>
    <x v="2"/>
    <x v="1"/>
    <x v="2"/>
    <x v="2"/>
    <x v="2"/>
    <x v="5"/>
    <n v="8"/>
    <x v="0"/>
  </r>
  <r>
    <d v="2023-11-08T00:00:00"/>
    <x v="3"/>
    <x v="2"/>
    <x v="2"/>
    <n v="304721.14"/>
    <x v="3"/>
    <x v="2"/>
    <x v="2"/>
    <x v="3"/>
    <x v="1"/>
    <x v="2"/>
    <x v="2"/>
    <x v="2"/>
    <x v="5"/>
    <n v="8"/>
    <x v="0"/>
  </r>
  <r>
    <d v="2023-11-08T00:00:00"/>
    <x v="2"/>
    <x v="1"/>
    <x v="0"/>
    <n v="70095787.469999999"/>
    <x v="2"/>
    <x v="1"/>
    <x v="0"/>
    <x v="8"/>
    <x v="1"/>
    <x v="2"/>
    <x v="2"/>
    <x v="2"/>
    <x v="5"/>
    <n v="8"/>
    <x v="0"/>
  </r>
  <r>
    <d v="2023-11-08T00:00:00"/>
    <x v="1"/>
    <x v="1"/>
    <x v="0"/>
    <n v="77628.22"/>
    <x v="1"/>
    <x v="1"/>
    <x v="0"/>
    <x v="6"/>
    <x v="1"/>
    <x v="2"/>
    <x v="2"/>
    <x v="2"/>
    <x v="5"/>
    <n v="8"/>
    <x v="0"/>
  </r>
  <r>
    <d v="2023-11-08T00:00:00"/>
    <x v="3"/>
    <x v="3"/>
    <x v="1"/>
    <n v="1865319.9"/>
    <x v="3"/>
    <x v="3"/>
    <x v="1"/>
    <x v="4"/>
    <x v="1"/>
    <x v="2"/>
    <x v="2"/>
    <x v="2"/>
    <x v="5"/>
    <n v="8"/>
    <x v="0"/>
  </r>
  <r>
    <d v="2023-11-08T00:00:00"/>
    <x v="0"/>
    <x v="1"/>
    <x v="1"/>
    <n v="10350862.470000001"/>
    <x v="0"/>
    <x v="1"/>
    <x v="1"/>
    <x v="5"/>
    <x v="1"/>
    <x v="2"/>
    <x v="2"/>
    <x v="2"/>
    <x v="5"/>
    <n v="8"/>
    <x v="0"/>
  </r>
  <r>
    <d v="2023-11-08T00:00:00"/>
    <x v="1"/>
    <x v="0"/>
    <x v="1"/>
    <n v="664466627.80999994"/>
    <x v="1"/>
    <x v="0"/>
    <x v="1"/>
    <x v="11"/>
    <x v="1"/>
    <x v="2"/>
    <x v="2"/>
    <x v="2"/>
    <x v="5"/>
    <n v="8"/>
    <x v="0"/>
  </r>
  <r>
    <d v="2023-11-08T00:00:00"/>
    <x v="2"/>
    <x v="1"/>
    <x v="1"/>
    <n v="98655908.519999996"/>
    <x v="2"/>
    <x v="1"/>
    <x v="1"/>
    <x v="9"/>
    <x v="1"/>
    <x v="2"/>
    <x v="2"/>
    <x v="2"/>
    <x v="5"/>
    <n v="8"/>
    <x v="0"/>
  </r>
  <r>
    <d v="2023-11-08T00:00:00"/>
    <x v="1"/>
    <x v="0"/>
    <x v="0"/>
    <n v="96060714.989999995"/>
    <x v="1"/>
    <x v="0"/>
    <x v="0"/>
    <x v="10"/>
    <x v="1"/>
    <x v="2"/>
    <x v="2"/>
    <x v="2"/>
    <x v="5"/>
    <n v="8"/>
    <x v="0"/>
  </r>
  <r>
    <d v="2023-11-08T00:00:00"/>
    <x v="3"/>
    <x v="1"/>
    <x v="0"/>
    <n v="15381100.119999999"/>
    <x v="3"/>
    <x v="1"/>
    <x v="0"/>
    <x v="12"/>
    <x v="1"/>
    <x v="2"/>
    <x v="2"/>
    <x v="2"/>
    <x v="5"/>
    <n v="8"/>
    <x v="0"/>
  </r>
  <r>
    <d v="2023-11-08T00:00:00"/>
    <x v="3"/>
    <x v="2"/>
    <x v="1"/>
    <n v="11930135304.23"/>
    <x v="3"/>
    <x v="2"/>
    <x v="1"/>
    <x v="13"/>
    <x v="1"/>
    <x v="2"/>
    <x v="2"/>
    <x v="2"/>
    <x v="5"/>
    <n v="8"/>
    <x v="0"/>
  </r>
  <r>
    <d v="2023-11-08T00:00:00"/>
    <x v="3"/>
    <x v="2"/>
    <x v="0"/>
    <n v="717280308.15999997"/>
    <x v="3"/>
    <x v="2"/>
    <x v="0"/>
    <x v="14"/>
    <x v="1"/>
    <x v="2"/>
    <x v="2"/>
    <x v="2"/>
    <x v="5"/>
    <n v="8"/>
    <x v="0"/>
  </r>
  <r>
    <d v="2023-11-07T00:00:00"/>
    <x v="0"/>
    <x v="0"/>
    <x v="0"/>
    <n v="689.8"/>
    <x v="0"/>
    <x v="0"/>
    <x v="0"/>
    <x v="0"/>
    <x v="1"/>
    <x v="2"/>
    <x v="2"/>
    <x v="2"/>
    <x v="5"/>
    <n v="7"/>
    <x v="0"/>
  </r>
  <r>
    <d v="2023-11-07T00:00:00"/>
    <x v="0"/>
    <x v="1"/>
    <x v="0"/>
    <n v="14883075.939999999"/>
    <x v="0"/>
    <x v="1"/>
    <x v="0"/>
    <x v="1"/>
    <x v="1"/>
    <x v="2"/>
    <x v="2"/>
    <x v="2"/>
    <x v="5"/>
    <n v="7"/>
    <x v="0"/>
  </r>
  <r>
    <d v="2023-11-07T00:00:00"/>
    <x v="2"/>
    <x v="1"/>
    <x v="2"/>
    <n v="1545403.3"/>
    <x v="2"/>
    <x v="1"/>
    <x v="2"/>
    <x v="2"/>
    <x v="1"/>
    <x v="2"/>
    <x v="2"/>
    <x v="2"/>
    <x v="5"/>
    <n v="7"/>
    <x v="0"/>
  </r>
  <r>
    <d v="2023-11-07T00:00:00"/>
    <x v="3"/>
    <x v="2"/>
    <x v="2"/>
    <n v="325670.12"/>
    <x v="3"/>
    <x v="2"/>
    <x v="2"/>
    <x v="3"/>
    <x v="1"/>
    <x v="2"/>
    <x v="2"/>
    <x v="2"/>
    <x v="5"/>
    <n v="7"/>
    <x v="0"/>
  </r>
  <r>
    <d v="2023-11-07T00:00:00"/>
    <x v="2"/>
    <x v="1"/>
    <x v="0"/>
    <n v="68984537.760000005"/>
    <x v="2"/>
    <x v="1"/>
    <x v="0"/>
    <x v="7"/>
    <x v="1"/>
    <x v="2"/>
    <x v="2"/>
    <x v="2"/>
    <x v="5"/>
    <n v="7"/>
    <x v="0"/>
  </r>
  <r>
    <d v="2023-11-07T00:00:00"/>
    <x v="2"/>
    <x v="1"/>
    <x v="1"/>
    <n v="180449495.43000001"/>
    <x v="2"/>
    <x v="1"/>
    <x v="1"/>
    <x v="8"/>
    <x v="1"/>
    <x v="2"/>
    <x v="2"/>
    <x v="2"/>
    <x v="5"/>
    <n v="7"/>
    <x v="0"/>
  </r>
  <r>
    <d v="2023-11-07T00:00:00"/>
    <x v="1"/>
    <x v="1"/>
    <x v="0"/>
    <n v="1720711.22"/>
    <x v="1"/>
    <x v="1"/>
    <x v="0"/>
    <x v="6"/>
    <x v="1"/>
    <x v="2"/>
    <x v="2"/>
    <x v="2"/>
    <x v="5"/>
    <n v="7"/>
    <x v="0"/>
  </r>
  <r>
    <d v="2023-11-07T00:00:00"/>
    <x v="1"/>
    <x v="0"/>
    <x v="1"/>
    <n v="225527639.49000001"/>
    <x v="1"/>
    <x v="0"/>
    <x v="1"/>
    <x v="10"/>
    <x v="1"/>
    <x v="2"/>
    <x v="2"/>
    <x v="2"/>
    <x v="5"/>
    <n v="7"/>
    <x v="0"/>
  </r>
  <r>
    <d v="2023-11-07T00:00:00"/>
    <x v="3"/>
    <x v="3"/>
    <x v="1"/>
    <n v="16568219.869999999"/>
    <x v="3"/>
    <x v="3"/>
    <x v="1"/>
    <x v="4"/>
    <x v="1"/>
    <x v="2"/>
    <x v="2"/>
    <x v="2"/>
    <x v="5"/>
    <n v="7"/>
    <x v="0"/>
  </r>
  <r>
    <d v="2023-11-07T00:00:00"/>
    <x v="0"/>
    <x v="1"/>
    <x v="1"/>
    <n v="7443084.1900000004"/>
    <x v="0"/>
    <x v="1"/>
    <x v="1"/>
    <x v="5"/>
    <x v="1"/>
    <x v="2"/>
    <x v="2"/>
    <x v="2"/>
    <x v="5"/>
    <n v="7"/>
    <x v="0"/>
  </r>
  <r>
    <d v="2023-11-07T00:00:00"/>
    <x v="3"/>
    <x v="3"/>
    <x v="0"/>
    <n v="1239797128.98"/>
    <x v="3"/>
    <x v="3"/>
    <x v="0"/>
    <x v="9"/>
    <x v="1"/>
    <x v="2"/>
    <x v="2"/>
    <x v="2"/>
    <x v="5"/>
    <n v="7"/>
    <x v="0"/>
  </r>
  <r>
    <d v="2023-11-07T00:00:00"/>
    <x v="1"/>
    <x v="0"/>
    <x v="0"/>
    <n v="67792628.349999994"/>
    <x v="1"/>
    <x v="0"/>
    <x v="0"/>
    <x v="11"/>
    <x v="1"/>
    <x v="2"/>
    <x v="2"/>
    <x v="2"/>
    <x v="5"/>
    <n v="7"/>
    <x v="0"/>
  </r>
  <r>
    <d v="2023-11-07T00:00:00"/>
    <x v="3"/>
    <x v="1"/>
    <x v="0"/>
    <n v="12147633.27"/>
    <x v="3"/>
    <x v="1"/>
    <x v="0"/>
    <x v="12"/>
    <x v="1"/>
    <x v="2"/>
    <x v="2"/>
    <x v="2"/>
    <x v="5"/>
    <n v="7"/>
    <x v="0"/>
  </r>
  <r>
    <d v="2023-11-07T00:00:00"/>
    <x v="3"/>
    <x v="2"/>
    <x v="1"/>
    <n v="3037303403.9499998"/>
    <x v="3"/>
    <x v="2"/>
    <x v="1"/>
    <x v="13"/>
    <x v="1"/>
    <x v="2"/>
    <x v="2"/>
    <x v="2"/>
    <x v="5"/>
    <n v="7"/>
    <x v="0"/>
  </r>
  <r>
    <d v="2023-11-07T00:00:00"/>
    <x v="3"/>
    <x v="2"/>
    <x v="0"/>
    <n v="1206395680.3599999"/>
    <x v="3"/>
    <x v="2"/>
    <x v="0"/>
    <x v="14"/>
    <x v="1"/>
    <x v="2"/>
    <x v="2"/>
    <x v="2"/>
    <x v="5"/>
    <n v="7"/>
    <x v="0"/>
  </r>
  <r>
    <d v="2023-11-06T00:00:00"/>
    <x v="0"/>
    <x v="0"/>
    <x v="0"/>
    <n v="882.58"/>
    <x v="0"/>
    <x v="0"/>
    <x v="0"/>
    <x v="0"/>
    <x v="1"/>
    <x v="2"/>
    <x v="2"/>
    <x v="2"/>
    <x v="5"/>
    <n v="6"/>
    <x v="0"/>
  </r>
  <r>
    <d v="2023-11-06T00:00:00"/>
    <x v="1"/>
    <x v="1"/>
    <x v="0"/>
    <n v="64589.97"/>
    <x v="1"/>
    <x v="1"/>
    <x v="0"/>
    <x v="1"/>
    <x v="1"/>
    <x v="2"/>
    <x v="2"/>
    <x v="2"/>
    <x v="5"/>
    <n v="6"/>
    <x v="0"/>
  </r>
  <r>
    <d v="2023-11-06T00:00:00"/>
    <x v="2"/>
    <x v="1"/>
    <x v="2"/>
    <n v="9956.18"/>
    <x v="2"/>
    <x v="1"/>
    <x v="2"/>
    <x v="5"/>
    <x v="1"/>
    <x v="2"/>
    <x v="2"/>
    <x v="2"/>
    <x v="5"/>
    <n v="6"/>
    <x v="0"/>
  </r>
  <r>
    <d v="2023-11-06T00:00:00"/>
    <x v="0"/>
    <x v="1"/>
    <x v="0"/>
    <n v="12974444.59"/>
    <x v="0"/>
    <x v="1"/>
    <x v="0"/>
    <x v="2"/>
    <x v="1"/>
    <x v="2"/>
    <x v="2"/>
    <x v="2"/>
    <x v="5"/>
    <n v="6"/>
    <x v="0"/>
  </r>
  <r>
    <d v="2023-11-06T00:00:00"/>
    <x v="2"/>
    <x v="1"/>
    <x v="0"/>
    <n v="61135797.75"/>
    <x v="2"/>
    <x v="1"/>
    <x v="0"/>
    <x v="6"/>
    <x v="1"/>
    <x v="2"/>
    <x v="2"/>
    <x v="2"/>
    <x v="5"/>
    <n v="6"/>
    <x v="0"/>
  </r>
  <r>
    <d v="2023-11-06T00:00:00"/>
    <x v="3"/>
    <x v="2"/>
    <x v="2"/>
    <n v="327103.53000000003"/>
    <x v="3"/>
    <x v="2"/>
    <x v="2"/>
    <x v="4"/>
    <x v="1"/>
    <x v="2"/>
    <x v="2"/>
    <x v="2"/>
    <x v="5"/>
    <n v="6"/>
    <x v="0"/>
  </r>
  <r>
    <d v="2023-11-06T00:00:00"/>
    <x v="2"/>
    <x v="1"/>
    <x v="1"/>
    <n v="74863536.890000001"/>
    <x v="2"/>
    <x v="1"/>
    <x v="1"/>
    <x v="7"/>
    <x v="1"/>
    <x v="2"/>
    <x v="2"/>
    <x v="2"/>
    <x v="5"/>
    <n v="6"/>
    <x v="0"/>
  </r>
  <r>
    <d v="2023-11-06T00:00:00"/>
    <x v="0"/>
    <x v="1"/>
    <x v="1"/>
    <n v="-329014.34000000003"/>
    <x v="0"/>
    <x v="1"/>
    <x v="1"/>
    <x v="3"/>
    <x v="1"/>
    <x v="2"/>
    <x v="2"/>
    <x v="2"/>
    <x v="5"/>
    <n v="6"/>
    <x v="1"/>
  </r>
  <r>
    <d v="2023-11-06T00:00:00"/>
    <x v="3"/>
    <x v="3"/>
    <x v="0"/>
    <n v="1524170503.05"/>
    <x v="3"/>
    <x v="3"/>
    <x v="0"/>
    <x v="8"/>
    <x v="1"/>
    <x v="2"/>
    <x v="2"/>
    <x v="2"/>
    <x v="5"/>
    <n v="6"/>
    <x v="0"/>
  </r>
  <r>
    <d v="2023-11-06T00:00:00"/>
    <x v="1"/>
    <x v="0"/>
    <x v="1"/>
    <n v="191350306.97"/>
    <x v="1"/>
    <x v="0"/>
    <x v="1"/>
    <x v="9"/>
    <x v="1"/>
    <x v="2"/>
    <x v="2"/>
    <x v="2"/>
    <x v="5"/>
    <n v="6"/>
    <x v="0"/>
  </r>
  <r>
    <d v="2023-11-06T00:00:00"/>
    <x v="1"/>
    <x v="0"/>
    <x v="0"/>
    <n v="54848467.32"/>
    <x v="1"/>
    <x v="0"/>
    <x v="0"/>
    <x v="10"/>
    <x v="1"/>
    <x v="2"/>
    <x v="2"/>
    <x v="2"/>
    <x v="5"/>
    <n v="6"/>
    <x v="0"/>
  </r>
  <r>
    <d v="2023-11-06T00:00:00"/>
    <x v="3"/>
    <x v="2"/>
    <x v="1"/>
    <n v="19553200637.73"/>
    <x v="3"/>
    <x v="2"/>
    <x v="1"/>
    <x v="11"/>
    <x v="1"/>
    <x v="2"/>
    <x v="2"/>
    <x v="2"/>
    <x v="5"/>
    <n v="6"/>
    <x v="0"/>
  </r>
  <r>
    <d v="2023-11-06T00:00:00"/>
    <x v="3"/>
    <x v="1"/>
    <x v="0"/>
    <n v="49567032.210000001"/>
    <x v="3"/>
    <x v="1"/>
    <x v="0"/>
    <x v="12"/>
    <x v="1"/>
    <x v="2"/>
    <x v="2"/>
    <x v="2"/>
    <x v="5"/>
    <n v="6"/>
    <x v="0"/>
  </r>
  <r>
    <d v="2023-11-06T00:00:00"/>
    <x v="3"/>
    <x v="2"/>
    <x v="0"/>
    <n v="714297829.25"/>
    <x v="3"/>
    <x v="2"/>
    <x v="0"/>
    <x v="13"/>
    <x v="1"/>
    <x v="2"/>
    <x v="2"/>
    <x v="2"/>
    <x v="5"/>
    <n v="6"/>
    <x v="0"/>
  </r>
  <r>
    <d v="2023-11-03T00:00:00"/>
    <x v="0"/>
    <x v="1"/>
    <x v="0"/>
    <n v="9981796.0399999991"/>
    <x v="0"/>
    <x v="1"/>
    <x v="0"/>
    <x v="0"/>
    <x v="1"/>
    <x v="2"/>
    <x v="2"/>
    <x v="2"/>
    <x v="5"/>
    <n v="3"/>
    <x v="0"/>
  </r>
  <r>
    <d v="2023-11-03T00:00:00"/>
    <x v="2"/>
    <x v="1"/>
    <x v="2"/>
    <n v="47952.34"/>
    <x v="2"/>
    <x v="1"/>
    <x v="2"/>
    <x v="1"/>
    <x v="1"/>
    <x v="2"/>
    <x v="2"/>
    <x v="2"/>
    <x v="5"/>
    <n v="3"/>
    <x v="0"/>
  </r>
  <r>
    <d v="2023-11-03T00:00:00"/>
    <x v="2"/>
    <x v="1"/>
    <x v="0"/>
    <n v="87631295.290000007"/>
    <x v="2"/>
    <x v="1"/>
    <x v="0"/>
    <x v="6"/>
    <x v="1"/>
    <x v="2"/>
    <x v="2"/>
    <x v="2"/>
    <x v="5"/>
    <n v="3"/>
    <x v="0"/>
  </r>
  <r>
    <d v="2023-11-03T00:00:00"/>
    <x v="1"/>
    <x v="1"/>
    <x v="0"/>
    <n v="91303.96"/>
    <x v="1"/>
    <x v="1"/>
    <x v="0"/>
    <x v="4"/>
    <x v="1"/>
    <x v="2"/>
    <x v="2"/>
    <x v="2"/>
    <x v="5"/>
    <n v="3"/>
    <x v="0"/>
  </r>
  <r>
    <d v="2023-11-03T00:00:00"/>
    <x v="3"/>
    <x v="3"/>
    <x v="1"/>
    <n v="8920.77"/>
    <x v="3"/>
    <x v="3"/>
    <x v="1"/>
    <x v="2"/>
    <x v="1"/>
    <x v="2"/>
    <x v="2"/>
    <x v="2"/>
    <x v="5"/>
    <n v="3"/>
    <x v="0"/>
  </r>
  <r>
    <d v="2023-11-03T00:00:00"/>
    <x v="0"/>
    <x v="1"/>
    <x v="1"/>
    <n v="16031977.51"/>
    <x v="0"/>
    <x v="1"/>
    <x v="1"/>
    <x v="3"/>
    <x v="1"/>
    <x v="2"/>
    <x v="2"/>
    <x v="2"/>
    <x v="5"/>
    <n v="3"/>
    <x v="0"/>
  </r>
  <r>
    <d v="2023-11-03T00:00:00"/>
    <x v="1"/>
    <x v="0"/>
    <x v="0"/>
    <n v="56192296.090000004"/>
    <x v="1"/>
    <x v="0"/>
    <x v="0"/>
    <x v="10"/>
    <x v="1"/>
    <x v="2"/>
    <x v="2"/>
    <x v="2"/>
    <x v="5"/>
    <n v="3"/>
    <x v="0"/>
  </r>
  <r>
    <d v="2023-11-03T00:00:00"/>
    <x v="3"/>
    <x v="2"/>
    <x v="2"/>
    <n v="493164"/>
    <x v="3"/>
    <x v="2"/>
    <x v="2"/>
    <x v="5"/>
    <x v="1"/>
    <x v="2"/>
    <x v="2"/>
    <x v="2"/>
    <x v="5"/>
    <n v="3"/>
    <x v="0"/>
  </r>
  <r>
    <d v="2023-11-03T00:00:00"/>
    <x v="2"/>
    <x v="1"/>
    <x v="1"/>
    <n v="164433508.84999999"/>
    <x v="2"/>
    <x v="1"/>
    <x v="1"/>
    <x v="8"/>
    <x v="1"/>
    <x v="2"/>
    <x v="2"/>
    <x v="2"/>
    <x v="5"/>
    <n v="3"/>
    <x v="0"/>
  </r>
  <r>
    <d v="2023-11-03T00:00:00"/>
    <x v="3"/>
    <x v="3"/>
    <x v="0"/>
    <n v="2036898553.8"/>
    <x v="3"/>
    <x v="3"/>
    <x v="0"/>
    <x v="7"/>
    <x v="1"/>
    <x v="2"/>
    <x v="2"/>
    <x v="2"/>
    <x v="5"/>
    <n v="3"/>
    <x v="0"/>
  </r>
  <r>
    <d v="2023-11-03T00:00:00"/>
    <x v="1"/>
    <x v="0"/>
    <x v="1"/>
    <n v="164569545.66"/>
    <x v="1"/>
    <x v="0"/>
    <x v="1"/>
    <x v="9"/>
    <x v="1"/>
    <x v="2"/>
    <x v="2"/>
    <x v="2"/>
    <x v="5"/>
    <n v="3"/>
    <x v="0"/>
  </r>
  <r>
    <d v="2023-11-03T00:00:00"/>
    <x v="3"/>
    <x v="1"/>
    <x v="0"/>
    <n v="15463996.98"/>
    <x v="3"/>
    <x v="1"/>
    <x v="0"/>
    <x v="11"/>
    <x v="1"/>
    <x v="2"/>
    <x v="2"/>
    <x v="2"/>
    <x v="5"/>
    <n v="3"/>
    <x v="0"/>
  </r>
  <r>
    <d v="2023-11-03T00:00:00"/>
    <x v="3"/>
    <x v="2"/>
    <x v="1"/>
    <n v="13323645241.209999"/>
    <x v="3"/>
    <x v="2"/>
    <x v="1"/>
    <x v="12"/>
    <x v="1"/>
    <x v="2"/>
    <x v="2"/>
    <x v="2"/>
    <x v="5"/>
    <n v="3"/>
    <x v="0"/>
  </r>
  <r>
    <d v="2023-11-03T00:00:00"/>
    <x v="3"/>
    <x v="2"/>
    <x v="0"/>
    <n v="651611934.51999998"/>
    <x v="3"/>
    <x v="2"/>
    <x v="0"/>
    <x v="13"/>
    <x v="1"/>
    <x v="2"/>
    <x v="2"/>
    <x v="2"/>
    <x v="5"/>
    <n v="3"/>
    <x v="0"/>
  </r>
  <r>
    <d v="2023-11-02T00:00:00"/>
    <x v="0"/>
    <x v="0"/>
    <x v="0"/>
    <n v="238.95"/>
    <x v="0"/>
    <x v="0"/>
    <x v="0"/>
    <x v="0"/>
    <x v="1"/>
    <x v="2"/>
    <x v="2"/>
    <x v="2"/>
    <x v="5"/>
    <n v="2"/>
    <x v="0"/>
  </r>
  <r>
    <d v="2023-11-02T00:00:00"/>
    <x v="0"/>
    <x v="1"/>
    <x v="0"/>
    <n v="14951629.42"/>
    <x v="0"/>
    <x v="1"/>
    <x v="0"/>
    <x v="1"/>
    <x v="1"/>
    <x v="2"/>
    <x v="2"/>
    <x v="2"/>
    <x v="5"/>
    <n v="2"/>
    <x v="0"/>
  </r>
  <r>
    <d v="2023-11-02T00:00:00"/>
    <x v="3"/>
    <x v="3"/>
    <x v="0"/>
    <n v="1281815962.9300001"/>
    <x v="3"/>
    <x v="3"/>
    <x v="0"/>
    <x v="8"/>
    <x v="1"/>
    <x v="2"/>
    <x v="2"/>
    <x v="2"/>
    <x v="5"/>
    <n v="2"/>
    <x v="0"/>
  </r>
  <r>
    <d v="2023-11-02T00:00:00"/>
    <x v="2"/>
    <x v="1"/>
    <x v="2"/>
    <n v="5132.24"/>
    <x v="2"/>
    <x v="1"/>
    <x v="2"/>
    <x v="4"/>
    <x v="1"/>
    <x v="2"/>
    <x v="2"/>
    <x v="2"/>
    <x v="5"/>
    <n v="2"/>
    <x v="0"/>
  </r>
  <r>
    <d v="2023-11-02T00:00:00"/>
    <x v="2"/>
    <x v="1"/>
    <x v="1"/>
    <n v="200373588.83000001"/>
    <x v="2"/>
    <x v="1"/>
    <x v="1"/>
    <x v="9"/>
    <x v="1"/>
    <x v="2"/>
    <x v="2"/>
    <x v="2"/>
    <x v="5"/>
    <n v="2"/>
    <x v="0"/>
  </r>
  <r>
    <d v="2023-11-02T00:00:00"/>
    <x v="1"/>
    <x v="1"/>
    <x v="0"/>
    <n v="32753.18"/>
    <x v="1"/>
    <x v="1"/>
    <x v="0"/>
    <x v="5"/>
    <x v="1"/>
    <x v="2"/>
    <x v="2"/>
    <x v="2"/>
    <x v="5"/>
    <n v="2"/>
    <x v="0"/>
  </r>
  <r>
    <d v="2023-11-02T00:00:00"/>
    <x v="3"/>
    <x v="3"/>
    <x v="1"/>
    <n v="3021070.63"/>
    <x v="3"/>
    <x v="3"/>
    <x v="1"/>
    <x v="2"/>
    <x v="1"/>
    <x v="2"/>
    <x v="2"/>
    <x v="2"/>
    <x v="5"/>
    <n v="2"/>
    <x v="0"/>
  </r>
  <r>
    <d v="2023-11-02T00:00:00"/>
    <x v="0"/>
    <x v="1"/>
    <x v="1"/>
    <n v="6384267.0099999998"/>
    <x v="0"/>
    <x v="1"/>
    <x v="1"/>
    <x v="3"/>
    <x v="1"/>
    <x v="2"/>
    <x v="2"/>
    <x v="2"/>
    <x v="5"/>
    <n v="2"/>
    <x v="0"/>
  </r>
  <r>
    <d v="2023-11-02T00:00:00"/>
    <x v="3"/>
    <x v="2"/>
    <x v="2"/>
    <n v="403946.7"/>
    <x v="3"/>
    <x v="2"/>
    <x v="2"/>
    <x v="6"/>
    <x v="1"/>
    <x v="2"/>
    <x v="2"/>
    <x v="2"/>
    <x v="5"/>
    <n v="2"/>
    <x v="0"/>
  </r>
  <r>
    <d v="2023-11-02T00:00:00"/>
    <x v="2"/>
    <x v="1"/>
    <x v="0"/>
    <n v="80849940.560000002"/>
    <x v="2"/>
    <x v="1"/>
    <x v="0"/>
    <x v="7"/>
    <x v="1"/>
    <x v="2"/>
    <x v="2"/>
    <x v="2"/>
    <x v="5"/>
    <n v="2"/>
    <x v="0"/>
  </r>
  <r>
    <d v="2023-11-02T00:00:00"/>
    <x v="1"/>
    <x v="0"/>
    <x v="0"/>
    <n v="60254405.840000004"/>
    <x v="1"/>
    <x v="0"/>
    <x v="0"/>
    <x v="10"/>
    <x v="1"/>
    <x v="2"/>
    <x v="2"/>
    <x v="2"/>
    <x v="5"/>
    <n v="2"/>
    <x v="0"/>
  </r>
  <r>
    <d v="2023-11-02T00:00:00"/>
    <x v="1"/>
    <x v="0"/>
    <x v="1"/>
    <n v="206846248.03"/>
    <x v="1"/>
    <x v="0"/>
    <x v="1"/>
    <x v="11"/>
    <x v="1"/>
    <x v="2"/>
    <x v="2"/>
    <x v="2"/>
    <x v="5"/>
    <n v="2"/>
    <x v="0"/>
  </r>
  <r>
    <d v="2023-11-02T00:00:00"/>
    <x v="3"/>
    <x v="1"/>
    <x v="0"/>
    <n v="16633893.960000001"/>
    <x v="3"/>
    <x v="1"/>
    <x v="0"/>
    <x v="12"/>
    <x v="1"/>
    <x v="2"/>
    <x v="2"/>
    <x v="2"/>
    <x v="5"/>
    <n v="2"/>
    <x v="0"/>
  </r>
  <r>
    <d v="2023-11-02T00:00:00"/>
    <x v="3"/>
    <x v="2"/>
    <x v="1"/>
    <n v="9789966657.8199997"/>
    <x v="3"/>
    <x v="2"/>
    <x v="1"/>
    <x v="13"/>
    <x v="1"/>
    <x v="2"/>
    <x v="2"/>
    <x v="2"/>
    <x v="5"/>
    <n v="2"/>
    <x v="0"/>
  </r>
  <r>
    <d v="2023-11-02T00:00:00"/>
    <x v="3"/>
    <x v="2"/>
    <x v="0"/>
    <n v="1041554207.47"/>
    <x v="3"/>
    <x v="2"/>
    <x v="0"/>
    <x v="14"/>
    <x v="1"/>
    <x v="2"/>
    <x v="2"/>
    <x v="2"/>
    <x v="5"/>
    <n v="2"/>
    <x v="0"/>
  </r>
  <r>
    <d v="2023-11-01T00:00:00"/>
    <x v="0"/>
    <x v="1"/>
    <x v="0"/>
    <n v="9603470.3200000003"/>
    <x v="0"/>
    <x v="1"/>
    <x v="0"/>
    <x v="0"/>
    <x v="1"/>
    <x v="2"/>
    <x v="2"/>
    <x v="2"/>
    <x v="5"/>
    <n v="1"/>
    <x v="0"/>
  </r>
  <r>
    <d v="2023-11-01T00:00:00"/>
    <x v="3"/>
    <x v="2"/>
    <x v="2"/>
    <n v="420885.54"/>
    <x v="3"/>
    <x v="2"/>
    <x v="2"/>
    <x v="6"/>
    <x v="1"/>
    <x v="2"/>
    <x v="2"/>
    <x v="2"/>
    <x v="5"/>
    <n v="1"/>
    <x v="0"/>
  </r>
  <r>
    <d v="2023-11-01T00:00:00"/>
    <x v="2"/>
    <x v="1"/>
    <x v="2"/>
    <n v="52243.24"/>
    <x v="2"/>
    <x v="1"/>
    <x v="2"/>
    <x v="1"/>
    <x v="1"/>
    <x v="2"/>
    <x v="2"/>
    <x v="2"/>
    <x v="5"/>
    <n v="1"/>
    <x v="0"/>
  </r>
  <r>
    <d v="2023-11-01T00:00:00"/>
    <x v="2"/>
    <x v="1"/>
    <x v="0"/>
    <n v="81439518.900000006"/>
    <x v="2"/>
    <x v="1"/>
    <x v="0"/>
    <x v="7"/>
    <x v="1"/>
    <x v="2"/>
    <x v="2"/>
    <x v="2"/>
    <x v="5"/>
    <n v="1"/>
    <x v="0"/>
  </r>
  <r>
    <d v="2023-11-01T00:00:00"/>
    <x v="3"/>
    <x v="3"/>
    <x v="0"/>
    <n v="4350315250.54"/>
    <x v="3"/>
    <x v="3"/>
    <x v="0"/>
    <x v="8"/>
    <x v="1"/>
    <x v="2"/>
    <x v="2"/>
    <x v="2"/>
    <x v="5"/>
    <n v="1"/>
    <x v="0"/>
  </r>
  <r>
    <d v="2023-11-01T00:00:00"/>
    <x v="2"/>
    <x v="1"/>
    <x v="1"/>
    <n v="222689073.56"/>
    <x v="2"/>
    <x v="1"/>
    <x v="1"/>
    <x v="9"/>
    <x v="1"/>
    <x v="2"/>
    <x v="2"/>
    <x v="2"/>
    <x v="5"/>
    <n v="1"/>
    <x v="0"/>
  </r>
  <r>
    <d v="2023-11-01T00:00:00"/>
    <x v="1"/>
    <x v="1"/>
    <x v="0"/>
    <n v="400799.43"/>
    <x v="1"/>
    <x v="1"/>
    <x v="0"/>
    <x v="5"/>
    <x v="1"/>
    <x v="2"/>
    <x v="2"/>
    <x v="2"/>
    <x v="5"/>
    <n v="1"/>
    <x v="0"/>
  </r>
  <r>
    <d v="2023-11-01T00:00:00"/>
    <x v="3"/>
    <x v="3"/>
    <x v="1"/>
    <n v="18076.88"/>
    <x v="3"/>
    <x v="3"/>
    <x v="1"/>
    <x v="2"/>
    <x v="1"/>
    <x v="2"/>
    <x v="2"/>
    <x v="2"/>
    <x v="5"/>
    <n v="1"/>
    <x v="0"/>
  </r>
  <r>
    <d v="2023-11-01T00:00:00"/>
    <x v="0"/>
    <x v="1"/>
    <x v="1"/>
    <n v="8256920.4400000004"/>
    <x v="0"/>
    <x v="1"/>
    <x v="1"/>
    <x v="3"/>
    <x v="1"/>
    <x v="2"/>
    <x v="2"/>
    <x v="2"/>
    <x v="5"/>
    <n v="1"/>
    <x v="0"/>
  </r>
  <r>
    <d v="2023-11-01T00:00:00"/>
    <x v="3"/>
    <x v="3"/>
    <x v="2"/>
    <n v="-1625"/>
    <x v="3"/>
    <x v="3"/>
    <x v="2"/>
    <x v="4"/>
    <x v="1"/>
    <x v="2"/>
    <x v="2"/>
    <x v="2"/>
    <x v="5"/>
    <n v="1"/>
    <x v="1"/>
  </r>
  <r>
    <d v="2023-11-01T00:00:00"/>
    <x v="1"/>
    <x v="0"/>
    <x v="0"/>
    <n v="97770245.780000001"/>
    <x v="1"/>
    <x v="0"/>
    <x v="0"/>
    <x v="10"/>
    <x v="1"/>
    <x v="2"/>
    <x v="2"/>
    <x v="2"/>
    <x v="5"/>
    <n v="1"/>
    <x v="0"/>
  </r>
  <r>
    <d v="2023-11-01T00:00:00"/>
    <x v="1"/>
    <x v="0"/>
    <x v="1"/>
    <n v="724454189.59000003"/>
    <x v="1"/>
    <x v="0"/>
    <x v="1"/>
    <x v="11"/>
    <x v="1"/>
    <x v="2"/>
    <x v="2"/>
    <x v="2"/>
    <x v="5"/>
    <n v="1"/>
    <x v="0"/>
  </r>
  <r>
    <d v="2023-11-01T00:00:00"/>
    <x v="3"/>
    <x v="1"/>
    <x v="0"/>
    <n v="16169772.199999999"/>
    <x v="3"/>
    <x v="1"/>
    <x v="0"/>
    <x v="12"/>
    <x v="1"/>
    <x v="2"/>
    <x v="2"/>
    <x v="2"/>
    <x v="5"/>
    <n v="1"/>
    <x v="0"/>
  </r>
  <r>
    <d v="2023-11-01T00:00:00"/>
    <x v="3"/>
    <x v="2"/>
    <x v="1"/>
    <n v="28497082284.439999"/>
    <x v="3"/>
    <x v="2"/>
    <x v="1"/>
    <x v="13"/>
    <x v="1"/>
    <x v="2"/>
    <x v="2"/>
    <x v="2"/>
    <x v="5"/>
    <n v="1"/>
    <x v="0"/>
  </r>
  <r>
    <d v="2023-11-01T00:00:00"/>
    <x v="3"/>
    <x v="2"/>
    <x v="0"/>
    <n v="796245270.80999994"/>
    <x v="3"/>
    <x v="2"/>
    <x v="0"/>
    <x v="14"/>
    <x v="1"/>
    <x v="2"/>
    <x v="2"/>
    <x v="2"/>
    <x v="5"/>
    <n v="1"/>
    <x v="0"/>
  </r>
  <r>
    <d v="2023-10-31T00:00:00"/>
    <x v="0"/>
    <x v="0"/>
    <x v="0"/>
    <n v="309.05"/>
    <x v="0"/>
    <x v="0"/>
    <x v="0"/>
    <x v="0"/>
    <x v="1"/>
    <x v="2"/>
    <x v="2"/>
    <x v="2"/>
    <x v="6"/>
    <n v="31"/>
    <x v="0"/>
  </r>
  <r>
    <d v="2023-10-31T00:00:00"/>
    <x v="0"/>
    <x v="1"/>
    <x v="0"/>
    <n v="27698241.280000001"/>
    <x v="0"/>
    <x v="1"/>
    <x v="0"/>
    <x v="1"/>
    <x v="1"/>
    <x v="2"/>
    <x v="2"/>
    <x v="2"/>
    <x v="6"/>
    <n v="31"/>
    <x v="0"/>
  </r>
  <r>
    <d v="2023-10-31T00:00:00"/>
    <x v="2"/>
    <x v="1"/>
    <x v="2"/>
    <n v="82917.72"/>
    <x v="2"/>
    <x v="1"/>
    <x v="2"/>
    <x v="2"/>
    <x v="1"/>
    <x v="2"/>
    <x v="2"/>
    <x v="2"/>
    <x v="6"/>
    <n v="31"/>
    <x v="0"/>
  </r>
  <r>
    <d v="2023-10-31T00:00:00"/>
    <x v="2"/>
    <x v="1"/>
    <x v="0"/>
    <n v="74348435.969999999"/>
    <x v="2"/>
    <x v="1"/>
    <x v="0"/>
    <x v="6"/>
    <x v="1"/>
    <x v="2"/>
    <x v="2"/>
    <x v="2"/>
    <x v="6"/>
    <n v="31"/>
    <x v="0"/>
  </r>
  <r>
    <d v="2023-10-31T00:00:00"/>
    <x v="3"/>
    <x v="2"/>
    <x v="2"/>
    <n v="330360.82"/>
    <x v="3"/>
    <x v="2"/>
    <x v="2"/>
    <x v="4"/>
    <x v="1"/>
    <x v="2"/>
    <x v="2"/>
    <x v="2"/>
    <x v="6"/>
    <n v="31"/>
    <x v="0"/>
  </r>
  <r>
    <d v="2023-10-31T00:00:00"/>
    <x v="1"/>
    <x v="1"/>
    <x v="0"/>
    <n v="2017097.42"/>
    <x v="1"/>
    <x v="1"/>
    <x v="0"/>
    <x v="5"/>
    <x v="1"/>
    <x v="2"/>
    <x v="2"/>
    <x v="2"/>
    <x v="6"/>
    <n v="31"/>
    <x v="0"/>
  </r>
  <r>
    <d v="2023-10-31T00:00:00"/>
    <x v="3"/>
    <x v="3"/>
    <x v="0"/>
    <n v="4428200675.3000002"/>
    <x v="3"/>
    <x v="3"/>
    <x v="0"/>
    <x v="7"/>
    <x v="1"/>
    <x v="2"/>
    <x v="2"/>
    <x v="2"/>
    <x v="6"/>
    <n v="31"/>
    <x v="0"/>
  </r>
  <r>
    <d v="2023-10-31T00:00:00"/>
    <x v="0"/>
    <x v="1"/>
    <x v="1"/>
    <n v="14249172.789999999"/>
    <x v="0"/>
    <x v="1"/>
    <x v="1"/>
    <x v="3"/>
    <x v="1"/>
    <x v="2"/>
    <x v="2"/>
    <x v="2"/>
    <x v="6"/>
    <n v="31"/>
    <x v="0"/>
  </r>
  <r>
    <d v="2023-10-31T00:00:00"/>
    <x v="2"/>
    <x v="1"/>
    <x v="1"/>
    <n v="289023290.87"/>
    <x v="2"/>
    <x v="1"/>
    <x v="1"/>
    <x v="8"/>
    <x v="1"/>
    <x v="2"/>
    <x v="2"/>
    <x v="2"/>
    <x v="6"/>
    <n v="31"/>
    <x v="0"/>
  </r>
  <r>
    <d v="2023-10-31T00:00:00"/>
    <x v="1"/>
    <x v="0"/>
    <x v="0"/>
    <n v="78466987.019999996"/>
    <x v="1"/>
    <x v="0"/>
    <x v="0"/>
    <x v="9"/>
    <x v="1"/>
    <x v="2"/>
    <x v="2"/>
    <x v="2"/>
    <x v="6"/>
    <n v="31"/>
    <x v="0"/>
  </r>
  <r>
    <d v="2023-10-31T00:00:00"/>
    <x v="1"/>
    <x v="0"/>
    <x v="1"/>
    <n v="176360706.72999999"/>
    <x v="1"/>
    <x v="0"/>
    <x v="1"/>
    <x v="10"/>
    <x v="1"/>
    <x v="2"/>
    <x v="2"/>
    <x v="2"/>
    <x v="6"/>
    <n v="31"/>
    <x v="0"/>
  </r>
  <r>
    <d v="2023-10-31T00:00:00"/>
    <x v="3"/>
    <x v="1"/>
    <x v="0"/>
    <n v="13206342.32"/>
    <x v="3"/>
    <x v="1"/>
    <x v="0"/>
    <x v="11"/>
    <x v="1"/>
    <x v="2"/>
    <x v="2"/>
    <x v="2"/>
    <x v="6"/>
    <n v="31"/>
    <x v="0"/>
  </r>
  <r>
    <d v="2023-10-31T00:00:00"/>
    <x v="3"/>
    <x v="2"/>
    <x v="1"/>
    <n v="7737087748.9499998"/>
    <x v="3"/>
    <x v="2"/>
    <x v="1"/>
    <x v="12"/>
    <x v="1"/>
    <x v="2"/>
    <x v="2"/>
    <x v="2"/>
    <x v="6"/>
    <n v="31"/>
    <x v="0"/>
  </r>
  <r>
    <d v="2023-10-31T00:00:00"/>
    <x v="3"/>
    <x v="2"/>
    <x v="0"/>
    <n v="1174206413.29"/>
    <x v="3"/>
    <x v="2"/>
    <x v="0"/>
    <x v="13"/>
    <x v="1"/>
    <x v="2"/>
    <x v="2"/>
    <x v="2"/>
    <x v="6"/>
    <n v="31"/>
    <x v="0"/>
  </r>
  <r>
    <d v="2023-10-30T00:00:00"/>
    <x v="1"/>
    <x v="1"/>
    <x v="0"/>
    <n v="242610.44"/>
    <x v="1"/>
    <x v="1"/>
    <x v="0"/>
    <x v="0"/>
    <x v="1"/>
    <x v="2"/>
    <x v="2"/>
    <x v="2"/>
    <x v="6"/>
    <n v="30"/>
    <x v="0"/>
  </r>
  <r>
    <d v="2023-10-30T00:00:00"/>
    <x v="0"/>
    <x v="1"/>
    <x v="0"/>
    <n v="19571506.140000001"/>
    <x v="0"/>
    <x v="1"/>
    <x v="0"/>
    <x v="1"/>
    <x v="1"/>
    <x v="2"/>
    <x v="2"/>
    <x v="2"/>
    <x v="6"/>
    <n v="30"/>
    <x v="0"/>
  </r>
  <r>
    <d v="2023-10-30T00:00:00"/>
    <x v="3"/>
    <x v="3"/>
    <x v="2"/>
    <n v="2475.1"/>
    <x v="3"/>
    <x v="3"/>
    <x v="2"/>
    <x v="2"/>
    <x v="1"/>
    <x v="2"/>
    <x v="2"/>
    <x v="2"/>
    <x v="6"/>
    <n v="30"/>
    <x v="0"/>
  </r>
  <r>
    <d v="2023-10-30T00:00:00"/>
    <x v="2"/>
    <x v="1"/>
    <x v="0"/>
    <n v="125629604.87"/>
    <x v="2"/>
    <x v="1"/>
    <x v="0"/>
    <x v="6"/>
    <x v="1"/>
    <x v="2"/>
    <x v="2"/>
    <x v="2"/>
    <x v="6"/>
    <n v="30"/>
    <x v="0"/>
  </r>
  <r>
    <d v="2023-10-30T00:00:00"/>
    <x v="2"/>
    <x v="1"/>
    <x v="2"/>
    <n v="11871.2"/>
    <x v="2"/>
    <x v="1"/>
    <x v="2"/>
    <x v="4"/>
    <x v="1"/>
    <x v="2"/>
    <x v="2"/>
    <x v="2"/>
    <x v="6"/>
    <n v="30"/>
    <x v="0"/>
  </r>
  <r>
    <d v="2023-10-30T00:00:00"/>
    <x v="3"/>
    <x v="3"/>
    <x v="0"/>
    <n v="1999883573.05"/>
    <x v="3"/>
    <x v="3"/>
    <x v="0"/>
    <x v="7"/>
    <x v="1"/>
    <x v="2"/>
    <x v="2"/>
    <x v="2"/>
    <x v="6"/>
    <n v="30"/>
    <x v="0"/>
  </r>
  <r>
    <d v="2023-10-30T00:00:00"/>
    <x v="0"/>
    <x v="1"/>
    <x v="1"/>
    <n v="3661800.85"/>
    <x v="0"/>
    <x v="1"/>
    <x v="1"/>
    <x v="3"/>
    <x v="1"/>
    <x v="2"/>
    <x v="2"/>
    <x v="2"/>
    <x v="6"/>
    <n v="30"/>
    <x v="0"/>
  </r>
  <r>
    <d v="2023-10-30T00:00:00"/>
    <x v="1"/>
    <x v="0"/>
    <x v="0"/>
    <n v="74725772.989999995"/>
    <x v="1"/>
    <x v="0"/>
    <x v="0"/>
    <x v="9"/>
    <x v="1"/>
    <x v="2"/>
    <x v="2"/>
    <x v="2"/>
    <x v="6"/>
    <n v="30"/>
    <x v="0"/>
  </r>
  <r>
    <d v="2023-10-30T00:00:00"/>
    <x v="3"/>
    <x v="2"/>
    <x v="2"/>
    <n v="163083.07999999999"/>
    <x v="3"/>
    <x v="2"/>
    <x v="2"/>
    <x v="5"/>
    <x v="1"/>
    <x v="2"/>
    <x v="2"/>
    <x v="2"/>
    <x v="6"/>
    <n v="30"/>
    <x v="0"/>
  </r>
  <r>
    <d v="2023-10-30T00:00:00"/>
    <x v="2"/>
    <x v="1"/>
    <x v="1"/>
    <n v="496584060.48000002"/>
    <x v="2"/>
    <x v="1"/>
    <x v="1"/>
    <x v="8"/>
    <x v="1"/>
    <x v="2"/>
    <x v="2"/>
    <x v="2"/>
    <x v="6"/>
    <n v="30"/>
    <x v="0"/>
  </r>
  <r>
    <d v="2023-10-30T00:00:00"/>
    <x v="1"/>
    <x v="0"/>
    <x v="1"/>
    <n v="1151241718.4000001"/>
    <x v="1"/>
    <x v="0"/>
    <x v="1"/>
    <x v="10"/>
    <x v="1"/>
    <x v="2"/>
    <x v="2"/>
    <x v="2"/>
    <x v="6"/>
    <n v="30"/>
    <x v="0"/>
  </r>
  <r>
    <d v="2023-10-30T00:00:00"/>
    <x v="3"/>
    <x v="1"/>
    <x v="0"/>
    <n v="45965943.340000004"/>
    <x v="3"/>
    <x v="1"/>
    <x v="0"/>
    <x v="11"/>
    <x v="1"/>
    <x v="2"/>
    <x v="2"/>
    <x v="2"/>
    <x v="6"/>
    <n v="30"/>
    <x v="0"/>
  </r>
  <r>
    <d v="2023-10-30T00:00:00"/>
    <x v="3"/>
    <x v="2"/>
    <x v="1"/>
    <n v="23017037717.619999"/>
    <x v="3"/>
    <x v="2"/>
    <x v="1"/>
    <x v="12"/>
    <x v="1"/>
    <x v="2"/>
    <x v="2"/>
    <x v="2"/>
    <x v="6"/>
    <n v="30"/>
    <x v="0"/>
  </r>
  <r>
    <d v="2023-10-30T00:00:00"/>
    <x v="3"/>
    <x v="2"/>
    <x v="0"/>
    <n v="682229120.32000005"/>
    <x v="3"/>
    <x v="2"/>
    <x v="0"/>
    <x v="13"/>
    <x v="1"/>
    <x v="2"/>
    <x v="2"/>
    <x v="2"/>
    <x v="6"/>
    <n v="30"/>
    <x v="0"/>
  </r>
  <r>
    <d v="2023-10-27T00:00:00"/>
    <x v="1"/>
    <x v="1"/>
    <x v="0"/>
    <n v="80653.11"/>
    <x v="1"/>
    <x v="1"/>
    <x v="0"/>
    <x v="0"/>
    <x v="1"/>
    <x v="2"/>
    <x v="2"/>
    <x v="2"/>
    <x v="6"/>
    <n v="27"/>
    <x v="0"/>
  </r>
  <r>
    <d v="2023-10-27T00:00:00"/>
    <x v="0"/>
    <x v="1"/>
    <x v="0"/>
    <n v="5935101.8799999999"/>
    <x v="0"/>
    <x v="1"/>
    <x v="0"/>
    <x v="1"/>
    <x v="1"/>
    <x v="2"/>
    <x v="2"/>
    <x v="2"/>
    <x v="6"/>
    <n v="27"/>
    <x v="0"/>
  </r>
  <r>
    <d v="2023-10-27T00:00:00"/>
    <x v="3"/>
    <x v="2"/>
    <x v="2"/>
    <n v="270594"/>
    <x v="3"/>
    <x v="2"/>
    <x v="2"/>
    <x v="4"/>
    <x v="1"/>
    <x v="2"/>
    <x v="2"/>
    <x v="2"/>
    <x v="6"/>
    <n v="27"/>
    <x v="0"/>
  </r>
  <r>
    <d v="2023-10-27T00:00:00"/>
    <x v="2"/>
    <x v="1"/>
    <x v="2"/>
    <n v="45551.61"/>
    <x v="2"/>
    <x v="1"/>
    <x v="2"/>
    <x v="2"/>
    <x v="1"/>
    <x v="2"/>
    <x v="2"/>
    <x v="2"/>
    <x v="6"/>
    <n v="27"/>
    <x v="0"/>
  </r>
  <r>
    <d v="2023-10-27T00:00:00"/>
    <x v="2"/>
    <x v="1"/>
    <x v="0"/>
    <n v="98496988.980000004"/>
    <x v="2"/>
    <x v="1"/>
    <x v="0"/>
    <x v="5"/>
    <x v="1"/>
    <x v="2"/>
    <x v="2"/>
    <x v="2"/>
    <x v="6"/>
    <n v="27"/>
    <x v="0"/>
  </r>
  <r>
    <d v="2023-10-27T00:00:00"/>
    <x v="2"/>
    <x v="1"/>
    <x v="1"/>
    <n v="215264389.58000001"/>
    <x v="2"/>
    <x v="1"/>
    <x v="1"/>
    <x v="6"/>
    <x v="1"/>
    <x v="2"/>
    <x v="2"/>
    <x v="2"/>
    <x v="6"/>
    <n v="27"/>
    <x v="0"/>
  </r>
  <r>
    <d v="2023-10-27T00:00:00"/>
    <x v="3"/>
    <x v="3"/>
    <x v="0"/>
    <n v="1407345081.6400001"/>
    <x v="3"/>
    <x v="3"/>
    <x v="0"/>
    <x v="7"/>
    <x v="1"/>
    <x v="2"/>
    <x v="2"/>
    <x v="2"/>
    <x v="6"/>
    <n v="27"/>
    <x v="0"/>
  </r>
  <r>
    <d v="2023-10-27T00:00:00"/>
    <x v="0"/>
    <x v="1"/>
    <x v="1"/>
    <n v="5258459.07"/>
    <x v="0"/>
    <x v="1"/>
    <x v="1"/>
    <x v="3"/>
    <x v="1"/>
    <x v="2"/>
    <x v="2"/>
    <x v="2"/>
    <x v="6"/>
    <n v="27"/>
    <x v="0"/>
  </r>
  <r>
    <d v="2023-10-27T00:00:00"/>
    <x v="1"/>
    <x v="0"/>
    <x v="0"/>
    <n v="65627750.460000001"/>
    <x v="1"/>
    <x v="0"/>
    <x v="0"/>
    <x v="8"/>
    <x v="1"/>
    <x v="2"/>
    <x v="2"/>
    <x v="2"/>
    <x v="6"/>
    <n v="27"/>
    <x v="0"/>
  </r>
  <r>
    <d v="2023-10-27T00:00:00"/>
    <x v="1"/>
    <x v="0"/>
    <x v="1"/>
    <n v="1029976272.55"/>
    <x v="1"/>
    <x v="0"/>
    <x v="1"/>
    <x v="9"/>
    <x v="1"/>
    <x v="2"/>
    <x v="2"/>
    <x v="2"/>
    <x v="6"/>
    <n v="27"/>
    <x v="0"/>
  </r>
  <r>
    <d v="2023-10-27T00:00:00"/>
    <x v="3"/>
    <x v="1"/>
    <x v="0"/>
    <n v="14532945.210000001"/>
    <x v="3"/>
    <x v="1"/>
    <x v="0"/>
    <x v="10"/>
    <x v="1"/>
    <x v="2"/>
    <x v="2"/>
    <x v="2"/>
    <x v="6"/>
    <n v="27"/>
    <x v="0"/>
  </r>
  <r>
    <d v="2023-10-27T00:00:00"/>
    <x v="3"/>
    <x v="2"/>
    <x v="1"/>
    <n v="11496157377.08"/>
    <x v="3"/>
    <x v="2"/>
    <x v="1"/>
    <x v="11"/>
    <x v="1"/>
    <x v="2"/>
    <x v="2"/>
    <x v="2"/>
    <x v="6"/>
    <n v="27"/>
    <x v="0"/>
  </r>
  <r>
    <d v="2023-10-27T00:00:00"/>
    <x v="3"/>
    <x v="2"/>
    <x v="0"/>
    <n v="724555396.57000005"/>
    <x v="3"/>
    <x v="2"/>
    <x v="0"/>
    <x v="12"/>
    <x v="1"/>
    <x v="2"/>
    <x v="2"/>
    <x v="2"/>
    <x v="6"/>
    <n v="27"/>
    <x v="0"/>
  </r>
  <r>
    <d v="2023-10-26T00:00:00"/>
    <x v="0"/>
    <x v="0"/>
    <x v="0"/>
    <n v="820.12"/>
    <x v="0"/>
    <x v="0"/>
    <x v="0"/>
    <x v="0"/>
    <x v="1"/>
    <x v="2"/>
    <x v="2"/>
    <x v="2"/>
    <x v="6"/>
    <n v="26"/>
    <x v="0"/>
  </r>
  <r>
    <d v="2023-10-26T00:00:00"/>
    <x v="1"/>
    <x v="1"/>
    <x v="0"/>
    <n v="255701.16"/>
    <x v="1"/>
    <x v="1"/>
    <x v="0"/>
    <x v="1"/>
    <x v="1"/>
    <x v="2"/>
    <x v="2"/>
    <x v="2"/>
    <x v="6"/>
    <n v="26"/>
    <x v="0"/>
  </r>
  <r>
    <d v="2023-10-26T00:00:00"/>
    <x v="0"/>
    <x v="1"/>
    <x v="0"/>
    <n v="18024005.16"/>
    <x v="0"/>
    <x v="1"/>
    <x v="0"/>
    <x v="2"/>
    <x v="1"/>
    <x v="2"/>
    <x v="2"/>
    <x v="2"/>
    <x v="6"/>
    <n v="26"/>
    <x v="0"/>
  </r>
  <r>
    <d v="2023-10-26T00:00:00"/>
    <x v="2"/>
    <x v="1"/>
    <x v="2"/>
    <n v="6365.66"/>
    <x v="2"/>
    <x v="1"/>
    <x v="2"/>
    <x v="3"/>
    <x v="1"/>
    <x v="2"/>
    <x v="2"/>
    <x v="2"/>
    <x v="6"/>
    <n v="26"/>
    <x v="0"/>
  </r>
  <r>
    <d v="2023-10-26T00:00:00"/>
    <x v="2"/>
    <x v="1"/>
    <x v="0"/>
    <n v="67645684.549999997"/>
    <x v="2"/>
    <x v="1"/>
    <x v="0"/>
    <x v="7"/>
    <x v="1"/>
    <x v="2"/>
    <x v="2"/>
    <x v="2"/>
    <x v="6"/>
    <n v="26"/>
    <x v="0"/>
  </r>
  <r>
    <d v="2023-10-26T00:00:00"/>
    <x v="3"/>
    <x v="3"/>
    <x v="2"/>
    <n v="-1625"/>
    <x v="3"/>
    <x v="3"/>
    <x v="2"/>
    <x v="5"/>
    <x v="1"/>
    <x v="2"/>
    <x v="2"/>
    <x v="2"/>
    <x v="6"/>
    <n v="26"/>
    <x v="1"/>
  </r>
  <r>
    <d v="2023-10-26T00:00:00"/>
    <x v="3"/>
    <x v="3"/>
    <x v="0"/>
    <n v="1461960132.46"/>
    <x v="3"/>
    <x v="3"/>
    <x v="0"/>
    <x v="8"/>
    <x v="1"/>
    <x v="2"/>
    <x v="2"/>
    <x v="2"/>
    <x v="6"/>
    <n v="26"/>
    <x v="0"/>
  </r>
  <r>
    <d v="2023-10-26T00:00:00"/>
    <x v="2"/>
    <x v="1"/>
    <x v="1"/>
    <n v="345347270.79000002"/>
    <x v="2"/>
    <x v="1"/>
    <x v="1"/>
    <x v="9"/>
    <x v="1"/>
    <x v="2"/>
    <x v="2"/>
    <x v="2"/>
    <x v="6"/>
    <n v="26"/>
    <x v="0"/>
  </r>
  <r>
    <d v="2023-10-26T00:00:00"/>
    <x v="0"/>
    <x v="1"/>
    <x v="1"/>
    <n v="5345653.3"/>
    <x v="0"/>
    <x v="1"/>
    <x v="1"/>
    <x v="4"/>
    <x v="1"/>
    <x v="2"/>
    <x v="2"/>
    <x v="2"/>
    <x v="6"/>
    <n v="26"/>
    <x v="0"/>
  </r>
  <r>
    <d v="2023-10-26T00:00:00"/>
    <x v="3"/>
    <x v="2"/>
    <x v="2"/>
    <n v="299370.02"/>
    <x v="3"/>
    <x v="2"/>
    <x v="2"/>
    <x v="6"/>
    <x v="1"/>
    <x v="2"/>
    <x v="2"/>
    <x v="2"/>
    <x v="6"/>
    <n v="26"/>
    <x v="0"/>
  </r>
  <r>
    <d v="2023-10-26T00:00:00"/>
    <x v="1"/>
    <x v="0"/>
    <x v="0"/>
    <n v="60341028.100000001"/>
    <x v="1"/>
    <x v="0"/>
    <x v="0"/>
    <x v="10"/>
    <x v="1"/>
    <x v="2"/>
    <x v="2"/>
    <x v="2"/>
    <x v="6"/>
    <n v="26"/>
    <x v="0"/>
  </r>
  <r>
    <d v="2023-10-26T00:00:00"/>
    <x v="1"/>
    <x v="0"/>
    <x v="1"/>
    <n v="2088748384.1400001"/>
    <x v="1"/>
    <x v="0"/>
    <x v="1"/>
    <x v="11"/>
    <x v="1"/>
    <x v="2"/>
    <x v="2"/>
    <x v="2"/>
    <x v="6"/>
    <n v="26"/>
    <x v="0"/>
  </r>
  <r>
    <d v="2023-10-26T00:00:00"/>
    <x v="3"/>
    <x v="1"/>
    <x v="0"/>
    <n v="13594813.369999999"/>
    <x v="3"/>
    <x v="1"/>
    <x v="0"/>
    <x v="12"/>
    <x v="1"/>
    <x v="2"/>
    <x v="2"/>
    <x v="2"/>
    <x v="6"/>
    <n v="26"/>
    <x v="0"/>
  </r>
  <r>
    <d v="2023-10-26T00:00:00"/>
    <x v="3"/>
    <x v="2"/>
    <x v="1"/>
    <n v="4379094865.6300001"/>
    <x v="3"/>
    <x v="2"/>
    <x v="1"/>
    <x v="13"/>
    <x v="1"/>
    <x v="2"/>
    <x v="2"/>
    <x v="2"/>
    <x v="6"/>
    <n v="26"/>
    <x v="0"/>
  </r>
  <r>
    <d v="2023-10-26T00:00:00"/>
    <x v="3"/>
    <x v="2"/>
    <x v="0"/>
    <n v="519379762.19999999"/>
    <x v="3"/>
    <x v="2"/>
    <x v="0"/>
    <x v="14"/>
    <x v="1"/>
    <x v="2"/>
    <x v="2"/>
    <x v="2"/>
    <x v="6"/>
    <n v="26"/>
    <x v="0"/>
  </r>
  <r>
    <d v="2023-10-25T00:00:00"/>
    <x v="0"/>
    <x v="0"/>
    <x v="0"/>
    <n v="4134.7"/>
    <x v="0"/>
    <x v="0"/>
    <x v="0"/>
    <x v="0"/>
    <x v="1"/>
    <x v="2"/>
    <x v="2"/>
    <x v="2"/>
    <x v="6"/>
    <n v="25"/>
    <x v="0"/>
  </r>
  <r>
    <d v="2023-10-25T00:00:00"/>
    <x v="0"/>
    <x v="1"/>
    <x v="0"/>
    <n v="11653816.529999999"/>
    <x v="0"/>
    <x v="1"/>
    <x v="0"/>
    <x v="1"/>
    <x v="1"/>
    <x v="2"/>
    <x v="2"/>
    <x v="2"/>
    <x v="6"/>
    <n v="25"/>
    <x v="0"/>
  </r>
  <r>
    <d v="2023-10-25T00:00:00"/>
    <x v="3"/>
    <x v="2"/>
    <x v="2"/>
    <n v="342716"/>
    <x v="3"/>
    <x v="2"/>
    <x v="2"/>
    <x v="5"/>
    <x v="1"/>
    <x v="2"/>
    <x v="2"/>
    <x v="2"/>
    <x v="6"/>
    <n v="25"/>
    <x v="0"/>
  </r>
  <r>
    <d v="2023-10-25T00:00:00"/>
    <x v="2"/>
    <x v="1"/>
    <x v="2"/>
    <n v="56698.01"/>
    <x v="2"/>
    <x v="1"/>
    <x v="2"/>
    <x v="2"/>
    <x v="1"/>
    <x v="2"/>
    <x v="2"/>
    <x v="2"/>
    <x v="6"/>
    <n v="25"/>
    <x v="0"/>
  </r>
  <r>
    <d v="2023-10-25T00:00:00"/>
    <x v="2"/>
    <x v="1"/>
    <x v="0"/>
    <n v="72526565.189999998"/>
    <x v="2"/>
    <x v="1"/>
    <x v="0"/>
    <x v="7"/>
    <x v="1"/>
    <x v="2"/>
    <x v="2"/>
    <x v="2"/>
    <x v="6"/>
    <n v="25"/>
    <x v="0"/>
  </r>
  <r>
    <d v="2023-10-25T00:00:00"/>
    <x v="2"/>
    <x v="1"/>
    <x v="1"/>
    <n v="312869049.75"/>
    <x v="2"/>
    <x v="1"/>
    <x v="1"/>
    <x v="8"/>
    <x v="1"/>
    <x v="2"/>
    <x v="2"/>
    <x v="2"/>
    <x v="6"/>
    <n v="25"/>
    <x v="0"/>
  </r>
  <r>
    <d v="2023-10-25T00:00:00"/>
    <x v="0"/>
    <x v="1"/>
    <x v="1"/>
    <n v="9355959.3499999996"/>
    <x v="0"/>
    <x v="1"/>
    <x v="1"/>
    <x v="3"/>
    <x v="1"/>
    <x v="2"/>
    <x v="2"/>
    <x v="2"/>
    <x v="6"/>
    <n v="25"/>
    <x v="0"/>
  </r>
  <r>
    <d v="2023-10-25T00:00:00"/>
    <x v="1"/>
    <x v="1"/>
    <x v="0"/>
    <n v="302987.55"/>
    <x v="1"/>
    <x v="1"/>
    <x v="0"/>
    <x v="4"/>
    <x v="1"/>
    <x v="2"/>
    <x v="2"/>
    <x v="2"/>
    <x v="6"/>
    <n v="25"/>
    <x v="0"/>
  </r>
  <r>
    <d v="2023-10-25T00:00:00"/>
    <x v="3"/>
    <x v="3"/>
    <x v="0"/>
    <n v="1696263733.8199999"/>
    <x v="3"/>
    <x v="3"/>
    <x v="0"/>
    <x v="6"/>
    <x v="1"/>
    <x v="2"/>
    <x v="2"/>
    <x v="2"/>
    <x v="6"/>
    <n v="25"/>
    <x v="0"/>
  </r>
  <r>
    <d v="2023-10-25T00:00:00"/>
    <x v="1"/>
    <x v="0"/>
    <x v="0"/>
    <n v="103996426.41"/>
    <x v="1"/>
    <x v="0"/>
    <x v="0"/>
    <x v="9"/>
    <x v="1"/>
    <x v="2"/>
    <x v="2"/>
    <x v="2"/>
    <x v="6"/>
    <n v="25"/>
    <x v="0"/>
  </r>
  <r>
    <d v="2023-10-25T00:00:00"/>
    <x v="1"/>
    <x v="0"/>
    <x v="1"/>
    <n v="5192133364.2600002"/>
    <x v="1"/>
    <x v="0"/>
    <x v="1"/>
    <x v="10"/>
    <x v="1"/>
    <x v="2"/>
    <x v="2"/>
    <x v="2"/>
    <x v="6"/>
    <n v="25"/>
    <x v="0"/>
  </r>
  <r>
    <d v="2023-10-25T00:00:00"/>
    <x v="3"/>
    <x v="1"/>
    <x v="0"/>
    <n v="14597198.6"/>
    <x v="3"/>
    <x v="1"/>
    <x v="0"/>
    <x v="11"/>
    <x v="1"/>
    <x v="2"/>
    <x v="2"/>
    <x v="2"/>
    <x v="6"/>
    <n v="25"/>
    <x v="0"/>
  </r>
  <r>
    <d v="2023-10-25T00:00:00"/>
    <x v="3"/>
    <x v="2"/>
    <x v="1"/>
    <n v="10693154537.950001"/>
    <x v="3"/>
    <x v="2"/>
    <x v="1"/>
    <x v="12"/>
    <x v="1"/>
    <x v="2"/>
    <x v="2"/>
    <x v="2"/>
    <x v="6"/>
    <n v="25"/>
    <x v="0"/>
  </r>
  <r>
    <d v="2023-10-25T00:00:00"/>
    <x v="3"/>
    <x v="2"/>
    <x v="0"/>
    <n v="513462024.47000003"/>
    <x v="3"/>
    <x v="2"/>
    <x v="0"/>
    <x v="13"/>
    <x v="1"/>
    <x v="2"/>
    <x v="2"/>
    <x v="2"/>
    <x v="6"/>
    <n v="25"/>
    <x v="0"/>
  </r>
  <r>
    <d v="2023-10-24T00:00:00"/>
    <x v="0"/>
    <x v="0"/>
    <x v="0"/>
    <n v="649.74"/>
    <x v="0"/>
    <x v="0"/>
    <x v="0"/>
    <x v="0"/>
    <x v="1"/>
    <x v="2"/>
    <x v="2"/>
    <x v="2"/>
    <x v="6"/>
    <n v="24"/>
    <x v="0"/>
  </r>
  <r>
    <d v="2023-10-24T00:00:00"/>
    <x v="1"/>
    <x v="1"/>
    <x v="0"/>
    <n v="1373809.25"/>
    <x v="1"/>
    <x v="1"/>
    <x v="0"/>
    <x v="1"/>
    <x v="1"/>
    <x v="2"/>
    <x v="2"/>
    <x v="2"/>
    <x v="6"/>
    <n v="24"/>
    <x v="0"/>
  </r>
  <r>
    <d v="2023-10-24T00:00:00"/>
    <x v="0"/>
    <x v="1"/>
    <x v="0"/>
    <n v="13286957.08"/>
    <x v="0"/>
    <x v="1"/>
    <x v="0"/>
    <x v="2"/>
    <x v="1"/>
    <x v="2"/>
    <x v="2"/>
    <x v="2"/>
    <x v="6"/>
    <n v="24"/>
    <x v="0"/>
  </r>
  <r>
    <d v="2023-10-24T00:00:00"/>
    <x v="2"/>
    <x v="1"/>
    <x v="2"/>
    <n v="8536.68"/>
    <x v="2"/>
    <x v="1"/>
    <x v="2"/>
    <x v="3"/>
    <x v="1"/>
    <x v="2"/>
    <x v="2"/>
    <x v="2"/>
    <x v="6"/>
    <n v="24"/>
    <x v="0"/>
  </r>
  <r>
    <d v="2023-10-24T00:00:00"/>
    <x v="3"/>
    <x v="2"/>
    <x v="2"/>
    <n v="294679.03999999998"/>
    <x v="3"/>
    <x v="2"/>
    <x v="2"/>
    <x v="5"/>
    <x v="1"/>
    <x v="2"/>
    <x v="2"/>
    <x v="2"/>
    <x v="6"/>
    <n v="24"/>
    <x v="0"/>
  </r>
  <r>
    <d v="2023-10-24T00:00:00"/>
    <x v="2"/>
    <x v="1"/>
    <x v="1"/>
    <n v="450472526.25999999"/>
    <x v="2"/>
    <x v="1"/>
    <x v="1"/>
    <x v="7"/>
    <x v="1"/>
    <x v="2"/>
    <x v="2"/>
    <x v="2"/>
    <x v="6"/>
    <n v="24"/>
    <x v="0"/>
  </r>
  <r>
    <d v="2023-10-24T00:00:00"/>
    <x v="1"/>
    <x v="0"/>
    <x v="0"/>
    <n v="88971049.780000001"/>
    <x v="1"/>
    <x v="0"/>
    <x v="0"/>
    <x v="9"/>
    <x v="1"/>
    <x v="2"/>
    <x v="2"/>
    <x v="2"/>
    <x v="6"/>
    <n v="24"/>
    <x v="0"/>
  </r>
  <r>
    <d v="2023-10-24T00:00:00"/>
    <x v="0"/>
    <x v="1"/>
    <x v="1"/>
    <n v="957233.97"/>
    <x v="0"/>
    <x v="1"/>
    <x v="1"/>
    <x v="4"/>
    <x v="1"/>
    <x v="2"/>
    <x v="2"/>
    <x v="2"/>
    <x v="6"/>
    <n v="24"/>
    <x v="0"/>
  </r>
  <r>
    <d v="2023-10-24T00:00:00"/>
    <x v="2"/>
    <x v="1"/>
    <x v="0"/>
    <n v="64926027.979999997"/>
    <x v="2"/>
    <x v="1"/>
    <x v="0"/>
    <x v="6"/>
    <x v="1"/>
    <x v="2"/>
    <x v="2"/>
    <x v="2"/>
    <x v="6"/>
    <n v="24"/>
    <x v="0"/>
  </r>
  <r>
    <d v="2023-10-24T00:00:00"/>
    <x v="3"/>
    <x v="3"/>
    <x v="0"/>
    <n v="888296507.24000001"/>
    <x v="3"/>
    <x v="3"/>
    <x v="0"/>
    <x v="8"/>
    <x v="1"/>
    <x v="2"/>
    <x v="2"/>
    <x v="2"/>
    <x v="6"/>
    <n v="24"/>
    <x v="0"/>
  </r>
  <r>
    <d v="2023-10-24T00:00:00"/>
    <x v="1"/>
    <x v="0"/>
    <x v="1"/>
    <n v="2589752325.3800001"/>
    <x v="1"/>
    <x v="0"/>
    <x v="1"/>
    <x v="10"/>
    <x v="1"/>
    <x v="2"/>
    <x v="2"/>
    <x v="2"/>
    <x v="6"/>
    <n v="24"/>
    <x v="0"/>
  </r>
  <r>
    <d v="2023-10-24T00:00:00"/>
    <x v="3"/>
    <x v="1"/>
    <x v="0"/>
    <n v="12165883.98"/>
    <x v="3"/>
    <x v="1"/>
    <x v="0"/>
    <x v="11"/>
    <x v="1"/>
    <x v="2"/>
    <x v="2"/>
    <x v="2"/>
    <x v="6"/>
    <n v="24"/>
    <x v="0"/>
  </r>
  <r>
    <d v="2023-10-24T00:00:00"/>
    <x v="3"/>
    <x v="2"/>
    <x v="1"/>
    <n v="2830844902.8200002"/>
    <x v="3"/>
    <x v="2"/>
    <x v="1"/>
    <x v="12"/>
    <x v="1"/>
    <x v="2"/>
    <x v="2"/>
    <x v="2"/>
    <x v="6"/>
    <n v="24"/>
    <x v="0"/>
  </r>
  <r>
    <d v="2023-10-24T00:00:00"/>
    <x v="3"/>
    <x v="2"/>
    <x v="0"/>
    <n v="5846239298.4300003"/>
    <x v="3"/>
    <x v="2"/>
    <x v="0"/>
    <x v="13"/>
    <x v="1"/>
    <x v="2"/>
    <x v="2"/>
    <x v="2"/>
    <x v="6"/>
    <n v="24"/>
    <x v="0"/>
  </r>
  <r>
    <d v="2023-10-23T00:00:00"/>
    <x v="0"/>
    <x v="0"/>
    <x v="0"/>
    <n v="2082.81"/>
    <x v="0"/>
    <x v="0"/>
    <x v="0"/>
    <x v="0"/>
    <x v="1"/>
    <x v="2"/>
    <x v="2"/>
    <x v="2"/>
    <x v="6"/>
    <n v="23"/>
    <x v="0"/>
  </r>
  <r>
    <d v="2023-10-23T00:00:00"/>
    <x v="1"/>
    <x v="1"/>
    <x v="0"/>
    <n v="10434.950000000001"/>
    <x v="1"/>
    <x v="1"/>
    <x v="0"/>
    <x v="1"/>
    <x v="1"/>
    <x v="2"/>
    <x v="2"/>
    <x v="2"/>
    <x v="6"/>
    <n v="23"/>
    <x v="0"/>
  </r>
  <r>
    <d v="2023-10-23T00:00:00"/>
    <x v="0"/>
    <x v="1"/>
    <x v="0"/>
    <n v="9639256.8499999996"/>
    <x v="0"/>
    <x v="1"/>
    <x v="0"/>
    <x v="2"/>
    <x v="1"/>
    <x v="2"/>
    <x v="2"/>
    <x v="2"/>
    <x v="6"/>
    <n v="23"/>
    <x v="0"/>
  </r>
  <r>
    <d v="2023-10-23T00:00:00"/>
    <x v="3"/>
    <x v="2"/>
    <x v="2"/>
    <n v="211569"/>
    <x v="3"/>
    <x v="2"/>
    <x v="2"/>
    <x v="5"/>
    <x v="1"/>
    <x v="2"/>
    <x v="2"/>
    <x v="2"/>
    <x v="6"/>
    <n v="23"/>
    <x v="0"/>
  </r>
  <r>
    <d v="2023-10-23T00:00:00"/>
    <x v="2"/>
    <x v="1"/>
    <x v="2"/>
    <n v="1254165.3400000001"/>
    <x v="2"/>
    <x v="1"/>
    <x v="2"/>
    <x v="3"/>
    <x v="1"/>
    <x v="2"/>
    <x v="2"/>
    <x v="2"/>
    <x v="6"/>
    <n v="23"/>
    <x v="0"/>
  </r>
  <r>
    <d v="2023-10-23T00:00:00"/>
    <x v="2"/>
    <x v="1"/>
    <x v="0"/>
    <n v="100917008.81999999"/>
    <x v="2"/>
    <x v="1"/>
    <x v="0"/>
    <x v="6"/>
    <x v="1"/>
    <x v="2"/>
    <x v="2"/>
    <x v="2"/>
    <x v="6"/>
    <n v="23"/>
    <x v="0"/>
  </r>
  <r>
    <d v="2023-10-23T00:00:00"/>
    <x v="3"/>
    <x v="3"/>
    <x v="0"/>
    <n v="1859215509.0999999"/>
    <x v="3"/>
    <x v="3"/>
    <x v="0"/>
    <x v="7"/>
    <x v="1"/>
    <x v="2"/>
    <x v="2"/>
    <x v="2"/>
    <x v="6"/>
    <n v="23"/>
    <x v="0"/>
  </r>
  <r>
    <d v="2023-10-23T00:00:00"/>
    <x v="2"/>
    <x v="1"/>
    <x v="1"/>
    <n v="323441920.44"/>
    <x v="2"/>
    <x v="1"/>
    <x v="1"/>
    <x v="8"/>
    <x v="1"/>
    <x v="2"/>
    <x v="2"/>
    <x v="2"/>
    <x v="6"/>
    <n v="23"/>
    <x v="0"/>
  </r>
  <r>
    <d v="2023-10-23T00:00:00"/>
    <x v="1"/>
    <x v="0"/>
    <x v="0"/>
    <n v="98710448.260000005"/>
    <x v="1"/>
    <x v="0"/>
    <x v="0"/>
    <x v="9"/>
    <x v="1"/>
    <x v="2"/>
    <x v="2"/>
    <x v="2"/>
    <x v="6"/>
    <n v="23"/>
    <x v="0"/>
  </r>
  <r>
    <d v="2023-10-23T00:00:00"/>
    <x v="0"/>
    <x v="1"/>
    <x v="1"/>
    <n v="34320053.759999998"/>
    <x v="0"/>
    <x v="1"/>
    <x v="1"/>
    <x v="4"/>
    <x v="1"/>
    <x v="2"/>
    <x v="2"/>
    <x v="2"/>
    <x v="6"/>
    <n v="23"/>
    <x v="0"/>
  </r>
  <r>
    <d v="2023-10-23T00:00:00"/>
    <x v="1"/>
    <x v="0"/>
    <x v="1"/>
    <n v="2761479197.52"/>
    <x v="1"/>
    <x v="0"/>
    <x v="1"/>
    <x v="10"/>
    <x v="1"/>
    <x v="2"/>
    <x v="2"/>
    <x v="2"/>
    <x v="6"/>
    <n v="23"/>
    <x v="0"/>
  </r>
  <r>
    <d v="2023-10-23T00:00:00"/>
    <x v="3"/>
    <x v="1"/>
    <x v="0"/>
    <n v="45347133.649999999"/>
    <x v="3"/>
    <x v="1"/>
    <x v="0"/>
    <x v="11"/>
    <x v="1"/>
    <x v="2"/>
    <x v="2"/>
    <x v="2"/>
    <x v="6"/>
    <n v="23"/>
    <x v="0"/>
  </r>
  <r>
    <d v="2023-10-23T00:00:00"/>
    <x v="3"/>
    <x v="2"/>
    <x v="1"/>
    <n v="21978083273.860001"/>
    <x v="3"/>
    <x v="2"/>
    <x v="1"/>
    <x v="12"/>
    <x v="1"/>
    <x v="2"/>
    <x v="2"/>
    <x v="2"/>
    <x v="6"/>
    <n v="23"/>
    <x v="0"/>
  </r>
  <r>
    <d v="2023-10-23T00:00:00"/>
    <x v="3"/>
    <x v="2"/>
    <x v="0"/>
    <n v="774707816.40999997"/>
    <x v="3"/>
    <x v="2"/>
    <x v="0"/>
    <x v="13"/>
    <x v="1"/>
    <x v="2"/>
    <x v="2"/>
    <x v="2"/>
    <x v="6"/>
    <n v="23"/>
    <x v="0"/>
  </r>
  <r>
    <d v="2023-10-20T00:00:00"/>
    <x v="0"/>
    <x v="0"/>
    <x v="0"/>
    <n v="2550"/>
    <x v="0"/>
    <x v="0"/>
    <x v="0"/>
    <x v="0"/>
    <x v="1"/>
    <x v="2"/>
    <x v="2"/>
    <x v="2"/>
    <x v="6"/>
    <n v="20"/>
    <x v="0"/>
  </r>
  <r>
    <d v="2023-10-20T00:00:00"/>
    <x v="0"/>
    <x v="1"/>
    <x v="0"/>
    <n v="22795292.140000001"/>
    <x v="0"/>
    <x v="1"/>
    <x v="0"/>
    <x v="1"/>
    <x v="1"/>
    <x v="2"/>
    <x v="2"/>
    <x v="2"/>
    <x v="6"/>
    <n v="20"/>
    <x v="0"/>
  </r>
  <r>
    <d v="2023-10-20T00:00:00"/>
    <x v="3"/>
    <x v="3"/>
    <x v="2"/>
    <n v="1625"/>
    <x v="3"/>
    <x v="3"/>
    <x v="2"/>
    <x v="2"/>
    <x v="1"/>
    <x v="2"/>
    <x v="2"/>
    <x v="2"/>
    <x v="6"/>
    <n v="20"/>
    <x v="0"/>
  </r>
  <r>
    <d v="2023-10-20T00:00:00"/>
    <x v="2"/>
    <x v="1"/>
    <x v="2"/>
    <n v="9039.75"/>
    <x v="2"/>
    <x v="1"/>
    <x v="2"/>
    <x v="3"/>
    <x v="1"/>
    <x v="2"/>
    <x v="2"/>
    <x v="2"/>
    <x v="6"/>
    <n v="20"/>
    <x v="0"/>
  </r>
  <r>
    <d v="2023-10-20T00:00:00"/>
    <x v="2"/>
    <x v="1"/>
    <x v="1"/>
    <n v="452501036.86000001"/>
    <x v="2"/>
    <x v="1"/>
    <x v="1"/>
    <x v="9"/>
    <x v="1"/>
    <x v="2"/>
    <x v="2"/>
    <x v="2"/>
    <x v="6"/>
    <n v="20"/>
    <x v="0"/>
  </r>
  <r>
    <d v="2023-10-20T00:00:00"/>
    <x v="0"/>
    <x v="1"/>
    <x v="1"/>
    <n v="505819.83"/>
    <x v="0"/>
    <x v="1"/>
    <x v="1"/>
    <x v="4"/>
    <x v="1"/>
    <x v="2"/>
    <x v="2"/>
    <x v="2"/>
    <x v="6"/>
    <n v="20"/>
    <x v="0"/>
  </r>
  <r>
    <d v="2023-10-20T00:00:00"/>
    <x v="1"/>
    <x v="1"/>
    <x v="0"/>
    <n v="166667.35"/>
    <x v="1"/>
    <x v="1"/>
    <x v="0"/>
    <x v="5"/>
    <x v="1"/>
    <x v="2"/>
    <x v="2"/>
    <x v="2"/>
    <x v="6"/>
    <n v="20"/>
    <x v="0"/>
  </r>
  <r>
    <d v="2023-10-20T00:00:00"/>
    <x v="2"/>
    <x v="1"/>
    <x v="0"/>
    <n v="70548501.650000006"/>
    <x v="2"/>
    <x v="1"/>
    <x v="0"/>
    <x v="6"/>
    <x v="1"/>
    <x v="2"/>
    <x v="2"/>
    <x v="2"/>
    <x v="6"/>
    <n v="20"/>
    <x v="0"/>
  </r>
  <r>
    <d v="2023-10-20T00:00:00"/>
    <x v="3"/>
    <x v="3"/>
    <x v="0"/>
    <n v="1133365434.78"/>
    <x v="3"/>
    <x v="3"/>
    <x v="0"/>
    <x v="8"/>
    <x v="1"/>
    <x v="2"/>
    <x v="2"/>
    <x v="2"/>
    <x v="6"/>
    <n v="20"/>
    <x v="0"/>
  </r>
  <r>
    <d v="2023-10-20T00:00:00"/>
    <x v="3"/>
    <x v="2"/>
    <x v="2"/>
    <n v="117974"/>
    <x v="3"/>
    <x v="2"/>
    <x v="2"/>
    <x v="7"/>
    <x v="1"/>
    <x v="2"/>
    <x v="2"/>
    <x v="2"/>
    <x v="6"/>
    <n v="20"/>
    <x v="0"/>
  </r>
  <r>
    <d v="2023-10-20T00:00:00"/>
    <x v="1"/>
    <x v="0"/>
    <x v="0"/>
    <n v="85216840.079999998"/>
    <x v="1"/>
    <x v="0"/>
    <x v="0"/>
    <x v="10"/>
    <x v="1"/>
    <x v="2"/>
    <x v="2"/>
    <x v="2"/>
    <x v="6"/>
    <n v="20"/>
    <x v="0"/>
  </r>
  <r>
    <d v="2023-10-20T00:00:00"/>
    <x v="1"/>
    <x v="0"/>
    <x v="1"/>
    <n v="2655546918.77"/>
    <x v="1"/>
    <x v="0"/>
    <x v="1"/>
    <x v="11"/>
    <x v="1"/>
    <x v="2"/>
    <x v="2"/>
    <x v="2"/>
    <x v="6"/>
    <n v="20"/>
    <x v="0"/>
  </r>
  <r>
    <d v="2023-10-20T00:00:00"/>
    <x v="3"/>
    <x v="1"/>
    <x v="0"/>
    <n v="14684039.25"/>
    <x v="3"/>
    <x v="1"/>
    <x v="0"/>
    <x v="12"/>
    <x v="1"/>
    <x v="2"/>
    <x v="2"/>
    <x v="2"/>
    <x v="6"/>
    <n v="20"/>
    <x v="0"/>
  </r>
  <r>
    <d v="2023-10-20T00:00:00"/>
    <x v="3"/>
    <x v="2"/>
    <x v="1"/>
    <n v="7773796024.6099997"/>
    <x v="3"/>
    <x v="2"/>
    <x v="1"/>
    <x v="13"/>
    <x v="1"/>
    <x v="2"/>
    <x v="2"/>
    <x v="2"/>
    <x v="6"/>
    <n v="20"/>
    <x v="0"/>
  </r>
  <r>
    <d v="2023-10-20T00:00:00"/>
    <x v="3"/>
    <x v="2"/>
    <x v="0"/>
    <n v="816900654.01999998"/>
    <x v="3"/>
    <x v="2"/>
    <x v="0"/>
    <x v="14"/>
    <x v="1"/>
    <x v="2"/>
    <x v="2"/>
    <x v="2"/>
    <x v="6"/>
    <n v="20"/>
    <x v="0"/>
  </r>
  <r>
    <d v="2023-10-19T00:00:00"/>
    <x v="0"/>
    <x v="1"/>
    <x v="0"/>
    <n v="20006290.91"/>
    <x v="0"/>
    <x v="1"/>
    <x v="0"/>
    <x v="0"/>
    <x v="1"/>
    <x v="2"/>
    <x v="2"/>
    <x v="2"/>
    <x v="6"/>
    <n v="19"/>
    <x v="0"/>
  </r>
  <r>
    <d v="2023-10-19T00:00:00"/>
    <x v="2"/>
    <x v="1"/>
    <x v="2"/>
    <n v="10779.75"/>
    <x v="2"/>
    <x v="1"/>
    <x v="2"/>
    <x v="3"/>
    <x v="1"/>
    <x v="2"/>
    <x v="2"/>
    <x v="2"/>
    <x v="6"/>
    <n v="19"/>
    <x v="0"/>
  </r>
  <r>
    <d v="2023-10-19T00:00:00"/>
    <x v="1"/>
    <x v="1"/>
    <x v="0"/>
    <n v="141001.43"/>
    <x v="1"/>
    <x v="1"/>
    <x v="0"/>
    <x v="2"/>
    <x v="1"/>
    <x v="2"/>
    <x v="2"/>
    <x v="2"/>
    <x v="6"/>
    <n v="19"/>
    <x v="0"/>
  </r>
  <r>
    <d v="2023-10-19T00:00:00"/>
    <x v="2"/>
    <x v="1"/>
    <x v="1"/>
    <n v="361219118.98000002"/>
    <x v="2"/>
    <x v="1"/>
    <x v="1"/>
    <x v="6"/>
    <x v="1"/>
    <x v="2"/>
    <x v="2"/>
    <x v="2"/>
    <x v="6"/>
    <n v="19"/>
    <x v="0"/>
  </r>
  <r>
    <d v="2023-10-19T00:00:00"/>
    <x v="3"/>
    <x v="3"/>
    <x v="0"/>
    <n v="1779006245.79"/>
    <x v="3"/>
    <x v="3"/>
    <x v="0"/>
    <x v="7"/>
    <x v="1"/>
    <x v="2"/>
    <x v="2"/>
    <x v="2"/>
    <x v="6"/>
    <n v="19"/>
    <x v="0"/>
  </r>
  <r>
    <d v="2023-10-19T00:00:00"/>
    <x v="0"/>
    <x v="1"/>
    <x v="1"/>
    <n v="9836750.5700000003"/>
    <x v="0"/>
    <x v="1"/>
    <x v="1"/>
    <x v="1"/>
    <x v="1"/>
    <x v="2"/>
    <x v="2"/>
    <x v="2"/>
    <x v="6"/>
    <n v="19"/>
    <x v="0"/>
  </r>
  <r>
    <d v="2023-10-19T00:00:00"/>
    <x v="3"/>
    <x v="2"/>
    <x v="2"/>
    <n v="100589.69"/>
    <x v="3"/>
    <x v="2"/>
    <x v="2"/>
    <x v="4"/>
    <x v="1"/>
    <x v="2"/>
    <x v="2"/>
    <x v="2"/>
    <x v="6"/>
    <n v="19"/>
    <x v="0"/>
  </r>
  <r>
    <d v="2023-10-19T00:00:00"/>
    <x v="2"/>
    <x v="1"/>
    <x v="0"/>
    <n v="76235931.599999994"/>
    <x v="2"/>
    <x v="1"/>
    <x v="0"/>
    <x v="5"/>
    <x v="1"/>
    <x v="2"/>
    <x v="2"/>
    <x v="2"/>
    <x v="6"/>
    <n v="19"/>
    <x v="0"/>
  </r>
  <r>
    <d v="2023-10-19T00:00:00"/>
    <x v="1"/>
    <x v="0"/>
    <x v="0"/>
    <n v="127606581.08"/>
    <x v="1"/>
    <x v="0"/>
    <x v="0"/>
    <x v="8"/>
    <x v="1"/>
    <x v="2"/>
    <x v="2"/>
    <x v="2"/>
    <x v="6"/>
    <n v="19"/>
    <x v="0"/>
  </r>
  <r>
    <d v="2023-10-19T00:00:00"/>
    <x v="1"/>
    <x v="0"/>
    <x v="1"/>
    <n v="2336252668.7399998"/>
    <x v="1"/>
    <x v="0"/>
    <x v="1"/>
    <x v="9"/>
    <x v="1"/>
    <x v="2"/>
    <x v="2"/>
    <x v="2"/>
    <x v="6"/>
    <n v="19"/>
    <x v="0"/>
  </r>
  <r>
    <d v="2023-10-19T00:00:00"/>
    <x v="3"/>
    <x v="1"/>
    <x v="0"/>
    <n v="15357292.810000001"/>
    <x v="3"/>
    <x v="1"/>
    <x v="0"/>
    <x v="10"/>
    <x v="1"/>
    <x v="2"/>
    <x v="2"/>
    <x v="2"/>
    <x v="6"/>
    <n v="19"/>
    <x v="0"/>
  </r>
  <r>
    <d v="2023-10-19T00:00:00"/>
    <x v="3"/>
    <x v="2"/>
    <x v="1"/>
    <n v="3289354186.7199998"/>
    <x v="3"/>
    <x v="2"/>
    <x v="1"/>
    <x v="11"/>
    <x v="1"/>
    <x v="2"/>
    <x v="2"/>
    <x v="2"/>
    <x v="6"/>
    <n v="19"/>
    <x v="0"/>
  </r>
  <r>
    <d v="2023-10-19T00:00:00"/>
    <x v="3"/>
    <x v="2"/>
    <x v="0"/>
    <n v="517797664.12"/>
    <x v="3"/>
    <x v="2"/>
    <x v="0"/>
    <x v="12"/>
    <x v="1"/>
    <x v="2"/>
    <x v="2"/>
    <x v="2"/>
    <x v="6"/>
    <n v="19"/>
    <x v="0"/>
  </r>
  <r>
    <d v="2023-10-18T00:00:00"/>
    <x v="0"/>
    <x v="0"/>
    <x v="0"/>
    <n v="15004.11"/>
    <x v="0"/>
    <x v="0"/>
    <x v="0"/>
    <x v="0"/>
    <x v="1"/>
    <x v="2"/>
    <x v="2"/>
    <x v="2"/>
    <x v="6"/>
    <n v="18"/>
    <x v="0"/>
  </r>
  <r>
    <d v="2023-10-18T00:00:00"/>
    <x v="1"/>
    <x v="1"/>
    <x v="0"/>
    <n v="36131.699999999997"/>
    <x v="1"/>
    <x v="1"/>
    <x v="0"/>
    <x v="1"/>
    <x v="1"/>
    <x v="2"/>
    <x v="2"/>
    <x v="2"/>
    <x v="6"/>
    <n v="18"/>
    <x v="0"/>
  </r>
  <r>
    <d v="2023-10-18T00:00:00"/>
    <x v="0"/>
    <x v="1"/>
    <x v="0"/>
    <n v="11821032.699999999"/>
    <x v="0"/>
    <x v="1"/>
    <x v="0"/>
    <x v="2"/>
    <x v="1"/>
    <x v="2"/>
    <x v="2"/>
    <x v="2"/>
    <x v="6"/>
    <n v="18"/>
    <x v="0"/>
  </r>
  <r>
    <d v="2023-10-18T00:00:00"/>
    <x v="2"/>
    <x v="1"/>
    <x v="2"/>
    <n v="7240.31"/>
    <x v="2"/>
    <x v="1"/>
    <x v="2"/>
    <x v="3"/>
    <x v="1"/>
    <x v="2"/>
    <x v="2"/>
    <x v="2"/>
    <x v="6"/>
    <n v="18"/>
    <x v="0"/>
  </r>
  <r>
    <d v="2023-10-18T00:00:00"/>
    <x v="3"/>
    <x v="2"/>
    <x v="2"/>
    <n v="262358.76"/>
    <x v="3"/>
    <x v="2"/>
    <x v="2"/>
    <x v="4"/>
    <x v="1"/>
    <x v="2"/>
    <x v="2"/>
    <x v="2"/>
    <x v="6"/>
    <n v="18"/>
    <x v="0"/>
  </r>
  <r>
    <d v="2023-10-18T00:00:00"/>
    <x v="2"/>
    <x v="1"/>
    <x v="0"/>
    <n v="77998314.540000007"/>
    <x v="2"/>
    <x v="1"/>
    <x v="0"/>
    <x v="7"/>
    <x v="1"/>
    <x v="2"/>
    <x v="2"/>
    <x v="2"/>
    <x v="6"/>
    <n v="18"/>
    <x v="0"/>
  </r>
  <r>
    <d v="2023-10-18T00:00:00"/>
    <x v="2"/>
    <x v="1"/>
    <x v="1"/>
    <n v="367074484.79000002"/>
    <x v="2"/>
    <x v="1"/>
    <x v="1"/>
    <x v="8"/>
    <x v="1"/>
    <x v="2"/>
    <x v="2"/>
    <x v="2"/>
    <x v="6"/>
    <n v="18"/>
    <x v="0"/>
  </r>
  <r>
    <d v="2023-10-18T00:00:00"/>
    <x v="3"/>
    <x v="3"/>
    <x v="0"/>
    <n v="670745349.63"/>
    <x v="3"/>
    <x v="3"/>
    <x v="0"/>
    <x v="9"/>
    <x v="1"/>
    <x v="2"/>
    <x v="2"/>
    <x v="2"/>
    <x v="6"/>
    <n v="18"/>
    <x v="0"/>
  </r>
  <r>
    <d v="2023-10-18T00:00:00"/>
    <x v="3"/>
    <x v="3"/>
    <x v="1"/>
    <n v="26748.47"/>
    <x v="3"/>
    <x v="3"/>
    <x v="1"/>
    <x v="5"/>
    <x v="1"/>
    <x v="2"/>
    <x v="2"/>
    <x v="2"/>
    <x v="6"/>
    <n v="18"/>
    <x v="0"/>
  </r>
  <r>
    <d v="2023-10-18T00:00:00"/>
    <x v="0"/>
    <x v="1"/>
    <x v="1"/>
    <n v="9308507.7899999991"/>
    <x v="0"/>
    <x v="1"/>
    <x v="1"/>
    <x v="6"/>
    <x v="1"/>
    <x v="2"/>
    <x v="2"/>
    <x v="2"/>
    <x v="6"/>
    <n v="18"/>
    <x v="0"/>
  </r>
  <r>
    <d v="2023-10-18T00:00:00"/>
    <x v="1"/>
    <x v="0"/>
    <x v="1"/>
    <n v="3496801956.6799998"/>
    <x v="1"/>
    <x v="0"/>
    <x v="1"/>
    <x v="10"/>
    <x v="1"/>
    <x v="2"/>
    <x v="2"/>
    <x v="2"/>
    <x v="6"/>
    <n v="18"/>
    <x v="0"/>
  </r>
  <r>
    <d v="2023-10-18T00:00:00"/>
    <x v="1"/>
    <x v="0"/>
    <x v="0"/>
    <n v="96957806.859999999"/>
    <x v="1"/>
    <x v="0"/>
    <x v="0"/>
    <x v="11"/>
    <x v="1"/>
    <x v="2"/>
    <x v="2"/>
    <x v="2"/>
    <x v="6"/>
    <n v="18"/>
    <x v="0"/>
  </r>
  <r>
    <d v="2023-10-18T00:00:00"/>
    <x v="3"/>
    <x v="1"/>
    <x v="0"/>
    <n v="15235674.17"/>
    <x v="3"/>
    <x v="1"/>
    <x v="0"/>
    <x v="12"/>
    <x v="1"/>
    <x v="2"/>
    <x v="2"/>
    <x v="2"/>
    <x v="6"/>
    <n v="18"/>
    <x v="0"/>
  </r>
  <r>
    <d v="2023-10-18T00:00:00"/>
    <x v="3"/>
    <x v="2"/>
    <x v="1"/>
    <n v="15679529835.5"/>
    <x v="3"/>
    <x v="2"/>
    <x v="1"/>
    <x v="13"/>
    <x v="1"/>
    <x v="2"/>
    <x v="2"/>
    <x v="2"/>
    <x v="6"/>
    <n v="18"/>
    <x v="0"/>
  </r>
  <r>
    <d v="2023-10-18T00:00:00"/>
    <x v="3"/>
    <x v="2"/>
    <x v="0"/>
    <n v="933869869.37"/>
    <x v="3"/>
    <x v="2"/>
    <x v="0"/>
    <x v="14"/>
    <x v="1"/>
    <x v="2"/>
    <x v="2"/>
    <x v="2"/>
    <x v="6"/>
    <n v="18"/>
    <x v="0"/>
  </r>
  <r>
    <d v="2023-10-17T00:00:00"/>
    <x v="1"/>
    <x v="1"/>
    <x v="0"/>
    <n v="6406707.1399999997"/>
    <x v="1"/>
    <x v="1"/>
    <x v="0"/>
    <x v="0"/>
    <x v="1"/>
    <x v="2"/>
    <x v="2"/>
    <x v="2"/>
    <x v="6"/>
    <n v="17"/>
    <x v="0"/>
  </r>
  <r>
    <d v="2023-10-17T00:00:00"/>
    <x v="0"/>
    <x v="1"/>
    <x v="0"/>
    <n v="16571140.34"/>
    <x v="0"/>
    <x v="1"/>
    <x v="0"/>
    <x v="1"/>
    <x v="1"/>
    <x v="2"/>
    <x v="2"/>
    <x v="2"/>
    <x v="6"/>
    <n v="17"/>
    <x v="0"/>
  </r>
  <r>
    <d v="2023-10-17T00:00:00"/>
    <x v="3"/>
    <x v="3"/>
    <x v="2"/>
    <n v="60.2"/>
    <x v="3"/>
    <x v="3"/>
    <x v="2"/>
    <x v="2"/>
    <x v="1"/>
    <x v="2"/>
    <x v="2"/>
    <x v="2"/>
    <x v="6"/>
    <n v="17"/>
    <x v="0"/>
  </r>
  <r>
    <d v="2023-10-17T00:00:00"/>
    <x v="2"/>
    <x v="1"/>
    <x v="2"/>
    <n v="8562.2199999999993"/>
    <x v="2"/>
    <x v="1"/>
    <x v="2"/>
    <x v="3"/>
    <x v="1"/>
    <x v="2"/>
    <x v="2"/>
    <x v="2"/>
    <x v="6"/>
    <n v="17"/>
    <x v="0"/>
  </r>
  <r>
    <d v="2023-10-17T00:00:00"/>
    <x v="2"/>
    <x v="1"/>
    <x v="0"/>
    <n v="109666060.67"/>
    <x v="2"/>
    <x v="1"/>
    <x v="0"/>
    <x v="7"/>
    <x v="1"/>
    <x v="2"/>
    <x v="2"/>
    <x v="2"/>
    <x v="6"/>
    <n v="17"/>
    <x v="0"/>
  </r>
  <r>
    <d v="2023-10-17T00:00:00"/>
    <x v="3"/>
    <x v="3"/>
    <x v="0"/>
    <n v="1041169132.29"/>
    <x v="3"/>
    <x v="3"/>
    <x v="0"/>
    <x v="8"/>
    <x v="1"/>
    <x v="2"/>
    <x v="2"/>
    <x v="2"/>
    <x v="6"/>
    <n v="17"/>
    <x v="0"/>
  </r>
  <r>
    <d v="2023-10-17T00:00:00"/>
    <x v="3"/>
    <x v="2"/>
    <x v="2"/>
    <n v="283138.75"/>
    <x v="3"/>
    <x v="2"/>
    <x v="2"/>
    <x v="6"/>
    <x v="1"/>
    <x v="2"/>
    <x v="2"/>
    <x v="2"/>
    <x v="6"/>
    <n v="17"/>
    <x v="0"/>
  </r>
  <r>
    <d v="2023-10-17T00:00:00"/>
    <x v="2"/>
    <x v="1"/>
    <x v="1"/>
    <n v="264505125.13999999"/>
    <x v="2"/>
    <x v="1"/>
    <x v="1"/>
    <x v="9"/>
    <x v="1"/>
    <x v="2"/>
    <x v="2"/>
    <x v="2"/>
    <x v="6"/>
    <n v="17"/>
    <x v="0"/>
  </r>
  <r>
    <d v="2023-10-17T00:00:00"/>
    <x v="1"/>
    <x v="0"/>
    <x v="1"/>
    <n v="577833818.47000003"/>
    <x v="1"/>
    <x v="0"/>
    <x v="1"/>
    <x v="10"/>
    <x v="1"/>
    <x v="2"/>
    <x v="2"/>
    <x v="2"/>
    <x v="6"/>
    <n v="17"/>
    <x v="0"/>
  </r>
  <r>
    <d v="2023-10-17T00:00:00"/>
    <x v="1"/>
    <x v="0"/>
    <x v="0"/>
    <n v="83445705.930000007"/>
    <x v="1"/>
    <x v="0"/>
    <x v="0"/>
    <x v="11"/>
    <x v="1"/>
    <x v="2"/>
    <x v="2"/>
    <x v="2"/>
    <x v="6"/>
    <n v="17"/>
    <x v="0"/>
  </r>
  <r>
    <d v="2023-10-17T00:00:00"/>
    <x v="3"/>
    <x v="3"/>
    <x v="1"/>
    <n v="147068.9"/>
    <x v="3"/>
    <x v="3"/>
    <x v="1"/>
    <x v="4"/>
    <x v="1"/>
    <x v="2"/>
    <x v="2"/>
    <x v="2"/>
    <x v="6"/>
    <n v="17"/>
    <x v="0"/>
  </r>
  <r>
    <d v="2023-10-17T00:00:00"/>
    <x v="0"/>
    <x v="1"/>
    <x v="1"/>
    <n v="3993732.99"/>
    <x v="0"/>
    <x v="1"/>
    <x v="1"/>
    <x v="5"/>
    <x v="1"/>
    <x v="2"/>
    <x v="2"/>
    <x v="2"/>
    <x v="6"/>
    <n v="17"/>
    <x v="0"/>
  </r>
  <r>
    <d v="2023-10-17T00:00:00"/>
    <x v="3"/>
    <x v="1"/>
    <x v="0"/>
    <n v="13242304.57"/>
    <x v="3"/>
    <x v="1"/>
    <x v="0"/>
    <x v="12"/>
    <x v="1"/>
    <x v="2"/>
    <x v="2"/>
    <x v="2"/>
    <x v="6"/>
    <n v="17"/>
    <x v="0"/>
  </r>
  <r>
    <d v="2023-10-17T00:00:00"/>
    <x v="3"/>
    <x v="2"/>
    <x v="1"/>
    <n v="14105866247.879999"/>
    <x v="3"/>
    <x v="2"/>
    <x v="1"/>
    <x v="13"/>
    <x v="1"/>
    <x v="2"/>
    <x v="2"/>
    <x v="2"/>
    <x v="6"/>
    <n v="17"/>
    <x v="0"/>
  </r>
  <r>
    <d v="2023-10-17T00:00:00"/>
    <x v="3"/>
    <x v="2"/>
    <x v="0"/>
    <n v="886862627.60000002"/>
    <x v="3"/>
    <x v="2"/>
    <x v="0"/>
    <x v="14"/>
    <x v="1"/>
    <x v="2"/>
    <x v="2"/>
    <x v="2"/>
    <x v="6"/>
    <n v="17"/>
    <x v="0"/>
  </r>
  <r>
    <d v="2023-10-16T00:00:00"/>
    <x v="1"/>
    <x v="1"/>
    <x v="0"/>
    <n v="176282.11"/>
    <x v="1"/>
    <x v="1"/>
    <x v="0"/>
    <x v="0"/>
    <x v="1"/>
    <x v="2"/>
    <x v="2"/>
    <x v="2"/>
    <x v="6"/>
    <n v="16"/>
    <x v="0"/>
  </r>
  <r>
    <d v="2023-10-16T00:00:00"/>
    <x v="0"/>
    <x v="1"/>
    <x v="0"/>
    <n v="14708172.369999999"/>
    <x v="0"/>
    <x v="1"/>
    <x v="0"/>
    <x v="1"/>
    <x v="1"/>
    <x v="2"/>
    <x v="2"/>
    <x v="2"/>
    <x v="6"/>
    <n v="16"/>
    <x v="0"/>
  </r>
  <r>
    <d v="2023-10-16T00:00:00"/>
    <x v="3"/>
    <x v="3"/>
    <x v="2"/>
    <n v="63.88"/>
    <x v="3"/>
    <x v="3"/>
    <x v="2"/>
    <x v="2"/>
    <x v="1"/>
    <x v="2"/>
    <x v="2"/>
    <x v="2"/>
    <x v="6"/>
    <n v="16"/>
    <x v="0"/>
  </r>
  <r>
    <d v="2023-10-16T00:00:00"/>
    <x v="2"/>
    <x v="1"/>
    <x v="2"/>
    <n v="2039"/>
    <x v="2"/>
    <x v="1"/>
    <x v="2"/>
    <x v="3"/>
    <x v="1"/>
    <x v="2"/>
    <x v="2"/>
    <x v="2"/>
    <x v="6"/>
    <n v="16"/>
    <x v="0"/>
  </r>
  <r>
    <d v="2023-10-16T00:00:00"/>
    <x v="2"/>
    <x v="1"/>
    <x v="0"/>
    <n v="90709724.5"/>
    <x v="2"/>
    <x v="1"/>
    <x v="0"/>
    <x v="7"/>
    <x v="1"/>
    <x v="2"/>
    <x v="2"/>
    <x v="2"/>
    <x v="6"/>
    <n v="16"/>
    <x v="0"/>
  </r>
  <r>
    <d v="2023-10-16T00:00:00"/>
    <x v="3"/>
    <x v="3"/>
    <x v="0"/>
    <n v="2331400490.2800002"/>
    <x v="3"/>
    <x v="3"/>
    <x v="0"/>
    <x v="8"/>
    <x v="1"/>
    <x v="2"/>
    <x v="2"/>
    <x v="2"/>
    <x v="6"/>
    <n v="16"/>
    <x v="0"/>
  </r>
  <r>
    <d v="2023-10-16T00:00:00"/>
    <x v="2"/>
    <x v="1"/>
    <x v="1"/>
    <n v="548861776.90999997"/>
    <x v="2"/>
    <x v="1"/>
    <x v="1"/>
    <x v="9"/>
    <x v="1"/>
    <x v="2"/>
    <x v="2"/>
    <x v="2"/>
    <x v="6"/>
    <n v="16"/>
    <x v="0"/>
  </r>
  <r>
    <d v="2023-10-16T00:00:00"/>
    <x v="3"/>
    <x v="3"/>
    <x v="1"/>
    <n v="77261.05"/>
    <x v="3"/>
    <x v="3"/>
    <x v="1"/>
    <x v="4"/>
    <x v="1"/>
    <x v="2"/>
    <x v="2"/>
    <x v="2"/>
    <x v="6"/>
    <n v="16"/>
    <x v="0"/>
  </r>
  <r>
    <d v="2023-10-16T00:00:00"/>
    <x v="0"/>
    <x v="1"/>
    <x v="1"/>
    <n v="2836302.56"/>
    <x v="0"/>
    <x v="1"/>
    <x v="1"/>
    <x v="5"/>
    <x v="1"/>
    <x v="2"/>
    <x v="2"/>
    <x v="2"/>
    <x v="6"/>
    <n v="16"/>
    <x v="0"/>
  </r>
  <r>
    <d v="2023-10-16T00:00:00"/>
    <x v="1"/>
    <x v="0"/>
    <x v="1"/>
    <n v="313631247.02999997"/>
    <x v="1"/>
    <x v="0"/>
    <x v="1"/>
    <x v="10"/>
    <x v="1"/>
    <x v="2"/>
    <x v="2"/>
    <x v="2"/>
    <x v="6"/>
    <n v="16"/>
    <x v="0"/>
  </r>
  <r>
    <d v="2023-10-16T00:00:00"/>
    <x v="3"/>
    <x v="2"/>
    <x v="2"/>
    <n v="177719.65"/>
    <x v="3"/>
    <x v="2"/>
    <x v="2"/>
    <x v="6"/>
    <x v="1"/>
    <x v="2"/>
    <x v="2"/>
    <x v="2"/>
    <x v="6"/>
    <n v="16"/>
    <x v="0"/>
  </r>
  <r>
    <d v="2023-10-16T00:00:00"/>
    <x v="1"/>
    <x v="0"/>
    <x v="0"/>
    <n v="62309074.140000001"/>
    <x v="1"/>
    <x v="0"/>
    <x v="0"/>
    <x v="11"/>
    <x v="1"/>
    <x v="2"/>
    <x v="2"/>
    <x v="2"/>
    <x v="6"/>
    <n v="16"/>
    <x v="0"/>
  </r>
  <r>
    <d v="2023-10-16T00:00:00"/>
    <x v="3"/>
    <x v="1"/>
    <x v="0"/>
    <n v="49814961.990000002"/>
    <x v="3"/>
    <x v="1"/>
    <x v="0"/>
    <x v="12"/>
    <x v="1"/>
    <x v="2"/>
    <x v="2"/>
    <x v="2"/>
    <x v="6"/>
    <n v="16"/>
    <x v="0"/>
  </r>
  <r>
    <d v="2023-10-16T00:00:00"/>
    <x v="3"/>
    <x v="2"/>
    <x v="1"/>
    <n v="86458485523.639999"/>
    <x v="3"/>
    <x v="2"/>
    <x v="1"/>
    <x v="13"/>
    <x v="1"/>
    <x v="2"/>
    <x v="2"/>
    <x v="2"/>
    <x v="6"/>
    <n v="16"/>
    <x v="0"/>
  </r>
  <r>
    <d v="2023-10-16T00:00:00"/>
    <x v="3"/>
    <x v="2"/>
    <x v="0"/>
    <n v="763922008.90999997"/>
    <x v="3"/>
    <x v="2"/>
    <x v="0"/>
    <x v="14"/>
    <x v="1"/>
    <x v="2"/>
    <x v="2"/>
    <x v="2"/>
    <x v="6"/>
    <n v="16"/>
    <x v="0"/>
  </r>
  <r>
    <d v="2023-10-13T00:00:00"/>
    <x v="0"/>
    <x v="0"/>
    <x v="0"/>
    <n v="403.41"/>
    <x v="0"/>
    <x v="0"/>
    <x v="0"/>
    <x v="0"/>
    <x v="1"/>
    <x v="2"/>
    <x v="2"/>
    <x v="2"/>
    <x v="6"/>
    <n v="13"/>
    <x v="0"/>
  </r>
  <r>
    <d v="2023-10-13T00:00:00"/>
    <x v="1"/>
    <x v="1"/>
    <x v="0"/>
    <n v="133561.57999999999"/>
    <x v="1"/>
    <x v="1"/>
    <x v="0"/>
    <x v="1"/>
    <x v="1"/>
    <x v="2"/>
    <x v="2"/>
    <x v="2"/>
    <x v="6"/>
    <n v="13"/>
    <x v="0"/>
  </r>
  <r>
    <d v="2023-10-13T00:00:00"/>
    <x v="0"/>
    <x v="1"/>
    <x v="0"/>
    <n v="11689952.890000001"/>
    <x v="0"/>
    <x v="1"/>
    <x v="0"/>
    <x v="2"/>
    <x v="1"/>
    <x v="2"/>
    <x v="2"/>
    <x v="2"/>
    <x v="6"/>
    <n v="13"/>
    <x v="0"/>
  </r>
  <r>
    <d v="2023-10-13T00:00:00"/>
    <x v="3"/>
    <x v="3"/>
    <x v="2"/>
    <n v="46916"/>
    <x v="3"/>
    <x v="3"/>
    <x v="2"/>
    <x v="3"/>
    <x v="1"/>
    <x v="2"/>
    <x v="2"/>
    <x v="2"/>
    <x v="6"/>
    <n v="13"/>
    <x v="0"/>
  </r>
  <r>
    <d v="2023-10-13T00:00:00"/>
    <x v="2"/>
    <x v="1"/>
    <x v="2"/>
    <n v="47189.83"/>
    <x v="2"/>
    <x v="1"/>
    <x v="2"/>
    <x v="4"/>
    <x v="1"/>
    <x v="2"/>
    <x v="2"/>
    <x v="2"/>
    <x v="6"/>
    <n v="13"/>
    <x v="0"/>
  </r>
  <r>
    <d v="2023-10-13T00:00:00"/>
    <x v="3"/>
    <x v="2"/>
    <x v="2"/>
    <n v="223168.24"/>
    <x v="3"/>
    <x v="2"/>
    <x v="2"/>
    <x v="7"/>
    <x v="1"/>
    <x v="2"/>
    <x v="2"/>
    <x v="2"/>
    <x v="6"/>
    <n v="13"/>
    <x v="0"/>
  </r>
  <r>
    <d v="2023-10-13T00:00:00"/>
    <x v="3"/>
    <x v="3"/>
    <x v="0"/>
    <n v="2497168360.4200001"/>
    <x v="3"/>
    <x v="3"/>
    <x v="0"/>
    <x v="10"/>
    <x v="1"/>
    <x v="2"/>
    <x v="2"/>
    <x v="2"/>
    <x v="6"/>
    <n v="13"/>
    <x v="0"/>
  </r>
  <r>
    <d v="2023-10-13T00:00:00"/>
    <x v="3"/>
    <x v="3"/>
    <x v="1"/>
    <n v="64116.7"/>
    <x v="3"/>
    <x v="3"/>
    <x v="1"/>
    <x v="5"/>
    <x v="1"/>
    <x v="2"/>
    <x v="2"/>
    <x v="2"/>
    <x v="6"/>
    <n v="13"/>
    <x v="0"/>
  </r>
  <r>
    <d v="2023-10-13T00:00:00"/>
    <x v="0"/>
    <x v="1"/>
    <x v="1"/>
    <n v="15531376.859999999"/>
    <x v="0"/>
    <x v="1"/>
    <x v="1"/>
    <x v="6"/>
    <x v="1"/>
    <x v="2"/>
    <x v="2"/>
    <x v="2"/>
    <x v="6"/>
    <n v="13"/>
    <x v="0"/>
  </r>
  <r>
    <d v="2023-10-13T00:00:00"/>
    <x v="2"/>
    <x v="1"/>
    <x v="0"/>
    <n v="71903260.260000005"/>
    <x v="2"/>
    <x v="1"/>
    <x v="0"/>
    <x v="8"/>
    <x v="1"/>
    <x v="2"/>
    <x v="2"/>
    <x v="2"/>
    <x v="6"/>
    <n v="13"/>
    <x v="0"/>
  </r>
  <r>
    <d v="2023-10-13T00:00:00"/>
    <x v="2"/>
    <x v="1"/>
    <x v="1"/>
    <n v="408007984.27999997"/>
    <x v="2"/>
    <x v="1"/>
    <x v="1"/>
    <x v="9"/>
    <x v="1"/>
    <x v="2"/>
    <x v="2"/>
    <x v="2"/>
    <x v="6"/>
    <n v="13"/>
    <x v="0"/>
  </r>
  <r>
    <d v="2023-10-13T00:00:00"/>
    <x v="1"/>
    <x v="0"/>
    <x v="0"/>
    <n v="54344658.390000001"/>
    <x v="1"/>
    <x v="0"/>
    <x v="0"/>
    <x v="11"/>
    <x v="1"/>
    <x v="2"/>
    <x v="2"/>
    <x v="2"/>
    <x v="6"/>
    <n v="13"/>
    <x v="0"/>
  </r>
  <r>
    <d v="2023-10-13T00:00:00"/>
    <x v="1"/>
    <x v="0"/>
    <x v="1"/>
    <n v="774450382.71000004"/>
    <x v="1"/>
    <x v="0"/>
    <x v="1"/>
    <x v="12"/>
    <x v="1"/>
    <x v="2"/>
    <x v="2"/>
    <x v="2"/>
    <x v="6"/>
    <n v="13"/>
    <x v="0"/>
  </r>
  <r>
    <d v="2023-10-13T00:00:00"/>
    <x v="3"/>
    <x v="1"/>
    <x v="0"/>
    <n v="16079693.73"/>
    <x v="3"/>
    <x v="1"/>
    <x v="0"/>
    <x v="13"/>
    <x v="1"/>
    <x v="2"/>
    <x v="2"/>
    <x v="2"/>
    <x v="6"/>
    <n v="13"/>
    <x v="0"/>
  </r>
  <r>
    <d v="2023-10-13T00:00:00"/>
    <x v="3"/>
    <x v="2"/>
    <x v="1"/>
    <n v="25611071982.779999"/>
    <x v="3"/>
    <x v="2"/>
    <x v="1"/>
    <x v="14"/>
    <x v="1"/>
    <x v="2"/>
    <x v="2"/>
    <x v="2"/>
    <x v="6"/>
    <n v="13"/>
    <x v="0"/>
  </r>
  <r>
    <d v="2023-10-13T00:00:00"/>
    <x v="3"/>
    <x v="2"/>
    <x v="0"/>
    <n v="737313715.73000002"/>
    <x v="3"/>
    <x v="2"/>
    <x v="0"/>
    <x v="15"/>
    <x v="1"/>
    <x v="2"/>
    <x v="2"/>
    <x v="2"/>
    <x v="6"/>
    <n v="13"/>
    <x v="0"/>
  </r>
  <r>
    <d v="2023-10-12T00:00:00"/>
    <x v="0"/>
    <x v="1"/>
    <x v="0"/>
    <n v="11937217.359999999"/>
    <x v="0"/>
    <x v="1"/>
    <x v="0"/>
    <x v="0"/>
    <x v="1"/>
    <x v="2"/>
    <x v="2"/>
    <x v="2"/>
    <x v="6"/>
    <n v="12"/>
    <x v="0"/>
  </r>
  <r>
    <d v="2023-10-12T00:00:00"/>
    <x v="2"/>
    <x v="1"/>
    <x v="2"/>
    <n v="13105"/>
    <x v="2"/>
    <x v="1"/>
    <x v="2"/>
    <x v="1"/>
    <x v="1"/>
    <x v="2"/>
    <x v="2"/>
    <x v="2"/>
    <x v="6"/>
    <n v="12"/>
    <x v="0"/>
  </r>
  <r>
    <d v="2023-10-12T00:00:00"/>
    <x v="2"/>
    <x v="1"/>
    <x v="0"/>
    <n v="88683929.329999998"/>
    <x v="2"/>
    <x v="1"/>
    <x v="0"/>
    <x v="6"/>
    <x v="1"/>
    <x v="2"/>
    <x v="2"/>
    <x v="2"/>
    <x v="6"/>
    <n v="12"/>
    <x v="0"/>
  </r>
  <r>
    <d v="2023-10-12T00:00:00"/>
    <x v="3"/>
    <x v="3"/>
    <x v="0"/>
    <n v="2353421604.7600002"/>
    <x v="3"/>
    <x v="3"/>
    <x v="0"/>
    <x v="7"/>
    <x v="1"/>
    <x v="2"/>
    <x v="2"/>
    <x v="2"/>
    <x v="6"/>
    <n v="12"/>
    <x v="0"/>
  </r>
  <r>
    <d v="2023-10-12T00:00:00"/>
    <x v="1"/>
    <x v="1"/>
    <x v="0"/>
    <n v="114805.26"/>
    <x v="1"/>
    <x v="1"/>
    <x v="0"/>
    <x v="5"/>
    <x v="1"/>
    <x v="2"/>
    <x v="2"/>
    <x v="2"/>
    <x v="6"/>
    <n v="12"/>
    <x v="0"/>
  </r>
  <r>
    <d v="2023-10-12T00:00:00"/>
    <x v="3"/>
    <x v="3"/>
    <x v="1"/>
    <n v="185795.09"/>
    <x v="3"/>
    <x v="3"/>
    <x v="1"/>
    <x v="2"/>
    <x v="1"/>
    <x v="2"/>
    <x v="2"/>
    <x v="2"/>
    <x v="6"/>
    <n v="12"/>
    <x v="0"/>
  </r>
  <r>
    <d v="2023-10-12T00:00:00"/>
    <x v="0"/>
    <x v="1"/>
    <x v="1"/>
    <n v="4849450.3600000003"/>
    <x v="0"/>
    <x v="1"/>
    <x v="1"/>
    <x v="3"/>
    <x v="1"/>
    <x v="2"/>
    <x v="2"/>
    <x v="2"/>
    <x v="6"/>
    <n v="12"/>
    <x v="0"/>
  </r>
  <r>
    <d v="2023-10-12T00:00:00"/>
    <x v="1"/>
    <x v="0"/>
    <x v="1"/>
    <n v="1456610604.78"/>
    <x v="1"/>
    <x v="0"/>
    <x v="1"/>
    <x v="10"/>
    <x v="1"/>
    <x v="2"/>
    <x v="2"/>
    <x v="2"/>
    <x v="6"/>
    <n v="12"/>
    <x v="0"/>
  </r>
  <r>
    <d v="2023-10-12T00:00:00"/>
    <x v="3"/>
    <x v="2"/>
    <x v="2"/>
    <n v="281145"/>
    <x v="3"/>
    <x v="2"/>
    <x v="2"/>
    <x v="4"/>
    <x v="1"/>
    <x v="2"/>
    <x v="2"/>
    <x v="2"/>
    <x v="6"/>
    <n v="12"/>
    <x v="0"/>
  </r>
  <r>
    <d v="2023-10-12T00:00:00"/>
    <x v="2"/>
    <x v="1"/>
    <x v="1"/>
    <n v="246555841.78"/>
    <x v="2"/>
    <x v="1"/>
    <x v="1"/>
    <x v="8"/>
    <x v="1"/>
    <x v="2"/>
    <x v="2"/>
    <x v="2"/>
    <x v="6"/>
    <n v="12"/>
    <x v="0"/>
  </r>
  <r>
    <d v="2023-10-12T00:00:00"/>
    <x v="1"/>
    <x v="0"/>
    <x v="0"/>
    <n v="108468351.43000001"/>
    <x v="1"/>
    <x v="0"/>
    <x v="0"/>
    <x v="9"/>
    <x v="1"/>
    <x v="2"/>
    <x v="2"/>
    <x v="2"/>
    <x v="6"/>
    <n v="12"/>
    <x v="0"/>
  </r>
  <r>
    <d v="2023-10-12T00:00:00"/>
    <x v="3"/>
    <x v="1"/>
    <x v="0"/>
    <n v="14867963.699999999"/>
    <x v="3"/>
    <x v="1"/>
    <x v="0"/>
    <x v="11"/>
    <x v="1"/>
    <x v="2"/>
    <x v="2"/>
    <x v="2"/>
    <x v="6"/>
    <n v="12"/>
    <x v="0"/>
  </r>
  <r>
    <d v="2023-10-12T00:00:00"/>
    <x v="3"/>
    <x v="2"/>
    <x v="1"/>
    <n v="18337305237.32"/>
    <x v="3"/>
    <x v="2"/>
    <x v="1"/>
    <x v="12"/>
    <x v="1"/>
    <x v="2"/>
    <x v="2"/>
    <x v="2"/>
    <x v="6"/>
    <n v="12"/>
    <x v="0"/>
  </r>
  <r>
    <d v="2023-10-12T00:00:00"/>
    <x v="3"/>
    <x v="2"/>
    <x v="0"/>
    <n v="631048841.63999999"/>
    <x v="3"/>
    <x v="2"/>
    <x v="0"/>
    <x v="13"/>
    <x v="1"/>
    <x v="2"/>
    <x v="2"/>
    <x v="2"/>
    <x v="6"/>
    <n v="12"/>
    <x v="0"/>
  </r>
  <r>
    <d v="2023-10-11T00:00:00"/>
    <x v="1"/>
    <x v="1"/>
    <x v="0"/>
    <n v="89933.03"/>
    <x v="1"/>
    <x v="1"/>
    <x v="0"/>
    <x v="0"/>
    <x v="1"/>
    <x v="2"/>
    <x v="2"/>
    <x v="2"/>
    <x v="6"/>
    <n v="11"/>
    <x v="0"/>
  </r>
  <r>
    <d v="2023-10-11T00:00:00"/>
    <x v="0"/>
    <x v="1"/>
    <x v="0"/>
    <n v="12180536.609999999"/>
    <x v="0"/>
    <x v="1"/>
    <x v="0"/>
    <x v="1"/>
    <x v="1"/>
    <x v="2"/>
    <x v="2"/>
    <x v="2"/>
    <x v="6"/>
    <n v="11"/>
    <x v="0"/>
  </r>
  <r>
    <d v="2023-10-11T00:00:00"/>
    <x v="3"/>
    <x v="3"/>
    <x v="2"/>
    <n v="15"/>
    <x v="3"/>
    <x v="3"/>
    <x v="2"/>
    <x v="2"/>
    <x v="1"/>
    <x v="2"/>
    <x v="2"/>
    <x v="2"/>
    <x v="6"/>
    <n v="11"/>
    <x v="0"/>
  </r>
  <r>
    <d v="2023-10-11T00:00:00"/>
    <x v="2"/>
    <x v="1"/>
    <x v="2"/>
    <n v="96937.88"/>
    <x v="2"/>
    <x v="1"/>
    <x v="2"/>
    <x v="3"/>
    <x v="1"/>
    <x v="2"/>
    <x v="2"/>
    <x v="2"/>
    <x v="6"/>
    <n v="11"/>
    <x v="0"/>
  </r>
  <r>
    <d v="2023-10-11T00:00:00"/>
    <x v="2"/>
    <x v="1"/>
    <x v="0"/>
    <n v="90856194.640000001"/>
    <x v="2"/>
    <x v="1"/>
    <x v="0"/>
    <x v="7"/>
    <x v="1"/>
    <x v="2"/>
    <x v="2"/>
    <x v="2"/>
    <x v="6"/>
    <n v="11"/>
    <x v="0"/>
  </r>
  <r>
    <d v="2023-10-11T00:00:00"/>
    <x v="2"/>
    <x v="1"/>
    <x v="1"/>
    <n v="249461317.97999999"/>
    <x v="2"/>
    <x v="1"/>
    <x v="1"/>
    <x v="8"/>
    <x v="1"/>
    <x v="2"/>
    <x v="2"/>
    <x v="2"/>
    <x v="6"/>
    <n v="11"/>
    <x v="0"/>
  </r>
  <r>
    <d v="2023-10-11T00:00:00"/>
    <x v="1"/>
    <x v="0"/>
    <x v="1"/>
    <n v="1098992149.7"/>
    <x v="1"/>
    <x v="0"/>
    <x v="1"/>
    <x v="9"/>
    <x v="1"/>
    <x v="2"/>
    <x v="2"/>
    <x v="2"/>
    <x v="6"/>
    <n v="11"/>
    <x v="0"/>
  </r>
  <r>
    <d v="2023-10-11T00:00:00"/>
    <x v="1"/>
    <x v="0"/>
    <x v="0"/>
    <n v="88547995.609999999"/>
    <x v="1"/>
    <x v="0"/>
    <x v="0"/>
    <x v="10"/>
    <x v="1"/>
    <x v="2"/>
    <x v="2"/>
    <x v="2"/>
    <x v="6"/>
    <n v="11"/>
    <x v="0"/>
  </r>
  <r>
    <d v="2023-10-11T00:00:00"/>
    <x v="3"/>
    <x v="3"/>
    <x v="1"/>
    <n v="78415410.329999998"/>
    <x v="3"/>
    <x v="3"/>
    <x v="1"/>
    <x v="4"/>
    <x v="1"/>
    <x v="2"/>
    <x v="2"/>
    <x v="2"/>
    <x v="6"/>
    <n v="11"/>
    <x v="0"/>
  </r>
  <r>
    <d v="2023-10-11T00:00:00"/>
    <x v="0"/>
    <x v="1"/>
    <x v="1"/>
    <n v="2363507.36"/>
    <x v="0"/>
    <x v="1"/>
    <x v="1"/>
    <x v="5"/>
    <x v="1"/>
    <x v="2"/>
    <x v="2"/>
    <x v="2"/>
    <x v="6"/>
    <n v="11"/>
    <x v="0"/>
  </r>
  <r>
    <d v="2023-10-11T00:00:00"/>
    <x v="3"/>
    <x v="2"/>
    <x v="2"/>
    <n v="284925.83"/>
    <x v="3"/>
    <x v="2"/>
    <x v="2"/>
    <x v="6"/>
    <x v="1"/>
    <x v="2"/>
    <x v="2"/>
    <x v="2"/>
    <x v="6"/>
    <n v="11"/>
    <x v="0"/>
  </r>
  <r>
    <d v="2023-10-11T00:00:00"/>
    <x v="3"/>
    <x v="3"/>
    <x v="0"/>
    <n v="1714931356.6600001"/>
    <x v="3"/>
    <x v="3"/>
    <x v="0"/>
    <x v="11"/>
    <x v="1"/>
    <x v="2"/>
    <x v="2"/>
    <x v="2"/>
    <x v="6"/>
    <n v="11"/>
    <x v="0"/>
  </r>
  <r>
    <d v="2023-10-11T00:00:00"/>
    <x v="3"/>
    <x v="1"/>
    <x v="0"/>
    <n v="14402380.65"/>
    <x v="3"/>
    <x v="1"/>
    <x v="0"/>
    <x v="12"/>
    <x v="1"/>
    <x v="2"/>
    <x v="2"/>
    <x v="2"/>
    <x v="6"/>
    <n v="11"/>
    <x v="0"/>
  </r>
  <r>
    <d v="2023-10-11T00:00:00"/>
    <x v="3"/>
    <x v="2"/>
    <x v="1"/>
    <n v="10311562519.700001"/>
    <x v="3"/>
    <x v="2"/>
    <x v="1"/>
    <x v="13"/>
    <x v="1"/>
    <x v="2"/>
    <x v="2"/>
    <x v="2"/>
    <x v="6"/>
    <n v="11"/>
    <x v="0"/>
  </r>
  <r>
    <d v="2023-10-11T00:00:00"/>
    <x v="3"/>
    <x v="2"/>
    <x v="0"/>
    <n v="1222555399.98"/>
    <x v="3"/>
    <x v="2"/>
    <x v="0"/>
    <x v="14"/>
    <x v="1"/>
    <x v="2"/>
    <x v="2"/>
    <x v="2"/>
    <x v="6"/>
    <n v="11"/>
    <x v="0"/>
  </r>
  <r>
    <d v="2023-10-10T00:00:00"/>
    <x v="1"/>
    <x v="1"/>
    <x v="0"/>
    <n v="23354.85"/>
    <x v="1"/>
    <x v="1"/>
    <x v="0"/>
    <x v="0"/>
    <x v="1"/>
    <x v="2"/>
    <x v="2"/>
    <x v="2"/>
    <x v="6"/>
    <n v="10"/>
    <x v="0"/>
  </r>
  <r>
    <d v="2023-10-10T00:00:00"/>
    <x v="0"/>
    <x v="1"/>
    <x v="0"/>
    <n v="18001393.91"/>
    <x v="0"/>
    <x v="1"/>
    <x v="0"/>
    <x v="1"/>
    <x v="1"/>
    <x v="2"/>
    <x v="2"/>
    <x v="2"/>
    <x v="6"/>
    <n v="10"/>
    <x v="0"/>
  </r>
  <r>
    <d v="2023-10-10T00:00:00"/>
    <x v="3"/>
    <x v="3"/>
    <x v="2"/>
    <n v="647.04"/>
    <x v="3"/>
    <x v="3"/>
    <x v="2"/>
    <x v="2"/>
    <x v="1"/>
    <x v="2"/>
    <x v="2"/>
    <x v="2"/>
    <x v="6"/>
    <n v="10"/>
    <x v="0"/>
  </r>
  <r>
    <d v="2023-10-10T00:00:00"/>
    <x v="2"/>
    <x v="1"/>
    <x v="0"/>
    <n v="81105304.890000001"/>
    <x v="2"/>
    <x v="1"/>
    <x v="0"/>
    <x v="7"/>
    <x v="1"/>
    <x v="2"/>
    <x v="2"/>
    <x v="2"/>
    <x v="6"/>
    <n v="10"/>
    <x v="0"/>
  </r>
  <r>
    <d v="2023-10-10T00:00:00"/>
    <x v="2"/>
    <x v="1"/>
    <x v="2"/>
    <n v="80486.31"/>
    <x v="2"/>
    <x v="1"/>
    <x v="2"/>
    <x v="5"/>
    <x v="1"/>
    <x v="2"/>
    <x v="2"/>
    <x v="2"/>
    <x v="6"/>
    <n v="10"/>
    <x v="0"/>
  </r>
  <r>
    <d v="2023-10-10T00:00:00"/>
    <x v="3"/>
    <x v="3"/>
    <x v="0"/>
    <n v="1606901101.4400001"/>
    <x v="3"/>
    <x v="3"/>
    <x v="0"/>
    <x v="9"/>
    <x v="1"/>
    <x v="2"/>
    <x v="2"/>
    <x v="2"/>
    <x v="6"/>
    <n v="10"/>
    <x v="0"/>
  </r>
  <r>
    <d v="2023-10-10T00:00:00"/>
    <x v="1"/>
    <x v="0"/>
    <x v="1"/>
    <n v="337182002.94"/>
    <x v="1"/>
    <x v="0"/>
    <x v="1"/>
    <x v="10"/>
    <x v="1"/>
    <x v="2"/>
    <x v="2"/>
    <x v="2"/>
    <x v="6"/>
    <n v="10"/>
    <x v="0"/>
  </r>
  <r>
    <d v="2023-10-10T00:00:00"/>
    <x v="3"/>
    <x v="3"/>
    <x v="1"/>
    <n v="59060.01"/>
    <x v="3"/>
    <x v="3"/>
    <x v="1"/>
    <x v="3"/>
    <x v="1"/>
    <x v="2"/>
    <x v="2"/>
    <x v="2"/>
    <x v="6"/>
    <n v="10"/>
    <x v="0"/>
  </r>
  <r>
    <d v="2023-10-10T00:00:00"/>
    <x v="0"/>
    <x v="1"/>
    <x v="1"/>
    <n v="34280982.93"/>
    <x v="0"/>
    <x v="1"/>
    <x v="1"/>
    <x v="4"/>
    <x v="1"/>
    <x v="2"/>
    <x v="2"/>
    <x v="2"/>
    <x v="6"/>
    <n v="10"/>
    <x v="0"/>
  </r>
  <r>
    <d v="2023-10-10T00:00:00"/>
    <x v="3"/>
    <x v="2"/>
    <x v="2"/>
    <n v="102288"/>
    <x v="3"/>
    <x v="2"/>
    <x v="2"/>
    <x v="6"/>
    <x v="1"/>
    <x v="2"/>
    <x v="2"/>
    <x v="2"/>
    <x v="6"/>
    <n v="10"/>
    <x v="0"/>
  </r>
  <r>
    <d v="2023-10-10T00:00:00"/>
    <x v="2"/>
    <x v="1"/>
    <x v="1"/>
    <n v="241993683.16"/>
    <x v="2"/>
    <x v="1"/>
    <x v="1"/>
    <x v="8"/>
    <x v="1"/>
    <x v="2"/>
    <x v="2"/>
    <x v="2"/>
    <x v="6"/>
    <n v="10"/>
    <x v="0"/>
  </r>
  <r>
    <d v="2023-10-10T00:00:00"/>
    <x v="1"/>
    <x v="0"/>
    <x v="0"/>
    <n v="56505268.159999996"/>
    <x v="1"/>
    <x v="0"/>
    <x v="0"/>
    <x v="11"/>
    <x v="1"/>
    <x v="2"/>
    <x v="2"/>
    <x v="2"/>
    <x v="6"/>
    <n v="10"/>
    <x v="0"/>
  </r>
  <r>
    <d v="2023-10-10T00:00:00"/>
    <x v="3"/>
    <x v="2"/>
    <x v="1"/>
    <n v="24308042022.990002"/>
    <x v="3"/>
    <x v="2"/>
    <x v="1"/>
    <x v="12"/>
    <x v="1"/>
    <x v="2"/>
    <x v="2"/>
    <x v="2"/>
    <x v="6"/>
    <n v="10"/>
    <x v="0"/>
  </r>
  <r>
    <d v="2023-10-10T00:00:00"/>
    <x v="3"/>
    <x v="1"/>
    <x v="0"/>
    <n v="54446316"/>
    <x v="3"/>
    <x v="1"/>
    <x v="0"/>
    <x v="13"/>
    <x v="1"/>
    <x v="2"/>
    <x v="2"/>
    <x v="2"/>
    <x v="6"/>
    <n v="10"/>
    <x v="0"/>
  </r>
  <r>
    <d v="2023-10-10T00:00:00"/>
    <x v="3"/>
    <x v="2"/>
    <x v="0"/>
    <n v="1066299956.84"/>
    <x v="3"/>
    <x v="2"/>
    <x v="0"/>
    <x v="14"/>
    <x v="1"/>
    <x v="2"/>
    <x v="2"/>
    <x v="2"/>
    <x v="6"/>
    <n v="10"/>
    <x v="0"/>
  </r>
  <r>
    <d v="2023-10-06T00:00:00"/>
    <x v="0"/>
    <x v="1"/>
    <x v="0"/>
    <n v="5253405.51"/>
    <x v="0"/>
    <x v="1"/>
    <x v="0"/>
    <x v="1"/>
    <x v="1"/>
    <x v="2"/>
    <x v="2"/>
    <x v="2"/>
    <x v="6"/>
    <n v="6"/>
    <x v="0"/>
  </r>
  <r>
    <d v="2023-10-06T00:00:00"/>
    <x v="1"/>
    <x v="1"/>
    <x v="0"/>
    <n v="67254.720000000001"/>
    <x v="1"/>
    <x v="1"/>
    <x v="0"/>
    <x v="0"/>
    <x v="1"/>
    <x v="2"/>
    <x v="2"/>
    <x v="2"/>
    <x v="6"/>
    <n v="6"/>
    <x v="0"/>
  </r>
  <r>
    <d v="2023-10-06T00:00:00"/>
    <x v="2"/>
    <x v="1"/>
    <x v="0"/>
    <n v="88394654.909999996"/>
    <x v="2"/>
    <x v="1"/>
    <x v="0"/>
    <x v="6"/>
    <x v="1"/>
    <x v="2"/>
    <x v="2"/>
    <x v="2"/>
    <x v="6"/>
    <n v="6"/>
    <x v="0"/>
  </r>
  <r>
    <d v="2023-10-06T00:00:00"/>
    <x v="2"/>
    <x v="1"/>
    <x v="2"/>
    <n v="42399.67"/>
    <x v="2"/>
    <x v="1"/>
    <x v="2"/>
    <x v="4"/>
    <x v="1"/>
    <x v="2"/>
    <x v="2"/>
    <x v="2"/>
    <x v="6"/>
    <n v="6"/>
    <x v="0"/>
  </r>
  <r>
    <d v="2023-10-06T00:00:00"/>
    <x v="2"/>
    <x v="1"/>
    <x v="1"/>
    <n v="295638155.67000002"/>
    <x v="2"/>
    <x v="1"/>
    <x v="1"/>
    <x v="8"/>
    <x v="1"/>
    <x v="2"/>
    <x v="2"/>
    <x v="2"/>
    <x v="6"/>
    <n v="6"/>
    <x v="0"/>
  </r>
  <r>
    <d v="2023-10-06T00:00:00"/>
    <x v="1"/>
    <x v="0"/>
    <x v="0"/>
    <n v="55320342.990000002"/>
    <x v="1"/>
    <x v="0"/>
    <x v="0"/>
    <x v="9"/>
    <x v="1"/>
    <x v="2"/>
    <x v="2"/>
    <x v="2"/>
    <x v="6"/>
    <n v="6"/>
    <x v="0"/>
  </r>
  <r>
    <d v="2023-10-06T00:00:00"/>
    <x v="1"/>
    <x v="0"/>
    <x v="1"/>
    <n v="327089959.44"/>
    <x v="1"/>
    <x v="0"/>
    <x v="1"/>
    <x v="10"/>
    <x v="1"/>
    <x v="2"/>
    <x v="2"/>
    <x v="2"/>
    <x v="6"/>
    <n v="6"/>
    <x v="0"/>
  </r>
  <r>
    <d v="2023-10-06T00:00:00"/>
    <x v="3"/>
    <x v="3"/>
    <x v="1"/>
    <n v="21413518.25"/>
    <x v="3"/>
    <x v="3"/>
    <x v="1"/>
    <x v="2"/>
    <x v="1"/>
    <x v="2"/>
    <x v="2"/>
    <x v="2"/>
    <x v="6"/>
    <n v="6"/>
    <x v="0"/>
  </r>
  <r>
    <d v="2023-10-06T00:00:00"/>
    <x v="0"/>
    <x v="1"/>
    <x v="1"/>
    <n v="9634411.8000000007"/>
    <x v="0"/>
    <x v="1"/>
    <x v="1"/>
    <x v="3"/>
    <x v="1"/>
    <x v="2"/>
    <x v="2"/>
    <x v="2"/>
    <x v="6"/>
    <n v="6"/>
    <x v="0"/>
  </r>
  <r>
    <d v="2023-10-06T00:00:00"/>
    <x v="3"/>
    <x v="2"/>
    <x v="2"/>
    <n v="213255"/>
    <x v="3"/>
    <x v="2"/>
    <x v="2"/>
    <x v="5"/>
    <x v="1"/>
    <x v="2"/>
    <x v="2"/>
    <x v="2"/>
    <x v="6"/>
    <n v="6"/>
    <x v="0"/>
  </r>
  <r>
    <d v="2023-10-06T00:00:00"/>
    <x v="3"/>
    <x v="3"/>
    <x v="0"/>
    <n v="2170568607.0300002"/>
    <x v="3"/>
    <x v="3"/>
    <x v="0"/>
    <x v="7"/>
    <x v="1"/>
    <x v="2"/>
    <x v="2"/>
    <x v="2"/>
    <x v="6"/>
    <n v="6"/>
    <x v="0"/>
  </r>
  <r>
    <d v="2023-10-06T00:00:00"/>
    <x v="3"/>
    <x v="1"/>
    <x v="0"/>
    <n v="15087563.289999999"/>
    <x v="3"/>
    <x v="1"/>
    <x v="0"/>
    <x v="11"/>
    <x v="1"/>
    <x v="2"/>
    <x v="2"/>
    <x v="2"/>
    <x v="6"/>
    <n v="6"/>
    <x v="0"/>
  </r>
  <r>
    <d v="2023-10-06T00:00:00"/>
    <x v="3"/>
    <x v="2"/>
    <x v="1"/>
    <n v="10438226522.389999"/>
    <x v="3"/>
    <x v="2"/>
    <x v="1"/>
    <x v="12"/>
    <x v="1"/>
    <x v="2"/>
    <x v="2"/>
    <x v="2"/>
    <x v="6"/>
    <n v="6"/>
    <x v="0"/>
  </r>
  <r>
    <d v="2023-10-06T00:00:00"/>
    <x v="3"/>
    <x v="2"/>
    <x v="0"/>
    <n v="732730226.73000002"/>
    <x v="3"/>
    <x v="2"/>
    <x v="0"/>
    <x v="13"/>
    <x v="1"/>
    <x v="2"/>
    <x v="2"/>
    <x v="2"/>
    <x v="6"/>
    <n v="6"/>
    <x v="0"/>
  </r>
  <r>
    <d v="2023-10-05T00:00:00"/>
    <x v="0"/>
    <x v="0"/>
    <x v="0"/>
    <n v="607.39"/>
    <x v="0"/>
    <x v="0"/>
    <x v="0"/>
    <x v="0"/>
    <x v="1"/>
    <x v="2"/>
    <x v="2"/>
    <x v="2"/>
    <x v="6"/>
    <n v="5"/>
    <x v="0"/>
  </r>
  <r>
    <d v="2023-10-05T00:00:00"/>
    <x v="1"/>
    <x v="1"/>
    <x v="0"/>
    <n v="732637.51"/>
    <x v="1"/>
    <x v="1"/>
    <x v="0"/>
    <x v="1"/>
    <x v="1"/>
    <x v="2"/>
    <x v="2"/>
    <x v="2"/>
    <x v="6"/>
    <n v="5"/>
    <x v="0"/>
  </r>
  <r>
    <d v="2023-10-05T00:00:00"/>
    <x v="0"/>
    <x v="1"/>
    <x v="0"/>
    <n v="8064392.6799999997"/>
    <x v="0"/>
    <x v="1"/>
    <x v="0"/>
    <x v="2"/>
    <x v="1"/>
    <x v="2"/>
    <x v="2"/>
    <x v="2"/>
    <x v="6"/>
    <n v="5"/>
    <x v="0"/>
  </r>
  <r>
    <d v="2023-10-05T00:00:00"/>
    <x v="2"/>
    <x v="1"/>
    <x v="2"/>
    <n v="8325.14"/>
    <x v="2"/>
    <x v="1"/>
    <x v="2"/>
    <x v="3"/>
    <x v="1"/>
    <x v="2"/>
    <x v="2"/>
    <x v="2"/>
    <x v="6"/>
    <n v="5"/>
    <x v="0"/>
  </r>
  <r>
    <d v="2023-10-05T00:00:00"/>
    <x v="2"/>
    <x v="1"/>
    <x v="0"/>
    <n v="71205091"/>
    <x v="2"/>
    <x v="1"/>
    <x v="0"/>
    <x v="7"/>
    <x v="1"/>
    <x v="2"/>
    <x v="2"/>
    <x v="2"/>
    <x v="6"/>
    <n v="5"/>
    <x v="0"/>
  </r>
  <r>
    <d v="2023-10-05T00:00:00"/>
    <x v="1"/>
    <x v="0"/>
    <x v="0"/>
    <n v="86162801.159999996"/>
    <x v="1"/>
    <x v="0"/>
    <x v="0"/>
    <x v="10"/>
    <x v="1"/>
    <x v="2"/>
    <x v="2"/>
    <x v="2"/>
    <x v="6"/>
    <n v="5"/>
    <x v="0"/>
  </r>
  <r>
    <d v="2023-10-05T00:00:00"/>
    <x v="3"/>
    <x v="3"/>
    <x v="1"/>
    <n v="2042744.32"/>
    <x v="3"/>
    <x v="3"/>
    <x v="1"/>
    <x v="4"/>
    <x v="1"/>
    <x v="2"/>
    <x v="2"/>
    <x v="2"/>
    <x v="6"/>
    <n v="5"/>
    <x v="0"/>
  </r>
  <r>
    <d v="2023-10-05T00:00:00"/>
    <x v="0"/>
    <x v="1"/>
    <x v="1"/>
    <n v="2218135.2400000002"/>
    <x v="0"/>
    <x v="1"/>
    <x v="1"/>
    <x v="5"/>
    <x v="1"/>
    <x v="2"/>
    <x v="2"/>
    <x v="2"/>
    <x v="6"/>
    <n v="5"/>
    <x v="0"/>
  </r>
  <r>
    <d v="2023-10-05T00:00:00"/>
    <x v="3"/>
    <x v="2"/>
    <x v="2"/>
    <n v="217529"/>
    <x v="3"/>
    <x v="2"/>
    <x v="2"/>
    <x v="6"/>
    <x v="1"/>
    <x v="2"/>
    <x v="2"/>
    <x v="2"/>
    <x v="6"/>
    <n v="5"/>
    <x v="0"/>
  </r>
  <r>
    <d v="2023-10-05T00:00:00"/>
    <x v="2"/>
    <x v="1"/>
    <x v="1"/>
    <n v="232119953.93000001"/>
    <x v="2"/>
    <x v="1"/>
    <x v="1"/>
    <x v="8"/>
    <x v="1"/>
    <x v="2"/>
    <x v="2"/>
    <x v="2"/>
    <x v="6"/>
    <n v="5"/>
    <x v="0"/>
  </r>
  <r>
    <d v="2023-10-05T00:00:00"/>
    <x v="3"/>
    <x v="3"/>
    <x v="0"/>
    <n v="1162628949.3800001"/>
    <x v="3"/>
    <x v="3"/>
    <x v="0"/>
    <x v="9"/>
    <x v="1"/>
    <x v="2"/>
    <x v="2"/>
    <x v="2"/>
    <x v="6"/>
    <n v="5"/>
    <x v="0"/>
  </r>
  <r>
    <d v="2023-10-05T00:00:00"/>
    <x v="1"/>
    <x v="0"/>
    <x v="1"/>
    <n v="420237187.88999999"/>
    <x v="1"/>
    <x v="0"/>
    <x v="1"/>
    <x v="11"/>
    <x v="1"/>
    <x v="2"/>
    <x v="2"/>
    <x v="2"/>
    <x v="6"/>
    <n v="5"/>
    <x v="0"/>
  </r>
  <r>
    <d v="2023-10-05T00:00:00"/>
    <x v="3"/>
    <x v="1"/>
    <x v="0"/>
    <n v="15020667.77"/>
    <x v="3"/>
    <x v="1"/>
    <x v="0"/>
    <x v="12"/>
    <x v="1"/>
    <x v="2"/>
    <x v="2"/>
    <x v="2"/>
    <x v="6"/>
    <n v="5"/>
    <x v="0"/>
  </r>
  <r>
    <d v="2023-10-05T00:00:00"/>
    <x v="3"/>
    <x v="2"/>
    <x v="1"/>
    <n v="6812995767.0299997"/>
    <x v="3"/>
    <x v="2"/>
    <x v="1"/>
    <x v="13"/>
    <x v="1"/>
    <x v="2"/>
    <x v="2"/>
    <x v="2"/>
    <x v="6"/>
    <n v="5"/>
    <x v="0"/>
  </r>
  <r>
    <d v="2023-10-05T00:00:00"/>
    <x v="3"/>
    <x v="2"/>
    <x v="0"/>
    <n v="693577552.15999997"/>
    <x v="3"/>
    <x v="2"/>
    <x v="0"/>
    <x v="14"/>
    <x v="1"/>
    <x v="2"/>
    <x v="2"/>
    <x v="2"/>
    <x v="6"/>
    <n v="5"/>
    <x v="0"/>
  </r>
  <r>
    <d v="2023-10-04T00:00:00"/>
    <x v="0"/>
    <x v="0"/>
    <x v="0"/>
    <n v="169.99"/>
    <x v="0"/>
    <x v="0"/>
    <x v="0"/>
    <x v="0"/>
    <x v="1"/>
    <x v="2"/>
    <x v="2"/>
    <x v="2"/>
    <x v="6"/>
    <n v="4"/>
    <x v="0"/>
  </r>
  <r>
    <d v="2023-10-04T00:00:00"/>
    <x v="1"/>
    <x v="1"/>
    <x v="0"/>
    <n v="261486.55"/>
    <x v="1"/>
    <x v="1"/>
    <x v="0"/>
    <x v="1"/>
    <x v="1"/>
    <x v="2"/>
    <x v="2"/>
    <x v="2"/>
    <x v="6"/>
    <n v="4"/>
    <x v="0"/>
  </r>
  <r>
    <d v="2023-10-04T00:00:00"/>
    <x v="0"/>
    <x v="1"/>
    <x v="0"/>
    <n v="3977231.82"/>
    <x v="0"/>
    <x v="1"/>
    <x v="0"/>
    <x v="2"/>
    <x v="1"/>
    <x v="2"/>
    <x v="2"/>
    <x v="2"/>
    <x v="6"/>
    <n v="4"/>
    <x v="0"/>
  </r>
  <r>
    <d v="2023-10-04T00:00:00"/>
    <x v="3"/>
    <x v="3"/>
    <x v="0"/>
    <n v="2148675927.21"/>
    <x v="3"/>
    <x v="3"/>
    <x v="0"/>
    <x v="8"/>
    <x v="1"/>
    <x v="2"/>
    <x v="2"/>
    <x v="2"/>
    <x v="6"/>
    <n v="4"/>
    <x v="0"/>
  </r>
  <r>
    <d v="2023-10-04T00:00:00"/>
    <x v="3"/>
    <x v="3"/>
    <x v="2"/>
    <n v="15"/>
    <x v="3"/>
    <x v="3"/>
    <x v="2"/>
    <x v="3"/>
    <x v="1"/>
    <x v="2"/>
    <x v="2"/>
    <x v="2"/>
    <x v="6"/>
    <n v="4"/>
    <x v="0"/>
  </r>
  <r>
    <d v="2023-10-04T00:00:00"/>
    <x v="2"/>
    <x v="1"/>
    <x v="0"/>
    <n v="81302510.870000005"/>
    <x v="2"/>
    <x v="1"/>
    <x v="0"/>
    <x v="9"/>
    <x v="1"/>
    <x v="2"/>
    <x v="2"/>
    <x v="2"/>
    <x v="6"/>
    <n v="4"/>
    <x v="0"/>
  </r>
  <r>
    <d v="2023-10-04T00:00:00"/>
    <x v="2"/>
    <x v="1"/>
    <x v="2"/>
    <n v="85563.73"/>
    <x v="2"/>
    <x v="1"/>
    <x v="2"/>
    <x v="6"/>
    <x v="1"/>
    <x v="2"/>
    <x v="2"/>
    <x v="2"/>
    <x v="6"/>
    <n v="4"/>
    <x v="0"/>
  </r>
  <r>
    <d v="2023-10-04T00:00:00"/>
    <x v="2"/>
    <x v="1"/>
    <x v="1"/>
    <n v="314264043.14999998"/>
    <x v="2"/>
    <x v="1"/>
    <x v="1"/>
    <x v="10"/>
    <x v="1"/>
    <x v="2"/>
    <x v="2"/>
    <x v="2"/>
    <x v="6"/>
    <n v="4"/>
    <x v="0"/>
  </r>
  <r>
    <d v="2023-10-04T00:00:00"/>
    <x v="3"/>
    <x v="2"/>
    <x v="2"/>
    <n v="207439.2"/>
    <x v="3"/>
    <x v="2"/>
    <x v="2"/>
    <x v="7"/>
    <x v="1"/>
    <x v="2"/>
    <x v="2"/>
    <x v="2"/>
    <x v="6"/>
    <n v="4"/>
    <x v="0"/>
  </r>
  <r>
    <d v="2023-10-04T00:00:00"/>
    <x v="1"/>
    <x v="0"/>
    <x v="1"/>
    <n v="1400236649.51"/>
    <x v="1"/>
    <x v="0"/>
    <x v="1"/>
    <x v="11"/>
    <x v="1"/>
    <x v="2"/>
    <x v="2"/>
    <x v="2"/>
    <x v="6"/>
    <n v="4"/>
    <x v="0"/>
  </r>
  <r>
    <d v="2023-10-04T00:00:00"/>
    <x v="3"/>
    <x v="3"/>
    <x v="1"/>
    <n v="977608.97"/>
    <x v="3"/>
    <x v="3"/>
    <x v="1"/>
    <x v="4"/>
    <x v="1"/>
    <x v="2"/>
    <x v="2"/>
    <x v="2"/>
    <x v="6"/>
    <n v="4"/>
    <x v="0"/>
  </r>
  <r>
    <d v="2023-10-04T00:00:00"/>
    <x v="0"/>
    <x v="1"/>
    <x v="1"/>
    <n v="2762588.52"/>
    <x v="0"/>
    <x v="1"/>
    <x v="1"/>
    <x v="5"/>
    <x v="1"/>
    <x v="2"/>
    <x v="2"/>
    <x v="2"/>
    <x v="6"/>
    <n v="4"/>
    <x v="0"/>
  </r>
  <r>
    <d v="2023-10-04T00:00:00"/>
    <x v="1"/>
    <x v="0"/>
    <x v="0"/>
    <n v="117935154.59"/>
    <x v="1"/>
    <x v="0"/>
    <x v="0"/>
    <x v="12"/>
    <x v="1"/>
    <x v="2"/>
    <x v="2"/>
    <x v="2"/>
    <x v="6"/>
    <n v="4"/>
    <x v="0"/>
  </r>
  <r>
    <d v="2023-10-04T00:00:00"/>
    <x v="3"/>
    <x v="1"/>
    <x v="0"/>
    <n v="15268953.08"/>
    <x v="3"/>
    <x v="1"/>
    <x v="0"/>
    <x v="13"/>
    <x v="1"/>
    <x v="2"/>
    <x v="2"/>
    <x v="2"/>
    <x v="6"/>
    <n v="4"/>
    <x v="0"/>
  </r>
  <r>
    <d v="2023-10-04T00:00:00"/>
    <x v="3"/>
    <x v="2"/>
    <x v="1"/>
    <n v="13460871377.52"/>
    <x v="3"/>
    <x v="2"/>
    <x v="1"/>
    <x v="14"/>
    <x v="1"/>
    <x v="2"/>
    <x v="2"/>
    <x v="2"/>
    <x v="6"/>
    <n v="4"/>
    <x v="0"/>
  </r>
  <r>
    <d v="2023-10-04T00:00:00"/>
    <x v="3"/>
    <x v="2"/>
    <x v="0"/>
    <n v="1011313329.48"/>
    <x v="3"/>
    <x v="2"/>
    <x v="0"/>
    <x v="15"/>
    <x v="1"/>
    <x v="2"/>
    <x v="2"/>
    <x v="2"/>
    <x v="6"/>
    <n v="4"/>
    <x v="0"/>
  </r>
  <r>
    <d v="2023-10-03T00:00:00"/>
    <x v="0"/>
    <x v="0"/>
    <x v="0"/>
    <n v="500"/>
    <x v="0"/>
    <x v="0"/>
    <x v="0"/>
    <x v="0"/>
    <x v="1"/>
    <x v="2"/>
    <x v="2"/>
    <x v="2"/>
    <x v="6"/>
    <n v="3"/>
    <x v="0"/>
  </r>
  <r>
    <d v="2023-10-03T00:00:00"/>
    <x v="1"/>
    <x v="1"/>
    <x v="0"/>
    <n v="37761.78"/>
    <x v="1"/>
    <x v="1"/>
    <x v="0"/>
    <x v="1"/>
    <x v="1"/>
    <x v="2"/>
    <x v="2"/>
    <x v="2"/>
    <x v="6"/>
    <n v="3"/>
    <x v="0"/>
  </r>
  <r>
    <d v="2023-10-03T00:00:00"/>
    <x v="0"/>
    <x v="1"/>
    <x v="0"/>
    <n v="9375755.2400000002"/>
    <x v="0"/>
    <x v="1"/>
    <x v="0"/>
    <x v="2"/>
    <x v="1"/>
    <x v="2"/>
    <x v="2"/>
    <x v="2"/>
    <x v="6"/>
    <n v="3"/>
    <x v="0"/>
  </r>
  <r>
    <d v="2023-10-03T00:00:00"/>
    <x v="2"/>
    <x v="1"/>
    <x v="2"/>
    <n v="7211.84"/>
    <x v="2"/>
    <x v="1"/>
    <x v="2"/>
    <x v="3"/>
    <x v="1"/>
    <x v="2"/>
    <x v="2"/>
    <x v="2"/>
    <x v="6"/>
    <n v="3"/>
    <x v="0"/>
  </r>
  <r>
    <d v="2023-10-03T00:00:00"/>
    <x v="2"/>
    <x v="1"/>
    <x v="0"/>
    <n v="65719141.030000001"/>
    <x v="2"/>
    <x v="1"/>
    <x v="0"/>
    <x v="7"/>
    <x v="1"/>
    <x v="2"/>
    <x v="2"/>
    <x v="2"/>
    <x v="6"/>
    <n v="3"/>
    <x v="0"/>
  </r>
  <r>
    <d v="2023-10-03T00:00:00"/>
    <x v="2"/>
    <x v="1"/>
    <x v="1"/>
    <n v="184458795.91"/>
    <x v="2"/>
    <x v="1"/>
    <x v="1"/>
    <x v="8"/>
    <x v="1"/>
    <x v="2"/>
    <x v="2"/>
    <x v="2"/>
    <x v="6"/>
    <n v="3"/>
    <x v="0"/>
  </r>
  <r>
    <d v="2023-10-03T00:00:00"/>
    <x v="1"/>
    <x v="0"/>
    <x v="1"/>
    <n v="348035716.47000003"/>
    <x v="1"/>
    <x v="0"/>
    <x v="1"/>
    <x v="10"/>
    <x v="1"/>
    <x v="2"/>
    <x v="2"/>
    <x v="2"/>
    <x v="6"/>
    <n v="3"/>
    <x v="0"/>
  </r>
  <r>
    <d v="2023-10-03T00:00:00"/>
    <x v="1"/>
    <x v="0"/>
    <x v="0"/>
    <n v="68875582.659999996"/>
    <x v="1"/>
    <x v="0"/>
    <x v="0"/>
    <x v="11"/>
    <x v="1"/>
    <x v="2"/>
    <x v="2"/>
    <x v="2"/>
    <x v="6"/>
    <n v="3"/>
    <x v="0"/>
  </r>
  <r>
    <d v="2023-10-03T00:00:00"/>
    <x v="3"/>
    <x v="3"/>
    <x v="1"/>
    <n v="3220.81"/>
    <x v="3"/>
    <x v="3"/>
    <x v="1"/>
    <x v="4"/>
    <x v="1"/>
    <x v="2"/>
    <x v="2"/>
    <x v="2"/>
    <x v="6"/>
    <n v="3"/>
    <x v="0"/>
  </r>
  <r>
    <d v="2023-10-03T00:00:00"/>
    <x v="0"/>
    <x v="1"/>
    <x v="1"/>
    <n v="10151054.59"/>
    <x v="0"/>
    <x v="1"/>
    <x v="1"/>
    <x v="5"/>
    <x v="1"/>
    <x v="2"/>
    <x v="2"/>
    <x v="2"/>
    <x v="6"/>
    <n v="3"/>
    <x v="0"/>
  </r>
  <r>
    <d v="2023-10-03T00:00:00"/>
    <x v="3"/>
    <x v="2"/>
    <x v="2"/>
    <n v="422875"/>
    <x v="3"/>
    <x v="2"/>
    <x v="2"/>
    <x v="6"/>
    <x v="1"/>
    <x v="2"/>
    <x v="2"/>
    <x v="2"/>
    <x v="6"/>
    <n v="3"/>
    <x v="0"/>
  </r>
  <r>
    <d v="2023-10-03T00:00:00"/>
    <x v="3"/>
    <x v="3"/>
    <x v="0"/>
    <n v="1105115927.26"/>
    <x v="3"/>
    <x v="3"/>
    <x v="0"/>
    <x v="9"/>
    <x v="1"/>
    <x v="2"/>
    <x v="2"/>
    <x v="2"/>
    <x v="6"/>
    <n v="3"/>
    <x v="0"/>
  </r>
  <r>
    <d v="2023-10-03T00:00:00"/>
    <x v="3"/>
    <x v="1"/>
    <x v="0"/>
    <n v="12899824.84"/>
    <x v="3"/>
    <x v="1"/>
    <x v="0"/>
    <x v="12"/>
    <x v="1"/>
    <x v="2"/>
    <x v="2"/>
    <x v="2"/>
    <x v="6"/>
    <n v="3"/>
    <x v="0"/>
  </r>
  <r>
    <d v="2023-10-03T00:00:00"/>
    <x v="3"/>
    <x v="2"/>
    <x v="1"/>
    <n v="8086785596.8900003"/>
    <x v="3"/>
    <x v="2"/>
    <x v="1"/>
    <x v="13"/>
    <x v="1"/>
    <x v="2"/>
    <x v="2"/>
    <x v="2"/>
    <x v="6"/>
    <n v="3"/>
    <x v="0"/>
  </r>
  <r>
    <d v="2023-10-03T00:00:00"/>
    <x v="3"/>
    <x v="2"/>
    <x v="0"/>
    <n v="1607147302.9000001"/>
    <x v="3"/>
    <x v="2"/>
    <x v="0"/>
    <x v="14"/>
    <x v="1"/>
    <x v="2"/>
    <x v="2"/>
    <x v="2"/>
    <x v="6"/>
    <n v="3"/>
    <x v="0"/>
  </r>
  <r>
    <d v="2023-10-02T00:00:00"/>
    <x v="0"/>
    <x v="1"/>
    <x v="0"/>
    <n v="6844181.8200000003"/>
    <x v="0"/>
    <x v="1"/>
    <x v="0"/>
    <x v="0"/>
    <x v="1"/>
    <x v="2"/>
    <x v="2"/>
    <x v="2"/>
    <x v="6"/>
    <n v="2"/>
    <x v="0"/>
  </r>
  <r>
    <d v="2023-10-02T00:00:00"/>
    <x v="3"/>
    <x v="3"/>
    <x v="2"/>
    <n v="558.96"/>
    <x v="3"/>
    <x v="3"/>
    <x v="2"/>
    <x v="1"/>
    <x v="1"/>
    <x v="2"/>
    <x v="2"/>
    <x v="2"/>
    <x v="6"/>
    <n v="2"/>
    <x v="0"/>
  </r>
  <r>
    <d v="2023-10-02T00:00:00"/>
    <x v="3"/>
    <x v="3"/>
    <x v="0"/>
    <n v="4844330272.6800003"/>
    <x v="3"/>
    <x v="3"/>
    <x v="0"/>
    <x v="7"/>
    <x v="1"/>
    <x v="2"/>
    <x v="2"/>
    <x v="2"/>
    <x v="6"/>
    <n v="2"/>
    <x v="0"/>
  </r>
  <r>
    <d v="2023-10-02T00:00:00"/>
    <x v="2"/>
    <x v="1"/>
    <x v="2"/>
    <n v="45806.15"/>
    <x v="2"/>
    <x v="1"/>
    <x v="2"/>
    <x v="5"/>
    <x v="1"/>
    <x v="2"/>
    <x v="2"/>
    <x v="2"/>
    <x v="6"/>
    <n v="2"/>
    <x v="0"/>
  </r>
  <r>
    <d v="2023-10-02T00:00:00"/>
    <x v="1"/>
    <x v="1"/>
    <x v="0"/>
    <n v="16388.48"/>
    <x v="1"/>
    <x v="1"/>
    <x v="0"/>
    <x v="4"/>
    <x v="1"/>
    <x v="2"/>
    <x v="2"/>
    <x v="2"/>
    <x v="6"/>
    <n v="2"/>
    <x v="0"/>
  </r>
  <r>
    <d v="2023-10-02T00:00:00"/>
    <x v="1"/>
    <x v="0"/>
    <x v="0"/>
    <n v="50811864.5"/>
    <x v="1"/>
    <x v="0"/>
    <x v="0"/>
    <x v="10"/>
    <x v="1"/>
    <x v="2"/>
    <x v="2"/>
    <x v="2"/>
    <x v="6"/>
    <n v="2"/>
    <x v="0"/>
  </r>
  <r>
    <d v="2023-10-02T00:00:00"/>
    <x v="3"/>
    <x v="3"/>
    <x v="1"/>
    <n v="4267.54"/>
    <x v="3"/>
    <x v="3"/>
    <x v="1"/>
    <x v="2"/>
    <x v="1"/>
    <x v="2"/>
    <x v="2"/>
    <x v="2"/>
    <x v="6"/>
    <n v="2"/>
    <x v="0"/>
  </r>
  <r>
    <d v="2023-10-02T00:00:00"/>
    <x v="0"/>
    <x v="1"/>
    <x v="1"/>
    <n v="18228331.539999999"/>
    <x v="0"/>
    <x v="1"/>
    <x v="1"/>
    <x v="3"/>
    <x v="1"/>
    <x v="2"/>
    <x v="2"/>
    <x v="2"/>
    <x v="6"/>
    <n v="2"/>
    <x v="0"/>
  </r>
  <r>
    <d v="2023-10-02T00:00:00"/>
    <x v="1"/>
    <x v="0"/>
    <x v="1"/>
    <n v="337851197.38999999"/>
    <x v="1"/>
    <x v="0"/>
    <x v="1"/>
    <x v="11"/>
    <x v="1"/>
    <x v="2"/>
    <x v="2"/>
    <x v="2"/>
    <x v="6"/>
    <n v="2"/>
    <x v="0"/>
  </r>
  <r>
    <d v="2023-10-02T00:00:00"/>
    <x v="3"/>
    <x v="2"/>
    <x v="2"/>
    <n v="101665.67"/>
    <x v="3"/>
    <x v="2"/>
    <x v="2"/>
    <x v="6"/>
    <x v="1"/>
    <x v="2"/>
    <x v="2"/>
    <x v="2"/>
    <x v="6"/>
    <n v="2"/>
    <x v="0"/>
  </r>
  <r>
    <d v="2023-10-02T00:00:00"/>
    <x v="2"/>
    <x v="1"/>
    <x v="1"/>
    <n v="83335930.959999993"/>
    <x v="2"/>
    <x v="1"/>
    <x v="1"/>
    <x v="9"/>
    <x v="1"/>
    <x v="2"/>
    <x v="2"/>
    <x v="2"/>
    <x v="6"/>
    <n v="2"/>
    <x v="0"/>
  </r>
  <r>
    <d v="2023-10-02T00:00:00"/>
    <x v="2"/>
    <x v="1"/>
    <x v="0"/>
    <n v="92792190.109999999"/>
    <x v="2"/>
    <x v="1"/>
    <x v="0"/>
    <x v="8"/>
    <x v="1"/>
    <x v="2"/>
    <x v="2"/>
    <x v="2"/>
    <x v="6"/>
    <n v="2"/>
    <x v="0"/>
  </r>
  <r>
    <d v="2023-10-02T00:00:00"/>
    <x v="3"/>
    <x v="2"/>
    <x v="0"/>
    <n v="1030587671.3200001"/>
    <x v="3"/>
    <x v="2"/>
    <x v="0"/>
    <x v="12"/>
    <x v="1"/>
    <x v="2"/>
    <x v="2"/>
    <x v="2"/>
    <x v="6"/>
    <n v="2"/>
    <x v="0"/>
  </r>
  <r>
    <d v="2023-10-02T00:00:00"/>
    <x v="3"/>
    <x v="1"/>
    <x v="0"/>
    <n v="53779724.229999997"/>
    <x v="3"/>
    <x v="1"/>
    <x v="0"/>
    <x v="13"/>
    <x v="1"/>
    <x v="2"/>
    <x v="2"/>
    <x v="2"/>
    <x v="6"/>
    <n v="2"/>
    <x v="0"/>
  </r>
  <r>
    <d v="2023-10-02T00:00:00"/>
    <x v="3"/>
    <x v="2"/>
    <x v="1"/>
    <n v="47123011885.540001"/>
    <x v="3"/>
    <x v="2"/>
    <x v="1"/>
    <x v="14"/>
    <x v="1"/>
    <x v="2"/>
    <x v="2"/>
    <x v="2"/>
    <x v="6"/>
    <n v="2"/>
    <x v="0"/>
  </r>
  <r>
    <d v="2023-09-29T00:00:00"/>
    <x v="1"/>
    <x v="1"/>
    <x v="0"/>
    <n v="45454.400000000001"/>
    <x v="1"/>
    <x v="1"/>
    <x v="0"/>
    <x v="0"/>
    <x v="2"/>
    <x v="3"/>
    <x v="2"/>
    <x v="3"/>
    <x v="7"/>
    <n v="29"/>
    <x v="0"/>
  </r>
  <r>
    <d v="2023-09-29T00:00:00"/>
    <x v="0"/>
    <x v="1"/>
    <x v="0"/>
    <n v="8609784.0600000005"/>
    <x v="0"/>
    <x v="1"/>
    <x v="0"/>
    <x v="1"/>
    <x v="2"/>
    <x v="3"/>
    <x v="2"/>
    <x v="3"/>
    <x v="7"/>
    <n v="29"/>
    <x v="0"/>
  </r>
  <r>
    <d v="2023-09-29T00:00:00"/>
    <x v="2"/>
    <x v="1"/>
    <x v="2"/>
    <n v="42139.32"/>
    <x v="2"/>
    <x v="1"/>
    <x v="2"/>
    <x v="2"/>
    <x v="2"/>
    <x v="3"/>
    <x v="2"/>
    <x v="3"/>
    <x v="7"/>
    <n v="29"/>
    <x v="0"/>
  </r>
  <r>
    <d v="2023-09-29T00:00:00"/>
    <x v="2"/>
    <x v="1"/>
    <x v="0"/>
    <n v="78582359.469999999"/>
    <x v="2"/>
    <x v="1"/>
    <x v="0"/>
    <x v="6"/>
    <x v="2"/>
    <x v="3"/>
    <x v="2"/>
    <x v="3"/>
    <x v="7"/>
    <n v="29"/>
    <x v="0"/>
  </r>
  <r>
    <d v="2023-09-29T00:00:00"/>
    <x v="3"/>
    <x v="2"/>
    <x v="2"/>
    <n v="186802.83"/>
    <x v="3"/>
    <x v="2"/>
    <x v="2"/>
    <x v="5"/>
    <x v="2"/>
    <x v="3"/>
    <x v="2"/>
    <x v="3"/>
    <x v="7"/>
    <n v="29"/>
    <x v="0"/>
  </r>
  <r>
    <d v="2023-09-29T00:00:00"/>
    <x v="3"/>
    <x v="3"/>
    <x v="0"/>
    <n v="5776370751.6899996"/>
    <x v="3"/>
    <x v="3"/>
    <x v="0"/>
    <x v="8"/>
    <x v="2"/>
    <x v="3"/>
    <x v="2"/>
    <x v="3"/>
    <x v="7"/>
    <n v="29"/>
    <x v="0"/>
  </r>
  <r>
    <d v="2023-09-29T00:00:00"/>
    <x v="3"/>
    <x v="3"/>
    <x v="1"/>
    <n v="96893"/>
    <x v="3"/>
    <x v="3"/>
    <x v="1"/>
    <x v="3"/>
    <x v="2"/>
    <x v="3"/>
    <x v="2"/>
    <x v="3"/>
    <x v="7"/>
    <n v="29"/>
    <x v="0"/>
  </r>
  <r>
    <d v="2023-09-29T00:00:00"/>
    <x v="0"/>
    <x v="1"/>
    <x v="1"/>
    <n v="11465045.210000001"/>
    <x v="0"/>
    <x v="1"/>
    <x v="1"/>
    <x v="4"/>
    <x v="2"/>
    <x v="3"/>
    <x v="2"/>
    <x v="3"/>
    <x v="7"/>
    <n v="29"/>
    <x v="0"/>
  </r>
  <r>
    <d v="2023-09-29T00:00:00"/>
    <x v="2"/>
    <x v="1"/>
    <x v="1"/>
    <n v="238797903.47999999"/>
    <x v="2"/>
    <x v="1"/>
    <x v="1"/>
    <x v="7"/>
    <x v="2"/>
    <x v="3"/>
    <x v="2"/>
    <x v="3"/>
    <x v="7"/>
    <n v="29"/>
    <x v="0"/>
  </r>
  <r>
    <d v="2023-09-29T00:00:00"/>
    <x v="1"/>
    <x v="0"/>
    <x v="0"/>
    <n v="56734478.75"/>
    <x v="1"/>
    <x v="0"/>
    <x v="0"/>
    <x v="9"/>
    <x v="2"/>
    <x v="3"/>
    <x v="2"/>
    <x v="3"/>
    <x v="7"/>
    <n v="29"/>
    <x v="0"/>
  </r>
  <r>
    <d v="2023-09-29T00:00:00"/>
    <x v="1"/>
    <x v="0"/>
    <x v="1"/>
    <n v="338274786.38"/>
    <x v="1"/>
    <x v="0"/>
    <x v="1"/>
    <x v="10"/>
    <x v="2"/>
    <x v="3"/>
    <x v="2"/>
    <x v="3"/>
    <x v="7"/>
    <n v="29"/>
    <x v="0"/>
  </r>
  <r>
    <d v="2023-09-29T00:00:00"/>
    <x v="3"/>
    <x v="2"/>
    <x v="0"/>
    <n v="2050155509.21"/>
    <x v="3"/>
    <x v="2"/>
    <x v="0"/>
    <x v="11"/>
    <x v="2"/>
    <x v="3"/>
    <x v="2"/>
    <x v="3"/>
    <x v="7"/>
    <n v="29"/>
    <x v="0"/>
  </r>
  <r>
    <d v="2023-09-29T00:00:00"/>
    <x v="3"/>
    <x v="1"/>
    <x v="0"/>
    <n v="16714464.33"/>
    <x v="3"/>
    <x v="1"/>
    <x v="0"/>
    <x v="12"/>
    <x v="2"/>
    <x v="3"/>
    <x v="2"/>
    <x v="3"/>
    <x v="7"/>
    <n v="29"/>
    <x v="0"/>
  </r>
  <r>
    <d v="2023-09-29T00:00:00"/>
    <x v="3"/>
    <x v="2"/>
    <x v="1"/>
    <n v="26171088165.84"/>
    <x v="3"/>
    <x v="2"/>
    <x v="1"/>
    <x v="13"/>
    <x v="2"/>
    <x v="3"/>
    <x v="2"/>
    <x v="3"/>
    <x v="7"/>
    <n v="29"/>
    <x v="0"/>
  </r>
  <r>
    <d v="2023-09-28T00:00:00"/>
    <x v="0"/>
    <x v="0"/>
    <x v="0"/>
    <n v="10000"/>
    <x v="0"/>
    <x v="0"/>
    <x v="0"/>
    <x v="0"/>
    <x v="2"/>
    <x v="3"/>
    <x v="2"/>
    <x v="3"/>
    <x v="7"/>
    <n v="28"/>
    <x v="0"/>
  </r>
  <r>
    <d v="2023-09-28T00:00:00"/>
    <x v="0"/>
    <x v="1"/>
    <x v="0"/>
    <n v="13991849.57"/>
    <x v="0"/>
    <x v="1"/>
    <x v="0"/>
    <x v="1"/>
    <x v="2"/>
    <x v="3"/>
    <x v="2"/>
    <x v="3"/>
    <x v="7"/>
    <n v="28"/>
    <x v="0"/>
  </r>
  <r>
    <d v="2023-09-28T00:00:00"/>
    <x v="3"/>
    <x v="2"/>
    <x v="2"/>
    <n v="173538.86"/>
    <x v="3"/>
    <x v="2"/>
    <x v="2"/>
    <x v="6"/>
    <x v="2"/>
    <x v="3"/>
    <x v="2"/>
    <x v="3"/>
    <x v="7"/>
    <n v="28"/>
    <x v="0"/>
  </r>
  <r>
    <d v="2023-09-28T00:00:00"/>
    <x v="1"/>
    <x v="1"/>
    <x v="0"/>
    <n v="10767.71"/>
    <x v="1"/>
    <x v="1"/>
    <x v="0"/>
    <x v="4"/>
    <x v="2"/>
    <x v="3"/>
    <x v="2"/>
    <x v="3"/>
    <x v="7"/>
    <n v="28"/>
    <x v="0"/>
  </r>
  <r>
    <d v="2023-09-28T00:00:00"/>
    <x v="2"/>
    <x v="1"/>
    <x v="0"/>
    <n v="94344137.150000006"/>
    <x v="2"/>
    <x v="1"/>
    <x v="0"/>
    <x v="7"/>
    <x v="2"/>
    <x v="3"/>
    <x v="2"/>
    <x v="3"/>
    <x v="7"/>
    <n v="28"/>
    <x v="0"/>
  </r>
  <r>
    <d v="2023-09-28T00:00:00"/>
    <x v="2"/>
    <x v="1"/>
    <x v="2"/>
    <n v="42604.65"/>
    <x v="2"/>
    <x v="1"/>
    <x v="2"/>
    <x v="5"/>
    <x v="2"/>
    <x v="3"/>
    <x v="2"/>
    <x v="3"/>
    <x v="7"/>
    <n v="28"/>
    <x v="0"/>
  </r>
  <r>
    <d v="2023-09-28T00:00:00"/>
    <x v="3"/>
    <x v="3"/>
    <x v="0"/>
    <n v="1741973639.0799999"/>
    <x v="3"/>
    <x v="3"/>
    <x v="0"/>
    <x v="8"/>
    <x v="2"/>
    <x v="3"/>
    <x v="2"/>
    <x v="3"/>
    <x v="7"/>
    <n v="28"/>
    <x v="0"/>
  </r>
  <r>
    <d v="2023-09-28T00:00:00"/>
    <x v="2"/>
    <x v="1"/>
    <x v="1"/>
    <n v="161210743.5"/>
    <x v="2"/>
    <x v="1"/>
    <x v="1"/>
    <x v="9"/>
    <x v="2"/>
    <x v="3"/>
    <x v="2"/>
    <x v="3"/>
    <x v="7"/>
    <n v="28"/>
    <x v="0"/>
  </r>
  <r>
    <d v="2023-09-28T00:00:00"/>
    <x v="1"/>
    <x v="0"/>
    <x v="0"/>
    <n v="77669449.140000001"/>
    <x v="1"/>
    <x v="0"/>
    <x v="0"/>
    <x v="10"/>
    <x v="2"/>
    <x v="3"/>
    <x v="2"/>
    <x v="3"/>
    <x v="7"/>
    <n v="28"/>
    <x v="0"/>
  </r>
  <r>
    <d v="2023-09-28T00:00:00"/>
    <x v="3"/>
    <x v="3"/>
    <x v="1"/>
    <n v="860.7"/>
    <x v="3"/>
    <x v="3"/>
    <x v="1"/>
    <x v="2"/>
    <x v="2"/>
    <x v="3"/>
    <x v="2"/>
    <x v="3"/>
    <x v="7"/>
    <n v="28"/>
    <x v="0"/>
  </r>
  <r>
    <d v="2023-09-28T00:00:00"/>
    <x v="0"/>
    <x v="1"/>
    <x v="1"/>
    <n v="6497349.9900000002"/>
    <x v="0"/>
    <x v="1"/>
    <x v="1"/>
    <x v="3"/>
    <x v="2"/>
    <x v="3"/>
    <x v="2"/>
    <x v="3"/>
    <x v="7"/>
    <n v="28"/>
    <x v="0"/>
  </r>
  <r>
    <d v="2023-09-28T00:00:00"/>
    <x v="1"/>
    <x v="0"/>
    <x v="1"/>
    <n v="700889421.23000002"/>
    <x v="1"/>
    <x v="0"/>
    <x v="1"/>
    <x v="11"/>
    <x v="2"/>
    <x v="3"/>
    <x v="2"/>
    <x v="3"/>
    <x v="7"/>
    <n v="28"/>
    <x v="0"/>
  </r>
  <r>
    <d v="2023-09-28T00:00:00"/>
    <x v="3"/>
    <x v="1"/>
    <x v="0"/>
    <n v="14744777.720000001"/>
    <x v="3"/>
    <x v="1"/>
    <x v="0"/>
    <x v="12"/>
    <x v="2"/>
    <x v="3"/>
    <x v="2"/>
    <x v="3"/>
    <x v="7"/>
    <n v="28"/>
    <x v="0"/>
  </r>
  <r>
    <d v="2023-09-28T00:00:00"/>
    <x v="3"/>
    <x v="2"/>
    <x v="0"/>
    <n v="715029417.46000004"/>
    <x v="3"/>
    <x v="2"/>
    <x v="0"/>
    <x v="13"/>
    <x v="2"/>
    <x v="3"/>
    <x v="2"/>
    <x v="3"/>
    <x v="7"/>
    <n v="28"/>
    <x v="0"/>
  </r>
  <r>
    <d v="2023-09-28T00:00:00"/>
    <x v="3"/>
    <x v="2"/>
    <x v="1"/>
    <n v="4763561522.4499998"/>
    <x v="3"/>
    <x v="2"/>
    <x v="1"/>
    <x v="14"/>
    <x v="2"/>
    <x v="3"/>
    <x v="2"/>
    <x v="3"/>
    <x v="7"/>
    <n v="28"/>
    <x v="0"/>
  </r>
  <r>
    <d v="2023-09-27T00:00:00"/>
    <x v="0"/>
    <x v="0"/>
    <x v="0"/>
    <n v="238.95"/>
    <x v="0"/>
    <x v="0"/>
    <x v="0"/>
    <x v="0"/>
    <x v="2"/>
    <x v="3"/>
    <x v="2"/>
    <x v="3"/>
    <x v="7"/>
    <n v="27"/>
    <x v="0"/>
  </r>
  <r>
    <d v="2023-09-27T00:00:00"/>
    <x v="1"/>
    <x v="1"/>
    <x v="0"/>
    <n v="24698.02"/>
    <x v="1"/>
    <x v="1"/>
    <x v="0"/>
    <x v="1"/>
    <x v="2"/>
    <x v="3"/>
    <x v="2"/>
    <x v="3"/>
    <x v="7"/>
    <n v="27"/>
    <x v="0"/>
  </r>
  <r>
    <d v="2023-09-27T00:00:00"/>
    <x v="0"/>
    <x v="1"/>
    <x v="0"/>
    <n v="5034273.04"/>
    <x v="0"/>
    <x v="1"/>
    <x v="0"/>
    <x v="2"/>
    <x v="2"/>
    <x v="3"/>
    <x v="2"/>
    <x v="3"/>
    <x v="7"/>
    <n v="27"/>
    <x v="0"/>
  </r>
  <r>
    <d v="2023-09-27T00:00:00"/>
    <x v="2"/>
    <x v="1"/>
    <x v="2"/>
    <n v="147006"/>
    <x v="2"/>
    <x v="1"/>
    <x v="2"/>
    <x v="3"/>
    <x v="2"/>
    <x v="3"/>
    <x v="2"/>
    <x v="3"/>
    <x v="7"/>
    <n v="27"/>
    <x v="0"/>
  </r>
  <r>
    <d v="2023-09-27T00:00:00"/>
    <x v="3"/>
    <x v="3"/>
    <x v="0"/>
    <n v="1191349909.28"/>
    <x v="3"/>
    <x v="3"/>
    <x v="0"/>
    <x v="7"/>
    <x v="2"/>
    <x v="3"/>
    <x v="2"/>
    <x v="3"/>
    <x v="7"/>
    <n v="27"/>
    <x v="0"/>
  </r>
  <r>
    <d v="2023-09-27T00:00:00"/>
    <x v="2"/>
    <x v="1"/>
    <x v="0"/>
    <n v="92912381.980000004"/>
    <x v="2"/>
    <x v="1"/>
    <x v="0"/>
    <x v="8"/>
    <x v="2"/>
    <x v="3"/>
    <x v="2"/>
    <x v="3"/>
    <x v="7"/>
    <n v="27"/>
    <x v="0"/>
  </r>
  <r>
    <d v="2023-09-27T00:00:00"/>
    <x v="2"/>
    <x v="1"/>
    <x v="1"/>
    <n v="300260627.33999997"/>
    <x v="2"/>
    <x v="1"/>
    <x v="1"/>
    <x v="9"/>
    <x v="2"/>
    <x v="3"/>
    <x v="2"/>
    <x v="3"/>
    <x v="7"/>
    <n v="27"/>
    <x v="0"/>
  </r>
  <r>
    <d v="2023-09-27T00:00:00"/>
    <x v="3"/>
    <x v="3"/>
    <x v="1"/>
    <n v="140444.35999999999"/>
    <x v="3"/>
    <x v="3"/>
    <x v="1"/>
    <x v="4"/>
    <x v="2"/>
    <x v="3"/>
    <x v="2"/>
    <x v="3"/>
    <x v="7"/>
    <n v="27"/>
    <x v="0"/>
  </r>
  <r>
    <d v="2023-09-27T00:00:00"/>
    <x v="0"/>
    <x v="1"/>
    <x v="1"/>
    <n v="20165716.350000001"/>
    <x v="0"/>
    <x v="1"/>
    <x v="1"/>
    <x v="5"/>
    <x v="2"/>
    <x v="3"/>
    <x v="2"/>
    <x v="3"/>
    <x v="7"/>
    <n v="27"/>
    <x v="0"/>
  </r>
  <r>
    <d v="2023-09-27T00:00:00"/>
    <x v="3"/>
    <x v="2"/>
    <x v="2"/>
    <n v="119665.31"/>
    <x v="3"/>
    <x v="2"/>
    <x v="2"/>
    <x v="6"/>
    <x v="2"/>
    <x v="3"/>
    <x v="2"/>
    <x v="3"/>
    <x v="7"/>
    <n v="27"/>
    <x v="0"/>
  </r>
  <r>
    <d v="2023-09-27T00:00:00"/>
    <x v="1"/>
    <x v="0"/>
    <x v="0"/>
    <n v="82547396.829999998"/>
    <x v="1"/>
    <x v="0"/>
    <x v="0"/>
    <x v="10"/>
    <x v="2"/>
    <x v="3"/>
    <x v="2"/>
    <x v="3"/>
    <x v="7"/>
    <n v="27"/>
    <x v="0"/>
  </r>
  <r>
    <d v="2023-09-27T00:00:00"/>
    <x v="1"/>
    <x v="0"/>
    <x v="1"/>
    <n v="1602665717.05"/>
    <x v="1"/>
    <x v="0"/>
    <x v="1"/>
    <x v="11"/>
    <x v="2"/>
    <x v="3"/>
    <x v="2"/>
    <x v="3"/>
    <x v="7"/>
    <n v="27"/>
    <x v="0"/>
  </r>
  <r>
    <d v="2023-09-27T00:00:00"/>
    <x v="3"/>
    <x v="1"/>
    <x v="0"/>
    <n v="15195052.92"/>
    <x v="3"/>
    <x v="1"/>
    <x v="0"/>
    <x v="12"/>
    <x v="2"/>
    <x v="3"/>
    <x v="2"/>
    <x v="3"/>
    <x v="7"/>
    <n v="27"/>
    <x v="0"/>
  </r>
  <r>
    <d v="2023-09-27T00:00:00"/>
    <x v="3"/>
    <x v="2"/>
    <x v="0"/>
    <n v="519623013.63"/>
    <x v="3"/>
    <x v="2"/>
    <x v="0"/>
    <x v="13"/>
    <x v="2"/>
    <x v="3"/>
    <x v="2"/>
    <x v="3"/>
    <x v="7"/>
    <n v="27"/>
    <x v="0"/>
  </r>
  <r>
    <d v="2023-09-27T00:00:00"/>
    <x v="3"/>
    <x v="2"/>
    <x v="1"/>
    <n v="12291460819.48"/>
    <x v="3"/>
    <x v="2"/>
    <x v="1"/>
    <x v="14"/>
    <x v="2"/>
    <x v="3"/>
    <x v="2"/>
    <x v="3"/>
    <x v="7"/>
    <n v="27"/>
    <x v="0"/>
  </r>
  <r>
    <d v="2023-09-26T00:00:00"/>
    <x v="1"/>
    <x v="1"/>
    <x v="0"/>
    <n v="147490.63"/>
    <x v="1"/>
    <x v="1"/>
    <x v="0"/>
    <x v="0"/>
    <x v="2"/>
    <x v="3"/>
    <x v="2"/>
    <x v="3"/>
    <x v="7"/>
    <n v="26"/>
    <x v="0"/>
  </r>
  <r>
    <d v="2023-09-26T00:00:00"/>
    <x v="0"/>
    <x v="1"/>
    <x v="0"/>
    <n v="14205648.439999999"/>
    <x v="0"/>
    <x v="1"/>
    <x v="0"/>
    <x v="1"/>
    <x v="2"/>
    <x v="3"/>
    <x v="2"/>
    <x v="3"/>
    <x v="7"/>
    <n v="26"/>
    <x v="0"/>
  </r>
  <r>
    <d v="2023-09-26T00:00:00"/>
    <x v="2"/>
    <x v="1"/>
    <x v="2"/>
    <n v="6451.21"/>
    <x v="2"/>
    <x v="1"/>
    <x v="2"/>
    <x v="2"/>
    <x v="2"/>
    <x v="3"/>
    <x v="2"/>
    <x v="3"/>
    <x v="7"/>
    <n v="26"/>
    <x v="0"/>
  </r>
  <r>
    <d v="2023-09-26T00:00:00"/>
    <x v="2"/>
    <x v="1"/>
    <x v="0"/>
    <n v="72707877.409999996"/>
    <x v="2"/>
    <x v="1"/>
    <x v="0"/>
    <x v="6"/>
    <x v="2"/>
    <x v="3"/>
    <x v="2"/>
    <x v="3"/>
    <x v="7"/>
    <n v="26"/>
    <x v="0"/>
  </r>
  <r>
    <d v="2023-09-26T00:00:00"/>
    <x v="2"/>
    <x v="1"/>
    <x v="1"/>
    <n v="184904000.19999999"/>
    <x v="2"/>
    <x v="1"/>
    <x v="1"/>
    <x v="7"/>
    <x v="2"/>
    <x v="3"/>
    <x v="2"/>
    <x v="3"/>
    <x v="7"/>
    <n v="26"/>
    <x v="0"/>
  </r>
  <r>
    <d v="2023-09-26T00:00:00"/>
    <x v="3"/>
    <x v="2"/>
    <x v="2"/>
    <n v="349322.83"/>
    <x v="3"/>
    <x v="2"/>
    <x v="2"/>
    <x v="5"/>
    <x v="2"/>
    <x v="3"/>
    <x v="2"/>
    <x v="3"/>
    <x v="7"/>
    <n v="26"/>
    <x v="0"/>
  </r>
  <r>
    <d v="2023-09-26T00:00:00"/>
    <x v="3"/>
    <x v="3"/>
    <x v="0"/>
    <n v="5696726630.2799997"/>
    <x v="3"/>
    <x v="3"/>
    <x v="0"/>
    <x v="8"/>
    <x v="2"/>
    <x v="3"/>
    <x v="2"/>
    <x v="3"/>
    <x v="7"/>
    <n v="26"/>
    <x v="0"/>
  </r>
  <r>
    <d v="2023-09-26T00:00:00"/>
    <x v="1"/>
    <x v="0"/>
    <x v="0"/>
    <n v="84053858.150000006"/>
    <x v="1"/>
    <x v="0"/>
    <x v="0"/>
    <x v="9"/>
    <x v="2"/>
    <x v="3"/>
    <x v="2"/>
    <x v="3"/>
    <x v="7"/>
    <n v="26"/>
    <x v="0"/>
  </r>
  <r>
    <d v="2023-09-26T00:00:00"/>
    <x v="0"/>
    <x v="0"/>
    <x v="1"/>
    <n v="300"/>
    <x v="0"/>
    <x v="0"/>
    <x v="1"/>
    <x v="3"/>
    <x v="2"/>
    <x v="3"/>
    <x v="2"/>
    <x v="3"/>
    <x v="7"/>
    <n v="26"/>
    <x v="0"/>
  </r>
  <r>
    <d v="2023-09-26T00:00:00"/>
    <x v="0"/>
    <x v="1"/>
    <x v="1"/>
    <n v="6751030.0800000001"/>
    <x v="0"/>
    <x v="1"/>
    <x v="1"/>
    <x v="4"/>
    <x v="2"/>
    <x v="3"/>
    <x v="2"/>
    <x v="3"/>
    <x v="7"/>
    <n v="26"/>
    <x v="0"/>
  </r>
  <r>
    <d v="2023-09-26T00:00:00"/>
    <x v="1"/>
    <x v="0"/>
    <x v="1"/>
    <n v="1329299830.29"/>
    <x v="1"/>
    <x v="0"/>
    <x v="1"/>
    <x v="10"/>
    <x v="2"/>
    <x v="3"/>
    <x v="2"/>
    <x v="3"/>
    <x v="7"/>
    <n v="26"/>
    <x v="0"/>
  </r>
  <r>
    <d v="2023-09-26T00:00:00"/>
    <x v="3"/>
    <x v="1"/>
    <x v="0"/>
    <n v="12302233.65"/>
    <x v="3"/>
    <x v="1"/>
    <x v="0"/>
    <x v="11"/>
    <x v="2"/>
    <x v="3"/>
    <x v="2"/>
    <x v="3"/>
    <x v="7"/>
    <n v="26"/>
    <x v="0"/>
  </r>
  <r>
    <d v="2023-09-26T00:00:00"/>
    <x v="3"/>
    <x v="2"/>
    <x v="0"/>
    <n v="765019102.27999997"/>
    <x v="3"/>
    <x v="2"/>
    <x v="0"/>
    <x v="12"/>
    <x v="2"/>
    <x v="3"/>
    <x v="2"/>
    <x v="3"/>
    <x v="7"/>
    <n v="26"/>
    <x v="0"/>
  </r>
  <r>
    <d v="2023-09-26T00:00:00"/>
    <x v="3"/>
    <x v="2"/>
    <x v="1"/>
    <n v="4309728735.4300003"/>
    <x v="3"/>
    <x v="2"/>
    <x v="1"/>
    <x v="13"/>
    <x v="2"/>
    <x v="3"/>
    <x v="2"/>
    <x v="3"/>
    <x v="7"/>
    <n v="26"/>
    <x v="0"/>
  </r>
  <r>
    <d v="2023-09-25T00:00:00"/>
    <x v="0"/>
    <x v="0"/>
    <x v="0"/>
    <n v="-0.05"/>
    <x v="0"/>
    <x v="0"/>
    <x v="0"/>
    <x v="0"/>
    <x v="2"/>
    <x v="3"/>
    <x v="2"/>
    <x v="3"/>
    <x v="7"/>
    <n v="25"/>
    <x v="1"/>
  </r>
  <r>
    <d v="2023-09-25T00:00:00"/>
    <x v="1"/>
    <x v="1"/>
    <x v="0"/>
    <n v="195365.8"/>
    <x v="1"/>
    <x v="1"/>
    <x v="0"/>
    <x v="1"/>
    <x v="2"/>
    <x v="3"/>
    <x v="2"/>
    <x v="3"/>
    <x v="7"/>
    <n v="25"/>
    <x v="0"/>
  </r>
  <r>
    <d v="2023-09-25T00:00:00"/>
    <x v="0"/>
    <x v="1"/>
    <x v="0"/>
    <n v="25274860.530000001"/>
    <x v="0"/>
    <x v="1"/>
    <x v="0"/>
    <x v="2"/>
    <x v="2"/>
    <x v="3"/>
    <x v="2"/>
    <x v="3"/>
    <x v="7"/>
    <n v="25"/>
    <x v="0"/>
  </r>
  <r>
    <d v="2023-09-25T00:00:00"/>
    <x v="2"/>
    <x v="1"/>
    <x v="2"/>
    <n v="85171.69"/>
    <x v="2"/>
    <x v="1"/>
    <x v="2"/>
    <x v="3"/>
    <x v="2"/>
    <x v="3"/>
    <x v="2"/>
    <x v="3"/>
    <x v="7"/>
    <n v="25"/>
    <x v="0"/>
  </r>
  <r>
    <d v="2023-09-25T00:00:00"/>
    <x v="2"/>
    <x v="1"/>
    <x v="0"/>
    <n v="95412924.5"/>
    <x v="2"/>
    <x v="1"/>
    <x v="0"/>
    <x v="7"/>
    <x v="2"/>
    <x v="3"/>
    <x v="2"/>
    <x v="3"/>
    <x v="7"/>
    <n v="25"/>
    <x v="0"/>
  </r>
  <r>
    <d v="2023-09-25T00:00:00"/>
    <x v="2"/>
    <x v="1"/>
    <x v="1"/>
    <n v="130422318.23999999"/>
    <x v="2"/>
    <x v="1"/>
    <x v="1"/>
    <x v="8"/>
    <x v="2"/>
    <x v="3"/>
    <x v="2"/>
    <x v="3"/>
    <x v="7"/>
    <n v="25"/>
    <x v="0"/>
  </r>
  <r>
    <d v="2023-09-25T00:00:00"/>
    <x v="3"/>
    <x v="3"/>
    <x v="0"/>
    <n v="2475548575.6700001"/>
    <x v="3"/>
    <x v="3"/>
    <x v="0"/>
    <x v="9"/>
    <x v="2"/>
    <x v="3"/>
    <x v="2"/>
    <x v="3"/>
    <x v="7"/>
    <n v="25"/>
    <x v="0"/>
  </r>
  <r>
    <d v="2023-09-25T00:00:00"/>
    <x v="3"/>
    <x v="2"/>
    <x v="2"/>
    <n v="128048.78"/>
    <x v="3"/>
    <x v="2"/>
    <x v="2"/>
    <x v="6"/>
    <x v="2"/>
    <x v="3"/>
    <x v="2"/>
    <x v="3"/>
    <x v="7"/>
    <n v="25"/>
    <x v="0"/>
  </r>
  <r>
    <d v="2023-09-25T00:00:00"/>
    <x v="1"/>
    <x v="0"/>
    <x v="0"/>
    <n v="141517206.16999999"/>
    <x v="1"/>
    <x v="0"/>
    <x v="0"/>
    <x v="10"/>
    <x v="2"/>
    <x v="3"/>
    <x v="2"/>
    <x v="3"/>
    <x v="7"/>
    <n v="25"/>
    <x v="0"/>
  </r>
  <r>
    <d v="2023-09-25T00:00:00"/>
    <x v="3"/>
    <x v="3"/>
    <x v="1"/>
    <n v="64799.1"/>
    <x v="3"/>
    <x v="3"/>
    <x v="1"/>
    <x v="4"/>
    <x v="2"/>
    <x v="3"/>
    <x v="2"/>
    <x v="3"/>
    <x v="7"/>
    <n v="25"/>
    <x v="0"/>
  </r>
  <r>
    <d v="2023-09-25T00:00:00"/>
    <x v="0"/>
    <x v="1"/>
    <x v="1"/>
    <n v="15445014.710000001"/>
    <x v="0"/>
    <x v="1"/>
    <x v="1"/>
    <x v="5"/>
    <x v="2"/>
    <x v="3"/>
    <x v="2"/>
    <x v="3"/>
    <x v="7"/>
    <n v="25"/>
    <x v="0"/>
  </r>
  <r>
    <d v="2023-09-25T00:00:00"/>
    <x v="1"/>
    <x v="0"/>
    <x v="1"/>
    <n v="2132643289.75"/>
    <x v="1"/>
    <x v="0"/>
    <x v="1"/>
    <x v="11"/>
    <x v="2"/>
    <x v="3"/>
    <x v="2"/>
    <x v="3"/>
    <x v="7"/>
    <n v="25"/>
    <x v="0"/>
  </r>
  <r>
    <d v="2023-09-25T00:00:00"/>
    <x v="3"/>
    <x v="2"/>
    <x v="0"/>
    <n v="5825171460.6499996"/>
    <x v="3"/>
    <x v="2"/>
    <x v="0"/>
    <x v="12"/>
    <x v="2"/>
    <x v="3"/>
    <x v="2"/>
    <x v="3"/>
    <x v="7"/>
    <n v="25"/>
    <x v="0"/>
  </r>
  <r>
    <d v="2023-09-25T00:00:00"/>
    <x v="3"/>
    <x v="2"/>
    <x v="1"/>
    <n v="20880893729.240002"/>
    <x v="3"/>
    <x v="2"/>
    <x v="1"/>
    <x v="13"/>
    <x v="2"/>
    <x v="3"/>
    <x v="2"/>
    <x v="3"/>
    <x v="7"/>
    <n v="25"/>
    <x v="0"/>
  </r>
  <r>
    <d v="2023-09-25T00:00:00"/>
    <x v="3"/>
    <x v="1"/>
    <x v="0"/>
    <n v="43996352.909999996"/>
    <x v="3"/>
    <x v="1"/>
    <x v="0"/>
    <x v="14"/>
    <x v="2"/>
    <x v="3"/>
    <x v="2"/>
    <x v="3"/>
    <x v="7"/>
    <n v="25"/>
    <x v="0"/>
  </r>
  <r>
    <d v="2023-09-22T00:00:00"/>
    <x v="1"/>
    <x v="1"/>
    <x v="0"/>
    <n v="140044.49"/>
    <x v="1"/>
    <x v="1"/>
    <x v="0"/>
    <x v="0"/>
    <x v="2"/>
    <x v="3"/>
    <x v="2"/>
    <x v="3"/>
    <x v="7"/>
    <n v="22"/>
    <x v="0"/>
  </r>
  <r>
    <d v="2023-09-22T00:00:00"/>
    <x v="0"/>
    <x v="1"/>
    <x v="0"/>
    <n v="27679270.84"/>
    <x v="0"/>
    <x v="1"/>
    <x v="0"/>
    <x v="1"/>
    <x v="2"/>
    <x v="3"/>
    <x v="2"/>
    <x v="3"/>
    <x v="7"/>
    <n v="22"/>
    <x v="0"/>
  </r>
  <r>
    <d v="2023-09-22T00:00:00"/>
    <x v="3"/>
    <x v="3"/>
    <x v="2"/>
    <n v="22.35"/>
    <x v="3"/>
    <x v="3"/>
    <x v="2"/>
    <x v="2"/>
    <x v="2"/>
    <x v="3"/>
    <x v="2"/>
    <x v="3"/>
    <x v="7"/>
    <n v="22"/>
    <x v="0"/>
  </r>
  <r>
    <d v="2023-09-22T00:00:00"/>
    <x v="2"/>
    <x v="1"/>
    <x v="2"/>
    <n v="7053.2"/>
    <x v="2"/>
    <x v="1"/>
    <x v="2"/>
    <x v="3"/>
    <x v="2"/>
    <x v="3"/>
    <x v="2"/>
    <x v="3"/>
    <x v="7"/>
    <n v="22"/>
    <x v="0"/>
  </r>
  <r>
    <d v="2023-09-22T00:00:00"/>
    <x v="2"/>
    <x v="1"/>
    <x v="0"/>
    <n v="88981512.739999995"/>
    <x v="2"/>
    <x v="1"/>
    <x v="0"/>
    <x v="7"/>
    <x v="2"/>
    <x v="3"/>
    <x v="2"/>
    <x v="3"/>
    <x v="7"/>
    <n v="22"/>
    <x v="0"/>
  </r>
  <r>
    <d v="2023-09-22T00:00:00"/>
    <x v="3"/>
    <x v="3"/>
    <x v="0"/>
    <n v="1976738451.74"/>
    <x v="3"/>
    <x v="3"/>
    <x v="0"/>
    <x v="8"/>
    <x v="2"/>
    <x v="3"/>
    <x v="2"/>
    <x v="3"/>
    <x v="7"/>
    <n v="22"/>
    <x v="0"/>
  </r>
  <r>
    <d v="2023-09-22T00:00:00"/>
    <x v="1"/>
    <x v="0"/>
    <x v="0"/>
    <n v="72196763.010000005"/>
    <x v="1"/>
    <x v="0"/>
    <x v="0"/>
    <x v="10"/>
    <x v="2"/>
    <x v="3"/>
    <x v="2"/>
    <x v="3"/>
    <x v="7"/>
    <n v="22"/>
    <x v="0"/>
  </r>
  <r>
    <d v="2023-09-22T00:00:00"/>
    <x v="3"/>
    <x v="3"/>
    <x v="1"/>
    <n v="12780260.32"/>
    <x v="3"/>
    <x v="3"/>
    <x v="1"/>
    <x v="4"/>
    <x v="2"/>
    <x v="3"/>
    <x v="2"/>
    <x v="3"/>
    <x v="7"/>
    <n v="22"/>
    <x v="0"/>
  </r>
  <r>
    <d v="2023-09-22T00:00:00"/>
    <x v="0"/>
    <x v="1"/>
    <x v="1"/>
    <n v="17241212.940000001"/>
    <x v="0"/>
    <x v="1"/>
    <x v="1"/>
    <x v="5"/>
    <x v="2"/>
    <x v="3"/>
    <x v="2"/>
    <x v="3"/>
    <x v="7"/>
    <n v="22"/>
    <x v="0"/>
  </r>
  <r>
    <d v="2023-09-22T00:00:00"/>
    <x v="3"/>
    <x v="2"/>
    <x v="2"/>
    <n v="209797.86"/>
    <x v="3"/>
    <x v="2"/>
    <x v="2"/>
    <x v="6"/>
    <x v="2"/>
    <x v="3"/>
    <x v="2"/>
    <x v="3"/>
    <x v="7"/>
    <n v="22"/>
    <x v="0"/>
  </r>
  <r>
    <d v="2023-09-22T00:00:00"/>
    <x v="2"/>
    <x v="1"/>
    <x v="1"/>
    <n v="287562131.48000002"/>
    <x v="2"/>
    <x v="1"/>
    <x v="1"/>
    <x v="9"/>
    <x v="2"/>
    <x v="3"/>
    <x v="2"/>
    <x v="3"/>
    <x v="7"/>
    <n v="22"/>
    <x v="0"/>
  </r>
  <r>
    <d v="2023-09-22T00:00:00"/>
    <x v="1"/>
    <x v="0"/>
    <x v="1"/>
    <n v="5453717351.9300003"/>
    <x v="1"/>
    <x v="0"/>
    <x v="1"/>
    <x v="11"/>
    <x v="2"/>
    <x v="3"/>
    <x v="2"/>
    <x v="3"/>
    <x v="7"/>
    <n v="22"/>
    <x v="0"/>
  </r>
  <r>
    <d v="2023-09-22T00:00:00"/>
    <x v="3"/>
    <x v="2"/>
    <x v="0"/>
    <n v="476491298.08999997"/>
    <x v="3"/>
    <x v="2"/>
    <x v="0"/>
    <x v="12"/>
    <x v="2"/>
    <x v="3"/>
    <x v="2"/>
    <x v="3"/>
    <x v="7"/>
    <n v="22"/>
    <x v="0"/>
  </r>
  <r>
    <d v="2023-09-22T00:00:00"/>
    <x v="3"/>
    <x v="1"/>
    <x v="0"/>
    <n v="14365115.67"/>
    <x v="3"/>
    <x v="1"/>
    <x v="0"/>
    <x v="13"/>
    <x v="2"/>
    <x v="3"/>
    <x v="2"/>
    <x v="3"/>
    <x v="7"/>
    <n v="22"/>
    <x v="0"/>
  </r>
  <r>
    <d v="2023-09-22T00:00:00"/>
    <x v="3"/>
    <x v="2"/>
    <x v="1"/>
    <n v="8533441327.5900002"/>
    <x v="3"/>
    <x v="2"/>
    <x v="1"/>
    <x v="14"/>
    <x v="2"/>
    <x v="3"/>
    <x v="2"/>
    <x v="3"/>
    <x v="7"/>
    <n v="22"/>
    <x v="0"/>
  </r>
  <r>
    <d v="2023-09-21T00:00:00"/>
    <x v="3"/>
    <x v="2"/>
    <x v="2"/>
    <n v="118945.18"/>
    <x v="3"/>
    <x v="2"/>
    <x v="2"/>
    <x v="7"/>
    <x v="2"/>
    <x v="3"/>
    <x v="2"/>
    <x v="3"/>
    <x v="7"/>
    <n v="21"/>
    <x v="0"/>
  </r>
  <r>
    <d v="2023-09-21T00:00:00"/>
    <x v="0"/>
    <x v="0"/>
    <x v="0"/>
    <n v="0.05"/>
    <x v="0"/>
    <x v="0"/>
    <x v="0"/>
    <x v="0"/>
    <x v="2"/>
    <x v="3"/>
    <x v="2"/>
    <x v="3"/>
    <x v="7"/>
    <n v="21"/>
    <x v="0"/>
  </r>
  <r>
    <d v="2023-09-21T00:00:00"/>
    <x v="1"/>
    <x v="1"/>
    <x v="0"/>
    <n v="19919.310000000001"/>
    <x v="1"/>
    <x v="1"/>
    <x v="0"/>
    <x v="1"/>
    <x v="2"/>
    <x v="3"/>
    <x v="2"/>
    <x v="3"/>
    <x v="7"/>
    <n v="21"/>
    <x v="0"/>
  </r>
  <r>
    <d v="2023-09-21T00:00:00"/>
    <x v="0"/>
    <x v="1"/>
    <x v="0"/>
    <n v="28356964.960000001"/>
    <x v="0"/>
    <x v="1"/>
    <x v="0"/>
    <x v="2"/>
    <x v="2"/>
    <x v="3"/>
    <x v="2"/>
    <x v="3"/>
    <x v="7"/>
    <n v="21"/>
    <x v="0"/>
  </r>
  <r>
    <d v="2023-09-21T00:00:00"/>
    <x v="2"/>
    <x v="1"/>
    <x v="1"/>
    <n v="263872879.27000001"/>
    <x v="2"/>
    <x v="1"/>
    <x v="1"/>
    <x v="10"/>
    <x v="2"/>
    <x v="3"/>
    <x v="2"/>
    <x v="3"/>
    <x v="7"/>
    <n v="21"/>
    <x v="0"/>
  </r>
  <r>
    <d v="2023-09-21T00:00:00"/>
    <x v="1"/>
    <x v="0"/>
    <x v="0"/>
    <n v="71382344.790000007"/>
    <x v="1"/>
    <x v="0"/>
    <x v="0"/>
    <x v="11"/>
    <x v="2"/>
    <x v="3"/>
    <x v="2"/>
    <x v="3"/>
    <x v="7"/>
    <n v="21"/>
    <x v="0"/>
  </r>
  <r>
    <d v="2023-09-21T00:00:00"/>
    <x v="3"/>
    <x v="3"/>
    <x v="1"/>
    <n v="4633.09"/>
    <x v="3"/>
    <x v="3"/>
    <x v="1"/>
    <x v="3"/>
    <x v="2"/>
    <x v="3"/>
    <x v="2"/>
    <x v="3"/>
    <x v="7"/>
    <n v="21"/>
    <x v="0"/>
  </r>
  <r>
    <d v="2023-09-21T00:00:00"/>
    <x v="0"/>
    <x v="0"/>
    <x v="1"/>
    <n v="150"/>
    <x v="0"/>
    <x v="0"/>
    <x v="1"/>
    <x v="4"/>
    <x v="2"/>
    <x v="3"/>
    <x v="2"/>
    <x v="3"/>
    <x v="7"/>
    <n v="21"/>
    <x v="0"/>
  </r>
  <r>
    <d v="2023-09-21T00:00:00"/>
    <x v="0"/>
    <x v="1"/>
    <x v="1"/>
    <n v="3628079.31"/>
    <x v="0"/>
    <x v="1"/>
    <x v="1"/>
    <x v="5"/>
    <x v="2"/>
    <x v="3"/>
    <x v="2"/>
    <x v="3"/>
    <x v="7"/>
    <n v="21"/>
    <x v="0"/>
  </r>
  <r>
    <d v="2023-09-21T00:00:00"/>
    <x v="2"/>
    <x v="1"/>
    <x v="2"/>
    <n v="2455.42"/>
    <x v="2"/>
    <x v="1"/>
    <x v="2"/>
    <x v="6"/>
    <x v="2"/>
    <x v="3"/>
    <x v="2"/>
    <x v="3"/>
    <x v="7"/>
    <n v="21"/>
    <x v="0"/>
  </r>
  <r>
    <d v="2023-09-21T00:00:00"/>
    <x v="3"/>
    <x v="3"/>
    <x v="0"/>
    <n v="1937467427.8399999"/>
    <x v="3"/>
    <x v="3"/>
    <x v="0"/>
    <x v="8"/>
    <x v="2"/>
    <x v="3"/>
    <x v="2"/>
    <x v="3"/>
    <x v="7"/>
    <n v="21"/>
    <x v="0"/>
  </r>
  <r>
    <d v="2023-09-21T00:00:00"/>
    <x v="2"/>
    <x v="1"/>
    <x v="0"/>
    <n v="112653253.75"/>
    <x v="2"/>
    <x v="1"/>
    <x v="0"/>
    <x v="9"/>
    <x v="2"/>
    <x v="3"/>
    <x v="2"/>
    <x v="3"/>
    <x v="7"/>
    <n v="21"/>
    <x v="0"/>
  </r>
  <r>
    <d v="2023-09-21T00:00:00"/>
    <x v="1"/>
    <x v="0"/>
    <x v="1"/>
    <n v="13415179732.23"/>
    <x v="1"/>
    <x v="0"/>
    <x v="1"/>
    <x v="12"/>
    <x v="2"/>
    <x v="3"/>
    <x v="2"/>
    <x v="3"/>
    <x v="7"/>
    <n v="21"/>
    <x v="0"/>
  </r>
  <r>
    <d v="2023-09-21T00:00:00"/>
    <x v="3"/>
    <x v="2"/>
    <x v="0"/>
    <n v="475155779.81"/>
    <x v="3"/>
    <x v="2"/>
    <x v="0"/>
    <x v="13"/>
    <x v="2"/>
    <x v="3"/>
    <x v="2"/>
    <x v="3"/>
    <x v="7"/>
    <n v="21"/>
    <x v="0"/>
  </r>
  <r>
    <d v="2023-09-21T00:00:00"/>
    <x v="3"/>
    <x v="1"/>
    <x v="0"/>
    <n v="14540067.310000001"/>
    <x v="3"/>
    <x v="1"/>
    <x v="0"/>
    <x v="14"/>
    <x v="2"/>
    <x v="3"/>
    <x v="2"/>
    <x v="3"/>
    <x v="7"/>
    <n v="21"/>
    <x v="0"/>
  </r>
  <r>
    <d v="2023-09-21T00:00:00"/>
    <x v="3"/>
    <x v="2"/>
    <x v="1"/>
    <n v="4162192467.6900001"/>
    <x v="3"/>
    <x v="2"/>
    <x v="1"/>
    <x v="15"/>
    <x v="2"/>
    <x v="3"/>
    <x v="2"/>
    <x v="3"/>
    <x v="7"/>
    <n v="21"/>
    <x v="0"/>
  </r>
  <r>
    <d v="2023-09-20T00:00:00"/>
    <x v="1"/>
    <x v="1"/>
    <x v="0"/>
    <n v="51068.86"/>
    <x v="1"/>
    <x v="1"/>
    <x v="0"/>
    <x v="0"/>
    <x v="2"/>
    <x v="3"/>
    <x v="2"/>
    <x v="3"/>
    <x v="7"/>
    <n v="20"/>
    <x v="0"/>
  </r>
  <r>
    <d v="2023-09-20T00:00:00"/>
    <x v="0"/>
    <x v="1"/>
    <x v="0"/>
    <n v="7317799.3399999999"/>
    <x v="0"/>
    <x v="1"/>
    <x v="0"/>
    <x v="1"/>
    <x v="2"/>
    <x v="3"/>
    <x v="2"/>
    <x v="3"/>
    <x v="7"/>
    <n v="20"/>
    <x v="0"/>
  </r>
  <r>
    <d v="2023-09-20T00:00:00"/>
    <x v="2"/>
    <x v="1"/>
    <x v="2"/>
    <n v="48393.71"/>
    <x v="2"/>
    <x v="1"/>
    <x v="2"/>
    <x v="2"/>
    <x v="2"/>
    <x v="3"/>
    <x v="2"/>
    <x v="3"/>
    <x v="7"/>
    <n v="20"/>
    <x v="0"/>
  </r>
  <r>
    <d v="2023-09-20T00:00:00"/>
    <x v="2"/>
    <x v="1"/>
    <x v="0"/>
    <n v="91053504.25"/>
    <x v="2"/>
    <x v="1"/>
    <x v="0"/>
    <x v="7"/>
    <x v="2"/>
    <x v="3"/>
    <x v="2"/>
    <x v="3"/>
    <x v="7"/>
    <n v="20"/>
    <x v="0"/>
  </r>
  <r>
    <d v="2023-09-20T00:00:00"/>
    <x v="3"/>
    <x v="3"/>
    <x v="0"/>
    <n v="1589006258.55"/>
    <x v="3"/>
    <x v="3"/>
    <x v="0"/>
    <x v="8"/>
    <x v="2"/>
    <x v="3"/>
    <x v="2"/>
    <x v="3"/>
    <x v="7"/>
    <n v="20"/>
    <x v="0"/>
  </r>
  <r>
    <d v="2023-09-20T00:00:00"/>
    <x v="2"/>
    <x v="1"/>
    <x v="1"/>
    <n v="400094315.07999998"/>
    <x v="2"/>
    <x v="1"/>
    <x v="1"/>
    <x v="9"/>
    <x v="2"/>
    <x v="3"/>
    <x v="2"/>
    <x v="3"/>
    <x v="7"/>
    <n v="20"/>
    <x v="0"/>
  </r>
  <r>
    <d v="2023-09-20T00:00:00"/>
    <x v="1"/>
    <x v="0"/>
    <x v="0"/>
    <n v="96280981.519999996"/>
    <x v="1"/>
    <x v="0"/>
    <x v="0"/>
    <x v="10"/>
    <x v="2"/>
    <x v="3"/>
    <x v="2"/>
    <x v="3"/>
    <x v="7"/>
    <n v="20"/>
    <x v="0"/>
  </r>
  <r>
    <d v="2023-09-20T00:00:00"/>
    <x v="0"/>
    <x v="0"/>
    <x v="1"/>
    <n v="-12588"/>
    <x v="0"/>
    <x v="0"/>
    <x v="1"/>
    <x v="3"/>
    <x v="2"/>
    <x v="3"/>
    <x v="2"/>
    <x v="3"/>
    <x v="7"/>
    <n v="20"/>
    <x v="1"/>
  </r>
  <r>
    <d v="2023-09-20T00:00:00"/>
    <x v="3"/>
    <x v="3"/>
    <x v="1"/>
    <n v="240740.76"/>
    <x v="3"/>
    <x v="3"/>
    <x v="1"/>
    <x v="4"/>
    <x v="2"/>
    <x v="3"/>
    <x v="2"/>
    <x v="3"/>
    <x v="7"/>
    <n v="20"/>
    <x v="0"/>
  </r>
  <r>
    <d v="2023-09-20T00:00:00"/>
    <x v="0"/>
    <x v="1"/>
    <x v="1"/>
    <n v="1292989.98"/>
    <x v="0"/>
    <x v="1"/>
    <x v="1"/>
    <x v="5"/>
    <x v="2"/>
    <x v="3"/>
    <x v="2"/>
    <x v="3"/>
    <x v="7"/>
    <n v="20"/>
    <x v="0"/>
  </r>
  <r>
    <d v="2023-09-20T00:00:00"/>
    <x v="3"/>
    <x v="2"/>
    <x v="2"/>
    <n v="404721"/>
    <x v="3"/>
    <x v="2"/>
    <x v="2"/>
    <x v="6"/>
    <x v="2"/>
    <x v="3"/>
    <x v="2"/>
    <x v="3"/>
    <x v="7"/>
    <n v="20"/>
    <x v="0"/>
  </r>
  <r>
    <d v="2023-09-20T00:00:00"/>
    <x v="1"/>
    <x v="0"/>
    <x v="1"/>
    <n v="12191017650.790001"/>
    <x v="1"/>
    <x v="0"/>
    <x v="1"/>
    <x v="11"/>
    <x v="2"/>
    <x v="3"/>
    <x v="2"/>
    <x v="3"/>
    <x v="7"/>
    <n v="20"/>
    <x v="0"/>
  </r>
  <r>
    <d v="2023-09-20T00:00:00"/>
    <x v="3"/>
    <x v="1"/>
    <x v="0"/>
    <n v="15528970.49"/>
    <x v="3"/>
    <x v="1"/>
    <x v="0"/>
    <x v="12"/>
    <x v="2"/>
    <x v="3"/>
    <x v="2"/>
    <x v="3"/>
    <x v="7"/>
    <n v="20"/>
    <x v="0"/>
  </r>
  <r>
    <d v="2023-09-20T00:00:00"/>
    <x v="3"/>
    <x v="2"/>
    <x v="0"/>
    <n v="796978303.99000001"/>
    <x v="3"/>
    <x v="2"/>
    <x v="0"/>
    <x v="13"/>
    <x v="2"/>
    <x v="3"/>
    <x v="2"/>
    <x v="3"/>
    <x v="7"/>
    <n v="20"/>
    <x v="0"/>
  </r>
  <r>
    <d v="2023-09-20T00:00:00"/>
    <x v="3"/>
    <x v="2"/>
    <x v="1"/>
    <n v="13407582029.65"/>
    <x v="3"/>
    <x v="2"/>
    <x v="1"/>
    <x v="14"/>
    <x v="2"/>
    <x v="3"/>
    <x v="2"/>
    <x v="3"/>
    <x v="7"/>
    <n v="20"/>
    <x v="0"/>
  </r>
  <r>
    <d v="2023-09-19T00:00:00"/>
    <x v="3"/>
    <x v="2"/>
    <x v="2"/>
    <n v="310422.52"/>
    <x v="3"/>
    <x v="2"/>
    <x v="2"/>
    <x v="6"/>
    <x v="2"/>
    <x v="3"/>
    <x v="2"/>
    <x v="3"/>
    <x v="7"/>
    <n v="19"/>
    <x v="0"/>
  </r>
  <r>
    <d v="2023-09-19T00:00:00"/>
    <x v="1"/>
    <x v="1"/>
    <x v="0"/>
    <n v="218143.99"/>
    <x v="1"/>
    <x v="1"/>
    <x v="0"/>
    <x v="0"/>
    <x v="2"/>
    <x v="3"/>
    <x v="2"/>
    <x v="3"/>
    <x v="7"/>
    <n v="19"/>
    <x v="0"/>
  </r>
  <r>
    <d v="2023-09-19T00:00:00"/>
    <x v="0"/>
    <x v="1"/>
    <x v="0"/>
    <n v="29032763.420000002"/>
    <x v="0"/>
    <x v="1"/>
    <x v="0"/>
    <x v="1"/>
    <x v="2"/>
    <x v="3"/>
    <x v="2"/>
    <x v="3"/>
    <x v="7"/>
    <n v="19"/>
    <x v="0"/>
  </r>
  <r>
    <d v="2023-09-19T00:00:00"/>
    <x v="3"/>
    <x v="3"/>
    <x v="2"/>
    <n v="9"/>
    <x v="3"/>
    <x v="3"/>
    <x v="2"/>
    <x v="2"/>
    <x v="2"/>
    <x v="3"/>
    <x v="2"/>
    <x v="3"/>
    <x v="7"/>
    <n v="19"/>
    <x v="0"/>
  </r>
  <r>
    <d v="2023-09-19T00:00:00"/>
    <x v="2"/>
    <x v="1"/>
    <x v="2"/>
    <n v="108971.01"/>
    <x v="2"/>
    <x v="1"/>
    <x v="2"/>
    <x v="3"/>
    <x v="2"/>
    <x v="3"/>
    <x v="2"/>
    <x v="3"/>
    <x v="7"/>
    <n v="19"/>
    <x v="0"/>
  </r>
  <r>
    <d v="2023-09-19T00:00:00"/>
    <x v="2"/>
    <x v="1"/>
    <x v="1"/>
    <n v="258634322.66999999"/>
    <x v="2"/>
    <x v="1"/>
    <x v="1"/>
    <x v="8"/>
    <x v="2"/>
    <x v="3"/>
    <x v="2"/>
    <x v="3"/>
    <x v="7"/>
    <n v="19"/>
    <x v="0"/>
  </r>
  <r>
    <d v="2023-09-19T00:00:00"/>
    <x v="1"/>
    <x v="0"/>
    <x v="0"/>
    <n v="58597359.299999997"/>
    <x v="1"/>
    <x v="0"/>
    <x v="0"/>
    <x v="10"/>
    <x v="2"/>
    <x v="3"/>
    <x v="2"/>
    <x v="3"/>
    <x v="7"/>
    <n v="19"/>
    <x v="0"/>
  </r>
  <r>
    <d v="2023-09-19T00:00:00"/>
    <x v="3"/>
    <x v="3"/>
    <x v="1"/>
    <n v="3071.38"/>
    <x v="3"/>
    <x v="3"/>
    <x v="1"/>
    <x v="4"/>
    <x v="2"/>
    <x v="3"/>
    <x v="2"/>
    <x v="3"/>
    <x v="7"/>
    <n v="19"/>
    <x v="0"/>
  </r>
  <r>
    <d v="2023-09-19T00:00:00"/>
    <x v="0"/>
    <x v="1"/>
    <x v="1"/>
    <n v="5041027.75"/>
    <x v="0"/>
    <x v="1"/>
    <x v="1"/>
    <x v="5"/>
    <x v="2"/>
    <x v="3"/>
    <x v="2"/>
    <x v="3"/>
    <x v="7"/>
    <n v="19"/>
    <x v="0"/>
  </r>
  <r>
    <d v="2023-09-19T00:00:00"/>
    <x v="2"/>
    <x v="1"/>
    <x v="0"/>
    <n v="109279409.91"/>
    <x v="2"/>
    <x v="1"/>
    <x v="0"/>
    <x v="7"/>
    <x v="2"/>
    <x v="3"/>
    <x v="2"/>
    <x v="3"/>
    <x v="7"/>
    <n v="19"/>
    <x v="0"/>
  </r>
  <r>
    <d v="2023-09-19T00:00:00"/>
    <x v="3"/>
    <x v="3"/>
    <x v="0"/>
    <n v="790089216.41999996"/>
    <x v="3"/>
    <x v="3"/>
    <x v="0"/>
    <x v="9"/>
    <x v="2"/>
    <x v="3"/>
    <x v="2"/>
    <x v="3"/>
    <x v="7"/>
    <n v="19"/>
    <x v="0"/>
  </r>
  <r>
    <d v="2023-09-19T00:00:00"/>
    <x v="1"/>
    <x v="0"/>
    <x v="1"/>
    <n v="3887426964.9200001"/>
    <x v="1"/>
    <x v="0"/>
    <x v="1"/>
    <x v="11"/>
    <x v="2"/>
    <x v="3"/>
    <x v="2"/>
    <x v="3"/>
    <x v="7"/>
    <n v="19"/>
    <x v="0"/>
  </r>
  <r>
    <d v="2023-09-19T00:00:00"/>
    <x v="3"/>
    <x v="1"/>
    <x v="0"/>
    <n v="13282785.85"/>
    <x v="3"/>
    <x v="1"/>
    <x v="0"/>
    <x v="12"/>
    <x v="2"/>
    <x v="3"/>
    <x v="2"/>
    <x v="3"/>
    <x v="7"/>
    <n v="19"/>
    <x v="0"/>
  </r>
  <r>
    <d v="2023-09-19T00:00:00"/>
    <x v="3"/>
    <x v="2"/>
    <x v="0"/>
    <n v="669247036.21000004"/>
    <x v="3"/>
    <x v="2"/>
    <x v="0"/>
    <x v="13"/>
    <x v="2"/>
    <x v="3"/>
    <x v="2"/>
    <x v="3"/>
    <x v="7"/>
    <n v="19"/>
    <x v="0"/>
  </r>
  <r>
    <d v="2023-09-19T00:00:00"/>
    <x v="3"/>
    <x v="2"/>
    <x v="1"/>
    <n v="4361975355"/>
    <x v="3"/>
    <x v="2"/>
    <x v="1"/>
    <x v="14"/>
    <x v="2"/>
    <x v="3"/>
    <x v="2"/>
    <x v="3"/>
    <x v="7"/>
    <n v="19"/>
    <x v="0"/>
  </r>
  <r>
    <d v="2023-09-18T00:00:00"/>
    <x v="1"/>
    <x v="1"/>
    <x v="0"/>
    <n v="29956.2"/>
    <x v="1"/>
    <x v="1"/>
    <x v="0"/>
    <x v="0"/>
    <x v="2"/>
    <x v="3"/>
    <x v="2"/>
    <x v="3"/>
    <x v="7"/>
    <n v="18"/>
    <x v="0"/>
  </r>
  <r>
    <d v="2023-09-18T00:00:00"/>
    <x v="0"/>
    <x v="1"/>
    <x v="0"/>
    <n v="14423187.869999999"/>
    <x v="0"/>
    <x v="1"/>
    <x v="0"/>
    <x v="1"/>
    <x v="2"/>
    <x v="3"/>
    <x v="2"/>
    <x v="3"/>
    <x v="7"/>
    <n v="18"/>
    <x v="0"/>
  </r>
  <r>
    <d v="2023-09-18T00:00:00"/>
    <x v="3"/>
    <x v="3"/>
    <x v="2"/>
    <n v="127.06"/>
    <x v="3"/>
    <x v="3"/>
    <x v="2"/>
    <x v="2"/>
    <x v="2"/>
    <x v="3"/>
    <x v="2"/>
    <x v="3"/>
    <x v="7"/>
    <n v="18"/>
    <x v="0"/>
  </r>
  <r>
    <d v="2023-09-18T00:00:00"/>
    <x v="3"/>
    <x v="3"/>
    <x v="0"/>
    <n v="1533959872.05"/>
    <x v="3"/>
    <x v="3"/>
    <x v="0"/>
    <x v="7"/>
    <x v="2"/>
    <x v="3"/>
    <x v="2"/>
    <x v="3"/>
    <x v="7"/>
    <n v="18"/>
    <x v="0"/>
  </r>
  <r>
    <d v="2023-09-18T00:00:00"/>
    <x v="2"/>
    <x v="1"/>
    <x v="2"/>
    <n v="49503.81"/>
    <x v="2"/>
    <x v="1"/>
    <x v="2"/>
    <x v="5"/>
    <x v="2"/>
    <x v="3"/>
    <x v="2"/>
    <x v="3"/>
    <x v="7"/>
    <n v="18"/>
    <x v="0"/>
  </r>
  <r>
    <d v="2023-09-18T00:00:00"/>
    <x v="2"/>
    <x v="1"/>
    <x v="1"/>
    <n v="246274783.5"/>
    <x v="2"/>
    <x v="1"/>
    <x v="1"/>
    <x v="9"/>
    <x v="2"/>
    <x v="3"/>
    <x v="2"/>
    <x v="3"/>
    <x v="7"/>
    <n v="18"/>
    <x v="0"/>
  </r>
  <r>
    <d v="2023-09-18T00:00:00"/>
    <x v="3"/>
    <x v="2"/>
    <x v="2"/>
    <n v="142161.72"/>
    <x v="3"/>
    <x v="2"/>
    <x v="2"/>
    <x v="6"/>
    <x v="2"/>
    <x v="3"/>
    <x v="2"/>
    <x v="3"/>
    <x v="7"/>
    <n v="18"/>
    <x v="0"/>
  </r>
  <r>
    <d v="2023-09-18T00:00:00"/>
    <x v="1"/>
    <x v="0"/>
    <x v="0"/>
    <n v="63077682.090000004"/>
    <x v="1"/>
    <x v="0"/>
    <x v="0"/>
    <x v="10"/>
    <x v="2"/>
    <x v="3"/>
    <x v="2"/>
    <x v="3"/>
    <x v="7"/>
    <n v="18"/>
    <x v="0"/>
  </r>
  <r>
    <d v="2023-09-18T00:00:00"/>
    <x v="3"/>
    <x v="3"/>
    <x v="1"/>
    <n v="130564.2"/>
    <x v="3"/>
    <x v="3"/>
    <x v="1"/>
    <x v="3"/>
    <x v="2"/>
    <x v="3"/>
    <x v="2"/>
    <x v="3"/>
    <x v="7"/>
    <n v="18"/>
    <x v="0"/>
  </r>
  <r>
    <d v="2023-09-18T00:00:00"/>
    <x v="0"/>
    <x v="1"/>
    <x v="1"/>
    <n v="17655528.98"/>
    <x v="0"/>
    <x v="1"/>
    <x v="1"/>
    <x v="4"/>
    <x v="2"/>
    <x v="3"/>
    <x v="2"/>
    <x v="3"/>
    <x v="7"/>
    <n v="18"/>
    <x v="0"/>
  </r>
  <r>
    <d v="2023-09-18T00:00:00"/>
    <x v="2"/>
    <x v="1"/>
    <x v="0"/>
    <n v="73293194.019999996"/>
    <x v="2"/>
    <x v="1"/>
    <x v="0"/>
    <x v="8"/>
    <x v="2"/>
    <x v="3"/>
    <x v="2"/>
    <x v="3"/>
    <x v="7"/>
    <n v="18"/>
    <x v="0"/>
  </r>
  <r>
    <d v="2023-09-18T00:00:00"/>
    <x v="1"/>
    <x v="0"/>
    <x v="1"/>
    <n v="2742554283.0799999"/>
    <x v="1"/>
    <x v="0"/>
    <x v="1"/>
    <x v="11"/>
    <x v="2"/>
    <x v="3"/>
    <x v="2"/>
    <x v="3"/>
    <x v="7"/>
    <n v="18"/>
    <x v="0"/>
  </r>
  <r>
    <d v="2023-09-18T00:00:00"/>
    <x v="3"/>
    <x v="2"/>
    <x v="0"/>
    <n v="1780934696"/>
    <x v="3"/>
    <x v="2"/>
    <x v="0"/>
    <x v="12"/>
    <x v="2"/>
    <x v="3"/>
    <x v="2"/>
    <x v="3"/>
    <x v="7"/>
    <n v="18"/>
    <x v="0"/>
  </r>
  <r>
    <d v="2023-09-18T00:00:00"/>
    <x v="3"/>
    <x v="1"/>
    <x v="0"/>
    <n v="50149027.729999997"/>
    <x v="3"/>
    <x v="1"/>
    <x v="0"/>
    <x v="13"/>
    <x v="2"/>
    <x v="3"/>
    <x v="2"/>
    <x v="3"/>
    <x v="7"/>
    <n v="18"/>
    <x v="0"/>
  </r>
  <r>
    <d v="2023-09-18T00:00:00"/>
    <x v="3"/>
    <x v="2"/>
    <x v="1"/>
    <n v="40957579059.169998"/>
    <x v="3"/>
    <x v="2"/>
    <x v="1"/>
    <x v="14"/>
    <x v="2"/>
    <x v="3"/>
    <x v="2"/>
    <x v="3"/>
    <x v="7"/>
    <n v="18"/>
    <x v="0"/>
  </r>
  <r>
    <d v="2023-09-15T00:00:00"/>
    <x v="0"/>
    <x v="0"/>
    <x v="0"/>
    <n v="-1190"/>
    <x v="0"/>
    <x v="0"/>
    <x v="0"/>
    <x v="0"/>
    <x v="2"/>
    <x v="3"/>
    <x v="2"/>
    <x v="3"/>
    <x v="7"/>
    <n v="15"/>
    <x v="1"/>
  </r>
  <r>
    <d v="2023-09-15T00:00:00"/>
    <x v="1"/>
    <x v="1"/>
    <x v="0"/>
    <n v="34106.050000000003"/>
    <x v="1"/>
    <x v="1"/>
    <x v="0"/>
    <x v="1"/>
    <x v="2"/>
    <x v="3"/>
    <x v="2"/>
    <x v="3"/>
    <x v="7"/>
    <n v="15"/>
    <x v="0"/>
  </r>
  <r>
    <d v="2023-09-15T00:00:00"/>
    <x v="0"/>
    <x v="1"/>
    <x v="0"/>
    <n v="15825233.449999999"/>
    <x v="0"/>
    <x v="1"/>
    <x v="0"/>
    <x v="2"/>
    <x v="2"/>
    <x v="3"/>
    <x v="2"/>
    <x v="3"/>
    <x v="7"/>
    <n v="15"/>
    <x v="0"/>
  </r>
  <r>
    <d v="2023-09-15T00:00:00"/>
    <x v="2"/>
    <x v="1"/>
    <x v="2"/>
    <n v="3429"/>
    <x v="2"/>
    <x v="1"/>
    <x v="2"/>
    <x v="3"/>
    <x v="2"/>
    <x v="3"/>
    <x v="2"/>
    <x v="3"/>
    <x v="7"/>
    <n v="15"/>
    <x v="0"/>
  </r>
  <r>
    <d v="2023-09-15T00:00:00"/>
    <x v="3"/>
    <x v="3"/>
    <x v="0"/>
    <n v="1484778030.1700001"/>
    <x v="3"/>
    <x v="3"/>
    <x v="0"/>
    <x v="9"/>
    <x v="2"/>
    <x v="3"/>
    <x v="2"/>
    <x v="3"/>
    <x v="7"/>
    <n v="15"/>
    <x v="0"/>
  </r>
  <r>
    <d v="2023-09-15T00:00:00"/>
    <x v="3"/>
    <x v="3"/>
    <x v="1"/>
    <n v="55105"/>
    <x v="3"/>
    <x v="3"/>
    <x v="1"/>
    <x v="4"/>
    <x v="2"/>
    <x v="3"/>
    <x v="2"/>
    <x v="3"/>
    <x v="7"/>
    <n v="15"/>
    <x v="0"/>
  </r>
  <r>
    <d v="2023-09-15T00:00:00"/>
    <x v="0"/>
    <x v="0"/>
    <x v="1"/>
    <n v="-452753.12"/>
    <x v="0"/>
    <x v="0"/>
    <x v="1"/>
    <x v="5"/>
    <x v="2"/>
    <x v="3"/>
    <x v="2"/>
    <x v="3"/>
    <x v="7"/>
    <n v="15"/>
    <x v="1"/>
  </r>
  <r>
    <d v="2023-09-15T00:00:00"/>
    <x v="0"/>
    <x v="1"/>
    <x v="1"/>
    <n v="180803047.86000001"/>
    <x v="0"/>
    <x v="1"/>
    <x v="1"/>
    <x v="6"/>
    <x v="2"/>
    <x v="3"/>
    <x v="2"/>
    <x v="3"/>
    <x v="7"/>
    <n v="15"/>
    <x v="0"/>
  </r>
  <r>
    <d v="2023-09-15T00:00:00"/>
    <x v="3"/>
    <x v="2"/>
    <x v="2"/>
    <n v="114776.65"/>
    <x v="3"/>
    <x v="2"/>
    <x v="2"/>
    <x v="7"/>
    <x v="2"/>
    <x v="3"/>
    <x v="2"/>
    <x v="3"/>
    <x v="7"/>
    <n v="15"/>
    <x v="0"/>
  </r>
  <r>
    <d v="2023-09-15T00:00:00"/>
    <x v="2"/>
    <x v="1"/>
    <x v="0"/>
    <n v="77861135.459999993"/>
    <x v="2"/>
    <x v="1"/>
    <x v="0"/>
    <x v="8"/>
    <x v="2"/>
    <x v="3"/>
    <x v="2"/>
    <x v="3"/>
    <x v="7"/>
    <n v="15"/>
    <x v="0"/>
  </r>
  <r>
    <d v="2023-09-15T00:00:00"/>
    <x v="1"/>
    <x v="0"/>
    <x v="1"/>
    <n v="1886224643.8599999"/>
    <x v="1"/>
    <x v="0"/>
    <x v="1"/>
    <x v="12"/>
    <x v="2"/>
    <x v="3"/>
    <x v="2"/>
    <x v="3"/>
    <x v="7"/>
    <n v="15"/>
    <x v="0"/>
  </r>
  <r>
    <d v="2023-09-15T00:00:00"/>
    <x v="2"/>
    <x v="1"/>
    <x v="1"/>
    <n v="307158658.24000001"/>
    <x v="2"/>
    <x v="1"/>
    <x v="1"/>
    <x v="10"/>
    <x v="2"/>
    <x v="3"/>
    <x v="2"/>
    <x v="3"/>
    <x v="7"/>
    <n v="15"/>
    <x v="0"/>
  </r>
  <r>
    <d v="2023-09-15T00:00:00"/>
    <x v="1"/>
    <x v="0"/>
    <x v="0"/>
    <n v="71912669.049999997"/>
    <x v="1"/>
    <x v="0"/>
    <x v="0"/>
    <x v="11"/>
    <x v="2"/>
    <x v="3"/>
    <x v="2"/>
    <x v="3"/>
    <x v="7"/>
    <n v="15"/>
    <x v="0"/>
  </r>
  <r>
    <d v="2023-09-15T00:00:00"/>
    <x v="3"/>
    <x v="2"/>
    <x v="0"/>
    <n v="766300094.80999994"/>
    <x v="3"/>
    <x v="2"/>
    <x v="0"/>
    <x v="13"/>
    <x v="2"/>
    <x v="3"/>
    <x v="2"/>
    <x v="3"/>
    <x v="7"/>
    <n v="15"/>
    <x v="0"/>
  </r>
  <r>
    <d v="2023-09-15T00:00:00"/>
    <x v="3"/>
    <x v="1"/>
    <x v="0"/>
    <n v="16170618.869999999"/>
    <x v="3"/>
    <x v="1"/>
    <x v="0"/>
    <x v="14"/>
    <x v="2"/>
    <x v="3"/>
    <x v="2"/>
    <x v="3"/>
    <x v="7"/>
    <n v="15"/>
    <x v="0"/>
  </r>
  <r>
    <d v="2023-09-15T00:00:00"/>
    <x v="3"/>
    <x v="2"/>
    <x v="1"/>
    <n v="75796276269.779999"/>
    <x v="3"/>
    <x v="2"/>
    <x v="1"/>
    <x v="15"/>
    <x v="2"/>
    <x v="3"/>
    <x v="2"/>
    <x v="3"/>
    <x v="7"/>
    <n v="15"/>
    <x v="0"/>
  </r>
  <r>
    <d v="2023-09-14T00:00:00"/>
    <x v="0"/>
    <x v="0"/>
    <x v="0"/>
    <n v="400"/>
    <x v="0"/>
    <x v="0"/>
    <x v="0"/>
    <x v="0"/>
    <x v="2"/>
    <x v="3"/>
    <x v="2"/>
    <x v="3"/>
    <x v="7"/>
    <n v="14"/>
    <x v="0"/>
  </r>
  <r>
    <d v="2023-09-14T00:00:00"/>
    <x v="1"/>
    <x v="1"/>
    <x v="0"/>
    <n v="69004.09"/>
    <x v="1"/>
    <x v="1"/>
    <x v="0"/>
    <x v="1"/>
    <x v="2"/>
    <x v="3"/>
    <x v="2"/>
    <x v="3"/>
    <x v="7"/>
    <n v="14"/>
    <x v="0"/>
  </r>
  <r>
    <d v="2023-09-14T00:00:00"/>
    <x v="0"/>
    <x v="1"/>
    <x v="0"/>
    <n v="18986220.73"/>
    <x v="0"/>
    <x v="1"/>
    <x v="0"/>
    <x v="2"/>
    <x v="2"/>
    <x v="3"/>
    <x v="2"/>
    <x v="3"/>
    <x v="7"/>
    <n v="14"/>
    <x v="0"/>
  </r>
  <r>
    <d v="2023-09-14T00:00:00"/>
    <x v="2"/>
    <x v="1"/>
    <x v="2"/>
    <n v="5051.62"/>
    <x v="2"/>
    <x v="1"/>
    <x v="2"/>
    <x v="3"/>
    <x v="2"/>
    <x v="3"/>
    <x v="2"/>
    <x v="3"/>
    <x v="7"/>
    <n v="14"/>
    <x v="0"/>
  </r>
  <r>
    <d v="2023-09-14T00:00:00"/>
    <x v="2"/>
    <x v="1"/>
    <x v="0"/>
    <n v="103046032.62"/>
    <x v="2"/>
    <x v="1"/>
    <x v="0"/>
    <x v="6"/>
    <x v="2"/>
    <x v="3"/>
    <x v="2"/>
    <x v="3"/>
    <x v="7"/>
    <n v="14"/>
    <x v="0"/>
  </r>
  <r>
    <d v="2023-09-14T00:00:00"/>
    <x v="0"/>
    <x v="1"/>
    <x v="1"/>
    <n v="14759884.75"/>
    <x v="0"/>
    <x v="1"/>
    <x v="1"/>
    <x v="4"/>
    <x v="2"/>
    <x v="3"/>
    <x v="2"/>
    <x v="3"/>
    <x v="7"/>
    <n v="14"/>
    <x v="0"/>
  </r>
  <r>
    <d v="2023-09-14T00:00:00"/>
    <x v="3"/>
    <x v="2"/>
    <x v="2"/>
    <n v="123569"/>
    <x v="3"/>
    <x v="2"/>
    <x v="2"/>
    <x v="5"/>
    <x v="2"/>
    <x v="3"/>
    <x v="2"/>
    <x v="3"/>
    <x v="7"/>
    <n v="14"/>
    <x v="0"/>
  </r>
  <r>
    <d v="2023-09-14T00:00:00"/>
    <x v="3"/>
    <x v="3"/>
    <x v="0"/>
    <n v="2586429482.0100002"/>
    <x v="3"/>
    <x v="3"/>
    <x v="0"/>
    <x v="7"/>
    <x v="2"/>
    <x v="3"/>
    <x v="2"/>
    <x v="3"/>
    <x v="7"/>
    <n v="14"/>
    <x v="0"/>
  </r>
  <r>
    <d v="2023-09-14T00:00:00"/>
    <x v="2"/>
    <x v="1"/>
    <x v="1"/>
    <n v="270430563.89999998"/>
    <x v="2"/>
    <x v="1"/>
    <x v="1"/>
    <x v="8"/>
    <x v="2"/>
    <x v="3"/>
    <x v="2"/>
    <x v="3"/>
    <x v="7"/>
    <n v="14"/>
    <x v="0"/>
  </r>
  <r>
    <d v="2023-09-14T00:00:00"/>
    <x v="1"/>
    <x v="0"/>
    <x v="0"/>
    <n v="50226848.07"/>
    <x v="1"/>
    <x v="0"/>
    <x v="0"/>
    <x v="9"/>
    <x v="2"/>
    <x v="3"/>
    <x v="2"/>
    <x v="3"/>
    <x v="7"/>
    <n v="14"/>
    <x v="0"/>
  </r>
  <r>
    <d v="2023-09-14T00:00:00"/>
    <x v="1"/>
    <x v="0"/>
    <x v="1"/>
    <n v="2120302037.03"/>
    <x v="1"/>
    <x v="0"/>
    <x v="1"/>
    <x v="10"/>
    <x v="2"/>
    <x v="3"/>
    <x v="2"/>
    <x v="3"/>
    <x v="7"/>
    <n v="14"/>
    <x v="0"/>
  </r>
  <r>
    <d v="2023-09-14T00:00:00"/>
    <x v="3"/>
    <x v="2"/>
    <x v="0"/>
    <n v="847284607.95000005"/>
    <x v="3"/>
    <x v="2"/>
    <x v="0"/>
    <x v="11"/>
    <x v="2"/>
    <x v="3"/>
    <x v="2"/>
    <x v="3"/>
    <x v="7"/>
    <n v="14"/>
    <x v="0"/>
  </r>
  <r>
    <d v="2023-09-14T00:00:00"/>
    <x v="3"/>
    <x v="2"/>
    <x v="1"/>
    <n v="32224698018.84"/>
    <x v="3"/>
    <x v="2"/>
    <x v="1"/>
    <x v="12"/>
    <x v="2"/>
    <x v="3"/>
    <x v="2"/>
    <x v="3"/>
    <x v="7"/>
    <n v="14"/>
    <x v="0"/>
  </r>
  <r>
    <d v="2023-09-14T00:00:00"/>
    <x v="3"/>
    <x v="1"/>
    <x v="0"/>
    <n v="14689792.32"/>
    <x v="3"/>
    <x v="1"/>
    <x v="0"/>
    <x v="13"/>
    <x v="2"/>
    <x v="3"/>
    <x v="2"/>
    <x v="3"/>
    <x v="7"/>
    <n v="14"/>
    <x v="0"/>
  </r>
  <r>
    <d v="2023-09-13T00:00:00"/>
    <x v="1"/>
    <x v="1"/>
    <x v="0"/>
    <n v="83295.679999999993"/>
    <x v="1"/>
    <x v="1"/>
    <x v="0"/>
    <x v="0"/>
    <x v="2"/>
    <x v="3"/>
    <x v="2"/>
    <x v="3"/>
    <x v="7"/>
    <n v="13"/>
    <x v="0"/>
  </r>
  <r>
    <d v="2023-09-13T00:00:00"/>
    <x v="0"/>
    <x v="1"/>
    <x v="0"/>
    <n v="37607286.380000003"/>
    <x v="0"/>
    <x v="1"/>
    <x v="0"/>
    <x v="1"/>
    <x v="2"/>
    <x v="3"/>
    <x v="2"/>
    <x v="3"/>
    <x v="7"/>
    <n v="13"/>
    <x v="0"/>
  </r>
  <r>
    <d v="2023-09-13T00:00:00"/>
    <x v="2"/>
    <x v="1"/>
    <x v="0"/>
    <n v="154785715.86000001"/>
    <x v="2"/>
    <x v="1"/>
    <x v="0"/>
    <x v="7"/>
    <x v="2"/>
    <x v="3"/>
    <x v="2"/>
    <x v="3"/>
    <x v="7"/>
    <n v="13"/>
    <x v="0"/>
  </r>
  <r>
    <d v="2023-09-13T00:00:00"/>
    <x v="2"/>
    <x v="1"/>
    <x v="2"/>
    <n v="20713.189999999999"/>
    <x v="2"/>
    <x v="1"/>
    <x v="2"/>
    <x v="4"/>
    <x v="2"/>
    <x v="3"/>
    <x v="2"/>
    <x v="3"/>
    <x v="7"/>
    <n v="13"/>
    <x v="0"/>
  </r>
  <r>
    <d v="2023-09-13T00:00:00"/>
    <x v="1"/>
    <x v="0"/>
    <x v="1"/>
    <n v="4933836061.5900002"/>
    <x v="1"/>
    <x v="0"/>
    <x v="1"/>
    <x v="9"/>
    <x v="2"/>
    <x v="3"/>
    <x v="2"/>
    <x v="3"/>
    <x v="7"/>
    <n v="13"/>
    <x v="0"/>
  </r>
  <r>
    <d v="2023-09-13T00:00:00"/>
    <x v="3"/>
    <x v="3"/>
    <x v="1"/>
    <n v="143228.1"/>
    <x v="3"/>
    <x v="3"/>
    <x v="1"/>
    <x v="2"/>
    <x v="2"/>
    <x v="3"/>
    <x v="2"/>
    <x v="3"/>
    <x v="7"/>
    <n v="13"/>
    <x v="0"/>
  </r>
  <r>
    <d v="2023-09-13T00:00:00"/>
    <x v="0"/>
    <x v="1"/>
    <x v="1"/>
    <n v="11803608.199999999"/>
    <x v="0"/>
    <x v="1"/>
    <x v="1"/>
    <x v="3"/>
    <x v="2"/>
    <x v="3"/>
    <x v="2"/>
    <x v="3"/>
    <x v="7"/>
    <n v="13"/>
    <x v="0"/>
  </r>
  <r>
    <d v="2023-09-13T00:00:00"/>
    <x v="3"/>
    <x v="2"/>
    <x v="2"/>
    <n v="193994"/>
    <x v="3"/>
    <x v="2"/>
    <x v="2"/>
    <x v="5"/>
    <x v="2"/>
    <x v="3"/>
    <x v="2"/>
    <x v="3"/>
    <x v="7"/>
    <n v="13"/>
    <x v="0"/>
  </r>
  <r>
    <d v="2023-09-13T00:00:00"/>
    <x v="3"/>
    <x v="3"/>
    <x v="0"/>
    <n v="1430276029.79"/>
    <x v="3"/>
    <x v="3"/>
    <x v="0"/>
    <x v="6"/>
    <x v="2"/>
    <x v="3"/>
    <x v="2"/>
    <x v="3"/>
    <x v="7"/>
    <n v="13"/>
    <x v="0"/>
  </r>
  <r>
    <d v="2023-09-13T00:00:00"/>
    <x v="2"/>
    <x v="1"/>
    <x v="1"/>
    <n v="213196656.53999999"/>
    <x v="2"/>
    <x v="1"/>
    <x v="1"/>
    <x v="8"/>
    <x v="2"/>
    <x v="3"/>
    <x v="2"/>
    <x v="3"/>
    <x v="7"/>
    <n v="13"/>
    <x v="0"/>
  </r>
  <r>
    <d v="2023-09-13T00:00:00"/>
    <x v="1"/>
    <x v="0"/>
    <x v="0"/>
    <n v="91048111.450000003"/>
    <x v="1"/>
    <x v="0"/>
    <x v="0"/>
    <x v="10"/>
    <x v="2"/>
    <x v="3"/>
    <x v="2"/>
    <x v="3"/>
    <x v="7"/>
    <n v="13"/>
    <x v="0"/>
  </r>
  <r>
    <d v="2023-09-13T00:00:00"/>
    <x v="3"/>
    <x v="1"/>
    <x v="0"/>
    <n v="15833242.279999999"/>
    <x v="3"/>
    <x v="1"/>
    <x v="0"/>
    <x v="11"/>
    <x v="2"/>
    <x v="3"/>
    <x v="2"/>
    <x v="3"/>
    <x v="7"/>
    <n v="13"/>
    <x v="0"/>
  </r>
  <r>
    <d v="2023-09-13T00:00:00"/>
    <x v="3"/>
    <x v="2"/>
    <x v="0"/>
    <n v="584197819.13999999"/>
    <x v="3"/>
    <x v="2"/>
    <x v="0"/>
    <x v="12"/>
    <x v="2"/>
    <x v="3"/>
    <x v="2"/>
    <x v="3"/>
    <x v="7"/>
    <n v="13"/>
    <x v="0"/>
  </r>
  <r>
    <d v="2023-09-13T00:00:00"/>
    <x v="3"/>
    <x v="2"/>
    <x v="1"/>
    <n v="24473632957.869999"/>
    <x v="3"/>
    <x v="2"/>
    <x v="1"/>
    <x v="13"/>
    <x v="2"/>
    <x v="3"/>
    <x v="2"/>
    <x v="3"/>
    <x v="7"/>
    <n v="13"/>
    <x v="0"/>
  </r>
  <r>
    <d v="2023-09-12T00:00:00"/>
    <x v="0"/>
    <x v="0"/>
    <x v="0"/>
    <n v="2000"/>
    <x v="0"/>
    <x v="0"/>
    <x v="0"/>
    <x v="0"/>
    <x v="2"/>
    <x v="3"/>
    <x v="2"/>
    <x v="3"/>
    <x v="7"/>
    <n v="12"/>
    <x v="0"/>
  </r>
  <r>
    <d v="2023-09-12T00:00:00"/>
    <x v="1"/>
    <x v="1"/>
    <x v="0"/>
    <n v="913745.78"/>
    <x v="1"/>
    <x v="1"/>
    <x v="0"/>
    <x v="1"/>
    <x v="2"/>
    <x v="3"/>
    <x v="2"/>
    <x v="3"/>
    <x v="7"/>
    <n v="12"/>
    <x v="0"/>
  </r>
  <r>
    <d v="2023-09-12T00:00:00"/>
    <x v="0"/>
    <x v="1"/>
    <x v="0"/>
    <n v="40797397.75"/>
    <x v="0"/>
    <x v="1"/>
    <x v="0"/>
    <x v="2"/>
    <x v="2"/>
    <x v="3"/>
    <x v="2"/>
    <x v="3"/>
    <x v="7"/>
    <n v="12"/>
    <x v="0"/>
  </r>
  <r>
    <d v="2023-09-12T00:00:00"/>
    <x v="2"/>
    <x v="1"/>
    <x v="2"/>
    <n v="12037.42"/>
    <x v="2"/>
    <x v="1"/>
    <x v="2"/>
    <x v="3"/>
    <x v="2"/>
    <x v="3"/>
    <x v="2"/>
    <x v="3"/>
    <x v="7"/>
    <n v="12"/>
    <x v="0"/>
  </r>
  <r>
    <d v="2023-09-12T00:00:00"/>
    <x v="2"/>
    <x v="1"/>
    <x v="0"/>
    <n v="93477558.340000004"/>
    <x v="2"/>
    <x v="1"/>
    <x v="0"/>
    <x v="7"/>
    <x v="2"/>
    <x v="3"/>
    <x v="2"/>
    <x v="3"/>
    <x v="7"/>
    <n v="12"/>
    <x v="0"/>
  </r>
  <r>
    <d v="2023-09-12T00:00:00"/>
    <x v="2"/>
    <x v="1"/>
    <x v="1"/>
    <n v="157633599.81"/>
    <x v="2"/>
    <x v="1"/>
    <x v="1"/>
    <x v="8"/>
    <x v="2"/>
    <x v="3"/>
    <x v="2"/>
    <x v="3"/>
    <x v="7"/>
    <n v="12"/>
    <x v="0"/>
  </r>
  <r>
    <d v="2023-09-12T00:00:00"/>
    <x v="3"/>
    <x v="2"/>
    <x v="2"/>
    <n v="378134.57"/>
    <x v="3"/>
    <x v="2"/>
    <x v="2"/>
    <x v="6"/>
    <x v="2"/>
    <x v="3"/>
    <x v="2"/>
    <x v="3"/>
    <x v="7"/>
    <n v="12"/>
    <x v="0"/>
  </r>
  <r>
    <d v="2023-09-12T00:00:00"/>
    <x v="3"/>
    <x v="3"/>
    <x v="0"/>
    <n v="824748387.70000005"/>
    <x v="3"/>
    <x v="3"/>
    <x v="0"/>
    <x v="9"/>
    <x v="2"/>
    <x v="3"/>
    <x v="2"/>
    <x v="3"/>
    <x v="7"/>
    <n v="12"/>
    <x v="0"/>
  </r>
  <r>
    <d v="2023-09-12T00:00:00"/>
    <x v="1"/>
    <x v="0"/>
    <x v="0"/>
    <n v="59923946.380000003"/>
    <x v="1"/>
    <x v="0"/>
    <x v="0"/>
    <x v="10"/>
    <x v="2"/>
    <x v="3"/>
    <x v="2"/>
    <x v="3"/>
    <x v="7"/>
    <n v="12"/>
    <x v="0"/>
  </r>
  <r>
    <d v="2023-09-12T00:00:00"/>
    <x v="3"/>
    <x v="3"/>
    <x v="1"/>
    <n v="10909.44"/>
    <x v="3"/>
    <x v="3"/>
    <x v="1"/>
    <x v="4"/>
    <x v="2"/>
    <x v="3"/>
    <x v="2"/>
    <x v="3"/>
    <x v="7"/>
    <n v="12"/>
    <x v="0"/>
  </r>
  <r>
    <d v="2023-09-12T00:00:00"/>
    <x v="0"/>
    <x v="1"/>
    <x v="1"/>
    <n v="3989745.41"/>
    <x v="0"/>
    <x v="1"/>
    <x v="1"/>
    <x v="5"/>
    <x v="2"/>
    <x v="3"/>
    <x v="2"/>
    <x v="3"/>
    <x v="7"/>
    <n v="12"/>
    <x v="0"/>
  </r>
  <r>
    <d v="2023-09-12T00:00:00"/>
    <x v="1"/>
    <x v="0"/>
    <x v="1"/>
    <n v="1185453645.1900001"/>
    <x v="1"/>
    <x v="0"/>
    <x v="1"/>
    <x v="11"/>
    <x v="2"/>
    <x v="3"/>
    <x v="2"/>
    <x v="3"/>
    <x v="7"/>
    <n v="12"/>
    <x v="0"/>
  </r>
  <r>
    <d v="2023-09-12T00:00:00"/>
    <x v="3"/>
    <x v="1"/>
    <x v="0"/>
    <n v="12701771.939999999"/>
    <x v="3"/>
    <x v="1"/>
    <x v="0"/>
    <x v="12"/>
    <x v="2"/>
    <x v="3"/>
    <x v="2"/>
    <x v="3"/>
    <x v="7"/>
    <n v="12"/>
    <x v="0"/>
  </r>
  <r>
    <d v="2023-09-12T00:00:00"/>
    <x v="3"/>
    <x v="2"/>
    <x v="0"/>
    <n v="799907156.26999998"/>
    <x v="3"/>
    <x v="2"/>
    <x v="0"/>
    <x v="13"/>
    <x v="2"/>
    <x v="3"/>
    <x v="2"/>
    <x v="3"/>
    <x v="7"/>
    <n v="12"/>
    <x v="0"/>
  </r>
  <r>
    <d v="2023-09-12T00:00:00"/>
    <x v="3"/>
    <x v="2"/>
    <x v="1"/>
    <n v="10754533919.66"/>
    <x v="3"/>
    <x v="2"/>
    <x v="1"/>
    <x v="14"/>
    <x v="2"/>
    <x v="3"/>
    <x v="2"/>
    <x v="3"/>
    <x v="7"/>
    <n v="12"/>
    <x v="0"/>
  </r>
  <r>
    <d v="2023-09-11T00:00:00"/>
    <x v="1"/>
    <x v="1"/>
    <x v="0"/>
    <n v="35390.239999999998"/>
    <x v="1"/>
    <x v="1"/>
    <x v="0"/>
    <x v="0"/>
    <x v="2"/>
    <x v="3"/>
    <x v="2"/>
    <x v="3"/>
    <x v="7"/>
    <n v="11"/>
    <x v="0"/>
  </r>
  <r>
    <d v="2023-09-11T00:00:00"/>
    <x v="0"/>
    <x v="1"/>
    <x v="0"/>
    <n v="9442812.0500000007"/>
    <x v="0"/>
    <x v="1"/>
    <x v="0"/>
    <x v="1"/>
    <x v="2"/>
    <x v="3"/>
    <x v="2"/>
    <x v="3"/>
    <x v="7"/>
    <n v="11"/>
    <x v="0"/>
  </r>
  <r>
    <d v="2023-09-11T00:00:00"/>
    <x v="2"/>
    <x v="1"/>
    <x v="2"/>
    <n v="7586.38"/>
    <x v="2"/>
    <x v="1"/>
    <x v="2"/>
    <x v="2"/>
    <x v="2"/>
    <x v="3"/>
    <x v="2"/>
    <x v="3"/>
    <x v="7"/>
    <n v="11"/>
    <x v="0"/>
  </r>
  <r>
    <d v="2023-09-11T00:00:00"/>
    <x v="2"/>
    <x v="1"/>
    <x v="0"/>
    <n v="78204394.400000006"/>
    <x v="2"/>
    <x v="1"/>
    <x v="0"/>
    <x v="6"/>
    <x v="2"/>
    <x v="3"/>
    <x v="2"/>
    <x v="3"/>
    <x v="7"/>
    <n v="11"/>
    <x v="0"/>
  </r>
  <r>
    <d v="2023-09-11T00:00:00"/>
    <x v="3"/>
    <x v="3"/>
    <x v="0"/>
    <n v="1023333448.95"/>
    <x v="3"/>
    <x v="3"/>
    <x v="0"/>
    <x v="7"/>
    <x v="2"/>
    <x v="3"/>
    <x v="2"/>
    <x v="3"/>
    <x v="7"/>
    <n v="11"/>
    <x v="0"/>
  </r>
  <r>
    <d v="2023-09-11T00:00:00"/>
    <x v="2"/>
    <x v="1"/>
    <x v="1"/>
    <n v="81661595.280000001"/>
    <x v="2"/>
    <x v="1"/>
    <x v="1"/>
    <x v="8"/>
    <x v="2"/>
    <x v="3"/>
    <x v="2"/>
    <x v="3"/>
    <x v="7"/>
    <n v="11"/>
    <x v="0"/>
  </r>
  <r>
    <d v="2023-09-11T00:00:00"/>
    <x v="1"/>
    <x v="0"/>
    <x v="0"/>
    <n v="44161354.880000003"/>
    <x v="1"/>
    <x v="0"/>
    <x v="0"/>
    <x v="9"/>
    <x v="2"/>
    <x v="3"/>
    <x v="2"/>
    <x v="3"/>
    <x v="7"/>
    <n v="11"/>
    <x v="0"/>
  </r>
  <r>
    <d v="2023-09-11T00:00:00"/>
    <x v="1"/>
    <x v="0"/>
    <x v="1"/>
    <n v="506901597.82999998"/>
    <x v="1"/>
    <x v="0"/>
    <x v="1"/>
    <x v="10"/>
    <x v="2"/>
    <x v="3"/>
    <x v="2"/>
    <x v="3"/>
    <x v="7"/>
    <n v="11"/>
    <x v="0"/>
  </r>
  <r>
    <d v="2023-09-11T00:00:00"/>
    <x v="3"/>
    <x v="3"/>
    <x v="1"/>
    <n v="41115905.909999996"/>
    <x v="3"/>
    <x v="3"/>
    <x v="1"/>
    <x v="3"/>
    <x v="2"/>
    <x v="3"/>
    <x v="2"/>
    <x v="3"/>
    <x v="7"/>
    <n v="11"/>
    <x v="0"/>
  </r>
  <r>
    <d v="2023-09-11T00:00:00"/>
    <x v="0"/>
    <x v="1"/>
    <x v="1"/>
    <n v="10551449.6"/>
    <x v="0"/>
    <x v="1"/>
    <x v="1"/>
    <x v="4"/>
    <x v="2"/>
    <x v="3"/>
    <x v="2"/>
    <x v="3"/>
    <x v="7"/>
    <n v="11"/>
    <x v="0"/>
  </r>
  <r>
    <d v="2023-09-11T00:00:00"/>
    <x v="3"/>
    <x v="2"/>
    <x v="2"/>
    <n v="150094.5"/>
    <x v="3"/>
    <x v="2"/>
    <x v="2"/>
    <x v="5"/>
    <x v="2"/>
    <x v="3"/>
    <x v="2"/>
    <x v="3"/>
    <x v="7"/>
    <n v="11"/>
    <x v="0"/>
  </r>
  <r>
    <d v="2023-09-11T00:00:00"/>
    <x v="3"/>
    <x v="2"/>
    <x v="0"/>
    <n v="757840030.76999998"/>
    <x v="3"/>
    <x v="2"/>
    <x v="0"/>
    <x v="11"/>
    <x v="2"/>
    <x v="3"/>
    <x v="2"/>
    <x v="3"/>
    <x v="7"/>
    <n v="11"/>
    <x v="0"/>
  </r>
  <r>
    <d v="2023-09-11T00:00:00"/>
    <x v="3"/>
    <x v="2"/>
    <x v="1"/>
    <n v="27552022851.630001"/>
    <x v="3"/>
    <x v="2"/>
    <x v="1"/>
    <x v="12"/>
    <x v="2"/>
    <x v="3"/>
    <x v="2"/>
    <x v="3"/>
    <x v="7"/>
    <n v="11"/>
    <x v="0"/>
  </r>
  <r>
    <d v="2023-09-11T00:00:00"/>
    <x v="3"/>
    <x v="1"/>
    <x v="0"/>
    <n v="47067660.840000004"/>
    <x v="3"/>
    <x v="1"/>
    <x v="0"/>
    <x v="13"/>
    <x v="2"/>
    <x v="3"/>
    <x v="2"/>
    <x v="3"/>
    <x v="7"/>
    <n v="11"/>
    <x v="0"/>
  </r>
  <r>
    <d v="2023-09-08T00:00:00"/>
    <x v="0"/>
    <x v="1"/>
    <x v="0"/>
    <n v="20838340.350000001"/>
    <x v="0"/>
    <x v="1"/>
    <x v="0"/>
    <x v="0"/>
    <x v="2"/>
    <x v="3"/>
    <x v="2"/>
    <x v="3"/>
    <x v="7"/>
    <n v="8"/>
    <x v="0"/>
  </r>
  <r>
    <d v="2023-09-08T00:00:00"/>
    <x v="2"/>
    <x v="1"/>
    <x v="2"/>
    <n v="7044.27"/>
    <x v="2"/>
    <x v="1"/>
    <x v="2"/>
    <x v="1"/>
    <x v="2"/>
    <x v="3"/>
    <x v="2"/>
    <x v="3"/>
    <x v="7"/>
    <n v="8"/>
    <x v="0"/>
  </r>
  <r>
    <d v="2023-09-08T00:00:00"/>
    <x v="2"/>
    <x v="1"/>
    <x v="0"/>
    <n v="108124103.79000001"/>
    <x v="2"/>
    <x v="1"/>
    <x v="0"/>
    <x v="6"/>
    <x v="2"/>
    <x v="3"/>
    <x v="2"/>
    <x v="3"/>
    <x v="7"/>
    <n v="8"/>
    <x v="0"/>
  </r>
  <r>
    <d v="2023-09-08T00:00:00"/>
    <x v="1"/>
    <x v="1"/>
    <x v="0"/>
    <n v="76608.34"/>
    <x v="1"/>
    <x v="1"/>
    <x v="0"/>
    <x v="4"/>
    <x v="2"/>
    <x v="3"/>
    <x v="2"/>
    <x v="3"/>
    <x v="7"/>
    <n v="8"/>
    <x v="0"/>
  </r>
  <r>
    <d v="2023-09-08T00:00:00"/>
    <x v="3"/>
    <x v="3"/>
    <x v="0"/>
    <n v="1135045458.8599999"/>
    <x v="3"/>
    <x v="3"/>
    <x v="0"/>
    <x v="8"/>
    <x v="2"/>
    <x v="3"/>
    <x v="2"/>
    <x v="3"/>
    <x v="7"/>
    <n v="8"/>
    <x v="0"/>
  </r>
  <r>
    <d v="2023-09-08T00:00:00"/>
    <x v="3"/>
    <x v="3"/>
    <x v="1"/>
    <n v="6630483.5099999998"/>
    <x v="3"/>
    <x v="3"/>
    <x v="1"/>
    <x v="2"/>
    <x v="2"/>
    <x v="3"/>
    <x v="2"/>
    <x v="3"/>
    <x v="7"/>
    <n v="8"/>
    <x v="0"/>
  </r>
  <r>
    <d v="2023-09-08T00:00:00"/>
    <x v="0"/>
    <x v="1"/>
    <x v="1"/>
    <n v="13380305.970000001"/>
    <x v="0"/>
    <x v="1"/>
    <x v="1"/>
    <x v="3"/>
    <x v="2"/>
    <x v="3"/>
    <x v="2"/>
    <x v="3"/>
    <x v="7"/>
    <n v="8"/>
    <x v="0"/>
  </r>
  <r>
    <d v="2023-09-08T00:00:00"/>
    <x v="1"/>
    <x v="0"/>
    <x v="1"/>
    <n v="687476223.19000006"/>
    <x v="1"/>
    <x v="0"/>
    <x v="1"/>
    <x v="10"/>
    <x v="2"/>
    <x v="3"/>
    <x v="2"/>
    <x v="3"/>
    <x v="7"/>
    <n v="8"/>
    <x v="0"/>
  </r>
  <r>
    <d v="2023-09-08T00:00:00"/>
    <x v="3"/>
    <x v="2"/>
    <x v="2"/>
    <n v="289178.02"/>
    <x v="3"/>
    <x v="2"/>
    <x v="2"/>
    <x v="5"/>
    <x v="2"/>
    <x v="3"/>
    <x v="2"/>
    <x v="3"/>
    <x v="7"/>
    <n v="8"/>
    <x v="0"/>
  </r>
  <r>
    <d v="2023-09-08T00:00:00"/>
    <x v="2"/>
    <x v="1"/>
    <x v="1"/>
    <n v="184442152.15000001"/>
    <x v="2"/>
    <x v="1"/>
    <x v="1"/>
    <x v="7"/>
    <x v="2"/>
    <x v="3"/>
    <x v="2"/>
    <x v="3"/>
    <x v="7"/>
    <n v="8"/>
    <x v="0"/>
  </r>
  <r>
    <d v="2023-09-08T00:00:00"/>
    <x v="1"/>
    <x v="0"/>
    <x v="0"/>
    <n v="49032799.299999997"/>
    <x v="1"/>
    <x v="0"/>
    <x v="0"/>
    <x v="9"/>
    <x v="2"/>
    <x v="3"/>
    <x v="2"/>
    <x v="3"/>
    <x v="7"/>
    <n v="8"/>
    <x v="0"/>
  </r>
  <r>
    <d v="2023-09-08T00:00:00"/>
    <x v="3"/>
    <x v="2"/>
    <x v="1"/>
    <n v="9979516473.1700001"/>
    <x v="3"/>
    <x v="2"/>
    <x v="1"/>
    <x v="11"/>
    <x v="2"/>
    <x v="3"/>
    <x v="2"/>
    <x v="3"/>
    <x v="7"/>
    <n v="8"/>
    <x v="0"/>
  </r>
  <r>
    <d v="2023-09-08T00:00:00"/>
    <x v="3"/>
    <x v="2"/>
    <x v="0"/>
    <n v="732644460.79999995"/>
    <x v="3"/>
    <x v="2"/>
    <x v="0"/>
    <x v="12"/>
    <x v="2"/>
    <x v="3"/>
    <x v="2"/>
    <x v="3"/>
    <x v="7"/>
    <n v="8"/>
    <x v="0"/>
  </r>
  <r>
    <d v="2023-09-08T00:00:00"/>
    <x v="3"/>
    <x v="1"/>
    <x v="0"/>
    <n v="15324151.74"/>
    <x v="3"/>
    <x v="1"/>
    <x v="0"/>
    <x v="13"/>
    <x v="2"/>
    <x v="3"/>
    <x v="2"/>
    <x v="3"/>
    <x v="7"/>
    <n v="8"/>
    <x v="0"/>
  </r>
  <r>
    <d v="2023-09-07T00:00:00"/>
    <x v="1"/>
    <x v="1"/>
    <x v="0"/>
    <n v="63841.14"/>
    <x v="1"/>
    <x v="1"/>
    <x v="0"/>
    <x v="0"/>
    <x v="2"/>
    <x v="3"/>
    <x v="2"/>
    <x v="3"/>
    <x v="7"/>
    <n v="7"/>
    <x v="0"/>
  </r>
  <r>
    <d v="2023-09-07T00:00:00"/>
    <x v="0"/>
    <x v="1"/>
    <x v="0"/>
    <n v="44315646.520000003"/>
    <x v="0"/>
    <x v="1"/>
    <x v="0"/>
    <x v="1"/>
    <x v="2"/>
    <x v="3"/>
    <x v="2"/>
    <x v="3"/>
    <x v="7"/>
    <n v="7"/>
    <x v="0"/>
  </r>
  <r>
    <d v="2023-09-07T00:00:00"/>
    <x v="2"/>
    <x v="1"/>
    <x v="2"/>
    <n v="8662.1"/>
    <x v="2"/>
    <x v="1"/>
    <x v="2"/>
    <x v="2"/>
    <x v="2"/>
    <x v="3"/>
    <x v="2"/>
    <x v="3"/>
    <x v="7"/>
    <n v="7"/>
    <x v="0"/>
  </r>
  <r>
    <d v="2023-09-07T00:00:00"/>
    <x v="2"/>
    <x v="1"/>
    <x v="0"/>
    <n v="98753238.049999997"/>
    <x v="2"/>
    <x v="1"/>
    <x v="0"/>
    <x v="6"/>
    <x v="2"/>
    <x v="3"/>
    <x v="2"/>
    <x v="3"/>
    <x v="7"/>
    <n v="7"/>
    <x v="0"/>
  </r>
  <r>
    <d v="2023-09-07T00:00:00"/>
    <x v="2"/>
    <x v="1"/>
    <x v="1"/>
    <n v="156711592.80000001"/>
    <x v="2"/>
    <x v="1"/>
    <x v="1"/>
    <x v="7"/>
    <x v="2"/>
    <x v="3"/>
    <x v="2"/>
    <x v="3"/>
    <x v="7"/>
    <n v="7"/>
    <x v="0"/>
  </r>
  <r>
    <d v="2023-09-07T00:00:00"/>
    <x v="1"/>
    <x v="0"/>
    <x v="1"/>
    <n v="2186240521.77"/>
    <x v="1"/>
    <x v="0"/>
    <x v="1"/>
    <x v="8"/>
    <x v="2"/>
    <x v="3"/>
    <x v="2"/>
    <x v="3"/>
    <x v="7"/>
    <n v="7"/>
    <x v="0"/>
  </r>
  <r>
    <d v="2023-09-07T00:00:00"/>
    <x v="3"/>
    <x v="3"/>
    <x v="1"/>
    <n v="315744.92"/>
    <x v="3"/>
    <x v="3"/>
    <x v="1"/>
    <x v="3"/>
    <x v="2"/>
    <x v="3"/>
    <x v="2"/>
    <x v="3"/>
    <x v="7"/>
    <n v="7"/>
    <x v="0"/>
  </r>
  <r>
    <d v="2023-09-07T00:00:00"/>
    <x v="0"/>
    <x v="1"/>
    <x v="1"/>
    <n v="9914777.3900000006"/>
    <x v="0"/>
    <x v="1"/>
    <x v="1"/>
    <x v="4"/>
    <x v="2"/>
    <x v="3"/>
    <x v="2"/>
    <x v="3"/>
    <x v="7"/>
    <n v="7"/>
    <x v="0"/>
  </r>
  <r>
    <d v="2023-09-07T00:00:00"/>
    <x v="3"/>
    <x v="2"/>
    <x v="2"/>
    <n v="123154"/>
    <x v="3"/>
    <x v="2"/>
    <x v="2"/>
    <x v="5"/>
    <x v="2"/>
    <x v="3"/>
    <x v="2"/>
    <x v="3"/>
    <x v="7"/>
    <n v="7"/>
    <x v="0"/>
  </r>
  <r>
    <d v="2023-09-07T00:00:00"/>
    <x v="1"/>
    <x v="0"/>
    <x v="0"/>
    <n v="110037185.8"/>
    <x v="1"/>
    <x v="0"/>
    <x v="0"/>
    <x v="9"/>
    <x v="2"/>
    <x v="3"/>
    <x v="2"/>
    <x v="3"/>
    <x v="7"/>
    <n v="7"/>
    <x v="0"/>
  </r>
  <r>
    <d v="2023-09-07T00:00:00"/>
    <x v="3"/>
    <x v="3"/>
    <x v="0"/>
    <n v="1232634996.6099999"/>
    <x v="3"/>
    <x v="3"/>
    <x v="0"/>
    <x v="10"/>
    <x v="2"/>
    <x v="3"/>
    <x v="2"/>
    <x v="3"/>
    <x v="7"/>
    <n v="7"/>
    <x v="0"/>
  </r>
  <r>
    <d v="2023-09-07T00:00:00"/>
    <x v="3"/>
    <x v="1"/>
    <x v="0"/>
    <n v="15418196.960000001"/>
    <x v="3"/>
    <x v="1"/>
    <x v="0"/>
    <x v="11"/>
    <x v="2"/>
    <x v="3"/>
    <x v="2"/>
    <x v="3"/>
    <x v="7"/>
    <n v="7"/>
    <x v="0"/>
  </r>
  <r>
    <d v="2023-09-07T00:00:00"/>
    <x v="3"/>
    <x v="2"/>
    <x v="0"/>
    <n v="955595790.98000002"/>
    <x v="3"/>
    <x v="2"/>
    <x v="0"/>
    <x v="12"/>
    <x v="2"/>
    <x v="3"/>
    <x v="2"/>
    <x v="3"/>
    <x v="7"/>
    <n v="7"/>
    <x v="0"/>
  </r>
  <r>
    <d v="2023-09-07T00:00:00"/>
    <x v="3"/>
    <x v="2"/>
    <x v="1"/>
    <n v="13695388101.68"/>
    <x v="3"/>
    <x v="2"/>
    <x v="1"/>
    <x v="13"/>
    <x v="2"/>
    <x v="3"/>
    <x v="2"/>
    <x v="3"/>
    <x v="7"/>
    <n v="7"/>
    <x v="0"/>
  </r>
  <r>
    <d v="2023-09-06T00:00:00"/>
    <x v="1"/>
    <x v="1"/>
    <x v="0"/>
    <n v="118872.83"/>
    <x v="1"/>
    <x v="1"/>
    <x v="0"/>
    <x v="0"/>
    <x v="2"/>
    <x v="3"/>
    <x v="2"/>
    <x v="3"/>
    <x v="7"/>
    <n v="6"/>
    <x v="0"/>
  </r>
  <r>
    <d v="2023-09-06T00:00:00"/>
    <x v="0"/>
    <x v="1"/>
    <x v="0"/>
    <n v="10434738.720000001"/>
    <x v="0"/>
    <x v="1"/>
    <x v="0"/>
    <x v="1"/>
    <x v="2"/>
    <x v="3"/>
    <x v="2"/>
    <x v="3"/>
    <x v="7"/>
    <n v="6"/>
    <x v="0"/>
  </r>
  <r>
    <d v="2023-09-06T00:00:00"/>
    <x v="3"/>
    <x v="3"/>
    <x v="2"/>
    <n v="48.44"/>
    <x v="3"/>
    <x v="3"/>
    <x v="2"/>
    <x v="2"/>
    <x v="2"/>
    <x v="3"/>
    <x v="2"/>
    <x v="3"/>
    <x v="7"/>
    <n v="6"/>
    <x v="0"/>
  </r>
  <r>
    <d v="2023-09-06T00:00:00"/>
    <x v="2"/>
    <x v="1"/>
    <x v="2"/>
    <n v="47747.05"/>
    <x v="2"/>
    <x v="1"/>
    <x v="2"/>
    <x v="3"/>
    <x v="2"/>
    <x v="3"/>
    <x v="2"/>
    <x v="3"/>
    <x v="7"/>
    <n v="6"/>
    <x v="0"/>
  </r>
  <r>
    <d v="2023-09-06T00:00:00"/>
    <x v="3"/>
    <x v="2"/>
    <x v="2"/>
    <n v="169810.07"/>
    <x v="3"/>
    <x v="2"/>
    <x v="2"/>
    <x v="4"/>
    <x v="2"/>
    <x v="3"/>
    <x v="2"/>
    <x v="3"/>
    <x v="7"/>
    <n v="6"/>
    <x v="0"/>
  </r>
  <r>
    <d v="2023-09-06T00:00:00"/>
    <x v="2"/>
    <x v="1"/>
    <x v="0"/>
    <n v="118999987.95"/>
    <x v="2"/>
    <x v="1"/>
    <x v="0"/>
    <x v="6"/>
    <x v="2"/>
    <x v="3"/>
    <x v="2"/>
    <x v="3"/>
    <x v="7"/>
    <n v="6"/>
    <x v="0"/>
  </r>
  <r>
    <d v="2023-09-06T00:00:00"/>
    <x v="1"/>
    <x v="0"/>
    <x v="1"/>
    <n v="399999734.89999998"/>
    <x v="1"/>
    <x v="0"/>
    <x v="1"/>
    <x v="8"/>
    <x v="2"/>
    <x v="3"/>
    <x v="2"/>
    <x v="3"/>
    <x v="7"/>
    <n v="6"/>
    <x v="0"/>
  </r>
  <r>
    <d v="2023-09-06T00:00:00"/>
    <x v="3"/>
    <x v="3"/>
    <x v="0"/>
    <n v="2145556512.1700001"/>
    <x v="3"/>
    <x v="3"/>
    <x v="0"/>
    <x v="10"/>
    <x v="2"/>
    <x v="3"/>
    <x v="2"/>
    <x v="3"/>
    <x v="7"/>
    <n v="6"/>
    <x v="0"/>
  </r>
  <r>
    <d v="2023-09-06T00:00:00"/>
    <x v="0"/>
    <x v="1"/>
    <x v="1"/>
    <n v="19686028.219999999"/>
    <x v="0"/>
    <x v="1"/>
    <x v="1"/>
    <x v="5"/>
    <x v="2"/>
    <x v="3"/>
    <x v="2"/>
    <x v="3"/>
    <x v="7"/>
    <n v="6"/>
    <x v="0"/>
  </r>
  <r>
    <d v="2023-09-06T00:00:00"/>
    <x v="2"/>
    <x v="1"/>
    <x v="1"/>
    <n v="213607329.38999999"/>
    <x v="2"/>
    <x v="1"/>
    <x v="1"/>
    <x v="7"/>
    <x v="2"/>
    <x v="3"/>
    <x v="2"/>
    <x v="3"/>
    <x v="7"/>
    <n v="6"/>
    <x v="0"/>
  </r>
  <r>
    <d v="2023-09-06T00:00:00"/>
    <x v="1"/>
    <x v="0"/>
    <x v="0"/>
    <n v="72984528.989999995"/>
    <x v="1"/>
    <x v="0"/>
    <x v="0"/>
    <x v="9"/>
    <x v="2"/>
    <x v="3"/>
    <x v="2"/>
    <x v="3"/>
    <x v="7"/>
    <n v="6"/>
    <x v="0"/>
  </r>
  <r>
    <d v="2023-09-06T00:00:00"/>
    <x v="3"/>
    <x v="1"/>
    <x v="0"/>
    <n v="15290911.619999999"/>
    <x v="3"/>
    <x v="1"/>
    <x v="0"/>
    <x v="11"/>
    <x v="2"/>
    <x v="3"/>
    <x v="2"/>
    <x v="3"/>
    <x v="7"/>
    <n v="6"/>
    <x v="0"/>
  </r>
  <r>
    <d v="2023-09-06T00:00:00"/>
    <x v="3"/>
    <x v="2"/>
    <x v="0"/>
    <n v="1442165543.76"/>
    <x v="3"/>
    <x v="2"/>
    <x v="0"/>
    <x v="12"/>
    <x v="2"/>
    <x v="3"/>
    <x v="2"/>
    <x v="3"/>
    <x v="7"/>
    <n v="6"/>
    <x v="0"/>
  </r>
  <r>
    <d v="2023-09-06T00:00:00"/>
    <x v="3"/>
    <x v="2"/>
    <x v="1"/>
    <n v="7687246833.7799997"/>
    <x v="3"/>
    <x v="2"/>
    <x v="1"/>
    <x v="13"/>
    <x v="2"/>
    <x v="3"/>
    <x v="2"/>
    <x v="3"/>
    <x v="7"/>
    <n v="6"/>
    <x v="0"/>
  </r>
  <r>
    <d v="2023-09-05T00:00:00"/>
    <x v="1"/>
    <x v="1"/>
    <x v="0"/>
    <n v="63418.01"/>
    <x v="1"/>
    <x v="1"/>
    <x v="0"/>
    <x v="0"/>
    <x v="2"/>
    <x v="3"/>
    <x v="2"/>
    <x v="3"/>
    <x v="7"/>
    <n v="5"/>
    <x v="0"/>
  </r>
  <r>
    <d v="2023-09-05T00:00:00"/>
    <x v="0"/>
    <x v="1"/>
    <x v="0"/>
    <n v="12752538.550000001"/>
    <x v="0"/>
    <x v="1"/>
    <x v="0"/>
    <x v="1"/>
    <x v="2"/>
    <x v="3"/>
    <x v="2"/>
    <x v="3"/>
    <x v="7"/>
    <n v="5"/>
    <x v="0"/>
  </r>
  <r>
    <d v="2023-09-05T00:00:00"/>
    <x v="3"/>
    <x v="3"/>
    <x v="0"/>
    <n v="1044292964.76"/>
    <x v="3"/>
    <x v="3"/>
    <x v="0"/>
    <x v="6"/>
    <x v="2"/>
    <x v="3"/>
    <x v="2"/>
    <x v="3"/>
    <x v="7"/>
    <n v="5"/>
    <x v="0"/>
  </r>
  <r>
    <d v="2023-09-05T00:00:00"/>
    <x v="3"/>
    <x v="3"/>
    <x v="2"/>
    <n v="438.06"/>
    <x v="3"/>
    <x v="3"/>
    <x v="2"/>
    <x v="2"/>
    <x v="2"/>
    <x v="3"/>
    <x v="2"/>
    <x v="3"/>
    <x v="7"/>
    <n v="5"/>
    <x v="0"/>
  </r>
  <r>
    <d v="2023-09-05T00:00:00"/>
    <x v="2"/>
    <x v="1"/>
    <x v="2"/>
    <n v="5883.14"/>
    <x v="2"/>
    <x v="1"/>
    <x v="2"/>
    <x v="3"/>
    <x v="2"/>
    <x v="3"/>
    <x v="2"/>
    <x v="3"/>
    <x v="7"/>
    <n v="5"/>
    <x v="0"/>
  </r>
  <r>
    <d v="2023-09-05T00:00:00"/>
    <x v="2"/>
    <x v="1"/>
    <x v="0"/>
    <n v="84296353.129999995"/>
    <x v="2"/>
    <x v="1"/>
    <x v="0"/>
    <x v="7"/>
    <x v="2"/>
    <x v="3"/>
    <x v="2"/>
    <x v="3"/>
    <x v="7"/>
    <n v="5"/>
    <x v="0"/>
  </r>
  <r>
    <d v="2023-09-05T00:00:00"/>
    <x v="2"/>
    <x v="1"/>
    <x v="1"/>
    <n v="117708883.87"/>
    <x v="2"/>
    <x v="1"/>
    <x v="1"/>
    <x v="8"/>
    <x v="2"/>
    <x v="3"/>
    <x v="2"/>
    <x v="3"/>
    <x v="7"/>
    <n v="5"/>
    <x v="0"/>
  </r>
  <r>
    <d v="2023-09-05T00:00:00"/>
    <x v="1"/>
    <x v="0"/>
    <x v="1"/>
    <n v="403319006.31999999"/>
    <x v="1"/>
    <x v="0"/>
    <x v="1"/>
    <x v="9"/>
    <x v="2"/>
    <x v="3"/>
    <x v="2"/>
    <x v="3"/>
    <x v="7"/>
    <n v="5"/>
    <x v="0"/>
  </r>
  <r>
    <d v="2023-09-05T00:00:00"/>
    <x v="1"/>
    <x v="0"/>
    <x v="0"/>
    <n v="54219415.82"/>
    <x v="1"/>
    <x v="0"/>
    <x v="0"/>
    <x v="10"/>
    <x v="2"/>
    <x v="3"/>
    <x v="2"/>
    <x v="3"/>
    <x v="7"/>
    <n v="5"/>
    <x v="0"/>
  </r>
  <r>
    <d v="2023-09-05T00:00:00"/>
    <x v="0"/>
    <x v="1"/>
    <x v="1"/>
    <n v="512336.36"/>
    <x v="0"/>
    <x v="1"/>
    <x v="1"/>
    <x v="4"/>
    <x v="2"/>
    <x v="3"/>
    <x v="2"/>
    <x v="3"/>
    <x v="7"/>
    <n v="5"/>
    <x v="0"/>
  </r>
  <r>
    <d v="2023-09-05T00:00:00"/>
    <x v="3"/>
    <x v="2"/>
    <x v="2"/>
    <n v="83761.88"/>
    <x v="3"/>
    <x v="2"/>
    <x v="2"/>
    <x v="5"/>
    <x v="2"/>
    <x v="3"/>
    <x v="2"/>
    <x v="3"/>
    <x v="7"/>
    <n v="5"/>
    <x v="0"/>
  </r>
  <r>
    <d v="2023-09-05T00:00:00"/>
    <x v="3"/>
    <x v="2"/>
    <x v="0"/>
    <n v="2010040615.25"/>
    <x v="3"/>
    <x v="2"/>
    <x v="0"/>
    <x v="11"/>
    <x v="2"/>
    <x v="3"/>
    <x v="2"/>
    <x v="3"/>
    <x v="7"/>
    <n v="5"/>
    <x v="0"/>
  </r>
  <r>
    <d v="2023-09-05T00:00:00"/>
    <x v="3"/>
    <x v="2"/>
    <x v="1"/>
    <n v="28146043014.75"/>
    <x v="3"/>
    <x v="2"/>
    <x v="1"/>
    <x v="12"/>
    <x v="2"/>
    <x v="3"/>
    <x v="2"/>
    <x v="3"/>
    <x v="7"/>
    <n v="5"/>
    <x v="0"/>
  </r>
  <r>
    <d v="2023-09-05T00:00:00"/>
    <x v="3"/>
    <x v="1"/>
    <x v="0"/>
    <n v="62599531.969999999"/>
    <x v="3"/>
    <x v="1"/>
    <x v="0"/>
    <x v="13"/>
    <x v="2"/>
    <x v="3"/>
    <x v="2"/>
    <x v="3"/>
    <x v="7"/>
    <n v="5"/>
    <x v="0"/>
  </r>
  <r>
    <d v="2023-09-01T00:00:00"/>
    <x v="1"/>
    <x v="1"/>
    <x v="0"/>
    <n v="25638.47"/>
    <x v="1"/>
    <x v="1"/>
    <x v="0"/>
    <x v="0"/>
    <x v="2"/>
    <x v="3"/>
    <x v="2"/>
    <x v="3"/>
    <x v="7"/>
    <n v="1"/>
    <x v="0"/>
  </r>
  <r>
    <d v="2023-09-01T00:00:00"/>
    <x v="0"/>
    <x v="1"/>
    <x v="0"/>
    <n v="11627415.449999999"/>
    <x v="0"/>
    <x v="1"/>
    <x v="0"/>
    <x v="1"/>
    <x v="2"/>
    <x v="3"/>
    <x v="2"/>
    <x v="3"/>
    <x v="7"/>
    <n v="1"/>
    <x v="0"/>
  </r>
  <r>
    <d v="2023-09-01T00:00:00"/>
    <x v="2"/>
    <x v="1"/>
    <x v="0"/>
    <n v="126169993.44"/>
    <x v="2"/>
    <x v="1"/>
    <x v="0"/>
    <x v="7"/>
    <x v="2"/>
    <x v="3"/>
    <x v="2"/>
    <x v="3"/>
    <x v="7"/>
    <n v="1"/>
    <x v="0"/>
  </r>
  <r>
    <d v="2023-09-01T00:00:00"/>
    <x v="3"/>
    <x v="2"/>
    <x v="2"/>
    <n v="286681.15999999997"/>
    <x v="3"/>
    <x v="2"/>
    <x v="2"/>
    <x v="6"/>
    <x v="2"/>
    <x v="3"/>
    <x v="2"/>
    <x v="3"/>
    <x v="7"/>
    <n v="1"/>
    <x v="0"/>
  </r>
  <r>
    <d v="2023-09-01T00:00:00"/>
    <x v="3"/>
    <x v="3"/>
    <x v="0"/>
    <n v="3382111237.4200001"/>
    <x v="3"/>
    <x v="3"/>
    <x v="0"/>
    <x v="8"/>
    <x v="2"/>
    <x v="3"/>
    <x v="2"/>
    <x v="3"/>
    <x v="7"/>
    <n v="1"/>
    <x v="0"/>
  </r>
  <r>
    <d v="2023-09-01T00:00:00"/>
    <x v="2"/>
    <x v="1"/>
    <x v="2"/>
    <n v="4386.67"/>
    <x v="2"/>
    <x v="1"/>
    <x v="2"/>
    <x v="5"/>
    <x v="2"/>
    <x v="3"/>
    <x v="2"/>
    <x v="3"/>
    <x v="7"/>
    <n v="1"/>
    <x v="0"/>
  </r>
  <r>
    <d v="2023-09-01T00:00:00"/>
    <x v="2"/>
    <x v="1"/>
    <x v="1"/>
    <n v="173434453.84"/>
    <x v="2"/>
    <x v="1"/>
    <x v="1"/>
    <x v="9"/>
    <x v="2"/>
    <x v="3"/>
    <x v="2"/>
    <x v="3"/>
    <x v="7"/>
    <n v="1"/>
    <x v="0"/>
  </r>
  <r>
    <d v="2023-09-01T00:00:00"/>
    <x v="1"/>
    <x v="0"/>
    <x v="0"/>
    <n v="46086187.469999999"/>
    <x v="1"/>
    <x v="0"/>
    <x v="0"/>
    <x v="11"/>
    <x v="2"/>
    <x v="3"/>
    <x v="2"/>
    <x v="3"/>
    <x v="7"/>
    <n v="1"/>
    <x v="0"/>
  </r>
  <r>
    <d v="2023-09-01T00:00:00"/>
    <x v="3"/>
    <x v="3"/>
    <x v="1"/>
    <n v="598970.69999999995"/>
    <x v="3"/>
    <x v="3"/>
    <x v="1"/>
    <x v="2"/>
    <x v="2"/>
    <x v="3"/>
    <x v="2"/>
    <x v="3"/>
    <x v="7"/>
    <n v="1"/>
    <x v="0"/>
  </r>
  <r>
    <d v="2023-09-01T00:00:00"/>
    <x v="0"/>
    <x v="0"/>
    <x v="1"/>
    <n v="-15912"/>
    <x v="0"/>
    <x v="0"/>
    <x v="1"/>
    <x v="3"/>
    <x v="2"/>
    <x v="3"/>
    <x v="2"/>
    <x v="3"/>
    <x v="7"/>
    <n v="1"/>
    <x v="1"/>
  </r>
  <r>
    <d v="2023-09-01T00:00:00"/>
    <x v="0"/>
    <x v="1"/>
    <x v="1"/>
    <n v="15516577.25"/>
    <x v="0"/>
    <x v="1"/>
    <x v="1"/>
    <x v="4"/>
    <x v="2"/>
    <x v="3"/>
    <x v="2"/>
    <x v="3"/>
    <x v="7"/>
    <n v="1"/>
    <x v="0"/>
  </r>
  <r>
    <d v="2023-09-01T00:00:00"/>
    <x v="1"/>
    <x v="0"/>
    <x v="1"/>
    <n v="212321259.63999999"/>
    <x v="1"/>
    <x v="0"/>
    <x v="1"/>
    <x v="10"/>
    <x v="2"/>
    <x v="3"/>
    <x v="2"/>
    <x v="3"/>
    <x v="7"/>
    <n v="1"/>
    <x v="0"/>
  </r>
  <r>
    <d v="2023-09-01T00:00:00"/>
    <x v="3"/>
    <x v="2"/>
    <x v="0"/>
    <n v="2019004500.76"/>
    <x v="3"/>
    <x v="2"/>
    <x v="0"/>
    <x v="12"/>
    <x v="2"/>
    <x v="3"/>
    <x v="2"/>
    <x v="3"/>
    <x v="7"/>
    <n v="1"/>
    <x v="0"/>
  </r>
  <r>
    <d v="2023-09-01T00:00:00"/>
    <x v="3"/>
    <x v="2"/>
    <x v="1"/>
    <n v="30585816443.07"/>
    <x v="3"/>
    <x v="2"/>
    <x v="1"/>
    <x v="13"/>
    <x v="2"/>
    <x v="3"/>
    <x v="2"/>
    <x v="3"/>
    <x v="7"/>
    <n v="1"/>
    <x v="0"/>
  </r>
  <r>
    <d v="2023-09-01T00:00:00"/>
    <x v="3"/>
    <x v="1"/>
    <x v="0"/>
    <n v="16524076.73"/>
    <x v="3"/>
    <x v="1"/>
    <x v="0"/>
    <x v="14"/>
    <x v="2"/>
    <x v="3"/>
    <x v="2"/>
    <x v="3"/>
    <x v="7"/>
    <n v="1"/>
    <x v="0"/>
  </r>
  <r>
    <d v="2023-08-31T00:00:00"/>
    <x v="1"/>
    <x v="1"/>
    <x v="0"/>
    <n v="95760.95"/>
    <x v="1"/>
    <x v="1"/>
    <x v="0"/>
    <x v="0"/>
    <x v="2"/>
    <x v="3"/>
    <x v="2"/>
    <x v="3"/>
    <x v="8"/>
    <n v="31"/>
    <x v="0"/>
  </r>
  <r>
    <d v="2023-08-31T00:00:00"/>
    <x v="0"/>
    <x v="1"/>
    <x v="0"/>
    <n v="31068106.079999998"/>
    <x v="0"/>
    <x v="1"/>
    <x v="0"/>
    <x v="1"/>
    <x v="2"/>
    <x v="3"/>
    <x v="2"/>
    <x v="3"/>
    <x v="8"/>
    <n v="31"/>
    <x v="0"/>
  </r>
  <r>
    <d v="2023-08-31T00:00:00"/>
    <x v="2"/>
    <x v="1"/>
    <x v="0"/>
    <n v="93256781.989999995"/>
    <x v="2"/>
    <x v="1"/>
    <x v="0"/>
    <x v="6"/>
    <x v="2"/>
    <x v="3"/>
    <x v="2"/>
    <x v="3"/>
    <x v="8"/>
    <n v="31"/>
    <x v="0"/>
  </r>
  <r>
    <d v="2023-08-31T00:00:00"/>
    <x v="3"/>
    <x v="2"/>
    <x v="2"/>
    <n v="92161.38"/>
    <x v="3"/>
    <x v="2"/>
    <x v="2"/>
    <x v="4"/>
    <x v="2"/>
    <x v="3"/>
    <x v="2"/>
    <x v="3"/>
    <x v="8"/>
    <n v="31"/>
    <x v="0"/>
  </r>
  <r>
    <d v="2023-08-31T00:00:00"/>
    <x v="2"/>
    <x v="1"/>
    <x v="1"/>
    <n v="215990699.13999999"/>
    <x v="2"/>
    <x v="1"/>
    <x v="1"/>
    <x v="7"/>
    <x v="2"/>
    <x v="3"/>
    <x v="2"/>
    <x v="3"/>
    <x v="8"/>
    <n v="31"/>
    <x v="0"/>
  </r>
  <r>
    <d v="2023-08-31T00:00:00"/>
    <x v="1"/>
    <x v="0"/>
    <x v="0"/>
    <n v="50650244.759999998"/>
    <x v="1"/>
    <x v="0"/>
    <x v="0"/>
    <x v="8"/>
    <x v="2"/>
    <x v="3"/>
    <x v="2"/>
    <x v="3"/>
    <x v="8"/>
    <n v="31"/>
    <x v="0"/>
  </r>
  <r>
    <d v="2023-08-31T00:00:00"/>
    <x v="1"/>
    <x v="0"/>
    <x v="1"/>
    <n v="339621556.94"/>
    <x v="1"/>
    <x v="0"/>
    <x v="1"/>
    <x v="9"/>
    <x v="2"/>
    <x v="3"/>
    <x v="2"/>
    <x v="3"/>
    <x v="8"/>
    <n v="31"/>
    <x v="0"/>
  </r>
  <r>
    <d v="2023-08-31T00:00:00"/>
    <x v="0"/>
    <x v="0"/>
    <x v="1"/>
    <n v="1659939.18"/>
    <x v="0"/>
    <x v="0"/>
    <x v="1"/>
    <x v="2"/>
    <x v="2"/>
    <x v="3"/>
    <x v="2"/>
    <x v="3"/>
    <x v="8"/>
    <n v="31"/>
    <x v="0"/>
  </r>
  <r>
    <d v="2023-08-31T00:00:00"/>
    <x v="0"/>
    <x v="1"/>
    <x v="1"/>
    <n v="4180111.35"/>
    <x v="0"/>
    <x v="1"/>
    <x v="1"/>
    <x v="3"/>
    <x v="2"/>
    <x v="3"/>
    <x v="2"/>
    <x v="3"/>
    <x v="8"/>
    <n v="31"/>
    <x v="0"/>
  </r>
  <r>
    <d v="2023-08-31T00:00:00"/>
    <x v="2"/>
    <x v="1"/>
    <x v="2"/>
    <n v="7269.5"/>
    <x v="2"/>
    <x v="1"/>
    <x v="2"/>
    <x v="5"/>
    <x v="2"/>
    <x v="3"/>
    <x v="2"/>
    <x v="3"/>
    <x v="8"/>
    <n v="31"/>
    <x v="0"/>
  </r>
  <r>
    <d v="2023-08-31T00:00:00"/>
    <x v="3"/>
    <x v="2"/>
    <x v="1"/>
    <n v="6526594083.5299997"/>
    <x v="3"/>
    <x v="2"/>
    <x v="1"/>
    <x v="10"/>
    <x v="2"/>
    <x v="3"/>
    <x v="2"/>
    <x v="3"/>
    <x v="8"/>
    <n v="31"/>
    <x v="0"/>
  </r>
  <r>
    <d v="2023-08-31T00:00:00"/>
    <x v="3"/>
    <x v="2"/>
    <x v="0"/>
    <n v="2660003200.3299999"/>
    <x v="3"/>
    <x v="2"/>
    <x v="0"/>
    <x v="11"/>
    <x v="2"/>
    <x v="3"/>
    <x v="2"/>
    <x v="3"/>
    <x v="8"/>
    <n v="31"/>
    <x v="0"/>
  </r>
  <r>
    <d v="2023-08-31T00:00:00"/>
    <x v="3"/>
    <x v="1"/>
    <x v="0"/>
    <n v="14602438.539999999"/>
    <x v="3"/>
    <x v="1"/>
    <x v="0"/>
    <x v="12"/>
    <x v="2"/>
    <x v="3"/>
    <x v="2"/>
    <x v="3"/>
    <x v="8"/>
    <n v="31"/>
    <x v="0"/>
  </r>
  <r>
    <d v="2023-08-31T00:00:00"/>
    <x v="3"/>
    <x v="3"/>
    <x v="0"/>
    <n v="2490715454.4899998"/>
    <x v="3"/>
    <x v="3"/>
    <x v="0"/>
    <x v="13"/>
    <x v="2"/>
    <x v="3"/>
    <x v="2"/>
    <x v="3"/>
    <x v="8"/>
    <n v="31"/>
    <x v="0"/>
  </r>
  <r>
    <d v="2023-08-30T00:00:00"/>
    <x v="1"/>
    <x v="1"/>
    <x v="0"/>
    <n v="82043.87"/>
    <x v="1"/>
    <x v="1"/>
    <x v="0"/>
    <x v="0"/>
    <x v="2"/>
    <x v="3"/>
    <x v="2"/>
    <x v="3"/>
    <x v="8"/>
    <n v="30"/>
    <x v="0"/>
  </r>
  <r>
    <d v="2023-08-30T00:00:00"/>
    <x v="0"/>
    <x v="1"/>
    <x v="0"/>
    <n v="8884398.3699999992"/>
    <x v="0"/>
    <x v="1"/>
    <x v="0"/>
    <x v="1"/>
    <x v="2"/>
    <x v="3"/>
    <x v="2"/>
    <x v="3"/>
    <x v="8"/>
    <n v="30"/>
    <x v="0"/>
  </r>
  <r>
    <d v="2023-08-30T00:00:00"/>
    <x v="2"/>
    <x v="1"/>
    <x v="2"/>
    <n v="17637.45"/>
    <x v="2"/>
    <x v="1"/>
    <x v="2"/>
    <x v="2"/>
    <x v="2"/>
    <x v="3"/>
    <x v="2"/>
    <x v="3"/>
    <x v="8"/>
    <n v="30"/>
    <x v="0"/>
  </r>
  <r>
    <d v="2023-08-30T00:00:00"/>
    <x v="3"/>
    <x v="2"/>
    <x v="2"/>
    <n v="84127.28"/>
    <x v="3"/>
    <x v="2"/>
    <x v="2"/>
    <x v="5"/>
    <x v="2"/>
    <x v="3"/>
    <x v="2"/>
    <x v="3"/>
    <x v="8"/>
    <n v="30"/>
    <x v="0"/>
  </r>
  <r>
    <d v="2023-08-30T00:00:00"/>
    <x v="3"/>
    <x v="3"/>
    <x v="0"/>
    <n v="1784405138.8800001"/>
    <x v="3"/>
    <x v="3"/>
    <x v="0"/>
    <x v="8"/>
    <x v="2"/>
    <x v="3"/>
    <x v="2"/>
    <x v="3"/>
    <x v="8"/>
    <n v="30"/>
    <x v="0"/>
  </r>
  <r>
    <d v="2023-08-30T00:00:00"/>
    <x v="3"/>
    <x v="3"/>
    <x v="1"/>
    <n v="348210.34"/>
    <x v="3"/>
    <x v="3"/>
    <x v="1"/>
    <x v="3"/>
    <x v="2"/>
    <x v="3"/>
    <x v="2"/>
    <x v="3"/>
    <x v="8"/>
    <n v="30"/>
    <x v="0"/>
  </r>
  <r>
    <d v="2023-08-30T00:00:00"/>
    <x v="0"/>
    <x v="1"/>
    <x v="1"/>
    <n v="2401473.73"/>
    <x v="0"/>
    <x v="1"/>
    <x v="1"/>
    <x v="4"/>
    <x v="2"/>
    <x v="3"/>
    <x v="2"/>
    <x v="3"/>
    <x v="8"/>
    <n v="30"/>
    <x v="0"/>
  </r>
  <r>
    <d v="2023-08-30T00:00:00"/>
    <x v="2"/>
    <x v="1"/>
    <x v="0"/>
    <n v="99073264.530000001"/>
    <x v="2"/>
    <x v="1"/>
    <x v="0"/>
    <x v="6"/>
    <x v="2"/>
    <x v="3"/>
    <x v="2"/>
    <x v="3"/>
    <x v="8"/>
    <n v="30"/>
    <x v="0"/>
  </r>
  <r>
    <d v="2023-08-30T00:00:00"/>
    <x v="2"/>
    <x v="1"/>
    <x v="1"/>
    <n v="195862924.56999999"/>
    <x v="2"/>
    <x v="1"/>
    <x v="1"/>
    <x v="7"/>
    <x v="2"/>
    <x v="3"/>
    <x v="2"/>
    <x v="3"/>
    <x v="8"/>
    <n v="30"/>
    <x v="0"/>
  </r>
  <r>
    <d v="2023-08-30T00:00:00"/>
    <x v="1"/>
    <x v="0"/>
    <x v="1"/>
    <n v="785212448.96000004"/>
    <x v="1"/>
    <x v="0"/>
    <x v="1"/>
    <x v="9"/>
    <x v="2"/>
    <x v="3"/>
    <x v="2"/>
    <x v="3"/>
    <x v="8"/>
    <n v="30"/>
    <x v="0"/>
  </r>
  <r>
    <d v="2023-08-30T00:00:00"/>
    <x v="1"/>
    <x v="0"/>
    <x v="0"/>
    <n v="101332062.12"/>
    <x v="1"/>
    <x v="0"/>
    <x v="0"/>
    <x v="10"/>
    <x v="2"/>
    <x v="3"/>
    <x v="2"/>
    <x v="3"/>
    <x v="8"/>
    <n v="30"/>
    <x v="0"/>
  </r>
  <r>
    <d v="2023-08-30T00:00:00"/>
    <x v="3"/>
    <x v="2"/>
    <x v="0"/>
    <n v="2208936948.8600001"/>
    <x v="3"/>
    <x v="2"/>
    <x v="0"/>
    <x v="11"/>
    <x v="2"/>
    <x v="3"/>
    <x v="2"/>
    <x v="3"/>
    <x v="8"/>
    <n v="30"/>
    <x v="0"/>
  </r>
  <r>
    <d v="2023-08-30T00:00:00"/>
    <x v="3"/>
    <x v="1"/>
    <x v="0"/>
    <n v="15094363.560000001"/>
    <x v="3"/>
    <x v="1"/>
    <x v="0"/>
    <x v="12"/>
    <x v="2"/>
    <x v="3"/>
    <x v="2"/>
    <x v="3"/>
    <x v="8"/>
    <n v="30"/>
    <x v="0"/>
  </r>
  <r>
    <d v="2023-08-30T00:00:00"/>
    <x v="3"/>
    <x v="2"/>
    <x v="1"/>
    <n v="10278077272.34"/>
    <x v="3"/>
    <x v="2"/>
    <x v="1"/>
    <x v="13"/>
    <x v="2"/>
    <x v="3"/>
    <x v="2"/>
    <x v="3"/>
    <x v="8"/>
    <n v="30"/>
    <x v="0"/>
  </r>
  <r>
    <d v="2023-08-29T00:00:00"/>
    <x v="0"/>
    <x v="0"/>
    <x v="0"/>
    <n v="-3418.88"/>
    <x v="0"/>
    <x v="0"/>
    <x v="0"/>
    <x v="0"/>
    <x v="2"/>
    <x v="3"/>
    <x v="2"/>
    <x v="3"/>
    <x v="8"/>
    <n v="29"/>
    <x v="1"/>
  </r>
  <r>
    <d v="2023-08-29T00:00:00"/>
    <x v="1"/>
    <x v="1"/>
    <x v="0"/>
    <n v="71811.100000000006"/>
    <x v="1"/>
    <x v="1"/>
    <x v="0"/>
    <x v="1"/>
    <x v="2"/>
    <x v="3"/>
    <x v="2"/>
    <x v="3"/>
    <x v="8"/>
    <n v="29"/>
    <x v="0"/>
  </r>
  <r>
    <d v="2023-08-29T00:00:00"/>
    <x v="0"/>
    <x v="1"/>
    <x v="0"/>
    <n v="6274560.3300000001"/>
    <x v="0"/>
    <x v="1"/>
    <x v="0"/>
    <x v="2"/>
    <x v="2"/>
    <x v="3"/>
    <x v="2"/>
    <x v="3"/>
    <x v="8"/>
    <n v="29"/>
    <x v="0"/>
  </r>
  <r>
    <d v="2023-08-29T00:00:00"/>
    <x v="2"/>
    <x v="1"/>
    <x v="2"/>
    <n v="14247.24"/>
    <x v="2"/>
    <x v="1"/>
    <x v="2"/>
    <x v="3"/>
    <x v="2"/>
    <x v="3"/>
    <x v="2"/>
    <x v="3"/>
    <x v="8"/>
    <n v="29"/>
    <x v="0"/>
  </r>
  <r>
    <d v="2023-08-29T00:00:00"/>
    <x v="2"/>
    <x v="1"/>
    <x v="0"/>
    <n v="79525365.409999996"/>
    <x v="2"/>
    <x v="1"/>
    <x v="0"/>
    <x v="6"/>
    <x v="2"/>
    <x v="3"/>
    <x v="2"/>
    <x v="3"/>
    <x v="8"/>
    <n v="29"/>
    <x v="0"/>
  </r>
  <r>
    <d v="2023-08-29T00:00:00"/>
    <x v="2"/>
    <x v="1"/>
    <x v="1"/>
    <n v="123688114.40000001"/>
    <x v="2"/>
    <x v="1"/>
    <x v="1"/>
    <x v="7"/>
    <x v="2"/>
    <x v="3"/>
    <x v="2"/>
    <x v="3"/>
    <x v="8"/>
    <n v="29"/>
    <x v="0"/>
  </r>
  <r>
    <d v="2023-08-29T00:00:00"/>
    <x v="3"/>
    <x v="3"/>
    <x v="0"/>
    <n v="1792925268.54"/>
    <x v="3"/>
    <x v="3"/>
    <x v="0"/>
    <x v="8"/>
    <x v="2"/>
    <x v="3"/>
    <x v="2"/>
    <x v="3"/>
    <x v="8"/>
    <n v="29"/>
    <x v="0"/>
  </r>
  <r>
    <d v="2023-08-29T00:00:00"/>
    <x v="1"/>
    <x v="0"/>
    <x v="1"/>
    <n v="255121293.27000001"/>
    <x v="1"/>
    <x v="0"/>
    <x v="1"/>
    <x v="9"/>
    <x v="2"/>
    <x v="3"/>
    <x v="2"/>
    <x v="3"/>
    <x v="8"/>
    <n v="29"/>
    <x v="0"/>
  </r>
  <r>
    <d v="2023-08-29T00:00:00"/>
    <x v="1"/>
    <x v="0"/>
    <x v="0"/>
    <n v="72066430.810000002"/>
    <x v="1"/>
    <x v="0"/>
    <x v="0"/>
    <x v="10"/>
    <x v="2"/>
    <x v="3"/>
    <x v="2"/>
    <x v="3"/>
    <x v="8"/>
    <n v="29"/>
    <x v="0"/>
  </r>
  <r>
    <d v="2023-08-29T00:00:00"/>
    <x v="0"/>
    <x v="1"/>
    <x v="1"/>
    <n v="15634972"/>
    <x v="0"/>
    <x v="1"/>
    <x v="1"/>
    <x v="4"/>
    <x v="2"/>
    <x v="3"/>
    <x v="2"/>
    <x v="3"/>
    <x v="8"/>
    <n v="29"/>
    <x v="0"/>
  </r>
  <r>
    <d v="2023-08-29T00:00:00"/>
    <x v="3"/>
    <x v="2"/>
    <x v="2"/>
    <n v="121495.38"/>
    <x v="3"/>
    <x v="2"/>
    <x v="2"/>
    <x v="5"/>
    <x v="2"/>
    <x v="3"/>
    <x v="2"/>
    <x v="3"/>
    <x v="8"/>
    <n v="29"/>
    <x v="0"/>
  </r>
  <r>
    <d v="2023-08-29T00:00:00"/>
    <x v="3"/>
    <x v="2"/>
    <x v="0"/>
    <n v="2275722471.54"/>
    <x v="3"/>
    <x v="2"/>
    <x v="0"/>
    <x v="11"/>
    <x v="2"/>
    <x v="3"/>
    <x v="2"/>
    <x v="3"/>
    <x v="8"/>
    <n v="29"/>
    <x v="0"/>
  </r>
  <r>
    <d v="2023-08-29T00:00:00"/>
    <x v="3"/>
    <x v="1"/>
    <x v="0"/>
    <n v="12758745.460000001"/>
    <x v="3"/>
    <x v="1"/>
    <x v="0"/>
    <x v="12"/>
    <x v="2"/>
    <x v="3"/>
    <x v="2"/>
    <x v="3"/>
    <x v="8"/>
    <n v="29"/>
    <x v="0"/>
  </r>
  <r>
    <d v="2023-08-29T00:00:00"/>
    <x v="3"/>
    <x v="2"/>
    <x v="1"/>
    <n v="4547683193.21"/>
    <x v="3"/>
    <x v="2"/>
    <x v="1"/>
    <x v="13"/>
    <x v="2"/>
    <x v="3"/>
    <x v="2"/>
    <x v="3"/>
    <x v="8"/>
    <n v="29"/>
    <x v="0"/>
  </r>
  <r>
    <d v="2023-08-28T00:00:00"/>
    <x v="1"/>
    <x v="1"/>
    <x v="0"/>
    <n v="535868.11"/>
    <x v="1"/>
    <x v="1"/>
    <x v="0"/>
    <x v="0"/>
    <x v="2"/>
    <x v="3"/>
    <x v="2"/>
    <x v="3"/>
    <x v="8"/>
    <n v="28"/>
    <x v="0"/>
  </r>
  <r>
    <d v="2023-08-28T00:00:00"/>
    <x v="0"/>
    <x v="1"/>
    <x v="0"/>
    <n v="15167462.23"/>
    <x v="0"/>
    <x v="1"/>
    <x v="0"/>
    <x v="1"/>
    <x v="2"/>
    <x v="3"/>
    <x v="2"/>
    <x v="3"/>
    <x v="8"/>
    <n v="28"/>
    <x v="0"/>
  </r>
  <r>
    <d v="2023-08-28T00:00:00"/>
    <x v="2"/>
    <x v="1"/>
    <x v="2"/>
    <n v="42741.34"/>
    <x v="2"/>
    <x v="1"/>
    <x v="2"/>
    <x v="2"/>
    <x v="2"/>
    <x v="3"/>
    <x v="2"/>
    <x v="3"/>
    <x v="8"/>
    <n v="28"/>
    <x v="0"/>
  </r>
  <r>
    <d v="2023-08-28T00:00:00"/>
    <x v="2"/>
    <x v="1"/>
    <x v="0"/>
    <n v="60091195.43"/>
    <x v="2"/>
    <x v="1"/>
    <x v="0"/>
    <x v="5"/>
    <x v="2"/>
    <x v="3"/>
    <x v="2"/>
    <x v="3"/>
    <x v="8"/>
    <n v="28"/>
    <x v="0"/>
  </r>
  <r>
    <d v="2023-08-28T00:00:00"/>
    <x v="2"/>
    <x v="1"/>
    <x v="1"/>
    <n v="148456103.28999999"/>
    <x v="2"/>
    <x v="1"/>
    <x v="1"/>
    <x v="6"/>
    <x v="2"/>
    <x v="3"/>
    <x v="2"/>
    <x v="3"/>
    <x v="8"/>
    <n v="28"/>
    <x v="0"/>
  </r>
  <r>
    <d v="2023-08-28T00:00:00"/>
    <x v="1"/>
    <x v="0"/>
    <x v="0"/>
    <n v="61369391.079999998"/>
    <x v="1"/>
    <x v="0"/>
    <x v="0"/>
    <x v="9"/>
    <x v="2"/>
    <x v="3"/>
    <x v="2"/>
    <x v="3"/>
    <x v="8"/>
    <n v="28"/>
    <x v="0"/>
  </r>
  <r>
    <d v="2023-08-28T00:00:00"/>
    <x v="0"/>
    <x v="1"/>
    <x v="1"/>
    <n v="8726064.3599999994"/>
    <x v="0"/>
    <x v="1"/>
    <x v="1"/>
    <x v="3"/>
    <x v="2"/>
    <x v="3"/>
    <x v="2"/>
    <x v="3"/>
    <x v="8"/>
    <n v="28"/>
    <x v="0"/>
  </r>
  <r>
    <d v="2023-08-28T00:00:00"/>
    <x v="3"/>
    <x v="2"/>
    <x v="2"/>
    <n v="286779"/>
    <x v="3"/>
    <x v="2"/>
    <x v="2"/>
    <x v="4"/>
    <x v="2"/>
    <x v="3"/>
    <x v="2"/>
    <x v="3"/>
    <x v="8"/>
    <n v="28"/>
    <x v="0"/>
  </r>
  <r>
    <d v="2023-08-28T00:00:00"/>
    <x v="3"/>
    <x v="3"/>
    <x v="0"/>
    <n v="1895467447.45"/>
    <x v="3"/>
    <x v="3"/>
    <x v="0"/>
    <x v="7"/>
    <x v="2"/>
    <x v="3"/>
    <x v="2"/>
    <x v="3"/>
    <x v="8"/>
    <n v="28"/>
    <x v="0"/>
  </r>
  <r>
    <d v="2023-08-28T00:00:00"/>
    <x v="1"/>
    <x v="0"/>
    <x v="1"/>
    <n v="262433501.75"/>
    <x v="1"/>
    <x v="0"/>
    <x v="1"/>
    <x v="8"/>
    <x v="2"/>
    <x v="3"/>
    <x v="2"/>
    <x v="3"/>
    <x v="8"/>
    <n v="28"/>
    <x v="0"/>
  </r>
  <r>
    <d v="2023-08-28T00:00:00"/>
    <x v="3"/>
    <x v="2"/>
    <x v="0"/>
    <n v="844276002.48000002"/>
    <x v="3"/>
    <x v="2"/>
    <x v="0"/>
    <x v="10"/>
    <x v="2"/>
    <x v="3"/>
    <x v="2"/>
    <x v="3"/>
    <x v="8"/>
    <n v="28"/>
    <x v="0"/>
  </r>
  <r>
    <d v="2023-08-28T00:00:00"/>
    <x v="3"/>
    <x v="2"/>
    <x v="1"/>
    <n v="21669897192.529999"/>
    <x v="3"/>
    <x v="2"/>
    <x v="1"/>
    <x v="11"/>
    <x v="2"/>
    <x v="3"/>
    <x v="2"/>
    <x v="3"/>
    <x v="8"/>
    <n v="28"/>
    <x v="0"/>
  </r>
  <r>
    <d v="2023-08-28T00:00:00"/>
    <x v="3"/>
    <x v="1"/>
    <x v="0"/>
    <n v="46346960.390000001"/>
    <x v="3"/>
    <x v="1"/>
    <x v="0"/>
    <x v="12"/>
    <x v="2"/>
    <x v="3"/>
    <x v="2"/>
    <x v="3"/>
    <x v="8"/>
    <n v="28"/>
    <x v="0"/>
  </r>
  <r>
    <d v="2023-08-25T00:00:00"/>
    <x v="0"/>
    <x v="1"/>
    <x v="0"/>
    <n v="9958271.8800000008"/>
    <x v="0"/>
    <x v="1"/>
    <x v="0"/>
    <x v="0"/>
    <x v="2"/>
    <x v="3"/>
    <x v="2"/>
    <x v="3"/>
    <x v="8"/>
    <n v="25"/>
    <x v="0"/>
  </r>
  <r>
    <d v="2023-08-25T00:00:00"/>
    <x v="2"/>
    <x v="1"/>
    <x v="0"/>
    <n v="109723244.41"/>
    <x v="2"/>
    <x v="1"/>
    <x v="0"/>
    <x v="7"/>
    <x v="2"/>
    <x v="3"/>
    <x v="2"/>
    <x v="3"/>
    <x v="8"/>
    <n v="25"/>
    <x v="0"/>
  </r>
  <r>
    <d v="2023-08-25T00:00:00"/>
    <x v="1"/>
    <x v="1"/>
    <x v="0"/>
    <n v="19476.21"/>
    <x v="1"/>
    <x v="1"/>
    <x v="0"/>
    <x v="4"/>
    <x v="2"/>
    <x v="3"/>
    <x v="2"/>
    <x v="3"/>
    <x v="8"/>
    <n v="25"/>
    <x v="0"/>
  </r>
  <r>
    <d v="2023-08-25T00:00:00"/>
    <x v="2"/>
    <x v="1"/>
    <x v="1"/>
    <n v="96257834.489999995"/>
    <x v="2"/>
    <x v="1"/>
    <x v="1"/>
    <x v="8"/>
    <x v="2"/>
    <x v="3"/>
    <x v="2"/>
    <x v="3"/>
    <x v="8"/>
    <n v="25"/>
    <x v="0"/>
  </r>
  <r>
    <d v="2023-08-25T00:00:00"/>
    <x v="1"/>
    <x v="0"/>
    <x v="0"/>
    <n v="72068074.370000005"/>
    <x v="1"/>
    <x v="0"/>
    <x v="0"/>
    <x v="11"/>
    <x v="2"/>
    <x v="3"/>
    <x v="2"/>
    <x v="3"/>
    <x v="8"/>
    <n v="25"/>
    <x v="0"/>
  </r>
  <r>
    <d v="2023-08-25T00:00:00"/>
    <x v="0"/>
    <x v="0"/>
    <x v="1"/>
    <n v="-21057"/>
    <x v="0"/>
    <x v="0"/>
    <x v="1"/>
    <x v="1"/>
    <x v="2"/>
    <x v="3"/>
    <x v="2"/>
    <x v="3"/>
    <x v="8"/>
    <n v="25"/>
    <x v="1"/>
  </r>
  <r>
    <d v="2023-08-25T00:00:00"/>
    <x v="3"/>
    <x v="3"/>
    <x v="1"/>
    <n v="115"/>
    <x v="3"/>
    <x v="3"/>
    <x v="1"/>
    <x v="2"/>
    <x v="2"/>
    <x v="3"/>
    <x v="2"/>
    <x v="3"/>
    <x v="8"/>
    <n v="25"/>
    <x v="0"/>
  </r>
  <r>
    <d v="2023-08-25T00:00:00"/>
    <x v="0"/>
    <x v="1"/>
    <x v="1"/>
    <n v="1053584.05"/>
    <x v="0"/>
    <x v="1"/>
    <x v="1"/>
    <x v="3"/>
    <x v="2"/>
    <x v="3"/>
    <x v="2"/>
    <x v="3"/>
    <x v="8"/>
    <n v="25"/>
    <x v="0"/>
  </r>
  <r>
    <d v="2023-08-25T00:00:00"/>
    <x v="2"/>
    <x v="1"/>
    <x v="2"/>
    <n v="6337.78"/>
    <x v="2"/>
    <x v="1"/>
    <x v="2"/>
    <x v="5"/>
    <x v="2"/>
    <x v="3"/>
    <x v="2"/>
    <x v="3"/>
    <x v="8"/>
    <n v="25"/>
    <x v="0"/>
  </r>
  <r>
    <d v="2023-08-25T00:00:00"/>
    <x v="3"/>
    <x v="2"/>
    <x v="2"/>
    <n v="156572.76"/>
    <x v="3"/>
    <x v="2"/>
    <x v="2"/>
    <x v="6"/>
    <x v="2"/>
    <x v="3"/>
    <x v="2"/>
    <x v="3"/>
    <x v="8"/>
    <n v="25"/>
    <x v="0"/>
  </r>
  <r>
    <d v="2023-08-25T00:00:00"/>
    <x v="1"/>
    <x v="0"/>
    <x v="1"/>
    <n v="130885159.17"/>
    <x v="1"/>
    <x v="0"/>
    <x v="1"/>
    <x v="9"/>
    <x v="2"/>
    <x v="3"/>
    <x v="2"/>
    <x v="3"/>
    <x v="8"/>
    <n v="25"/>
    <x v="0"/>
  </r>
  <r>
    <d v="2023-08-25T00:00:00"/>
    <x v="3"/>
    <x v="3"/>
    <x v="0"/>
    <n v="1480844942.9300001"/>
    <x v="3"/>
    <x v="3"/>
    <x v="0"/>
    <x v="10"/>
    <x v="2"/>
    <x v="3"/>
    <x v="2"/>
    <x v="3"/>
    <x v="8"/>
    <n v="25"/>
    <x v="0"/>
  </r>
  <r>
    <d v="2023-08-25T00:00:00"/>
    <x v="3"/>
    <x v="2"/>
    <x v="0"/>
    <n v="860091487.12"/>
    <x v="3"/>
    <x v="2"/>
    <x v="0"/>
    <x v="12"/>
    <x v="2"/>
    <x v="3"/>
    <x v="2"/>
    <x v="3"/>
    <x v="8"/>
    <n v="25"/>
    <x v="0"/>
  </r>
  <r>
    <d v="2023-08-25T00:00:00"/>
    <x v="3"/>
    <x v="2"/>
    <x v="1"/>
    <n v="8345152215.7600002"/>
    <x v="3"/>
    <x v="2"/>
    <x v="1"/>
    <x v="13"/>
    <x v="2"/>
    <x v="3"/>
    <x v="2"/>
    <x v="3"/>
    <x v="8"/>
    <n v="25"/>
    <x v="0"/>
  </r>
  <r>
    <d v="2023-08-25T00:00:00"/>
    <x v="3"/>
    <x v="1"/>
    <x v="0"/>
    <n v="14602122.85"/>
    <x v="3"/>
    <x v="1"/>
    <x v="0"/>
    <x v="14"/>
    <x v="2"/>
    <x v="3"/>
    <x v="2"/>
    <x v="3"/>
    <x v="8"/>
    <n v="25"/>
    <x v="0"/>
  </r>
  <r>
    <d v="2023-08-24T00:00:00"/>
    <x v="0"/>
    <x v="1"/>
    <x v="0"/>
    <n v="18501286.66"/>
    <x v="0"/>
    <x v="1"/>
    <x v="0"/>
    <x v="0"/>
    <x v="2"/>
    <x v="3"/>
    <x v="2"/>
    <x v="3"/>
    <x v="8"/>
    <n v="24"/>
    <x v="0"/>
  </r>
  <r>
    <d v="2023-08-24T00:00:00"/>
    <x v="2"/>
    <x v="1"/>
    <x v="2"/>
    <n v="15969.05"/>
    <x v="2"/>
    <x v="1"/>
    <x v="2"/>
    <x v="1"/>
    <x v="2"/>
    <x v="3"/>
    <x v="2"/>
    <x v="3"/>
    <x v="8"/>
    <n v="24"/>
    <x v="0"/>
  </r>
  <r>
    <d v="2023-08-24T00:00:00"/>
    <x v="2"/>
    <x v="1"/>
    <x v="0"/>
    <n v="95553630.439999998"/>
    <x v="2"/>
    <x v="1"/>
    <x v="0"/>
    <x v="6"/>
    <x v="2"/>
    <x v="3"/>
    <x v="2"/>
    <x v="3"/>
    <x v="8"/>
    <n v="24"/>
    <x v="0"/>
  </r>
  <r>
    <d v="2023-08-24T00:00:00"/>
    <x v="1"/>
    <x v="1"/>
    <x v="0"/>
    <n v="63777.760000000002"/>
    <x v="1"/>
    <x v="1"/>
    <x v="0"/>
    <x v="3"/>
    <x v="2"/>
    <x v="3"/>
    <x v="2"/>
    <x v="3"/>
    <x v="8"/>
    <n v="24"/>
    <x v="0"/>
  </r>
  <r>
    <d v="2023-08-24T00:00:00"/>
    <x v="2"/>
    <x v="1"/>
    <x v="1"/>
    <n v="422871386.85000002"/>
    <x v="2"/>
    <x v="1"/>
    <x v="1"/>
    <x v="7"/>
    <x v="2"/>
    <x v="3"/>
    <x v="2"/>
    <x v="3"/>
    <x v="8"/>
    <n v="24"/>
    <x v="0"/>
  </r>
  <r>
    <d v="2023-08-24T00:00:00"/>
    <x v="1"/>
    <x v="0"/>
    <x v="1"/>
    <n v="271656557.75"/>
    <x v="1"/>
    <x v="0"/>
    <x v="1"/>
    <x v="8"/>
    <x v="2"/>
    <x v="3"/>
    <x v="2"/>
    <x v="3"/>
    <x v="8"/>
    <n v="24"/>
    <x v="0"/>
  </r>
  <r>
    <d v="2023-08-24T00:00:00"/>
    <x v="0"/>
    <x v="1"/>
    <x v="1"/>
    <n v="9685698.9499999993"/>
    <x v="0"/>
    <x v="1"/>
    <x v="1"/>
    <x v="2"/>
    <x v="2"/>
    <x v="3"/>
    <x v="2"/>
    <x v="3"/>
    <x v="8"/>
    <n v="24"/>
    <x v="0"/>
  </r>
  <r>
    <d v="2023-08-24T00:00:00"/>
    <x v="3"/>
    <x v="2"/>
    <x v="2"/>
    <n v="316441.62"/>
    <x v="3"/>
    <x v="2"/>
    <x v="2"/>
    <x v="4"/>
    <x v="2"/>
    <x v="3"/>
    <x v="2"/>
    <x v="3"/>
    <x v="8"/>
    <n v="24"/>
    <x v="0"/>
  </r>
  <r>
    <d v="2023-08-24T00:00:00"/>
    <x v="3"/>
    <x v="3"/>
    <x v="0"/>
    <n v="1032460299.83"/>
    <x v="3"/>
    <x v="3"/>
    <x v="0"/>
    <x v="5"/>
    <x v="2"/>
    <x v="3"/>
    <x v="2"/>
    <x v="3"/>
    <x v="8"/>
    <n v="24"/>
    <x v="0"/>
  </r>
  <r>
    <d v="2023-08-24T00:00:00"/>
    <x v="1"/>
    <x v="0"/>
    <x v="0"/>
    <n v="75206997.760000005"/>
    <x v="1"/>
    <x v="0"/>
    <x v="0"/>
    <x v="9"/>
    <x v="2"/>
    <x v="3"/>
    <x v="2"/>
    <x v="3"/>
    <x v="8"/>
    <n v="24"/>
    <x v="0"/>
  </r>
  <r>
    <d v="2023-08-24T00:00:00"/>
    <x v="3"/>
    <x v="2"/>
    <x v="0"/>
    <n v="678072810.25999999"/>
    <x v="3"/>
    <x v="2"/>
    <x v="0"/>
    <x v="10"/>
    <x v="2"/>
    <x v="3"/>
    <x v="2"/>
    <x v="3"/>
    <x v="8"/>
    <n v="24"/>
    <x v="0"/>
  </r>
  <r>
    <d v="2023-08-24T00:00:00"/>
    <x v="3"/>
    <x v="2"/>
    <x v="1"/>
    <n v="3289283065.4299998"/>
    <x v="3"/>
    <x v="2"/>
    <x v="1"/>
    <x v="11"/>
    <x v="2"/>
    <x v="3"/>
    <x v="2"/>
    <x v="3"/>
    <x v="8"/>
    <n v="24"/>
    <x v="0"/>
  </r>
  <r>
    <d v="2023-08-24T00:00:00"/>
    <x v="3"/>
    <x v="1"/>
    <x v="0"/>
    <n v="14511834.210000001"/>
    <x v="3"/>
    <x v="1"/>
    <x v="0"/>
    <x v="12"/>
    <x v="2"/>
    <x v="3"/>
    <x v="2"/>
    <x v="3"/>
    <x v="8"/>
    <n v="24"/>
    <x v="0"/>
  </r>
  <r>
    <d v="2023-08-23T00:00:00"/>
    <x v="1"/>
    <x v="1"/>
    <x v="0"/>
    <n v="64390.45"/>
    <x v="1"/>
    <x v="1"/>
    <x v="0"/>
    <x v="0"/>
    <x v="2"/>
    <x v="3"/>
    <x v="2"/>
    <x v="3"/>
    <x v="8"/>
    <n v="23"/>
    <x v="0"/>
  </r>
  <r>
    <d v="2023-08-23T00:00:00"/>
    <x v="0"/>
    <x v="1"/>
    <x v="0"/>
    <n v="9694069.3599999994"/>
    <x v="0"/>
    <x v="1"/>
    <x v="0"/>
    <x v="1"/>
    <x v="2"/>
    <x v="3"/>
    <x v="2"/>
    <x v="3"/>
    <x v="8"/>
    <n v="23"/>
    <x v="0"/>
  </r>
  <r>
    <d v="2023-08-23T00:00:00"/>
    <x v="2"/>
    <x v="1"/>
    <x v="2"/>
    <n v="128080.25"/>
    <x v="2"/>
    <x v="1"/>
    <x v="2"/>
    <x v="2"/>
    <x v="2"/>
    <x v="3"/>
    <x v="2"/>
    <x v="3"/>
    <x v="8"/>
    <n v="23"/>
    <x v="0"/>
  </r>
  <r>
    <d v="2023-08-23T00:00:00"/>
    <x v="2"/>
    <x v="1"/>
    <x v="0"/>
    <n v="80304034.870000005"/>
    <x v="2"/>
    <x v="1"/>
    <x v="0"/>
    <x v="5"/>
    <x v="2"/>
    <x v="3"/>
    <x v="2"/>
    <x v="3"/>
    <x v="8"/>
    <n v="23"/>
    <x v="0"/>
  </r>
  <r>
    <d v="2023-08-23T00:00:00"/>
    <x v="3"/>
    <x v="3"/>
    <x v="0"/>
    <n v="773777011.72000003"/>
    <x v="3"/>
    <x v="3"/>
    <x v="0"/>
    <x v="7"/>
    <x v="2"/>
    <x v="3"/>
    <x v="2"/>
    <x v="3"/>
    <x v="8"/>
    <n v="23"/>
    <x v="0"/>
  </r>
  <r>
    <d v="2023-08-23T00:00:00"/>
    <x v="1"/>
    <x v="0"/>
    <x v="1"/>
    <n v="661074354.5"/>
    <x v="1"/>
    <x v="0"/>
    <x v="1"/>
    <x v="8"/>
    <x v="2"/>
    <x v="3"/>
    <x v="2"/>
    <x v="3"/>
    <x v="8"/>
    <n v="23"/>
    <x v="0"/>
  </r>
  <r>
    <d v="2023-08-23T00:00:00"/>
    <x v="0"/>
    <x v="1"/>
    <x v="1"/>
    <n v="1562665.66"/>
    <x v="0"/>
    <x v="1"/>
    <x v="1"/>
    <x v="3"/>
    <x v="2"/>
    <x v="3"/>
    <x v="2"/>
    <x v="3"/>
    <x v="8"/>
    <n v="23"/>
    <x v="0"/>
  </r>
  <r>
    <d v="2023-08-23T00:00:00"/>
    <x v="3"/>
    <x v="2"/>
    <x v="2"/>
    <n v="270027.69"/>
    <x v="3"/>
    <x v="2"/>
    <x v="2"/>
    <x v="4"/>
    <x v="2"/>
    <x v="3"/>
    <x v="2"/>
    <x v="3"/>
    <x v="8"/>
    <n v="23"/>
    <x v="0"/>
  </r>
  <r>
    <d v="2023-08-23T00:00:00"/>
    <x v="2"/>
    <x v="1"/>
    <x v="1"/>
    <n v="423910500.51999998"/>
    <x v="2"/>
    <x v="1"/>
    <x v="1"/>
    <x v="6"/>
    <x v="2"/>
    <x v="3"/>
    <x v="2"/>
    <x v="3"/>
    <x v="8"/>
    <n v="23"/>
    <x v="0"/>
  </r>
  <r>
    <d v="2023-08-23T00:00:00"/>
    <x v="1"/>
    <x v="0"/>
    <x v="0"/>
    <n v="105863967.84999999"/>
    <x v="1"/>
    <x v="0"/>
    <x v="0"/>
    <x v="9"/>
    <x v="2"/>
    <x v="3"/>
    <x v="2"/>
    <x v="3"/>
    <x v="8"/>
    <n v="23"/>
    <x v="0"/>
  </r>
  <r>
    <d v="2023-08-23T00:00:00"/>
    <x v="3"/>
    <x v="2"/>
    <x v="0"/>
    <n v="590684900.71000004"/>
    <x v="3"/>
    <x v="2"/>
    <x v="0"/>
    <x v="10"/>
    <x v="2"/>
    <x v="3"/>
    <x v="2"/>
    <x v="3"/>
    <x v="8"/>
    <n v="23"/>
    <x v="0"/>
  </r>
  <r>
    <d v="2023-08-23T00:00:00"/>
    <x v="3"/>
    <x v="1"/>
    <x v="0"/>
    <n v="15106381.880000001"/>
    <x v="3"/>
    <x v="1"/>
    <x v="0"/>
    <x v="11"/>
    <x v="2"/>
    <x v="3"/>
    <x v="2"/>
    <x v="3"/>
    <x v="8"/>
    <n v="23"/>
    <x v="0"/>
  </r>
  <r>
    <d v="2023-08-23T00:00:00"/>
    <x v="3"/>
    <x v="2"/>
    <x v="1"/>
    <n v="11233478599.32"/>
    <x v="3"/>
    <x v="2"/>
    <x v="1"/>
    <x v="12"/>
    <x v="2"/>
    <x v="3"/>
    <x v="2"/>
    <x v="3"/>
    <x v="8"/>
    <n v="23"/>
    <x v="0"/>
  </r>
  <r>
    <d v="2023-08-22T00:00:00"/>
    <x v="1"/>
    <x v="1"/>
    <x v="0"/>
    <n v="113373.65"/>
    <x v="1"/>
    <x v="1"/>
    <x v="0"/>
    <x v="0"/>
    <x v="2"/>
    <x v="3"/>
    <x v="2"/>
    <x v="3"/>
    <x v="8"/>
    <n v="22"/>
    <x v="0"/>
  </r>
  <r>
    <d v="2023-08-22T00:00:00"/>
    <x v="0"/>
    <x v="1"/>
    <x v="0"/>
    <n v="28171699.68"/>
    <x v="0"/>
    <x v="1"/>
    <x v="0"/>
    <x v="1"/>
    <x v="2"/>
    <x v="3"/>
    <x v="2"/>
    <x v="3"/>
    <x v="8"/>
    <n v="22"/>
    <x v="0"/>
  </r>
  <r>
    <d v="2023-08-22T00:00:00"/>
    <x v="2"/>
    <x v="1"/>
    <x v="2"/>
    <n v="378530.34"/>
    <x v="2"/>
    <x v="1"/>
    <x v="2"/>
    <x v="2"/>
    <x v="2"/>
    <x v="3"/>
    <x v="2"/>
    <x v="3"/>
    <x v="8"/>
    <n v="22"/>
    <x v="0"/>
  </r>
  <r>
    <d v="2023-08-22T00:00:00"/>
    <x v="2"/>
    <x v="1"/>
    <x v="0"/>
    <n v="57229973.939999998"/>
    <x v="2"/>
    <x v="1"/>
    <x v="0"/>
    <x v="6"/>
    <x v="2"/>
    <x v="3"/>
    <x v="2"/>
    <x v="3"/>
    <x v="8"/>
    <n v="22"/>
    <x v="0"/>
  </r>
  <r>
    <d v="2023-08-22T00:00:00"/>
    <x v="2"/>
    <x v="1"/>
    <x v="1"/>
    <n v="367327642.95999998"/>
    <x v="2"/>
    <x v="1"/>
    <x v="1"/>
    <x v="7"/>
    <x v="2"/>
    <x v="3"/>
    <x v="2"/>
    <x v="3"/>
    <x v="8"/>
    <n v="22"/>
    <x v="0"/>
  </r>
  <r>
    <d v="2023-08-22T00:00:00"/>
    <x v="1"/>
    <x v="0"/>
    <x v="1"/>
    <n v="216902005.28"/>
    <x v="1"/>
    <x v="0"/>
    <x v="1"/>
    <x v="8"/>
    <x v="2"/>
    <x v="3"/>
    <x v="2"/>
    <x v="3"/>
    <x v="8"/>
    <n v="22"/>
    <x v="0"/>
  </r>
  <r>
    <d v="2023-08-22T00:00:00"/>
    <x v="1"/>
    <x v="0"/>
    <x v="0"/>
    <n v="74540881.450000003"/>
    <x v="1"/>
    <x v="0"/>
    <x v="0"/>
    <x v="9"/>
    <x v="2"/>
    <x v="3"/>
    <x v="2"/>
    <x v="3"/>
    <x v="8"/>
    <n v="22"/>
    <x v="0"/>
  </r>
  <r>
    <d v="2023-08-22T00:00:00"/>
    <x v="3"/>
    <x v="3"/>
    <x v="0"/>
    <n v="899855186.21000004"/>
    <x v="3"/>
    <x v="3"/>
    <x v="0"/>
    <x v="10"/>
    <x v="2"/>
    <x v="3"/>
    <x v="2"/>
    <x v="3"/>
    <x v="8"/>
    <n v="22"/>
    <x v="0"/>
  </r>
  <r>
    <d v="2023-08-22T00:00:00"/>
    <x v="3"/>
    <x v="3"/>
    <x v="1"/>
    <n v="28320.12"/>
    <x v="3"/>
    <x v="3"/>
    <x v="1"/>
    <x v="3"/>
    <x v="2"/>
    <x v="3"/>
    <x v="2"/>
    <x v="3"/>
    <x v="8"/>
    <n v="22"/>
    <x v="0"/>
  </r>
  <r>
    <d v="2023-08-22T00:00:00"/>
    <x v="0"/>
    <x v="1"/>
    <x v="1"/>
    <n v="14859787.970000001"/>
    <x v="0"/>
    <x v="1"/>
    <x v="1"/>
    <x v="4"/>
    <x v="2"/>
    <x v="3"/>
    <x v="2"/>
    <x v="3"/>
    <x v="8"/>
    <n v="22"/>
    <x v="0"/>
  </r>
  <r>
    <d v="2023-08-22T00:00:00"/>
    <x v="3"/>
    <x v="2"/>
    <x v="2"/>
    <n v="141124"/>
    <x v="3"/>
    <x v="2"/>
    <x v="2"/>
    <x v="5"/>
    <x v="2"/>
    <x v="3"/>
    <x v="2"/>
    <x v="3"/>
    <x v="8"/>
    <n v="22"/>
    <x v="0"/>
  </r>
  <r>
    <d v="2023-08-22T00:00:00"/>
    <x v="3"/>
    <x v="2"/>
    <x v="0"/>
    <n v="5929576725.6599998"/>
    <x v="3"/>
    <x v="2"/>
    <x v="0"/>
    <x v="11"/>
    <x v="2"/>
    <x v="3"/>
    <x v="2"/>
    <x v="3"/>
    <x v="8"/>
    <n v="22"/>
    <x v="0"/>
  </r>
  <r>
    <d v="2023-08-22T00:00:00"/>
    <x v="3"/>
    <x v="1"/>
    <x v="0"/>
    <n v="12181658.24"/>
    <x v="3"/>
    <x v="1"/>
    <x v="0"/>
    <x v="12"/>
    <x v="2"/>
    <x v="3"/>
    <x v="2"/>
    <x v="3"/>
    <x v="8"/>
    <n v="22"/>
    <x v="0"/>
  </r>
  <r>
    <d v="2023-08-22T00:00:00"/>
    <x v="3"/>
    <x v="2"/>
    <x v="1"/>
    <n v="2971545891.71"/>
    <x v="3"/>
    <x v="2"/>
    <x v="1"/>
    <x v="13"/>
    <x v="2"/>
    <x v="3"/>
    <x v="2"/>
    <x v="3"/>
    <x v="8"/>
    <n v="22"/>
    <x v="0"/>
  </r>
  <r>
    <d v="2023-08-21T00:00:00"/>
    <x v="1"/>
    <x v="1"/>
    <x v="0"/>
    <n v="20598.78"/>
    <x v="1"/>
    <x v="1"/>
    <x v="0"/>
    <x v="0"/>
    <x v="2"/>
    <x v="3"/>
    <x v="2"/>
    <x v="3"/>
    <x v="8"/>
    <n v="21"/>
    <x v="0"/>
  </r>
  <r>
    <d v="2023-08-21T00:00:00"/>
    <x v="0"/>
    <x v="1"/>
    <x v="0"/>
    <n v="7847117.4800000004"/>
    <x v="0"/>
    <x v="1"/>
    <x v="0"/>
    <x v="1"/>
    <x v="2"/>
    <x v="3"/>
    <x v="2"/>
    <x v="3"/>
    <x v="8"/>
    <n v="21"/>
    <x v="0"/>
  </r>
  <r>
    <d v="2023-08-21T00:00:00"/>
    <x v="3"/>
    <x v="3"/>
    <x v="2"/>
    <n v="139.80000000000001"/>
    <x v="3"/>
    <x v="3"/>
    <x v="2"/>
    <x v="2"/>
    <x v="2"/>
    <x v="3"/>
    <x v="2"/>
    <x v="3"/>
    <x v="8"/>
    <n v="21"/>
    <x v="0"/>
  </r>
  <r>
    <d v="2023-08-21T00:00:00"/>
    <x v="3"/>
    <x v="2"/>
    <x v="2"/>
    <n v="96630"/>
    <x v="3"/>
    <x v="2"/>
    <x v="2"/>
    <x v="3"/>
    <x v="2"/>
    <x v="3"/>
    <x v="2"/>
    <x v="3"/>
    <x v="8"/>
    <n v="21"/>
    <x v="0"/>
  </r>
  <r>
    <d v="2023-08-21T00:00:00"/>
    <x v="2"/>
    <x v="1"/>
    <x v="0"/>
    <n v="103962261.16"/>
    <x v="2"/>
    <x v="1"/>
    <x v="0"/>
    <x v="6"/>
    <x v="2"/>
    <x v="3"/>
    <x v="2"/>
    <x v="3"/>
    <x v="8"/>
    <n v="21"/>
    <x v="0"/>
  </r>
  <r>
    <d v="2023-08-21T00:00:00"/>
    <x v="2"/>
    <x v="1"/>
    <x v="1"/>
    <n v="87815563.739999995"/>
    <x v="2"/>
    <x v="1"/>
    <x v="1"/>
    <x v="7"/>
    <x v="2"/>
    <x v="3"/>
    <x v="2"/>
    <x v="3"/>
    <x v="8"/>
    <n v="21"/>
    <x v="0"/>
  </r>
  <r>
    <d v="2023-08-21T00:00:00"/>
    <x v="3"/>
    <x v="3"/>
    <x v="0"/>
    <n v="2260414396.1900001"/>
    <x v="3"/>
    <x v="3"/>
    <x v="0"/>
    <x v="8"/>
    <x v="2"/>
    <x v="3"/>
    <x v="2"/>
    <x v="3"/>
    <x v="8"/>
    <n v="21"/>
    <x v="0"/>
  </r>
  <r>
    <d v="2023-08-21T00:00:00"/>
    <x v="1"/>
    <x v="0"/>
    <x v="0"/>
    <n v="55663471.109999999"/>
    <x v="1"/>
    <x v="0"/>
    <x v="0"/>
    <x v="10"/>
    <x v="2"/>
    <x v="3"/>
    <x v="2"/>
    <x v="3"/>
    <x v="8"/>
    <n v="21"/>
    <x v="0"/>
  </r>
  <r>
    <d v="2023-08-21T00:00:00"/>
    <x v="0"/>
    <x v="1"/>
    <x v="1"/>
    <n v="8041635.6600000001"/>
    <x v="0"/>
    <x v="1"/>
    <x v="1"/>
    <x v="4"/>
    <x v="2"/>
    <x v="3"/>
    <x v="2"/>
    <x v="3"/>
    <x v="8"/>
    <n v="21"/>
    <x v="0"/>
  </r>
  <r>
    <d v="2023-08-21T00:00:00"/>
    <x v="2"/>
    <x v="1"/>
    <x v="2"/>
    <n v="7836.85"/>
    <x v="2"/>
    <x v="1"/>
    <x v="2"/>
    <x v="5"/>
    <x v="2"/>
    <x v="3"/>
    <x v="2"/>
    <x v="3"/>
    <x v="8"/>
    <n v="21"/>
    <x v="0"/>
  </r>
  <r>
    <d v="2023-08-21T00:00:00"/>
    <x v="1"/>
    <x v="0"/>
    <x v="1"/>
    <n v="226898850.63999999"/>
    <x v="1"/>
    <x v="0"/>
    <x v="1"/>
    <x v="9"/>
    <x v="2"/>
    <x v="3"/>
    <x v="2"/>
    <x v="3"/>
    <x v="8"/>
    <n v="21"/>
    <x v="0"/>
  </r>
  <r>
    <d v="2023-08-21T00:00:00"/>
    <x v="3"/>
    <x v="2"/>
    <x v="0"/>
    <n v="1039085847.1900001"/>
    <x v="3"/>
    <x v="2"/>
    <x v="0"/>
    <x v="11"/>
    <x v="2"/>
    <x v="3"/>
    <x v="2"/>
    <x v="3"/>
    <x v="8"/>
    <n v="21"/>
    <x v="0"/>
  </r>
  <r>
    <d v="2023-08-21T00:00:00"/>
    <x v="3"/>
    <x v="2"/>
    <x v="1"/>
    <n v="23509623244.389999"/>
    <x v="3"/>
    <x v="2"/>
    <x v="1"/>
    <x v="12"/>
    <x v="2"/>
    <x v="3"/>
    <x v="2"/>
    <x v="3"/>
    <x v="8"/>
    <n v="21"/>
    <x v="0"/>
  </r>
  <r>
    <d v="2023-08-21T00:00:00"/>
    <x v="3"/>
    <x v="1"/>
    <x v="0"/>
    <n v="48743219.009999998"/>
    <x v="3"/>
    <x v="1"/>
    <x v="0"/>
    <x v="13"/>
    <x v="2"/>
    <x v="3"/>
    <x v="2"/>
    <x v="3"/>
    <x v="8"/>
    <n v="21"/>
    <x v="0"/>
  </r>
  <r>
    <d v="2023-08-18T00:00:00"/>
    <x v="0"/>
    <x v="0"/>
    <x v="0"/>
    <n v="400"/>
    <x v="0"/>
    <x v="0"/>
    <x v="0"/>
    <x v="0"/>
    <x v="2"/>
    <x v="3"/>
    <x v="2"/>
    <x v="3"/>
    <x v="8"/>
    <n v="18"/>
    <x v="0"/>
  </r>
  <r>
    <d v="2023-08-18T00:00:00"/>
    <x v="1"/>
    <x v="1"/>
    <x v="0"/>
    <n v="25587.53"/>
    <x v="1"/>
    <x v="1"/>
    <x v="0"/>
    <x v="1"/>
    <x v="2"/>
    <x v="3"/>
    <x v="2"/>
    <x v="3"/>
    <x v="8"/>
    <n v="18"/>
    <x v="0"/>
  </r>
  <r>
    <d v="2023-08-18T00:00:00"/>
    <x v="0"/>
    <x v="1"/>
    <x v="0"/>
    <n v="11519757.699999999"/>
    <x v="0"/>
    <x v="1"/>
    <x v="0"/>
    <x v="2"/>
    <x v="2"/>
    <x v="3"/>
    <x v="2"/>
    <x v="3"/>
    <x v="8"/>
    <n v="18"/>
    <x v="0"/>
  </r>
  <r>
    <d v="2023-08-18T00:00:00"/>
    <x v="2"/>
    <x v="1"/>
    <x v="2"/>
    <n v="3966.52"/>
    <x v="2"/>
    <x v="1"/>
    <x v="2"/>
    <x v="3"/>
    <x v="2"/>
    <x v="3"/>
    <x v="2"/>
    <x v="3"/>
    <x v="8"/>
    <n v="18"/>
    <x v="0"/>
  </r>
  <r>
    <d v="2023-08-18T00:00:00"/>
    <x v="3"/>
    <x v="3"/>
    <x v="0"/>
    <n v="1153751926.9300001"/>
    <x v="3"/>
    <x v="3"/>
    <x v="0"/>
    <x v="10"/>
    <x v="2"/>
    <x v="3"/>
    <x v="2"/>
    <x v="3"/>
    <x v="8"/>
    <n v="18"/>
    <x v="0"/>
  </r>
  <r>
    <d v="2023-08-18T00:00:00"/>
    <x v="1"/>
    <x v="0"/>
    <x v="1"/>
    <n v="105765269.53"/>
    <x v="1"/>
    <x v="0"/>
    <x v="1"/>
    <x v="11"/>
    <x v="2"/>
    <x v="3"/>
    <x v="2"/>
    <x v="3"/>
    <x v="8"/>
    <n v="18"/>
    <x v="0"/>
  </r>
  <r>
    <d v="2023-08-18T00:00:00"/>
    <x v="3"/>
    <x v="3"/>
    <x v="1"/>
    <n v="162993700.22"/>
    <x v="3"/>
    <x v="3"/>
    <x v="1"/>
    <x v="4"/>
    <x v="2"/>
    <x v="3"/>
    <x v="2"/>
    <x v="3"/>
    <x v="8"/>
    <n v="18"/>
    <x v="0"/>
  </r>
  <r>
    <d v="2023-08-18T00:00:00"/>
    <x v="0"/>
    <x v="1"/>
    <x v="1"/>
    <n v="4548083.43"/>
    <x v="0"/>
    <x v="1"/>
    <x v="1"/>
    <x v="6"/>
    <x v="2"/>
    <x v="3"/>
    <x v="2"/>
    <x v="3"/>
    <x v="8"/>
    <n v="18"/>
    <x v="0"/>
  </r>
  <r>
    <d v="2023-08-18T00:00:00"/>
    <x v="1"/>
    <x v="0"/>
    <x v="0"/>
    <n v="52869465.329999998"/>
    <x v="1"/>
    <x v="0"/>
    <x v="0"/>
    <x v="12"/>
    <x v="2"/>
    <x v="3"/>
    <x v="2"/>
    <x v="3"/>
    <x v="8"/>
    <n v="18"/>
    <x v="0"/>
  </r>
  <r>
    <d v="2023-08-18T00:00:00"/>
    <x v="3"/>
    <x v="2"/>
    <x v="2"/>
    <n v="287405.3"/>
    <x v="3"/>
    <x v="2"/>
    <x v="2"/>
    <x v="7"/>
    <x v="2"/>
    <x v="3"/>
    <x v="2"/>
    <x v="3"/>
    <x v="8"/>
    <n v="18"/>
    <x v="0"/>
  </r>
  <r>
    <d v="2023-08-18T00:00:00"/>
    <x v="0"/>
    <x v="0"/>
    <x v="1"/>
    <n v="-1657407"/>
    <x v="0"/>
    <x v="0"/>
    <x v="1"/>
    <x v="5"/>
    <x v="2"/>
    <x v="3"/>
    <x v="2"/>
    <x v="3"/>
    <x v="8"/>
    <n v="18"/>
    <x v="1"/>
  </r>
  <r>
    <d v="2023-08-18T00:00:00"/>
    <x v="2"/>
    <x v="1"/>
    <x v="1"/>
    <n v="182937364.53999999"/>
    <x v="2"/>
    <x v="1"/>
    <x v="1"/>
    <x v="9"/>
    <x v="2"/>
    <x v="3"/>
    <x v="2"/>
    <x v="3"/>
    <x v="8"/>
    <n v="18"/>
    <x v="0"/>
  </r>
  <r>
    <d v="2023-08-18T00:00:00"/>
    <x v="2"/>
    <x v="1"/>
    <x v="0"/>
    <n v="83049563.900000006"/>
    <x v="2"/>
    <x v="1"/>
    <x v="0"/>
    <x v="8"/>
    <x v="2"/>
    <x v="3"/>
    <x v="2"/>
    <x v="3"/>
    <x v="8"/>
    <n v="18"/>
    <x v="0"/>
  </r>
  <r>
    <d v="2023-08-18T00:00:00"/>
    <x v="3"/>
    <x v="2"/>
    <x v="0"/>
    <n v="518847241.70999998"/>
    <x v="3"/>
    <x v="2"/>
    <x v="0"/>
    <x v="13"/>
    <x v="2"/>
    <x v="3"/>
    <x v="2"/>
    <x v="3"/>
    <x v="8"/>
    <n v="18"/>
    <x v="0"/>
  </r>
  <r>
    <d v="2023-08-18T00:00:00"/>
    <x v="3"/>
    <x v="2"/>
    <x v="1"/>
    <n v="12118784768.190001"/>
    <x v="3"/>
    <x v="2"/>
    <x v="1"/>
    <x v="14"/>
    <x v="2"/>
    <x v="3"/>
    <x v="2"/>
    <x v="3"/>
    <x v="8"/>
    <n v="18"/>
    <x v="0"/>
  </r>
  <r>
    <d v="2023-08-18T00:00:00"/>
    <x v="3"/>
    <x v="1"/>
    <x v="0"/>
    <n v="15563795.300000001"/>
    <x v="3"/>
    <x v="1"/>
    <x v="0"/>
    <x v="15"/>
    <x v="2"/>
    <x v="3"/>
    <x v="2"/>
    <x v="3"/>
    <x v="8"/>
    <n v="18"/>
    <x v="0"/>
  </r>
  <r>
    <d v="2023-08-17T00:00:00"/>
    <x v="0"/>
    <x v="0"/>
    <x v="0"/>
    <n v="-1070"/>
    <x v="0"/>
    <x v="0"/>
    <x v="0"/>
    <x v="0"/>
    <x v="2"/>
    <x v="3"/>
    <x v="2"/>
    <x v="3"/>
    <x v="8"/>
    <n v="17"/>
    <x v="1"/>
  </r>
  <r>
    <d v="2023-08-17T00:00:00"/>
    <x v="1"/>
    <x v="1"/>
    <x v="0"/>
    <n v="21584.06"/>
    <x v="1"/>
    <x v="1"/>
    <x v="0"/>
    <x v="1"/>
    <x v="2"/>
    <x v="3"/>
    <x v="2"/>
    <x v="3"/>
    <x v="8"/>
    <n v="17"/>
    <x v="0"/>
  </r>
  <r>
    <d v="2023-08-17T00:00:00"/>
    <x v="0"/>
    <x v="1"/>
    <x v="0"/>
    <n v="8994673.9600000009"/>
    <x v="0"/>
    <x v="1"/>
    <x v="0"/>
    <x v="2"/>
    <x v="2"/>
    <x v="3"/>
    <x v="2"/>
    <x v="3"/>
    <x v="8"/>
    <n v="17"/>
    <x v="0"/>
  </r>
  <r>
    <d v="2023-08-17T00:00:00"/>
    <x v="2"/>
    <x v="1"/>
    <x v="2"/>
    <n v="14871.1"/>
    <x v="2"/>
    <x v="1"/>
    <x v="2"/>
    <x v="3"/>
    <x v="2"/>
    <x v="3"/>
    <x v="2"/>
    <x v="3"/>
    <x v="8"/>
    <n v="17"/>
    <x v="0"/>
  </r>
  <r>
    <d v="2023-08-17T00:00:00"/>
    <x v="2"/>
    <x v="1"/>
    <x v="1"/>
    <n v="305133142.98000002"/>
    <x v="2"/>
    <x v="1"/>
    <x v="1"/>
    <x v="8"/>
    <x v="2"/>
    <x v="3"/>
    <x v="2"/>
    <x v="3"/>
    <x v="8"/>
    <n v="17"/>
    <x v="0"/>
  </r>
  <r>
    <d v="2023-08-17T00:00:00"/>
    <x v="3"/>
    <x v="3"/>
    <x v="0"/>
    <n v="921787766.25"/>
    <x v="3"/>
    <x v="3"/>
    <x v="0"/>
    <x v="10"/>
    <x v="2"/>
    <x v="3"/>
    <x v="2"/>
    <x v="3"/>
    <x v="8"/>
    <n v="17"/>
    <x v="0"/>
  </r>
  <r>
    <d v="2023-08-17T00:00:00"/>
    <x v="0"/>
    <x v="0"/>
    <x v="1"/>
    <n v="-138381.85"/>
    <x v="0"/>
    <x v="0"/>
    <x v="1"/>
    <x v="4"/>
    <x v="2"/>
    <x v="3"/>
    <x v="2"/>
    <x v="3"/>
    <x v="8"/>
    <n v="17"/>
    <x v="1"/>
  </r>
  <r>
    <d v="2023-08-17T00:00:00"/>
    <x v="0"/>
    <x v="1"/>
    <x v="1"/>
    <n v="11969283.619999999"/>
    <x v="0"/>
    <x v="1"/>
    <x v="1"/>
    <x v="5"/>
    <x v="2"/>
    <x v="3"/>
    <x v="2"/>
    <x v="3"/>
    <x v="8"/>
    <n v="17"/>
    <x v="0"/>
  </r>
  <r>
    <d v="2023-08-17T00:00:00"/>
    <x v="3"/>
    <x v="2"/>
    <x v="2"/>
    <n v="72068.66"/>
    <x v="3"/>
    <x v="2"/>
    <x v="2"/>
    <x v="6"/>
    <x v="2"/>
    <x v="3"/>
    <x v="2"/>
    <x v="3"/>
    <x v="8"/>
    <n v="17"/>
    <x v="0"/>
  </r>
  <r>
    <d v="2023-08-17T00:00:00"/>
    <x v="2"/>
    <x v="1"/>
    <x v="0"/>
    <n v="135372081.66999999"/>
    <x v="2"/>
    <x v="1"/>
    <x v="0"/>
    <x v="7"/>
    <x v="2"/>
    <x v="3"/>
    <x v="2"/>
    <x v="3"/>
    <x v="8"/>
    <n v="17"/>
    <x v="0"/>
  </r>
  <r>
    <d v="2023-08-17T00:00:00"/>
    <x v="1"/>
    <x v="0"/>
    <x v="1"/>
    <n v="190138530.11000001"/>
    <x v="1"/>
    <x v="0"/>
    <x v="1"/>
    <x v="9"/>
    <x v="2"/>
    <x v="3"/>
    <x v="2"/>
    <x v="3"/>
    <x v="8"/>
    <n v="17"/>
    <x v="0"/>
  </r>
  <r>
    <d v="2023-08-17T00:00:00"/>
    <x v="1"/>
    <x v="0"/>
    <x v="0"/>
    <n v="55845117.590000004"/>
    <x v="1"/>
    <x v="0"/>
    <x v="0"/>
    <x v="11"/>
    <x v="2"/>
    <x v="3"/>
    <x v="2"/>
    <x v="3"/>
    <x v="8"/>
    <n v="17"/>
    <x v="0"/>
  </r>
  <r>
    <d v="2023-08-17T00:00:00"/>
    <x v="3"/>
    <x v="2"/>
    <x v="0"/>
    <n v="456132449.12"/>
    <x v="3"/>
    <x v="2"/>
    <x v="0"/>
    <x v="12"/>
    <x v="2"/>
    <x v="3"/>
    <x v="2"/>
    <x v="3"/>
    <x v="8"/>
    <n v="17"/>
    <x v="0"/>
  </r>
  <r>
    <d v="2023-08-17T00:00:00"/>
    <x v="3"/>
    <x v="1"/>
    <x v="0"/>
    <n v="15460818.66"/>
    <x v="3"/>
    <x v="1"/>
    <x v="0"/>
    <x v="13"/>
    <x v="2"/>
    <x v="3"/>
    <x v="2"/>
    <x v="3"/>
    <x v="8"/>
    <n v="17"/>
    <x v="0"/>
  </r>
  <r>
    <d v="2023-08-17T00:00:00"/>
    <x v="3"/>
    <x v="2"/>
    <x v="1"/>
    <n v="5540912702.3100004"/>
    <x v="3"/>
    <x v="2"/>
    <x v="1"/>
    <x v="14"/>
    <x v="2"/>
    <x v="3"/>
    <x v="2"/>
    <x v="3"/>
    <x v="8"/>
    <n v="17"/>
    <x v="0"/>
  </r>
  <r>
    <d v="2023-08-16T00:00:00"/>
    <x v="0"/>
    <x v="0"/>
    <x v="0"/>
    <n v="-680"/>
    <x v="0"/>
    <x v="0"/>
    <x v="0"/>
    <x v="0"/>
    <x v="2"/>
    <x v="3"/>
    <x v="2"/>
    <x v="3"/>
    <x v="8"/>
    <n v="16"/>
    <x v="1"/>
  </r>
  <r>
    <d v="2023-08-16T00:00:00"/>
    <x v="1"/>
    <x v="1"/>
    <x v="0"/>
    <n v="19248.68"/>
    <x v="1"/>
    <x v="1"/>
    <x v="0"/>
    <x v="1"/>
    <x v="2"/>
    <x v="3"/>
    <x v="2"/>
    <x v="3"/>
    <x v="8"/>
    <n v="16"/>
    <x v="0"/>
  </r>
  <r>
    <d v="2023-08-16T00:00:00"/>
    <x v="0"/>
    <x v="1"/>
    <x v="0"/>
    <n v="24792988.989999998"/>
    <x v="0"/>
    <x v="1"/>
    <x v="0"/>
    <x v="2"/>
    <x v="2"/>
    <x v="3"/>
    <x v="2"/>
    <x v="3"/>
    <x v="8"/>
    <n v="16"/>
    <x v="0"/>
  </r>
  <r>
    <d v="2023-08-16T00:00:00"/>
    <x v="2"/>
    <x v="1"/>
    <x v="2"/>
    <n v="43223.98"/>
    <x v="2"/>
    <x v="1"/>
    <x v="2"/>
    <x v="4"/>
    <x v="2"/>
    <x v="3"/>
    <x v="2"/>
    <x v="3"/>
    <x v="8"/>
    <n v="16"/>
    <x v="0"/>
  </r>
  <r>
    <d v="2023-08-16T00:00:00"/>
    <x v="2"/>
    <x v="1"/>
    <x v="0"/>
    <n v="99160054.739999995"/>
    <x v="2"/>
    <x v="1"/>
    <x v="0"/>
    <x v="8"/>
    <x v="2"/>
    <x v="3"/>
    <x v="2"/>
    <x v="3"/>
    <x v="8"/>
    <n v="16"/>
    <x v="0"/>
  </r>
  <r>
    <d v="2023-08-16T00:00:00"/>
    <x v="1"/>
    <x v="0"/>
    <x v="1"/>
    <n v="583309758.61000001"/>
    <x v="1"/>
    <x v="0"/>
    <x v="1"/>
    <x v="10"/>
    <x v="2"/>
    <x v="3"/>
    <x v="2"/>
    <x v="3"/>
    <x v="8"/>
    <n v="16"/>
    <x v="0"/>
  </r>
  <r>
    <d v="2023-08-16T00:00:00"/>
    <x v="0"/>
    <x v="0"/>
    <x v="1"/>
    <n v="-65798.539999999994"/>
    <x v="0"/>
    <x v="0"/>
    <x v="1"/>
    <x v="5"/>
    <x v="2"/>
    <x v="3"/>
    <x v="2"/>
    <x v="3"/>
    <x v="8"/>
    <n v="16"/>
    <x v="1"/>
  </r>
  <r>
    <d v="2023-08-16T00:00:00"/>
    <x v="0"/>
    <x v="1"/>
    <x v="1"/>
    <n v="8773910.3900000006"/>
    <x v="0"/>
    <x v="1"/>
    <x v="1"/>
    <x v="6"/>
    <x v="2"/>
    <x v="3"/>
    <x v="2"/>
    <x v="3"/>
    <x v="8"/>
    <n v="16"/>
    <x v="0"/>
  </r>
  <r>
    <d v="2023-08-16T00:00:00"/>
    <x v="1"/>
    <x v="0"/>
    <x v="0"/>
    <n v="100111301.26000001"/>
    <x v="1"/>
    <x v="0"/>
    <x v="0"/>
    <x v="12"/>
    <x v="2"/>
    <x v="3"/>
    <x v="2"/>
    <x v="3"/>
    <x v="8"/>
    <n v="16"/>
    <x v="0"/>
  </r>
  <r>
    <d v="2023-08-16T00:00:00"/>
    <x v="3"/>
    <x v="2"/>
    <x v="2"/>
    <n v="238288.39"/>
    <x v="3"/>
    <x v="2"/>
    <x v="2"/>
    <x v="7"/>
    <x v="2"/>
    <x v="3"/>
    <x v="2"/>
    <x v="3"/>
    <x v="8"/>
    <n v="16"/>
    <x v="0"/>
  </r>
  <r>
    <d v="2023-08-16T00:00:00"/>
    <x v="3"/>
    <x v="3"/>
    <x v="2"/>
    <n v="1999.55"/>
    <x v="3"/>
    <x v="3"/>
    <x v="2"/>
    <x v="3"/>
    <x v="2"/>
    <x v="3"/>
    <x v="2"/>
    <x v="3"/>
    <x v="8"/>
    <n v="16"/>
    <x v="0"/>
  </r>
  <r>
    <d v="2023-08-16T00:00:00"/>
    <x v="3"/>
    <x v="3"/>
    <x v="0"/>
    <n v="1388875394.48"/>
    <x v="3"/>
    <x v="3"/>
    <x v="0"/>
    <x v="9"/>
    <x v="2"/>
    <x v="3"/>
    <x v="2"/>
    <x v="3"/>
    <x v="8"/>
    <n v="16"/>
    <x v="0"/>
  </r>
  <r>
    <d v="2023-08-16T00:00:00"/>
    <x v="2"/>
    <x v="1"/>
    <x v="1"/>
    <n v="212275732.18000001"/>
    <x v="2"/>
    <x v="1"/>
    <x v="1"/>
    <x v="11"/>
    <x v="2"/>
    <x v="3"/>
    <x v="2"/>
    <x v="3"/>
    <x v="8"/>
    <n v="16"/>
    <x v="0"/>
  </r>
  <r>
    <d v="2023-08-16T00:00:00"/>
    <x v="3"/>
    <x v="2"/>
    <x v="0"/>
    <n v="514332926.42000002"/>
    <x v="3"/>
    <x v="2"/>
    <x v="0"/>
    <x v="13"/>
    <x v="2"/>
    <x v="3"/>
    <x v="2"/>
    <x v="3"/>
    <x v="8"/>
    <n v="16"/>
    <x v="0"/>
  </r>
  <r>
    <d v="2023-08-16T00:00:00"/>
    <x v="3"/>
    <x v="1"/>
    <x v="0"/>
    <n v="16672819.23"/>
    <x v="3"/>
    <x v="1"/>
    <x v="0"/>
    <x v="14"/>
    <x v="2"/>
    <x v="3"/>
    <x v="2"/>
    <x v="3"/>
    <x v="8"/>
    <n v="16"/>
    <x v="0"/>
  </r>
  <r>
    <d v="2023-08-16T00:00:00"/>
    <x v="3"/>
    <x v="2"/>
    <x v="1"/>
    <n v="22730612828.02"/>
    <x v="3"/>
    <x v="2"/>
    <x v="1"/>
    <x v="15"/>
    <x v="2"/>
    <x v="3"/>
    <x v="2"/>
    <x v="3"/>
    <x v="8"/>
    <n v="16"/>
    <x v="0"/>
  </r>
  <r>
    <d v="2023-08-15T00:00:00"/>
    <x v="1"/>
    <x v="1"/>
    <x v="0"/>
    <n v="231040.94"/>
    <x v="1"/>
    <x v="1"/>
    <x v="0"/>
    <x v="0"/>
    <x v="2"/>
    <x v="3"/>
    <x v="2"/>
    <x v="3"/>
    <x v="8"/>
    <n v="15"/>
    <x v="0"/>
  </r>
  <r>
    <d v="2023-08-15T00:00:00"/>
    <x v="0"/>
    <x v="1"/>
    <x v="0"/>
    <n v="11882879.59"/>
    <x v="0"/>
    <x v="1"/>
    <x v="0"/>
    <x v="1"/>
    <x v="2"/>
    <x v="3"/>
    <x v="2"/>
    <x v="3"/>
    <x v="8"/>
    <n v="15"/>
    <x v="0"/>
  </r>
  <r>
    <d v="2023-08-15T00:00:00"/>
    <x v="3"/>
    <x v="3"/>
    <x v="2"/>
    <n v="389119.46"/>
    <x v="3"/>
    <x v="3"/>
    <x v="2"/>
    <x v="2"/>
    <x v="2"/>
    <x v="3"/>
    <x v="2"/>
    <x v="3"/>
    <x v="8"/>
    <n v="15"/>
    <x v="0"/>
  </r>
  <r>
    <d v="2023-08-15T00:00:00"/>
    <x v="2"/>
    <x v="1"/>
    <x v="2"/>
    <n v="110538.29"/>
    <x v="2"/>
    <x v="1"/>
    <x v="2"/>
    <x v="3"/>
    <x v="2"/>
    <x v="3"/>
    <x v="2"/>
    <x v="3"/>
    <x v="8"/>
    <n v="15"/>
    <x v="0"/>
  </r>
  <r>
    <d v="2023-08-15T00:00:00"/>
    <x v="2"/>
    <x v="1"/>
    <x v="1"/>
    <n v="153732496.59999999"/>
    <x v="2"/>
    <x v="1"/>
    <x v="1"/>
    <x v="11"/>
    <x v="2"/>
    <x v="3"/>
    <x v="2"/>
    <x v="3"/>
    <x v="8"/>
    <n v="15"/>
    <x v="0"/>
  </r>
  <r>
    <d v="2023-08-15T00:00:00"/>
    <x v="3"/>
    <x v="3"/>
    <x v="1"/>
    <n v="5674.73"/>
    <x v="3"/>
    <x v="3"/>
    <x v="1"/>
    <x v="4"/>
    <x v="2"/>
    <x v="3"/>
    <x v="2"/>
    <x v="3"/>
    <x v="8"/>
    <n v="15"/>
    <x v="0"/>
  </r>
  <r>
    <d v="2023-08-15T00:00:00"/>
    <x v="0"/>
    <x v="0"/>
    <x v="1"/>
    <n v="-126423.84"/>
    <x v="0"/>
    <x v="0"/>
    <x v="1"/>
    <x v="5"/>
    <x v="2"/>
    <x v="3"/>
    <x v="2"/>
    <x v="3"/>
    <x v="8"/>
    <n v="15"/>
    <x v="1"/>
  </r>
  <r>
    <d v="2023-08-15T00:00:00"/>
    <x v="0"/>
    <x v="1"/>
    <x v="1"/>
    <n v="2466773.59"/>
    <x v="0"/>
    <x v="1"/>
    <x v="1"/>
    <x v="6"/>
    <x v="2"/>
    <x v="3"/>
    <x v="2"/>
    <x v="3"/>
    <x v="8"/>
    <n v="15"/>
    <x v="0"/>
  </r>
  <r>
    <d v="2023-08-15T00:00:00"/>
    <x v="3"/>
    <x v="2"/>
    <x v="2"/>
    <n v="140819"/>
    <x v="3"/>
    <x v="2"/>
    <x v="2"/>
    <x v="7"/>
    <x v="2"/>
    <x v="3"/>
    <x v="2"/>
    <x v="3"/>
    <x v="8"/>
    <n v="15"/>
    <x v="0"/>
  </r>
  <r>
    <d v="2023-08-15T00:00:00"/>
    <x v="3"/>
    <x v="3"/>
    <x v="0"/>
    <n v="2833594389.9400001"/>
    <x v="3"/>
    <x v="3"/>
    <x v="0"/>
    <x v="8"/>
    <x v="2"/>
    <x v="3"/>
    <x v="2"/>
    <x v="3"/>
    <x v="8"/>
    <n v="15"/>
    <x v="0"/>
  </r>
  <r>
    <d v="2023-08-15T00:00:00"/>
    <x v="2"/>
    <x v="1"/>
    <x v="0"/>
    <n v="83273494.409999996"/>
    <x v="2"/>
    <x v="1"/>
    <x v="0"/>
    <x v="9"/>
    <x v="2"/>
    <x v="3"/>
    <x v="2"/>
    <x v="3"/>
    <x v="8"/>
    <n v="15"/>
    <x v="0"/>
  </r>
  <r>
    <d v="2023-08-15T00:00:00"/>
    <x v="1"/>
    <x v="0"/>
    <x v="1"/>
    <n v="179562892.55000001"/>
    <x v="1"/>
    <x v="0"/>
    <x v="1"/>
    <x v="10"/>
    <x v="2"/>
    <x v="3"/>
    <x v="2"/>
    <x v="3"/>
    <x v="8"/>
    <n v="15"/>
    <x v="0"/>
  </r>
  <r>
    <d v="2023-08-15T00:00:00"/>
    <x v="1"/>
    <x v="0"/>
    <x v="0"/>
    <n v="68164311.510000005"/>
    <x v="1"/>
    <x v="0"/>
    <x v="0"/>
    <x v="12"/>
    <x v="2"/>
    <x v="3"/>
    <x v="2"/>
    <x v="3"/>
    <x v="8"/>
    <n v="15"/>
    <x v="0"/>
  </r>
  <r>
    <d v="2023-08-15T00:00:00"/>
    <x v="3"/>
    <x v="2"/>
    <x v="0"/>
    <n v="817377536.5"/>
    <x v="3"/>
    <x v="2"/>
    <x v="0"/>
    <x v="13"/>
    <x v="2"/>
    <x v="3"/>
    <x v="2"/>
    <x v="3"/>
    <x v="8"/>
    <n v="15"/>
    <x v="0"/>
  </r>
  <r>
    <d v="2023-08-15T00:00:00"/>
    <x v="3"/>
    <x v="1"/>
    <x v="0"/>
    <n v="13763931.869999999"/>
    <x v="3"/>
    <x v="1"/>
    <x v="0"/>
    <x v="14"/>
    <x v="2"/>
    <x v="3"/>
    <x v="2"/>
    <x v="3"/>
    <x v="8"/>
    <n v="15"/>
    <x v="0"/>
  </r>
  <r>
    <d v="2023-08-15T00:00:00"/>
    <x v="3"/>
    <x v="2"/>
    <x v="1"/>
    <n v="7633506360.4099998"/>
    <x v="3"/>
    <x v="2"/>
    <x v="1"/>
    <x v="15"/>
    <x v="2"/>
    <x v="3"/>
    <x v="2"/>
    <x v="3"/>
    <x v="8"/>
    <n v="15"/>
    <x v="0"/>
  </r>
  <r>
    <d v="2023-08-14T00:00:00"/>
    <x v="0"/>
    <x v="0"/>
    <x v="0"/>
    <n v="-1705"/>
    <x v="0"/>
    <x v="0"/>
    <x v="0"/>
    <x v="0"/>
    <x v="2"/>
    <x v="3"/>
    <x v="2"/>
    <x v="3"/>
    <x v="8"/>
    <n v="14"/>
    <x v="1"/>
  </r>
  <r>
    <d v="2023-08-14T00:00:00"/>
    <x v="1"/>
    <x v="1"/>
    <x v="0"/>
    <n v="52895.42"/>
    <x v="1"/>
    <x v="1"/>
    <x v="0"/>
    <x v="1"/>
    <x v="2"/>
    <x v="3"/>
    <x v="2"/>
    <x v="3"/>
    <x v="8"/>
    <n v="14"/>
    <x v="0"/>
  </r>
  <r>
    <d v="2023-08-14T00:00:00"/>
    <x v="0"/>
    <x v="1"/>
    <x v="0"/>
    <n v="10917770.32"/>
    <x v="0"/>
    <x v="1"/>
    <x v="0"/>
    <x v="2"/>
    <x v="2"/>
    <x v="3"/>
    <x v="2"/>
    <x v="3"/>
    <x v="8"/>
    <n v="14"/>
    <x v="0"/>
  </r>
  <r>
    <d v="2023-08-14T00:00:00"/>
    <x v="2"/>
    <x v="1"/>
    <x v="2"/>
    <n v="7149.28"/>
    <x v="2"/>
    <x v="1"/>
    <x v="2"/>
    <x v="3"/>
    <x v="2"/>
    <x v="3"/>
    <x v="2"/>
    <x v="3"/>
    <x v="8"/>
    <n v="14"/>
    <x v="0"/>
  </r>
  <r>
    <d v="2023-08-14T00:00:00"/>
    <x v="0"/>
    <x v="1"/>
    <x v="1"/>
    <n v="-73271252.109999999"/>
    <x v="0"/>
    <x v="1"/>
    <x v="1"/>
    <x v="5"/>
    <x v="2"/>
    <x v="3"/>
    <x v="2"/>
    <x v="3"/>
    <x v="8"/>
    <n v="14"/>
    <x v="1"/>
  </r>
  <r>
    <d v="2023-08-14T00:00:00"/>
    <x v="2"/>
    <x v="1"/>
    <x v="0"/>
    <n v="68855460.709999993"/>
    <x v="2"/>
    <x v="1"/>
    <x v="0"/>
    <x v="8"/>
    <x v="2"/>
    <x v="3"/>
    <x v="2"/>
    <x v="3"/>
    <x v="8"/>
    <n v="14"/>
    <x v="0"/>
  </r>
  <r>
    <d v="2023-08-14T00:00:00"/>
    <x v="0"/>
    <x v="0"/>
    <x v="1"/>
    <n v="-855186.34"/>
    <x v="0"/>
    <x v="0"/>
    <x v="1"/>
    <x v="4"/>
    <x v="2"/>
    <x v="3"/>
    <x v="2"/>
    <x v="3"/>
    <x v="8"/>
    <n v="14"/>
    <x v="1"/>
  </r>
  <r>
    <d v="2023-08-14T00:00:00"/>
    <x v="3"/>
    <x v="2"/>
    <x v="2"/>
    <n v="38212"/>
    <x v="3"/>
    <x v="2"/>
    <x v="2"/>
    <x v="6"/>
    <x v="2"/>
    <x v="3"/>
    <x v="2"/>
    <x v="3"/>
    <x v="8"/>
    <n v="14"/>
    <x v="0"/>
  </r>
  <r>
    <d v="2023-08-14T00:00:00"/>
    <x v="3"/>
    <x v="3"/>
    <x v="0"/>
    <n v="1947189250.71"/>
    <x v="3"/>
    <x v="3"/>
    <x v="0"/>
    <x v="7"/>
    <x v="2"/>
    <x v="3"/>
    <x v="2"/>
    <x v="3"/>
    <x v="8"/>
    <n v="14"/>
    <x v="0"/>
  </r>
  <r>
    <d v="2023-08-14T00:00:00"/>
    <x v="2"/>
    <x v="1"/>
    <x v="1"/>
    <n v="244205971.25"/>
    <x v="2"/>
    <x v="1"/>
    <x v="1"/>
    <x v="9"/>
    <x v="2"/>
    <x v="3"/>
    <x v="2"/>
    <x v="3"/>
    <x v="8"/>
    <n v="14"/>
    <x v="0"/>
  </r>
  <r>
    <d v="2023-08-14T00:00:00"/>
    <x v="1"/>
    <x v="0"/>
    <x v="1"/>
    <n v="168471199.44999999"/>
    <x v="1"/>
    <x v="0"/>
    <x v="1"/>
    <x v="10"/>
    <x v="2"/>
    <x v="3"/>
    <x v="2"/>
    <x v="3"/>
    <x v="8"/>
    <n v="14"/>
    <x v="0"/>
  </r>
  <r>
    <d v="2023-08-14T00:00:00"/>
    <x v="1"/>
    <x v="0"/>
    <x v="0"/>
    <n v="41060994.520000003"/>
    <x v="1"/>
    <x v="0"/>
    <x v="0"/>
    <x v="11"/>
    <x v="2"/>
    <x v="3"/>
    <x v="2"/>
    <x v="3"/>
    <x v="8"/>
    <n v="14"/>
    <x v="0"/>
  </r>
  <r>
    <d v="2023-08-14T00:00:00"/>
    <x v="3"/>
    <x v="2"/>
    <x v="0"/>
    <n v="709637753.28999996"/>
    <x v="3"/>
    <x v="2"/>
    <x v="0"/>
    <x v="12"/>
    <x v="2"/>
    <x v="3"/>
    <x v="2"/>
    <x v="3"/>
    <x v="8"/>
    <n v="14"/>
    <x v="0"/>
  </r>
  <r>
    <d v="2023-08-14T00:00:00"/>
    <x v="3"/>
    <x v="2"/>
    <x v="1"/>
    <n v="21976436887.450001"/>
    <x v="3"/>
    <x v="2"/>
    <x v="1"/>
    <x v="13"/>
    <x v="2"/>
    <x v="3"/>
    <x v="2"/>
    <x v="3"/>
    <x v="8"/>
    <n v="14"/>
    <x v="0"/>
  </r>
  <r>
    <d v="2023-08-14T00:00:00"/>
    <x v="3"/>
    <x v="1"/>
    <x v="0"/>
    <n v="53618980.25"/>
    <x v="3"/>
    <x v="1"/>
    <x v="0"/>
    <x v="14"/>
    <x v="2"/>
    <x v="3"/>
    <x v="2"/>
    <x v="3"/>
    <x v="8"/>
    <n v="14"/>
    <x v="0"/>
  </r>
  <r>
    <d v="2023-08-11T00:00:00"/>
    <x v="0"/>
    <x v="0"/>
    <x v="0"/>
    <n v="-7115"/>
    <x v="0"/>
    <x v="0"/>
    <x v="0"/>
    <x v="0"/>
    <x v="2"/>
    <x v="3"/>
    <x v="2"/>
    <x v="3"/>
    <x v="8"/>
    <n v="11"/>
    <x v="1"/>
  </r>
  <r>
    <d v="2023-08-11T00:00:00"/>
    <x v="1"/>
    <x v="1"/>
    <x v="0"/>
    <n v="214850.38"/>
    <x v="1"/>
    <x v="1"/>
    <x v="0"/>
    <x v="1"/>
    <x v="2"/>
    <x v="3"/>
    <x v="2"/>
    <x v="3"/>
    <x v="8"/>
    <n v="11"/>
    <x v="0"/>
  </r>
  <r>
    <d v="2023-08-11T00:00:00"/>
    <x v="0"/>
    <x v="1"/>
    <x v="0"/>
    <n v="9527100.5199999996"/>
    <x v="0"/>
    <x v="1"/>
    <x v="0"/>
    <x v="2"/>
    <x v="2"/>
    <x v="3"/>
    <x v="2"/>
    <x v="3"/>
    <x v="8"/>
    <n v="11"/>
    <x v="0"/>
  </r>
  <r>
    <d v="2023-08-11T00:00:00"/>
    <x v="2"/>
    <x v="1"/>
    <x v="2"/>
    <n v="5093.21"/>
    <x v="2"/>
    <x v="1"/>
    <x v="2"/>
    <x v="3"/>
    <x v="2"/>
    <x v="3"/>
    <x v="2"/>
    <x v="3"/>
    <x v="8"/>
    <n v="11"/>
    <x v="0"/>
  </r>
  <r>
    <d v="2023-08-11T00:00:00"/>
    <x v="2"/>
    <x v="1"/>
    <x v="0"/>
    <n v="72099465.75"/>
    <x v="2"/>
    <x v="1"/>
    <x v="0"/>
    <x v="8"/>
    <x v="2"/>
    <x v="3"/>
    <x v="2"/>
    <x v="3"/>
    <x v="8"/>
    <n v="11"/>
    <x v="0"/>
  </r>
  <r>
    <d v="2023-08-11T00:00:00"/>
    <x v="2"/>
    <x v="1"/>
    <x v="1"/>
    <n v="156010789.41"/>
    <x v="2"/>
    <x v="1"/>
    <x v="1"/>
    <x v="9"/>
    <x v="2"/>
    <x v="3"/>
    <x v="2"/>
    <x v="3"/>
    <x v="8"/>
    <n v="11"/>
    <x v="0"/>
  </r>
  <r>
    <d v="2023-08-11T00:00:00"/>
    <x v="1"/>
    <x v="0"/>
    <x v="1"/>
    <n v="149569410.94999999"/>
    <x v="1"/>
    <x v="0"/>
    <x v="1"/>
    <x v="10"/>
    <x v="2"/>
    <x v="3"/>
    <x v="2"/>
    <x v="3"/>
    <x v="8"/>
    <n v="11"/>
    <x v="0"/>
  </r>
  <r>
    <d v="2023-08-11T00:00:00"/>
    <x v="0"/>
    <x v="0"/>
    <x v="1"/>
    <n v="-994786.14"/>
    <x v="0"/>
    <x v="0"/>
    <x v="1"/>
    <x v="4"/>
    <x v="2"/>
    <x v="3"/>
    <x v="2"/>
    <x v="3"/>
    <x v="8"/>
    <n v="11"/>
    <x v="1"/>
  </r>
  <r>
    <d v="2023-08-11T00:00:00"/>
    <x v="0"/>
    <x v="1"/>
    <x v="1"/>
    <n v="17502649.800000001"/>
    <x v="0"/>
    <x v="1"/>
    <x v="1"/>
    <x v="5"/>
    <x v="2"/>
    <x v="3"/>
    <x v="2"/>
    <x v="3"/>
    <x v="8"/>
    <n v="11"/>
    <x v="0"/>
  </r>
  <r>
    <d v="2023-08-11T00:00:00"/>
    <x v="3"/>
    <x v="2"/>
    <x v="2"/>
    <n v="129563"/>
    <x v="3"/>
    <x v="2"/>
    <x v="2"/>
    <x v="6"/>
    <x v="2"/>
    <x v="3"/>
    <x v="2"/>
    <x v="3"/>
    <x v="8"/>
    <n v="11"/>
    <x v="0"/>
  </r>
  <r>
    <d v="2023-08-11T00:00:00"/>
    <x v="3"/>
    <x v="3"/>
    <x v="0"/>
    <n v="1239462661.8800001"/>
    <x v="3"/>
    <x v="3"/>
    <x v="0"/>
    <x v="7"/>
    <x v="2"/>
    <x v="3"/>
    <x v="2"/>
    <x v="3"/>
    <x v="8"/>
    <n v="11"/>
    <x v="0"/>
  </r>
  <r>
    <d v="2023-08-11T00:00:00"/>
    <x v="1"/>
    <x v="0"/>
    <x v="0"/>
    <n v="52745327.450000003"/>
    <x v="1"/>
    <x v="0"/>
    <x v="0"/>
    <x v="11"/>
    <x v="2"/>
    <x v="3"/>
    <x v="2"/>
    <x v="3"/>
    <x v="8"/>
    <n v="11"/>
    <x v="0"/>
  </r>
  <r>
    <d v="2023-08-11T00:00:00"/>
    <x v="3"/>
    <x v="2"/>
    <x v="0"/>
    <n v="577887012.19000006"/>
    <x v="3"/>
    <x v="2"/>
    <x v="0"/>
    <x v="12"/>
    <x v="2"/>
    <x v="3"/>
    <x v="2"/>
    <x v="3"/>
    <x v="8"/>
    <n v="11"/>
    <x v="0"/>
  </r>
  <r>
    <d v="2023-08-11T00:00:00"/>
    <x v="3"/>
    <x v="2"/>
    <x v="1"/>
    <n v="10952170459.67"/>
    <x v="3"/>
    <x v="2"/>
    <x v="1"/>
    <x v="13"/>
    <x v="2"/>
    <x v="3"/>
    <x v="2"/>
    <x v="3"/>
    <x v="8"/>
    <n v="11"/>
    <x v="0"/>
  </r>
  <r>
    <d v="2023-08-11T00:00:00"/>
    <x v="3"/>
    <x v="1"/>
    <x v="0"/>
    <n v="16290939.49"/>
    <x v="3"/>
    <x v="1"/>
    <x v="0"/>
    <x v="14"/>
    <x v="2"/>
    <x v="3"/>
    <x v="2"/>
    <x v="3"/>
    <x v="8"/>
    <n v="11"/>
    <x v="0"/>
  </r>
  <r>
    <d v="2023-08-10T00:00:00"/>
    <x v="0"/>
    <x v="0"/>
    <x v="0"/>
    <n v="-5870"/>
    <x v="0"/>
    <x v="0"/>
    <x v="0"/>
    <x v="0"/>
    <x v="2"/>
    <x v="3"/>
    <x v="2"/>
    <x v="3"/>
    <x v="8"/>
    <n v="10"/>
    <x v="1"/>
  </r>
  <r>
    <d v="2023-08-10T00:00:00"/>
    <x v="0"/>
    <x v="1"/>
    <x v="0"/>
    <n v="28782335.550000001"/>
    <x v="0"/>
    <x v="1"/>
    <x v="0"/>
    <x v="1"/>
    <x v="2"/>
    <x v="3"/>
    <x v="2"/>
    <x v="3"/>
    <x v="8"/>
    <n v="10"/>
    <x v="0"/>
  </r>
  <r>
    <d v="2023-08-10T00:00:00"/>
    <x v="2"/>
    <x v="1"/>
    <x v="0"/>
    <n v="63804583.219999999"/>
    <x v="2"/>
    <x v="1"/>
    <x v="0"/>
    <x v="8"/>
    <x v="2"/>
    <x v="3"/>
    <x v="2"/>
    <x v="3"/>
    <x v="8"/>
    <n v="10"/>
    <x v="0"/>
  </r>
  <r>
    <d v="2023-08-10T00:00:00"/>
    <x v="1"/>
    <x v="1"/>
    <x v="0"/>
    <n v="299288.08"/>
    <x v="1"/>
    <x v="1"/>
    <x v="0"/>
    <x v="4"/>
    <x v="2"/>
    <x v="3"/>
    <x v="2"/>
    <x v="3"/>
    <x v="8"/>
    <n v="10"/>
    <x v="0"/>
  </r>
  <r>
    <d v="2023-08-10T00:00:00"/>
    <x v="1"/>
    <x v="0"/>
    <x v="1"/>
    <n v="222599418.31"/>
    <x v="1"/>
    <x v="0"/>
    <x v="1"/>
    <x v="10"/>
    <x v="2"/>
    <x v="3"/>
    <x v="2"/>
    <x v="3"/>
    <x v="8"/>
    <n v="10"/>
    <x v="0"/>
  </r>
  <r>
    <d v="2023-08-10T00:00:00"/>
    <x v="2"/>
    <x v="1"/>
    <x v="2"/>
    <n v="51365.06"/>
    <x v="2"/>
    <x v="1"/>
    <x v="2"/>
    <x v="6"/>
    <x v="2"/>
    <x v="3"/>
    <x v="2"/>
    <x v="3"/>
    <x v="8"/>
    <n v="10"/>
    <x v="0"/>
  </r>
  <r>
    <d v="2023-08-10T00:00:00"/>
    <x v="1"/>
    <x v="0"/>
    <x v="0"/>
    <n v="61636912.990000002"/>
    <x v="1"/>
    <x v="0"/>
    <x v="0"/>
    <x v="11"/>
    <x v="2"/>
    <x v="3"/>
    <x v="2"/>
    <x v="3"/>
    <x v="8"/>
    <n v="10"/>
    <x v="0"/>
  </r>
  <r>
    <d v="2023-08-10T00:00:00"/>
    <x v="3"/>
    <x v="2"/>
    <x v="2"/>
    <n v="143389.64000000001"/>
    <x v="3"/>
    <x v="2"/>
    <x v="2"/>
    <x v="5"/>
    <x v="2"/>
    <x v="3"/>
    <x v="2"/>
    <x v="3"/>
    <x v="8"/>
    <n v="10"/>
    <x v="0"/>
  </r>
  <r>
    <d v="2023-08-10T00:00:00"/>
    <x v="0"/>
    <x v="0"/>
    <x v="1"/>
    <n v="-10022224.99"/>
    <x v="0"/>
    <x v="0"/>
    <x v="1"/>
    <x v="2"/>
    <x v="2"/>
    <x v="3"/>
    <x v="2"/>
    <x v="3"/>
    <x v="8"/>
    <n v="10"/>
    <x v="1"/>
  </r>
  <r>
    <d v="2023-08-10T00:00:00"/>
    <x v="0"/>
    <x v="1"/>
    <x v="1"/>
    <n v="118189990.23999999"/>
    <x v="0"/>
    <x v="1"/>
    <x v="1"/>
    <x v="3"/>
    <x v="2"/>
    <x v="3"/>
    <x v="2"/>
    <x v="3"/>
    <x v="8"/>
    <n v="10"/>
    <x v="0"/>
  </r>
  <r>
    <d v="2023-08-10T00:00:00"/>
    <x v="3"/>
    <x v="3"/>
    <x v="0"/>
    <n v="951822933.82000005"/>
    <x v="3"/>
    <x v="3"/>
    <x v="0"/>
    <x v="7"/>
    <x v="2"/>
    <x v="3"/>
    <x v="2"/>
    <x v="3"/>
    <x v="8"/>
    <n v="10"/>
    <x v="0"/>
  </r>
  <r>
    <d v="2023-08-10T00:00:00"/>
    <x v="2"/>
    <x v="1"/>
    <x v="1"/>
    <n v="224466917.38"/>
    <x v="2"/>
    <x v="1"/>
    <x v="1"/>
    <x v="9"/>
    <x v="2"/>
    <x v="3"/>
    <x v="2"/>
    <x v="3"/>
    <x v="8"/>
    <n v="10"/>
    <x v="0"/>
  </r>
  <r>
    <d v="2023-08-10T00:00:00"/>
    <x v="3"/>
    <x v="2"/>
    <x v="0"/>
    <n v="501550721.38"/>
    <x v="3"/>
    <x v="2"/>
    <x v="0"/>
    <x v="12"/>
    <x v="2"/>
    <x v="3"/>
    <x v="2"/>
    <x v="3"/>
    <x v="8"/>
    <n v="10"/>
    <x v="0"/>
  </r>
  <r>
    <d v="2023-08-10T00:00:00"/>
    <x v="3"/>
    <x v="2"/>
    <x v="1"/>
    <n v="3757438140.8400002"/>
    <x v="3"/>
    <x v="2"/>
    <x v="1"/>
    <x v="13"/>
    <x v="2"/>
    <x v="3"/>
    <x v="2"/>
    <x v="3"/>
    <x v="8"/>
    <n v="10"/>
    <x v="0"/>
  </r>
  <r>
    <d v="2023-08-10T00:00:00"/>
    <x v="3"/>
    <x v="1"/>
    <x v="0"/>
    <n v="15560205.220000001"/>
    <x v="3"/>
    <x v="1"/>
    <x v="0"/>
    <x v="14"/>
    <x v="2"/>
    <x v="3"/>
    <x v="2"/>
    <x v="3"/>
    <x v="8"/>
    <n v="10"/>
    <x v="0"/>
  </r>
  <r>
    <d v="2023-08-09T00:00:00"/>
    <x v="0"/>
    <x v="0"/>
    <x v="0"/>
    <n v="4897465"/>
    <x v="0"/>
    <x v="0"/>
    <x v="0"/>
    <x v="0"/>
    <x v="2"/>
    <x v="3"/>
    <x v="2"/>
    <x v="3"/>
    <x v="8"/>
    <n v="9"/>
    <x v="0"/>
  </r>
  <r>
    <d v="2023-08-09T00:00:00"/>
    <x v="1"/>
    <x v="1"/>
    <x v="0"/>
    <n v="664977.56000000006"/>
    <x v="1"/>
    <x v="1"/>
    <x v="0"/>
    <x v="1"/>
    <x v="2"/>
    <x v="3"/>
    <x v="2"/>
    <x v="3"/>
    <x v="8"/>
    <n v="9"/>
    <x v="0"/>
  </r>
  <r>
    <d v="2023-08-09T00:00:00"/>
    <x v="0"/>
    <x v="1"/>
    <x v="0"/>
    <n v="10451601.189999999"/>
    <x v="0"/>
    <x v="1"/>
    <x v="0"/>
    <x v="2"/>
    <x v="2"/>
    <x v="3"/>
    <x v="2"/>
    <x v="3"/>
    <x v="8"/>
    <n v="9"/>
    <x v="0"/>
  </r>
  <r>
    <d v="2023-08-09T00:00:00"/>
    <x v="2"/>
    <x v="1"/>
    <x v="0"/>
    <n v="149894180.24000001"/>
    <x v="2"/>
    <x v="1"/>
    <x v="0"/>
    <x v="8"/>
    <x v="2"/>
    <x v="3"/>
    <x v="2"/>
    <x v="3"/>
    <x v="8"/>
    <n v="9"/>
    <x v="0"/>
  </r>
  <r>
    <d v="2023-08-09T00:00:00"/>
    <x v="3"/>
    <x v="3"/>
    <x v="0"/>
    <n v="979157386.21000004"/>
    <x v="3"/>
    <x v="3"/>
    <x v="0"/>
    <x v="9"/>
    <x v="2"/>
    <x v="3"/>
    <x v="2"/>
    <x v="3"/>
    <x v="8"/>
    <n v="9"/>
    <x v="0"/>
  </r>
  <r>
    <d v="2023-08-09T00:00:00"/>
    <x v="2"/>
    <x v="1"/>
    <x v="1"/>
    <n v="208585924.12"/>
    <x v="2"/>
    <x v="1"/>
    <x v="1"/>
    <x v="10"/>
    <x v="2"/>
    <x v="3"/>
    <x v="2"/>
    <x v="3"/>
    <x v="8"/>
    <n v="9"/>
    <x v="0"/>
  </r>
  <r>
    <d v="2023-08-09T00:00:00"/>
    <x v="2"/>
    <x v="1"/>
    <x v="2"/>
    <n v="103927.8"/>
    <x v="2"/>
    <x v="1"/>
    <x v="2"/>
    <x v="7"/>
    <x v="2"/>
    <x v="3"/>
    <x v="2"/>
    <x v="3"/>
    <x v="8"/>
    <n v="9"/>
    <x v="0"/>
  </r>
  <r>
    <d v="2023-08-09T00:00:00"/>
    <x v="3"/>
    <x v="3"/>
    <x v="1"/>
    <n v="3108789.74"/>
    <x v="3"/>
    <x v="3"/>
    <x v="1"/>
    <x v="3"/>
    <x v="2"/>
    <x v="3"/>
    <x v="2"/>
    <x v="3"/>
    <x v="8"/>
    <n v="9"/>
    <x v="0"/>
  </r>
  <r>
    <d v="2023-08-09T00:00:00"/>
    <x v="0"/>
    <x v="0"/>
    <x v="1"/>
    <n v="57008943.25"/>
    <x v="0"/>
    <x v="0"/>
    <x v="1"/>
    <x v="4"/>
    <x v="2"/>
    <x v="3"/>
    <x v="2"/>
    <x v="3"/>
    <x v="8"/>
    <n v="9"/>
    <x v="0"/>
  </r>
  <r>
    <d v="2023-08-09T00:00:00"/>
    <x v="0"/>
    <x v="1"/>
    <x v="1"/>
    <n v="2244701.94"/>
    <x v="0"/>
    <x v="1"/>
    <x v="1"/>
    <x v="5"/>
    <x v="2"/>
    <x v="3"/>
    <x v="2"/>
    <x v="3"/>
    <x v="8"/>
    <n v="9"/>
    <x v="0"/>
  </r>
  <r>
    <d v="2023-08-09T00:00:00"/>
    <x v="3"/>
    <x v="2"/>
    <x v="2"/>
    <n v="125803"/>
    <x v="3"/>
    <x v="2"/>
    <x v="2"/>
    <x v="6"/>
    <x v="2"/>
    <x v="3"/>
    <x v="2"/>
    <x v="3"/>
    <x v="8"/>
    <n v="9"/>
    <x v="0"/>
  </r>
  <r>
    <d v="2023-08-09T00:00:00"/>
    <x v="1"/>
    <x v="0"/>
    <x v="0"/>
    <n v="79955193.180000007"/>
    <x v="1"/>
    <x v="0"/>
    <x v="0"/>
    <x v="11"/>
    <x v="2"/>
    <x v="3"/>
    <x v="2"/>
    <x v="3"/>
    <x v="8"/>
    <n v="9"/>
    <x v="0"/>
  </r>
  <r>
    <d v="2023-08-09T00:00:00"/>
    <x v="1"/>
    <x v="0"/>
    <x v="1"/>
    <n v="200517041.81"/>
    <x v="1"/>
    <x v="0"/>
    <x v="1"/>
    <x v="12"/>
    <x v="2"/>
    <x v="3"/>
    <x v="2"/>
    <x v="3"/>
    <x v="8"/>
    <n v="9"/>
    <x v="0"/>
  </r>
  <r>
    <d v="2023-08-09T00:00:00"/>
    <x v="3"/>
    <x v="2"/>
    <x v="0"/>
    <n v="576373899.90999997"/>
    <x v="3"/>
    <x v="2"/>
    <x v="0"/>
    <x v="13"/>
    <x v="2"/>
    <x v="3"/>
    <x v="2"/>
    <x v="3"/>
    <x v="8"/>
    <n v="9"/>
    <x v="0"/>
  </r>
  <r>
    <d v="2023-08-09T00:00:00"/>
    <x v="3"/>
    <x v="1"/>
    <x v="0"/>
    <n v="16466777.050000001"/>
    <x v="3"/>
    <x v="1"/>
    <x v="0"/>
    <x v="14"/>
    <x v="2"/>
    <x v="3"/>
    <x v="2"/>
    <x v="3"/>
    <x v="8"/>
    <n v="9"/>
    <x v="0"/>
  </r>
  <r>
    <d v="2023-08-09T00:00:00"/>
    <x v="3"/>
    <x v="2"/>
    <x v="1"/>
    <n v="10557418447.620001"/>
    <x v="3"/>
    <x v="2"/>
    <x v="1"/>
    <x v="15"/>
    <x v="2"/>
    <x v="3"/>
    <x v="2"/>
    <x v="3"/>
    <x v="8"/>
    <n v="9"/>
    <x v="0"/>
  </r>
  <r>
    <d v="2023-08-08T00:00:00"/>
    <x v="0"/>
    <x v="0"/>
    <x v="0"/>
    <n v="100"/>
    <x v="0"/>
    <x v="0"/>
    <x v="0"/>
    <x v="0"/>
    <x v="2"/>
    <x v="3"/>
    <x v="2"/>
    <x v="3"/>
    <x v="8"/>
    <n v="8"/>
    <x v="0"/>
  </r>
  <r>
    <d v="2023-08-08T00:00:00"/>
    <x v="1"/>
    <x v="1"/>
    <x v="0"/>
    <n v="39222.04"/>
    <x v="1"/>
    <x v="1"/>
    <x v="0"/>
    <x v="1"/>
    <x v="2"/>
    <x v="3"/>
    <x v="2"/>
    <x v="3"/>
    <x v="8"/>
    <n v="8"/>
    <x v="0"/>
  </r>
  <r>
    <d v="2023-08-08T00:00:00"/>
    <x v="0"/>
    <x v="1"/>
    <x v="0"/>
    <n v="10080400.09"/>
    <x v="0"/>
    <x v="1"/>
    <x v="0"/>
    <x v="2"/>
    <x v="2"/>
    <x v="3"/>
    <x v="2"/>
    <x v="3"/>
    <x v="8"/>
    <n v="8"/>
    <x v="0"/>
  </r>
  <r>
    <d v="2023-08-08T00:00:00"/>
    <x v="2"/>
    <x v="1"/>
    <x v="2"/>
    <n v="23835.64"/>
    <x v="2"/>
    <x v="1"/>
    <x v="2"/>
    <x v="3"/>
    <x v="2"/>
    <x v="3"/>
    <x v="2"/>
    <x v="3"/>
    <x v="8"/>
    <n v="8"/>
    <x v="0"/>
  </r>
  <r>
    <d v="2023-08-08T00:00:00"/>
    <x v="2"/>
    <x v="1"/>
    <x v="1"/>
    <n v="155699652.09999999"/>
    <x v="2"/>
    <x v="1"/>
    <x v="1"/>
    <x v="9"/>
    <x v="2"/>
    <x v="3"/>
    <x v="2"/>
    <x v="3"/>
    <x v="8"/>
    <n v="8"/>
    <x v="0"/>
  </r>
  <r>
    <d v="2023-08-08T00:00:00"/>
    <x v="1"/>
    <x v="0"/>
    <x v="0"/>
    <n v="58533083.579999998"/>
    <x v="1"/>
    <x v="0"/>
    <x v="0"/>
    <x v="10"/>
    <x v="2"/>
    <x v="3"/>
    <x v="2"/>
    <x v="3"/>
    <x v="8"/>
    <n v="8"/>
    <x v="0"/>
  </r>
  <r>
    <d v="2023-08-08T00:00:00"/>
    <x v="1"/>
    <x v="0"/>
    <x v="1"/>
    <n v="67919402.370000005"/>
    <x v="1"/>
    <x v="0"/>
    <x v="1"/>
    <x v="11"/>
    <x v="2"/>
    <x v="3"/>
    <x v="2"/>
    <x v="3"/>
    <x v="8"/>
    <n v="8"/>
    <x v="0"/>
  </r>
  <r>
    <d v="2023-08-08T00:00:00"/>
    <x v="0"/>
    <x v="0"/>
    <x v="1"/>
    <n v="473650241.14999998"/>
    <x v="0"/>
    <x v="0"/>
    <x v="1"/>
    <x v="4"/>
    <x v="2"/>
    <x v="3"/>
    <x v="2"/>
    <x v="3"/>
    <x v="8"/>
    <n v="8"/>
    <x v="0"/>
  </r>
  <r>
    <d v="2023-08-08T00:00:00"/>
    <x v="0"/>
    <x v="1"/>
    <x v="1"/>
    <n v="1458276.16"/>
    <x v="0"/>
    <x v="1"/>
    <x v="1"/>
    <x v="5"/>
    <x v="2"/>
    <x v="3"/>
    <x v="2"/>
    <x v="3"/>
    <x v="8"/>
    <n v="8"/>
    <x v="0"/>
  </r>
  <r>
    <d v="2023-08-08T00:00:00"/>
    <x v="3"/>
    <x v="2"/>
    <x v="2"/>
    <n v="199673"/>
    <x v="3"/>
    <x v="2"/>
    <x v="2"/>
    <x v="6"/>
    <x v="2"/>
    <x v="3"/>
    <x v="2"/>
    <x v="3"/>
    <x v="8"/>
    <n v="8"/>
    <x v="0"/>
  </r>
  <r>
    <d v="2023-08-08T00:00:00"/>
    <x v="2"/>
    <x v="1"/>
    <x v="0"/>
    <n v="74561105.540000007"/>
    <x v="2"/>
    <x v="1"/>
    <x v="0"/>
    <x v="8"/>
    <x v="2"/>
    <x v="3"/>
    <x v="2"/>
    <x v="3"/>
    <x v="8"/>
    <n v="8"/>
    <x v="0"/>
  </r>
  <r>
    <d v="2023-08-08T00:00:00"/>
    <x v="3"/>
    <x v="3"/>
    <x v="0"/>
    <n v="1086196040.74"/>
    <x v="3"/>
    <x v="3"/>
    <x v="0"/>
    <x v="7"/>
    <x v="2"/>
    <x v="3"/>
    <x v="2"/>
    <x v="3"/>
    <x v="8"/>
    <n v="8"/>
    <x v="0"/>
  </r>
  <r>
    <d v="2023-08-08T00:00:00"/>
    <x v="3"/>
    <x v="2"/>
    <x v="0"/>
    <n v="881601006.88"/>
    <x v="3"/>
    <x v="2"/>
    <x v="0"/>
    <x v="12"/>
    <x v="2"/>
    <x v="3"/>
    <x v="2"/>
    <x v="3"/>
    <x v="8"/>
    <n v="8"/>
    <x v="0"/>
  </r>
  <r>
    <d v="2023-08-08T00:00:00"/>
    <x v="3"/>
    <x v="2"/>
    <x v="1"/>
    <n v="3523178765.6399999"/>
    <x v="3"/>
    <x v="2"/>
    <x v="1"/>
    <x v="13"/>
    <x v="2"/>
    <x v="3"/>
    <x v="2"/>
    <x v="3"/>
    <x v="8"/>
    <n v="8"/>
    <x v="0"/>
  </r>
  <r>
    <d v="2023-08-08T00:00:00"/>
    <x v="3"/>
    <x v="1"/>
    <x v="0"/>
    <n v="13434360.630000001"/>
    <x v="3"/>
    <x v="1"/>
    <x v="0"/>
    <x v="14"/>
    <x v="2"/>
    <x v="3"/>
    <x v="2"/>
    <x v="3"/>
    <x v="8"/>
    <n v="8"/>
    <x v="0"/>
  </r>
  <r>
    <d v="2023-08-07T00:00:00"/>
    <x v="1"/>
    <x v="1"/>
    <x v="0"/>
    <n v="10076.44"/>
    <x v="1"/>
    <x v="1"/>
    <x v="0"/>
    <x v="0"/>
    <x v="2"/>
    <x v="3"/>
    <x v="2"/>
    <x v="3"/>
    <x v="8"/>
    <n v="7"/>
    <x v="0"/>
  </r>
  <r>
    <d v="2023-08-07T00:00:00"/>
    <x v="0"/>
    <x v="1"/>
    <x v="0"/>
    <n v="9221705.7899999991"/>
    <x v="0"/>
    <x v="1"/>
    <x v="0"/>
    <x v="1"/>
    <x v="2"/>
    <x v="3"/>
    <x v="2"/>
    <x v="3"/>
    <x v="8"/>
    <n v="7"/>
    <x v="0"/>
  </r>
  <r>
    <d v="2023-08-07T00:00:00"/>
    <x v="3"/>
    <x v="3"/>
    <x v="2"/>
    <n v="79.55"/>
    <x v="3"/>
    <x v="3"/>
    <x v="2"/>
    <x v="2"/>
    <x v="2"/>
    <x v="3"/>
    <x v="2"/>
    <x v="3"/>
    <x v="8"/>
    <n v="7"/>
    <x v="0"/>
  </r>
  <r>
    <d v="2023-08-07T00:00:00"/>
    <x v="3"/>
    <x v="3"/>
    <x v="0"/>
    <n v="1532140609.3800001"/>
    <x v="3"/>
    <x v="3"/>
    <x v="0"/>
    <x v="7"/>
    <x v="2"/>
    <x v="3"/>
    <x v="2"/>
    <x v="3"/>
    <x v="8"/>
    <n v="7"/>
    <x v="0"/>
  </r>
  <r>
    <d v="2023-08-07T00:00:00"/>
    <x v="1"/>
    <x v="0"/>
    <x v="1"/>
    <n v="273807048.42000002"/>
    <x v="1"/>
    <x v="0"/>
    <x v="1"/>
    <x v="10"/>
    <x v="2"/>
    <x v="3"/>
    <x v="2"/>
    <x v="3"/>
    <x v="8"/>
    <n v="7"/>
    <x v="0"/>
  </r>
  <r>
    <d v="2023-08-07T00:00:00"/>
    <x v="3"/>
    <x v="3"/>
    <x v="1"/>
    <n v="173765080.38999999"/>
    <x v="3"/>
    <x v="3"/>
    <x v="1"/>
    <x v="3"/>
    <x v="2"/>
    <x v="3"/>
    <x v="2"/>
    <x v="3"/>
    <x v="8"/>
    <n v="7"/>
    <x v="0"/>
  </r>
  <r>
    <d v="2023-08-07T00:00:00"/>
    <x v="0"/>
    <x v="1"/>
    <x v="1"/>
    <n v="16207374.93"/>
    <x v="0"/>
    <x v="1"/>
    <x v="1"/>
    <x v="4"/>
    <x v="2"/>
    <x v="3"/>
    <x v="2"/>
    <x v="3"/>
    <x v="8"/>
    <n v="7"/>
    <x v="0"/>
  </r>
  <r>
    <d v="2023-08-07T00:00:00"/>
    <x v="1"/>
    <x v="0"/>
    <x v="0"/>
    <n v="46929712.039999999"/>
    <x v="1"/>
    <x v="0"/>
    <x v="0"/>
    <x v="11"/>
    <x v="2"/>
    <x v="3"/>
    <x v="2"/>
    <x v="3"/>
    <x v="8"/>
    <n v="7"/>
    <x v="0"/>
  </r>
  <r>
    <d v="2023-08-07T00:00:00"/>
    <x v="2"/>
    <x v="1"/>
    <x v="2"/>
    <n v="101260.31"/>
    <x v="2"/>
    <x v="1"/>
    <x v="2"/>
    <x v="5"/>
    <x v="2"/>
    <x v="3"/>
    <x v="2"/>
    <x v="3"/>
    <x v="8"/>
    <n v="7"/>
    <x v="0"/>
  </r>
  <r>
    <d v="2023-08-07T00:00:00"/>
    <x v="3"/>
    <x v="2"/>
    <x v="2"/>
    <n v="94020.46"/>
    <x v="3"/>
    <x v="2"/>
    <x v="2"/>
    <x v="6"/>
    <x v="2"/>
    <x v="3"/>
    <x v="2"/>
    <x v="3"/>
    <x v="8"/>
    <n v="7"/>
    <x v="0"/>
  </r>
  <r>
    <d v="2023-08-07T00:00:00"/>
    <x v="2"/>
    <x v="1"/>
    <x v="1"/>
    <n v="178344003.5"/>
    <x v="2"/>
    <x v="1"/>
    <x v="1"/>
    <x v="9"/>
    <x v="2"/>
    <x v="3"/>
    <x v="2"/>
    <x v="3"/>
    <x v="8"/>
    <n v="7"/>
    <x v="0"/>
  </r>
  <r>
    <d v="2023-08-07T00:00:00"/>
    <x v="2"/>
    <x v="1"/>
    <x v="0"/>
    <n v="90056857.420000002"/>
    <x v="2"/>
    <x v="1"/>
    <x v="0"/>
    <x v="8"/>
    <x v="2"/>
    <x v="3"/>
    <x v="2"/>
    <x v="3"/>
    <x v="8"/>
    <n v="7"/>
    <x v="0"/>
  </r>
  <r>
    <d v="2023-08-07T00:00:00"/>
    <x v="3"/>
    <x v="2"/>
    <x v="0"/>
    <n v="608982050.83000004"/>
    <x v="3"/>
    <x v="2"/>
    <x v="0"/>
    <x v="12"/>
    <x v="2"/>
    <x v="3"/>
    <x v="2"/>
    <x v="3"/>
    <x v="8"/>
    <n v="7"/>
    <x v="0"/>
  </r>
  <r>
    <d v="2023-08-07T00:00:00"/>
    <x v="3"/>
    <x v="2"/>
    <x v="1"/>
    <n v="23173747476.540001"/>
    <x v="3"/>
    <x v="2"/>
    <x v="1"/>
    <x v="13"/>
    <x v="2"/>
    <x v="3"/>
    <x v="2"/>
    <x v="3"/>
    <x v="8"/>
    <n v="7"/>
    <x v="0"/>
  </r>
  <r>
    <d v="2023-08-07T00:00:00"/>
    <x v="3"/>
    <x v="1"/>
    <x v="0"/>
    <n v="48626024.359999999"/>
    <x v="3"/>
    <x v="1"/>
    <x v="0"/>
    <x v="14"/>
    <x v="2"/>
    <x v="3"/>
    <x v="2"/>
    <x v="3"/>
    <x v="8"/>
    <n v="7"/>
    <x v="0"/>
  </r>
  <r>
    <d v="2023-08-04T00:00:00"/>
    <x v="0"/>
    <x v="0"/>
    <x v="0"/>
    <n v="10363.41"/>
    <x v="0"/>
    <x v="0"/>
    <x v="0"/>
    <x v="0"/>
    <x v="2"/>
    <x v="3"/>
    <x v="2"/>
    <x v="3"/>
    <x v="8"/>
    <n v="4"/>
    <x v="0"/>
  </r>
  <r>
    <d v="2023-08-04T00:00:00"/>
    <x v="0"/>
    <x v="1"/>
    <x v="0"/>
    <n v="22900741.57"/>
    <x v="0"/>
    <x v="1"/>
    <x v="0"/>
    <x v="1"/>
    <x v="2"/>
    <x v="3"/>
    <x v="2"/>
    <x v="3"/>
    <x v="8"/>
    <n v="4"/>
    <x v="0"/>
  </r>
  <r>
    <d v="2023-08-04T00:00:00"/>
    <x v="2"/>
    <x v="1"/>
    <x v="2"/>
    <n v="10188.27"/>
    <x v="2"/>
    <x v="1"/>
    <x v="2"/>
    <x v="2"/>
    <x v="2"/>
    <x v="3"/>
    <x v="2"/>
    <x v="3"/>
    <x v="8"/>
    <n v="4"/>
    <x v="0"/>
  </r>
  <r>
    <d v="2023-08-04T00:00:00"/>
    <x v="1"/>
    <x v="1"/>
    <x v="0"/>
    <n v="232692.47"/>
    <x v="1"/>
    <x v="1"/>
    <x v="0"/>
    <x v="4"/>
    <x v="2"/>
    <x v="3"/>
    <x v="2"/>
    <x v="3"/>
    <x v="8"/>
    <n v="4"/>
    <x v="0"/>
  </r>
  <r>
    <d v="2023-08-04T00:00:00"/>
    <x v="2"/>
    <x v="1"/>
    <x v="0"/>
    <n v="98174719.709999993"/>
    <x v="2"/>
    <x v="1"/>
    <x v="0"/>
    <x v="7"/>
    <x v="2"/>
    <x v="3"/>
    <x v="2"/>
    <x v="3"/>
    <x v="8"/>
    <n v="4"/>
    <x v="0"/>
  </r>
  <r>
    <d v="2023-08-04T00:00:00"/>
    <x v="2"/>
    <x v="1"/>
    <x v="1"/>
    <n v="103534796.87"/>
    <x v="2"/>
    <x v="1"/>
    <x v="1"/>
    <x v="8"/>
    <x v="2"/>
    <x v="3"/>
    <x v="2"/>
    <x v="3"/>
    <x v="8"/>
    <n v="4"/>
    <x v="0"/>
  </r>
  <r>
    <d v="2023-08-04T00:00:00"/>
    <x v="1"/>
    <x v="0"/>
    <x v="0"/>
    <n v="65762489.289999999"/>
    <x v="1"/>
    <x v="0"/>
    <x v="0"/>
    <x v="9"/>
    <x v="2"/>
    <x v="3"/>
    <x v="2"/>
    <x v="3"/>
    <x v="8"/>
    <n v="4"/>
    <x v="0"/>
  </r>
  <r>
    <d v="2023-08-04T00:00:00"/>
    <x v="0"/>
    <x v="1"/>
    <x v="1"/>
    <n v="4746892.26"/>
    <x v="0"/>
    <x v="1"/>
    <x v="1"/>
    <x v="3"/>
    <x v="2"/>
    <x v="3"/>
    <x v="2"/>
    <x v="3"/>
    <x v="8"/>
    <n v="4"/>
    <x v="0"/>
  </r>
  <r>
    <d v="2023-08-04T00:00:00"/>
    <x v="1"/>
    <x v="0"/>
    <x v="1"/>
    <n v="147504941.18000001"/>
    <x v="1"/>
    <x v="0"/>
    <x v="1"/>
    <x v="10"/>
    <x v="2"/>
    <x v="3"/>
    <x v="2"/>
    <x v="3"/>
    <x v="8"/>
    <n v="4"/>
    <x v="0"/>
  </r>
  <r>
    <d v="2023-08-04T00:00:00"/>
    <x v="3"/>
    <x v="2"/>
    <x v="2"/>
    <n v="175328.75"/>
    <x v="3"/>
    <x v="2"/>
    <x v="2"/>
    <x v="5"/>
    <x v="2"/>
    <x v="3"/>
    <x v="2"/>
    <x v="3"/>
    <x v="8"/>
    <n v="4"/>
    <x v="0"/>
  </r>
  <r>
    <d v="2023-08-04T00:00:00"/>
    <x v="3"/>
    <x v="3"/>
    <x v="0"/>
    <n v="1333442467.21"/>
    <x v="3"/>
    <x v="3"/>
    <x v="0"/>
    <x v="6"/>
    <x v="2"/>
    <x v="3"/>
    <x v="2"/>
    <x v="3"/>
    <x v="8"/>
    <n v="4"/>
    <x v="0"/>
  </r>
  <r>
    <d v="2023-08-04T00:00:00"/>
    <x v="3"/>
    <x v="2"/>
    <x v="0"/>
    <n v="542594695.84000003"/>
    <x v="3"/>
    <x v="2"/>
    <x v="0"/>
    <x v="11"/>
    <x v="2"/>
    <x v="3"/>
    <x v="2"/>
    <x v="3"/>
    <x v="8"/>
    <n v="4"/>
    <x v="0"/>
  </r>
  <r>
    <d v="2023-08-04T00:00:00"/>
    <x v="3"/>
    <x v="2"/>
    <x v="1"/>
    <n v="12301161023.950001"/>
    <x v="3"/>
    <x v="2"/>
    <x v="1"/>
    <x v="12"/>
    <x v="2"/>
    <x v="3"/>
    <x v="2"/>
    <x v="3"/>
    <x v="8"/>
    <n v="4"/>
    <x v="0"/>
  </r>
  <r>
    <d v="2023-08-04T00:00:00"/>
    <x v="3"/>
    <x v="1"/>
    <x v="0"/>
    <n v="16643232.560000001"/>
    <x v="3"/>
    <x v="1"/>
    <x v="0"/>
    <x v="13"/>
    <x v="2"/>
    <x v="3"/>
    <x v="2"/>
    <x v="3"/>
    <x v="8"/>
    <n v="4"/>
    <x v="0"/>
  </r>
  <r>
    <d v="2023-08-03T00:00:00"/>
    <x v="1"/>
    <x v="1"/>
    <x v="0"/>
    <n v="63575.29"/>
    <x v="1"/>
    <x v="1"/>
    <x v="0"/>
    <x v="0"/>
    <x v="2"/>
    <x v="3"/>
    <x v="2"/>
    <x v="3"/>
    <x v="8"/>
    <n v="3"/>
    <x v="0"/>
  </r>
  <r>
    <d v="2023-08-03T00:00:00"/>
    <x v="0"/>
    <x v="1"/>
    <x v="0"/>
    <n v="12789799.939999999"/>
    <x v="0"/>
    <x v="1"/>
    <x v="0"/>
    <x v="1"/>
    <x v="2"/>
    <x v="3"/>
    <x v="2"/>
    <x v="3"/>
    <x v="8"/>
    <n v="3"/>
    <x v="0"/>
  </r>
  <r>
    <d v="2023-08-03T00:00:00"/>
    <x v="2"/>
    <x v="1"/>
    <x v="2"/>
    <n v="3040"/>
    <x v="2"/>
    <x v="1"/>
    <x v="2"/>
    <x v="2"/>
    <x v="2"/>
    <x v="3"/>
    <x v="2"/>
    <x v="3"/>
    <x v="8"/>
    <n v="3"/>
    <x v="0"/>
  </r>
  <r>
    <d v="2023-08-03T00:00:00"/>
    <x v="2"/>
    <x v="1"/>
    <x v="0"/>
    <n v="93876730.469999999"/>
    <x v="2"/>
    <x v="1"/>
    <x v="0"/>
    <x v="5"/>
    <x v="2"/>
    <x v="3"/>
    <x v="2"/>
    <x v="3"/>
    <x v="8"/>
    <n v="3"/>
    <x v="0"/>
  </r>
  <r>
    <d v="2023-08-03T00:00:00"/>
    <x v="2"/>
    <x v="1"/>
    <x v="1"/>
    <n v="268113092.41"/>
    <x v="2"/>
    <x v="1"/>
    <x v="1"/>
    <x v="7"/>
    <x v="2"/>
    <x v="3"/>
    <x v="2"/>
    <x v="3"/>
    <x v="8"/>
    <n v="3"/>
    <x v="0"/>
  </r>
  <r>
    <d v="2023-08-03T00:00:00"/>
    <x v="1"/>
    <x v="0"/>
    <x v="1"/>
    <n v="188808558.83000001"/>
    <x v="1"/>
    <x v="0"/>
    <x v="1"/>
    <x v="8"/>
    <x v="2"/>
    <x v="3"/>
    <x v="2"/>
    <x v="3"/>
    <x v="8"/>
    <n v="3"/>
    <x v="0"/>
  </r>
  <r>
    <d v="2023-08-03T00:00:00"/>
    <x v="0"/>
    <x v="1"/>
    <x v="1"/>
    <n v="7010799.3300000001"/>
    <x v="0"/>
    <x v="1"/>
    <x v="1"/>
    <x v="3"/>
    <x v="2"/>
    <x v="3"/>
    <x v="2"/>
    <x v="3"/>
    <x v="8"/>
    <n v="3"/>
    <x v="0"/>
  </r>
  <r>
    <d v="2023-08-03T00:00:00"/>
    <x v="1"/>
    <x v="0"/>
    <x v="0"/>
    <n v="67586637.329999998"/>
    <x v="1"/>
    <x v="0"/>
    <x v="0"/>
    <x v="9"/>
    <x v="2"/>
    <x v="3"/>
    <x v="2"/>
    <x v="3"/>
    <x v="8"/>
    <n v="3"/>
    <x v="0"/>
  </r>
  <r>
    <d v="2023-08-03T00:00:00"/>
    <x v="3"/>
    <x v="2"/>
    <x v="2"/>
    <n v="277729.26"/>
    <x v="3"/>
    <x v="2"/>
    <x v="2"/>
    <x v="4"/>
    <x v="2"/>
    <x v="3"/>
    <x v="2"/>
    <x v="3"/>
    <x v="8"/>
    <n v="3"/>
    <x v="0"/>
  </r>
  <r>
    <d v="2023-08-03T00:00:00"/>
    <x v="3"/>
    <x v="3"/>
    <x v="0"/>
    <n v="1419975784.23"/>
    <x v="3"/>
    <x v="3"/>
    <x v="0"/>
    <x v="6"/>
    <x v="2"/>
    <x v="3"/>
    <x v="2"/>
    <x v="3"/>
    <x v="8"/>
    <n v="3"/>
    <x v="0"/>
  </r>
  <r>
    <d v="2023-08-03T00:00:00"/>
    <x v="3"/>
    <x v="2"/>
    <x v="0"/>
    <n v="534129710.43000001"/>
    <x v="3"/>
    <x v="2"/>
    <x v="0"/>
    <x v="10"/>
    <x v="2"/>
    <x v="3"/>
    <x v="2"/>
    <x v="3"/>
    <x v="8"/>
    <n v="3"/>
    <x v="0"/>
  </r>
  <r>
    <d v="2023-08-03T00:00:00"/>
    <x v="3"/>
    <x v="1"/>
    <x v="0"/>
    <n v="16033858.220000001"/>
    <x v="3"/>
    <x v="1"/>
    <x v="0"/>
    <x v="11"/>
    <x v="2"/>
    <x v="3"/>
    <x v="2"/>
    <x v="3"/>
    <x v="8"/>
    <n v="3"/>
    <x v="0"/>
  </r>
  <r>
    <d v="2023-08-03T00:00:00"/>
    <x v="3"/>
    <x v="2"/>
    <x v="1"/>
    <n v="6033067083.3100004"/>
    <x v="3"/>
    <x v="2"/>
    <x v="1"/>
    <x v="12"/>
    <x v="2"/>
    <x v="3"/>
    <x v="2"/>
    <x v="3"/>
    <x v="8"/>
    <n v="3"/>
    <x v="0"/>
  </r>
  <r>
    <d v="2023-08-02T00:00:00"/>
    <x v="2"/>
    <x v="3"/>
    <x v="0"/>
    <n v="760.91"/>
    <x v="2"/>
    <x v="3"/>
    <x v="0"/>
    <x v="0"/>
    <x v="2"/>
    <x v="3"/>
    <x v="2"/>
    <x v="3"/>
    <x v="8"/>
    <n v="2"/>
    <x v="0"/>
  </r>
  <r>
    <d v="2023-08-02T00:00:00"/>
    <x v="1"/>
    <x v="1"/>
    <x v="0"/>
    <n v="98034.51"/>
    <x v="1"/>
    <x v="1"/>
    <x v="0"/>
    <x v="1"/>
    <x v="2"/>
    <x v="3"/>
    <x v="2"/>
    <x v="3"/>
    <x v="8"/>
    <n v="2"/>
    <x v="0"/>
  </r>
  <r>
    <d v="2023-08-02T00:00:00"/>
    <x v="0"/>
    <x v="1"/>
    <x v="0"/>
    <n v="8976766.9499999993"/>
    <x v="0"/>
    <x v="1"/>
    <x v="0"/>
    <x v="2"/>
    <x v="2"/>
    <x v="3"/>
    <x v="2"/>
    <x v="3"/>
    <x v="8"/>
    <n v="2"/>
    <x v="0"/>
  </r>
  <r>
    <d v="2023-08-02T00:00:00"/>
    <x v="2"/>
    <x v="1"/>
    <x v="2"/>
    <n v="45756.639999999999"/>
    <x v="2"/>
    <x v="1"/>
    <x v="2"/>
    <x v="3"/>
    <x v="2"/>
    <x v="3"/>
    <x v="2"/>
    <x v="3"/>
    <x v="8"/>
    <n v="2"/>
    <x v="0"/>
  </r>
  <r>
    <d v="2023-08-02T00:00:00"/>
    <x v="3"/>
    <x v="3"/>
    <x v="0"/>
    <n v="1514952516.0899999"/>
    <x v="3"/>
    <x v="3"/>
    <x v="0"/>
    <x v="7"/>
    <x v="2"/>
    <x v="3"/>
    <x v="2"/>
    <x v="3"/>
    <x v="8"/>
    <n v="2"/>
    <x v="0"/>
  </r>
  <r>
    <d v="2023-08-02T00:00:00"/>
    <x v="2"/>
    <x v="1"/>
    <x v="0"/>
    <n v="132149455.98"/>
    <x v="2"/>
    <x v="1"/>
    <x v="0"/>
    <x v="8"/>
    <x v="2"/>
    <x v="3"/>
    <x v="2"/>
    <x v="3"/>
    <x v="8"/>
    <n v="2"/>
    <x v="0"/>
  </r>
  <r>
    <d v="2023-08-02T00:00:00"/>
    <x v="2"/>
    <x v="1"/>
    <x v="1"/>
    <n v="123849754.37"/>
    <x v="2"/>
    <x v="1"/>
    <x v="1"/>
    <x v="9"/>
    <x v="2"/>
    <x v="3"/>
    <x v="2"/>
    <x v="3"/>
    <x v="8"/>
    <n v="2"/>
    <x v="0"/>
  </r>
  <r>
    <d v="2023-08-02T00:00:00"/>
    <x v="3"/>
    <x v="3"/>
    <x v="1"/>
    <n v="40661.050000000003"/>
    <x v="3"/>
    <x v="3"/>
    <x v="1"/>
    <x v="4"/>
    <x v="2"/>
    <x v="3"/>
    <x v="2"/>
    <x v="3"/>
    <x v="8"/>
    <n v="2"/>
    <x v="0"/>
  </r>
  <r>
    <d v="2023-08-02T00:00:00"/>
    <x v="0"/>
    <x v="1"/>
    <x v="1"/>
    <n v="1772771.63"/>
    <x v="0"/>
    <x v="1"/>
    <x v="1"/>
    <x v="5"/>
    <x v="2"/>
    <x v="3"/>
    <x v="2"/>
    <x v="3"/>
    <x v="8"/>
    <n v="2"/>
    <x v="0"/>
  </r>
  <r>
    <d v="2023-08-02T00:00:00"/>
    <x v="1"/>
    <x v="0"/>
    <x v="0"/>
    <n v="103407509.05"/>
    <x v="1"/>
    <x v="0"/>
    <x v="0"/>
    <x v="11"/>
    <x v="2"/>
    <x v="3"/>
    <x v="2"/>
    <x v="3"/>
    <x v="8"/>
    <n v="2"/>
    <x v="0"/>
  </r>
  <r>
    <d v="2023-08-02T00:00:00"/>
    <x v="3"/>
    <x v="2"/>
    <x v="2"/>
    <n v="148863.70000000001"/>
    <x v="3"/>
    <x v="2"/>
    <x v="2"/>
    <x v="6"/>
    <x v="2"/>
    <x v="3"/>
    <x v="2"/>
    <x v="3"/>
    <x v="8"/>
    <n v="2"/>
    <x v="0"/>
  </r>
  <r>
    <d v="2023-08-02T00:00:00"/>
    <x v="1"/>
    <x v="0"/>
    <x v="1"/>
    <n v="643159216.33000004"/>
    <x v="1"/>
    <x v="0"/>
    <x v="1"/>
    <x v="10"/>
    <x v="2"/>
    <x v="3"/>
    <x v="2"/>
    <x v="3"/>
    <x v="8"/>
    <n v="2"/>
    <x v="0"/>
  </r>
  <r>
    <d v="2023-08-02T00:00:00"/>
    <x v="3"/>
    <x v="2"/>
    <x v="0"/>
    <n v="979342423.66999996"/>
    <x v="3"/>
    <x v="2"/>
    <x v="0"/>
    <x v="12"/>
    <x v="2"/>
    <x v="3"/>
    <x v="2"/>
    <x v="3"/>
    <x v="8"/>
    <n v="2"/>
    <x v="0"/>
  </r>
  <r>
    <d v="2023-08-02T00:00:00"/>
    <x v="3"/>
    <x v="1"/>
    <x v="0"/>
    <n v="18660642.879999999"/>
    <x v="3"/>
    <x v="1"/>
    <x v="0"/>
    <x v="13"/>
    <x v="2"/>
    <x v="3"/>
    <x v="2"/>
    <x v="3"/>
    <x v="8"/>
    <n v="2"/>
    <x v="0"/>
  </r>
  <r>
    <d v="2023-08-02T00:00:00"/>
    <x v="3"/>
    <x v="2"/>
    <x v="1"/>
    <n v="14604948231.41"/>
    <x v="3"/>
    <x v="2"/>
    <x v="1"/>
    <x v="14"/>
    <x v="2"/>
    <x v="3"/>
    <x v="2"/>
    <x v="3"/>
    <x v="8"/>
    <n v="2"/>
    <x v="0"/>
  </r>
  <r>
    <d v="2023-08-01T00:00:00"/>
    <x v="0"/>
    <x v="1"/>
    <x v="0"/>
    <n v="15111328.17"/>
    <x v="0"/>
    <x v="1"/>
    <x v="0"/>
    <x v="0"/>
    <x v="2"/>
    <x v="3"/>
    <x v="2"/>
    <x v="3"/>
    <x v="8"/>
    <n v="1"/>
    <x v="0"/>
  </r>
  <r>
    <d v="2023-08-01T00:00:00"/>
    <x v="2"/>
    <x v="1"/>
    <x v="2"/>
    <n v="784.37"/>
    <x v="2"/>
    <x v="1"/>
    <x v="2"/>
    <x v="1"/>
    <x v="2"/>
    <x v="3"/>
    <x v="2"/>
    <x v="3"/>
    <x v="8"/>
    <n v="1"/>
    <x v="0"/>
  </r>
  <r>
    <d v="2023-08-01T00:00:00"/>
    <x v="1"/>
    <x v="1"/>
    <x v="0"/>
    <n v="165676.4"/>
    <x v="1"/>
    <x v="1"/>
    <x v="0"/>
    <x v="4"/>
    <x v="2"/>
    <x v="3"/>
    <x v="2"/>
    <x v="3"/>
    <x v="8"/>
    <n v="1"/>
    <x v="0"/>
  </r>
  <r>
    <d v="2023-08-01T00:00:00"/>
    <x v="2"/>
    <x v="1"/>
    <x v="0"/>
    <n v="96522036.480000004"/>
    <x v="2"/>
    <x v="1"/>
    <x v="0"/>
    <x v="6"/>
    <x v="2"/>
    <x v="3"/>
    <x v="2"/>
    <x v="3"/>
    <x v="8"/>
    <n v="1"/>
    <x v="0"/>
  </r>
  <r>
    <d v="2023-08-01T00:00:00"/>
    <x v="1"/>
    <x v="0"/>
    <x v="1"/>
    <n v="200741861.34"/>
    <x v="1"/>
    <x v="0"/>
    <x v="1"/>
    <x v="8"/>
    <x v="2"/>
    <x v="3"/>
    <x v="2"/>
    <x v="3"/>
    <x v="8"/>
    <n v="1"/>
    <x v="0"/>
  </r>
  <r>
    <d v="2023-08-01T00:00:00"/>
    <x v="1"/>
    <x v="0"/>
    <x v="0"/>
    <n v="68127881.290000007"/>
    <x v="1"/>
    <x v="0"/>
    <x v="0"/>
    <x v="9"/>
    <x v="2"/>
    <x v="3"/>
    <x v="2"/>
    <x v="3"/>
    <x v="8"/>
    <n v="1"/>
    <x v="0"/>
  </r>
  <r>
    <d v="2023-08-01T00:00:00"/>
    <x v="0"/>
    <x v="1"/>
    <x v="1"/>
    <n v="14213467.84"/>
    <x v="0"/>
    <x v="1"/>
    <x v="1"/>
    <x v="3"/>
    <x v="2"/>
    <x v="3"/>
    <x v="2"/>
    <x v="3"/>
    <x v="8"/>
    <n v="1"/>
    <x v="0"/>
  </r>
  <r>
    <d v="2023-08-01T00:00:00"/>
    <x v="3"/>
    <x v="2"/>
    <x v="2"/>
    <n v="104366.01"/>
    <x v="3"/>
    <x v="2"/>
    <x v="2"/>
    <x v="2"/>
    <x v="2"/>
    <x v="3"/>
    <x v="2"/>
    <x v="3"/>
    <x v="8"/>
    <n v="1"/>
    <x v="0"/>
  </r>
  <r>
    <d v="2023-08-01T00:00:00"/>
    <x v="3"/>
    <x v="3"/>
    <x v="0"/>
    <n v="4133919172.3600001"/>
    <x v="3"/>
    <x v="3"/>
    <x v="0"/>
    <x v="5"/>
    <x v="2"/>
    <x v="3"/>
    <x v="2"/>
    <x v="3"/>
    <x v="8"/>
    <n v="1"/>
    <x v="0"/>
  </r>
  <r>
    <d v="2023-08-01T00:00:00"/>
    <x v="2"/>
    <x v="1"/>
    <x v="1"/>
    <n v="138320182"/>
    <x v="2"/>
    <x v="1"/>
    <x v="1"/>
    <x v="7"/>
    <x v="2"/>
    <x v="3"/>
    <x v="2"/>
    <x v="3"/>
    <x v="8"/>
    <n v="1"/>
    <x v="0"/>
  </r>
  <r>
    <d v="2023-08-01T00:00:00"/>
    <x v="3"/>
    <x v="2"/>
    <x v="0"/>
    <n v="622895412.01999998"/>
    <x v="3"/>
    <x v="2"/>
    <x v="0"/>
    <x v="10"/>
    <x v="2"/>
    <x v="3"/>
    <x v="2"/>
    <x v="3"/>
    <x v="8"/>
    <n v="1"/>
    <x v="0"/>
  </r>
  <r>
    <d v="2023-08-01T00:00:00"/>
    <x v="3"/>
    <x v="1"/>
    <x v="0"/>
    <n v="13773280.470000001"/>
    <x v="3"/>
    <x v="1"/>
    <x v="0"/>
    <x v="11"/>
    <x v="2"/>
    <x v="3"/>
    <x v="2"/>
    <x v="3"/>
    <x v="8"/>
    <n v="1"/>
    <x v="0"/>
  </r>
  <r>
    <d v="2023-08-01T00:00:00"/>
    <x v="3"/>
    <x v="2"/>
    <x v="1"/>
    <n v="21671611356.27"/>
    <x v="3"/>
    <x v="2"/>
    <x v="1"/>
    <x v="12"/>
    <x v="2"/>
    <x v="3"/>
    <x v="2"/>
    <x v="3"/>
    <x v="8"/>
    <n v="1"/>
    <x v="0"/>
  </r>
  <r>
    <d v="2023-07-31T00:00:00"/>
    <x v="1"/>
    <x v="1"/>
    <x v="0"/>
    <n v="339727.35"/>
    <x v="1"/>
    <x v="1"/>
    <x v="0"/>
    <x v="0"/>
    <x v="2"/>
    <x v="3"/>
    <x v="2"/>
    <x v="3"/>
    <x v="9"/>
    <n v="31"/>
    <x v="0"/>
  </r>
  <r>
    <d v="2023-07-31T00:00:00"/>
    <x v="0"/>
    <x v="1"/>
    <x v="0"/>
    <n v="8469016.2400000002"/>
    <x v="0"/>
    <x v="1"/>
    <x v="0"/>
    <x v="1"/>
    <x v="2"/>
    <x v="3"/>
    <x v="2"/>
    <x v="3"/>
    <x v="9"/>
    <n v="31"/>
    <x v="0"/>
  </r>
  <r>
    <d v="2023-07-31T00:00:00"/>
    <x v="2"/>
    <x v="1"/>
    <x v="2"/>
    <n v="38168.06"/>
    <x v="2"/>
    <x v="1"/>
    <x v="2"/>
    <x v="2"/>
    <x v="2"/>
    <x v="3"/>
    <x v="2"/>
    <x v="3"/>
    <x v="9"/>
    <n v="31"/>
    <x v="0"/>
  </r>
  <r>
    <d v="2023-07-31T00:00:00"/>
    <x v="2"/>
    <x v="1"/>
    <x v="0"/>
    <n v="90649571.140000001"/>
    <x v="2"/>
    <x v="1"/>
    <x v="0"/>
    <x v="7"/>
    <x v="2"/>
    <x v="3"/>
    <x v="2"/>
    <x v="3"/>
    <x v="9"/>
    <n v="31"/>
    <x v="0"/>
  </r>
  <r>
    <d v="2023-07-31T00:00:00"/>
    <x v="2"/>
    <x v="1"/>
    <x v="1"/>
    <n v="137434794.88"/>
    <x v="2"/>
    <x v="1"/>
    <x v="1"/>
    <x v="8"/>
    <x v="2"/>
    <x v="3"/>
    <x v="2"/>
    <x v="3"/>
    <x v="9"/>
    <n v="31"/>
    <x v="0"/>
  </r>
  <r>
    <d v="2023-07-31T00:00:00"/>
    <x v="1"/>
    <x v="0"/>
    <x v="1"/>
    <n v="238220873.50999999"/>
    <x v="1"/>
    <x v="0"/>
    <x v="1"/>
    <x v="9"/>
    <x v="2"/>
    <x v="3"/>
    <x v="2"/>
    <x v="3"/>
    <x v="9"/>
    <n v="31"/>
    <x v="0"/>
  </r>
  <r>
    <d v="2023-07-31T00:00:00"/>
    <x v="1"/>
    <x v="0"/>
    <x v="0"/>
    <n v="60393795.310000002"/>
    <x v="1"/>
    <x v="0"/>
    <x v="0"/>
    <x v="10"/>
    <x v="2"/>
    <x v="3"/>
    <x v="2"/>
    <x v="3"/>
    <x v="9"/>
    <n v="31"/>
    <x v="0"/>
  </r>
  <r>
    <d v="2023-07-31T00:00:00"/>
    <x v="0"/>
    <x v="1"/>
    <x v="1"/>
    <n v="6375904.1799999997"/>
    <x v="0"/>
    <x v="1"/>
    <x v="1"/>
    <x v="4"/>
    <x v="2"/>
    <x v="3"/>
    <x v="2"/>
    <x v="3"/>
    <x v="9"/>
    <n v="31"/>
    <x v="0"/>
  </r>
  <r>
    <d v="2023-07-31T00:00:00"/>
    <x v="3"/>
    <x v="2"/>
    <x v="2"/>
    <n v="89773.7"/>
    <x v="3"/>
    <x v="2"/>
    <x v="2"/>
    <x v="5"/>
    <x v="2"/>
    <x v="3"/>
    <x v="2"/>
    <x v="3"/>
    <x v="9"/>
    <n v="31"/>
    <x v="0"/>
  </r>
  <r>
    <d v="2023-07-31T00:00:00"/>
    <x v="3"/>
    <x v="3"/>
    <x v="1"/>
    <n v="4098258"/>
    <x v="3"/>
    <x v="3"/>
    <x v="1"/>
    <x v="3"/>
    <x v="2"/>
    <x v="3"/>
    <x v="2"/>
    <x v="3"/>
    <x v="9"/>
    <n v="31"/>
    <x v="0"/>
  </r>
  <r>
    <d v="2023-07-31T00:00:00"/>
    <x v="3"/>
    <x v="3"/>
    <x v="0"/>
    <n v="4343445114.9700003"/>
    <x v="3"/>
    <x v="3"/>
    <x v="0"/>
    <x v="6"/>
    <x v="2"/>
    <x v="3"/>
    <x v="2"/>
    <x v="3"/>
    <x v="9"/>
    <n v="31"/>
    <x v="0"/>
  </r>
  <r>
    <d v="2023-07-31T00:00:00"/>
    <x v="3"/>
    <x v="2"/>
    <x v="0"/>
    <n v="959517762.83000004"/>
    <x v="3"/>
    <x v="2"/>
    <x v="0"/>
    <x v="11"/>
    <x v="2"/>
    <x v="3"/>
    <x v="2"/>
    <x v="3"/>
    <x v="9"/>
    <n v="31"/>
    <x v="0"/>
  </r>
  <r>
    <d v="2023-07-31T00:00:00"/>
    <x v="3"/>
    <x v="2"/>
    <x v="1"/>
    <n v="25733458488.16"/>
    <x v="3"/>
    <x v="2"/>
    <x v="1"/>
    <x v="12"/>
    <x v="2"/>
    <x v="3"/>
    <x v="2"/>
    <x v="3"/>
    <x v="9"/>
    <n v="31"/>
    <x v="0"/>
  </r>
  <r>
    <d v="2023-07-31T00:00:00"/>
    <x v="3"/>
    <x v="1"/>
    <x v="0"/>
    <n v="52798422.479999997"/>
    <x v="3"/>
    <x v="1"/>
    <x v="0"/>
    <x v="13"/>
    <x v="2"/>
    <x v="3"/>
    <x v="2"/>
    <x v="3"/>
    <x v="9"/>
    <n v="31"/>
    <x v="0"/>
  </r>
  <r>
    <d v="2023-07-28T00:00:00"/>
    <x v="1"/>
    <x v="1"/>
    <x v="0"/>
    <n v="105514.34"/>
    <x v="1"/>
    <x v="1"/>
    <x v="0"/>
    <x v="0"/>
    <x v="2"/>
    <x v="3"/>
    <x v="2"/>
    <x v="3"/>
    <x v="9"/>
    <n v="28"/>
    <x v="0"/>
  </r>
  <r>
    <d v="2023-07-28T00:00:00"/>
    <x v="3"/>
    <x v="2"/>
    <x v="2"/>
    <n v="103692.67"/>
    <x v="3"/>
    <x v="2"/>
    <x v="2"/>
    <x v="4"/>
    <x v="2"/>
    <x v="3"/>
    <x v="2"/>
    <x v="3"/>
    <x v="9"/>
    <n v="28"/>
    <x v="0"/>
  </r>
  <r>
    <d v="2023-07-28T00:00:00"/>
    <x v="0"/>
    <x v="1"/>
    <x v="0"/>
    <n v="11661230.359999999"/>
    <x v="0"/>
    <x v="1"/>
    <x v="0"/>
    <x v="1"/>
    <x v="2"/>
    <x v="3"/>
    <x v="2"/>
    <x v="3"/>
    <x v="9"/>
    <n v="28"/>
    <x v="0"/>
  </r>
  <r>
    <d v="2023-07-28T00:00:00"/>
    <x v="2"/>
    <x v="1"/>
    <x v="2"/>
    <n v="39363.31"/>
    <x v="2"/>
    <x v="1"/>
    <x v="2"/>
    <x v="2"/>
    <x v="2"/>
    <x v="3"/>
    <x v="2"/>
    <x v="3"/>
    <x v="9"/>
    <n v="28"/>
    <x v="0"/>
  </r>
  <r>
    <d v="2023-07-28T00:00:00"/>
    <x v="0"/>
    <x v="1"/>
    <x v="1"/>
    <n v="10074724.390000001"/>
    <x v="0"/>
    <x v="1"/>
    <x v="1"/>
    <x v="3"/>
    <x v="2"/>
    <x v="3"/>
    <x v="2"/>
    <x v="3"/>
    <x v="9"/>
    <n v="28"/>
    <x v="0"/>
  </r>
  <r>
    <d v="2023-07-28T00:00:00"/>
    <x v="3"/>
    <x v="3"/>
    <x v="0"/>
    <n v="1568141823.3499999"/>
    <x v="3"/>
    <x v="3"/>
    <x v="0"/>
    <x v="5"/>
    <x v="2"/>
    <x v="3"/>
    <x v="2"/>
    <x v="3"/>
    <x v="9"/>
    <n v="28"/>
    <x v="0"/>
  </r>
  <r>
    <d v="2023-07-28T00:00:00"/>
    <x v="2"/>
    <x v="1"/>
    <x v="0"/>
    <n v="108874733.45999999"/>
    <x v="2"/>
    <x v="1"/>
    <x v="0"/>
    <x v="6"/>
    <x v="2"/>
    <x v="3"/>
    <x v="2"/>
    <x v="3"/>
    <x v="9"/>
    <n v="28"/>
    <x v="0"/>
  </r>
  <r>
    <d v="2023-07-28T00:00:00"/>
    <x v="2"/>
    <x v="1"/>
    <x v="1"/>
    <n v="142951801.66"/>
    <x v="2"/>
    <x v="1"/>
    <x v="1"/>
    <x v="7"/>
    <x v="2"/>
    <x v="3"/>
    <x v="2"/>
    <x v="3"/>
    <x v="9"/>
    <n v="28"/>
    <x v="0"/>
  </r>
  <r>
    <d v="2023-07-28T00:00:00"/>
    <x v="1"/>
    <x v="0"/>
    <x v="1"/>
    <n v="112881312.15000001"/>
    <x v="1"/>
    <x v="0"/>
    <x v="1"/>
    <x v="8"/>
    <x v="2"/>
    <x v="3"/>
    <x v="2"/>
    <x v="3"/>
    <x v="9"/>
    <n v="28"/>
    <x v="0"/>
  </r>
  <r>
    <d v="2023-07-28T00:00:00"/>
    <x v="1"/>
    <x v="0"/>
    <x v="0"/>
    <n v="42980240.960000001"/>
    <x v="1"/>
    <x v="0"/>
    <x v="0"/>
    <x v="9"/>
    <x v="2"/>
    <x v="3"/>
    <x v="2"/>
    <x v="3"/>
    <x v="9"/>
    <n v="28"/>
    <x v="0"/>
  </r>
  <r>
    <d v="2023-07-28T00:00:00"/>
    <x v="3"/>
    <x v="2"/>
    <x v="0"/>
    <n v="688693207.71000004"/>
    <x v="3"/>
    <x v="2"/>
    <x v="0"/>
    <x v="10"/>
    <x v="2"/>
    <x v="3"/>
    <x v="2"/>
    <x v="3"/>
    <x v="9"/>
    <n v="28"/>
    <x v="0"/>
  </r>
  <r>
    <d v="2023-07-28T00:00:00"/>
    <x v="3"/>
    <x v="1"/>
    <x v="0"/>
    <n v="15686895"/>
    <x v="3"/>
    <x v="1"/>
    <x v="0"/>
    <x v="11"/>
    <x v="2"/>
    <x v="3"/>
    <x v="2"/>
    <x v="3"/>
    <x v="9"/>
    <n v="28"/>
    <x v="0"/>
  </r>
  <r>
    <d v="2023-07-28T00:00:00"/>
    <x v="3"/>
    <x v="2"/>
    <x v="1"/>
    <n v="9611440292.8500004"/>
    <x v="3"/>
    <x v="2"/>
    <x v="1"/>
    <x v="12"/>
    <x v="2"/>
    <x v="3"/>
    <x v="2"/>
    <x v="3"/>
    <x v="9"/>
    <n v="28"/>
    <x v="0"/>
  </r>
  <r>
    <d v="2023-07-27T00:00:00"/>
    <x v="1"/>
    <x v="1"/>
    <x v="0"/>
    <n v="169286.44"/>
    <x v="1"/>
    <x v="1"/>
    <x v="0"/>
    <x v="0"/>
    <x v="2"/>
    <x v="3"/>
    <x v="2"/>
    <x v="3"/>
    <x v="9"/>
    <n v="27"/>
    <x v="0"/>
  </r>
  <r>
    <d v="2023-07-27T00:00:00"/>
    <x v="0"/>
    <x v="1"/>
    <x v="0"/>
    <n v="11179461.880000001"/>
    <x v="0"/>
    <x v="1"/>
    <x v="0"/>
    <x v="1"/>
    <x v="2"/>
    <x v="3"/>
    <x v="2"/>
    <x v="3"/>
    <x v="9"/>
    <n v="27"/>
    <x v="0"/>
  </r>
  <r>
    <d v="2023-07-27T00:00:00"/>
    <x v="2"/>
    <x v="1"/>
    <x v="2"/>
    <n v="5494"/>
    <x v="2"/>
    <x v="1"/>
    <x v="2"/>
    <x v="2"/>
    <x v="2"/>
    <x v="3"/>
    <x v="2"/>
    <x v="3"/>
    <x v="9"/>
    <n v="27"/>
    <x v="0"/>
  </r>
  <r>
    <d v="2023-07-27T00:00:00"/>
    <x v="3"/>
    <x v="2"/>
    <x v="2"/>
    <n v="153007.97"/>
    <x v="3"/>
    <x v="2"/>
    <x v="2"/>
    <x v="3"/>
    <x v="2"/>
    <x v="3"/>
    <x v="2"/>
    <x v="3"/>
    <x v="9"/>
    <n v="27"/>
    <x v="0"/>
  </r>
  <r>
    <d v="2023-07-27T00:00:00"/>
    <x v="2"/>
    <x v="1"/>
    <x v="0"/>
    <n v="249939506.06999999"/>
    <x v="2"/>
    <x v="1"/>
    <x v="0"/>
    <x v="8"/>
    <x v="2"/>
    <x v="3"/>
    <x v="2"/>
    <x v="3"/>
    <x v="9"/>
    <n v="27"/>
    <x v="0"/>
  </r>
  <r>
    <d v="2023-07-27T00:00:00"/>
    <x v="2"/>
    <x v="1"/>
    <x v="1"/>
    <n v="154898708"/>
    <x v="2"/>
    <x v="1"/>
    <x v="1"/>
    <x v="9"/>
    <x v="2"/>
    <x v="3"/>
    <x v="2"/>
    <x v="3"/>
    <x v="9"/>
    <n v="27"/>
    <x v="0"/>
  </r>
  <r>
    <d v="2023-07-27T00:00:00"/>
    <x v="1"/>
    <x v="0"/>
    <x v="0"/>
    <n v="86736642.640000001"/>
    <x v="1"/>
    <x v="0"/>
    <x v="0"/>
    <x v="10"/>
    <x v="2"/>
    <x v="3"/>
    <x v="2"/>
    <x v="3"/>
    <x v="9"/>
    <n v="27"/>
    <x v="0"/>
  </r>
  <r>
    <d v="2023-07-27T00:00:00"/>
    <x v="1"/>
    <x v="0"/>
    <x v="1"/>
    <n v="145564135.71000001"/>
    <x v="1"/>
    <x v="0"/>
    <x v="1"/>
    <x v="11"/>
    <x v="2"/>
    <x v="3"/>
    <x v="2"/>
    <x v="3"/>
    <x v="9"/>
    <n v="27"/>
    <x v="0"/>
  </r>
  <r>
    <d v="2023-07-27T00:00:00"/>
    <x v="3"/>
    <x v="3"/>
    <x v="1"/>
    <n v="638165222.30999994"/>
    <x v="3"/>
    <x v="3"/>
    <x v="1"/>
    <x v="4"/>
    <x v="2"/>
    <x v="3"/>
    <x v="2"/>
    <x v="3"/>
    <x v="9"/>
    <n v="27"/>
    <x v="0"/>
  </r>
  <r>
    <d v="2023-07-27T00:00:00"/>
    <x v="0"/>
    <x v="1"/>
    <x v="1"/>
    <n v="15444471.630000001"/>
    <x v="0"/>
    <x v="1"/>
    <x v="1"/>
    <x v="5"/>
    <x v="2"/>
    <x v="3"/>
    <x v="2"/>
    <x v="3"/>
    <x v="9"/>
    <n v="27"/>
    <x v="0"/>
  </r>
  <r>
    <d v="2023-07-27T00:00:00"/>
    <x v="3"/>
    <x v="3"/>
    <x v="2"/>
    <n v="-8.41"/>
    <x v="3"/>
    <x v="3"/>
    <x v="2"/>
    <x v="6"/>
    <x v="2"/>
    <x v="3"/>
    <x v="2"/>
    <x v="3"/>
    <x v="9"/>
    <n v="27"/>
    <x v="1"/>
  </r>
  <r>
    <d v="2023-07-27T00:00:00"/>
    <x v="3"/>
    <x v="3"/>
    <x v="0"/>
    <n v="1628462492.72"/>
    <x v="3"/>
    <x v="3"/>
    <x v="0"/>
    <x v="7"/>
    <x v="2"/>
    <x v="3"/>
    <x v="2"/>
    <x v="3"/>
    <x v="9"/>
    <n v="27"/>
    <x v="0"/>
  </r>
  <r>
    <d v="2023-07-27T00:00:00"/>
    <x v="3"/>
    <x v="2"/>
    <x v="0"/>
    <n v="417187766.24000001"/>
    <x v="3"/>
    <x v="2"/>
    <x v="0"/>
    <x v="12"/>
    <x v="2"/>
    <x v="3"/>
    <x v="2"/>
    <x v="3"/>
    <x v="9"/>
    <n v="27"/>
    <x v="0"/>
  </r>
  <r>
    <d v="2023-07-27T00:00:00"/>
    <x v="3"/>
    <x v="2"/>
    <x v="1"/>
    <n v="4403865199.4899998"/>
    <x v="3"/>
    <x v="2"/>
    <x v="1"/>
    <x v="13"/>
    <x v="2"/>
    <x v="3"/>
    <x v="2"/>
    <x v="3"/>
    <x v="9"/>
    <n v="27"/>
    <x v="0"/>
  </r>
  <r>
    <d v="2023-07-27T00:00:00"/>
    <x v="3"/>
    <x v="1"/>
    <x v="0"/>
    <n v="15814725.289999999"/>
    <x v="3"/>
    <x v="1"/>
    <x v="0"/>
    <x v="14"/>
    <x v="2"/>
    <x v="3"/>
    <x v="2"/>
    <x v="3"/>
    <x v="9"/>
    <n v="27"/>
    <x v="0"/>
  </r>
  <r>
    <d v="2023-07-26T00:00:00"/>
    <x v="1"/>
    <x v="1"/>
    <x v="0"/>
    <n v="14855.53"/>
    <x v="1"/>
    <x v="1"/>
    <x v="0"/>
    <x v="0"/>
    <x v="2"/>
    <x v="3"/>
    <x v="2"/>
    <x v="3"/>
    <x v="9"/>
    <n v="26"/>
    <x v="0"/>
  </r>
  <r>
    <d v="2023-07-26T00:00:00"/>
    <x v="0"/>
    <x v="1"/>
    <x v="0"/>
    <n v="12948506.41"/>
    <x v="0"/>
    <x v="1"/>
    <x v="0"/>
    <x v="1"/>
    <x v="2"/>
    <x v="3"/>
    <x v="2"/>
    <x v="3"/>
    <x v="9"/>
    <n v="26"/>
    <x v="0"/>
  </r>
  <r>
    <d v="2023-07-26T00:00:00"/>
    <x v="2"/>
    <x v="1"/>
    <x v="2"/>
    <n v="13511.91"/>
    <x v="2"/>
    <x v="1"/>
    <x v="2"/>
    <x v="2"/>
    <x v="2"/>
    <x v="3"/>
    <x v="2"/>
    <x v="3"/>
    <x v="9"/>
    <n v="26"/>
    <x v="0"/>
  </r>
  <r>
    <d v="2023-07-26T00:00:00"/>
    <x v="3"/>
    <x v="2"/>
    <x v="2"/>
    <n v="95938.92"/>
    <x v="3"/>
    <x v="2"/>
    <x v="2"/>
    <x v="4"/>
    <x v="2"/>
    <x v="3"/>
    <x v="2"/>
    <x v="3"/>
    <x v="9"/>
    <n v="26"/>
    <x v="0"/>
  </r>
  <r>
    <d v="2023-07-26T00:00:00"/>
    <x v="0"/>
    <x v="1"/>
    <x v="1"/>
    <n v="2886013.39"/>
    <x v="0"/>
    <x v="1"/>
    <x v="1"/>
    <x v="3"/>
    <x v="2"/>
    <x v="3"/>
    <x v="2"/>
    <x v="3"/>
    <x v="9"/>
    <n v="26"/>
    <x v="0"/>
  </r>
  <r>
    <d v="2023-07-26T00:00:00"/>
    <x v="3"/>
    <x v="3"/>
    <x v="0"/>
    <n v="1905079820.77"/>
    <x v="3"/>
    <x v="3"/>
    <x v="0"/>
    <x v="5"/>
    <x v="2"/>
    <x v="3"/>
    <x v="2"/>
    <x v="3"/>
    <x v="9"/>
    <n v="26"/>
    <x v="0"/>
  </r>
  <r>
    <d v="2023-07-26T00:00:00"/>
    <x v="2"/>
    <x v="1"/>
    <x v="0"/>
    <n v="106665747.67"/>
    <x v="2"/>
    <x v="1"/>
    <x v="0"/>
    <x v="6"/>
    <x v="2"/>
    <x v="3"/>
    <x v="2"/>
    <x v="3"/>
    <x v="9"/>
    <n v="26"/>
    <x v="0"/>
  </r>
  <r>
    <d v="2023-07-26T00:00:00"/>
    <x v="2"/>
    <x v="1"/>
    <x v="1"/>
    <n v="145961522.78"/>
    <x v="2"/>
    <x v="1"/>
    <x v="1"/>
    <x v="7"/>
    <x v="2"/>
    <x v="3"/>
    <x v="2"/>
    <x v="3"/>
    <x v="9"/>
    <n v="26"/>
    <x v="0"/>
  </r>
  <r>
    <d v="2023-07-26T00:00:00"/>
    <x v="1"/>
    <x v="0"/>
    <x v="1"/>
    <n v="630585308.80999994"/>
    <x v="1"/>
    <x v="0"/>
    <x v="1"/>
    <x v="8"/>
    <x v="2"/>
    <x v="3"/>
    <x v="2"/>
    <x v="3"/>
    <x v="9"/>
    <n v="26"/>
    <x v="0"/>
  </r>
  <r>
    <d v="2023-07-26T00:00:00"/>
    <x v="1"/>
    <x v="0"/>
    <x v="0"/>
    <n v="90314958.650000006"/>
    <x v="1"/>
    <x v="0"/>
    <x v="0"/>
    <x v="9"/>
    <x v="2"/>
    <x v="3"/>
    <x v="2"/>
    <x v="3"/>
    <x v="9"/>
    <n v="26"/>
    <x v="0"/>
  </r>
  <r>
    <d v="2023-07-26T00:00:00"/>
    <x v="3"/>
    <x v="2"/>
    <x v="0"/>
    <n v="412240797.23000002"/>
    <x v="3"/>
    <x v="2"/>
    <x v="0"/>
    <x v="10"/>
    <x v="2"/>
    <x v="3"/>
    <x v="2"/>
    <x v="3"/>
    <x v="9"/>
    <n v="26"/>
    <x v="0"/>
  </r>
  <r>
    <d v="2023-07-26T00:00:00"/>
    <x v="3"/>
    <x v="2"/>
    <x v="1"/>
    <n v="11631939938.07"/>
    <x v="3"/>
    <x v="2"/>
    <x v="1"/>
    <x v="11"/>
    <x v="2"/>
    <x v="3"/>
    <x v="2"/>
    <x v="3"/>
    <x v="9"/>
    <n v="26"/>
    <x v="0"/>
  </r>
  <r>
    <d v="2023-07-26T00:00:00"/>
    <x v="3"/>
    <x v="1"/>
    <x v="0"/>
    <n v="16375597.75"/>
    <x v="3"/>
    <x v="1"/>
    <x v="0"/>
    <x v="12"/>
    <x v="2"/>
    <x v="3"/>
    <x v="2"/>
    <x v="3"/>
    <x v="9"/>
    <n v="26"/>
    <x v="0"/>
  </r>
  <r>
    <d v="2023-07-25T00:00:00"/>
    <x v="0"/>
    <x v="1"/>
    <x v="0"/>
    <n v="10356060.15"/>
    <x v="0"/>
    <x v="1"/>
    <x v="0"/>
    <x v="0"/>
    <x v="2"/>
    <x v="3"/>
    <x v="2"/>
    <x v="3"/>
    <x v="9"/>
    <n v="25"/>
    <x v="0"/>
  </r>
  <r>
    <d v="2023-07-25T00:00:00"/>
    <x v="2"/>
    <x v="1"/>
    <x v="2"/>
    <n v="9541.49"/>
    <x v="2"/>
    <x v="1"/>
    <x v="2"/>
    <x v="2"/>
    <x v="2"/>
    <x v="3"/>
    <x v="2"/>
    <x v="3"/>
    <x v="9"/>
    <n v="25"/>
    <x v="0"/>
  </r>
  <r>
    <d v="2023-07-25T00:00:00"/>
    <x v="1"/>
    <x v="1"/>
    <x v="0"/>
    <n v="92755.63"/>
    <x v="1"/>
    <x v="1"/>
    <x v="0"/>
    <x v="5"/>
    <x v="2"/>
    <x v="3"/>
    <x v="2"/>
    <x v="3"/>
    <x v="9"/>
    <n v="25"/>
    <x v="0"/>
  </r>
  <r>
    <d v="2023-07-25T00:00:00"/>
    <x v="1"/>
    <x v="0"/>
    <x v="1"/>
    <n v="181882064.28"/>
    <x v="1"/>
    <x v="0"/>
    <x v="1"/>
    <x v="10"/>
    <x v="2"/>
    <x v="3"/>
    <x v="2"/>
    <x v="3"/>
    <x v="9"/>
    <n v="25"/>
    <x v="0"/>
  </r>
  <r>
    <d v="2023-07-25T00:00:00"/>
    <x v="1"/>
    <x v="0"/>
    <x v="0"/>
    <n v="68242684.370000005"/>
    <x v="1"/>
    <x v="0"/>
    <x v="0"/>
    <x v="11"/>
    <x v="2"/>
    <x v="3"/>
    <x v="2"/>
    <x v="3"/>
    <x v="9"/>
    <n v="25"/>
    <x v="0"/>
  </r>
  <r>
    <d v="2023-07-25T00:00:00"/>
    <x v="3"/>
    <x v="3"/>
    <x v="1"/>
    <n v="10588.72"/>
    <x v="3"/>
    <x v="3"/>
    <x v="1"/>
    <x v="3"/>
    <x v="2"/>
    <x v="3"/>
    <x v="2"/>
    <x v="3"/>
    <x v="9"/>
    <n v="25"/>
    <x v="0"/>
  </r>
  <r>
    <d v="2023-07-25T00:00:00"/>
    <x v="0"/>
    <x v="1"/>
    <x v="1"/>
    <n v="9546688.8100000005"/>
    <x v="0"/>
    <x v="1"/>
    <x v="1"/>
    <x v="4"/>
    <x v="2"/>
    <x v="3"/>
    <x v="2"/>
    <x v="3"/>
    <x v="9"/>
    <n v="25"/>
    <x v="0"/>
  </r>
  <r>
    <d v="2023-07-25T00:00:00"/>
    <x v="3"/>
    <x v="2"/>
    <x v="2"/>
    <n v="484903"/>
    <x v="3"/>
    <x v="2"/>
    <x v="2"/>
    <x v="6"/>
    <x v="2"/>
    <x v="3"/>
    <x v="2"/>
    <x v="3"/>
    <x v="9"/>
    <n v="25"/>
    <x v="0"/>
  </r>
  <r>
    <d v="2023-07-25T00:00:00"/>
    <x v="3"/>
    <x v="3"/>
    <x v="2"/>
    <n v="8.41"/>
    <x v="3"/>
    <x v="3"/>
    <x v="2"/>
    <x v="1"/>
    <x v="2"/>
    <x v="3"/>
    <x v="2"/>
    <x v="3"/>
    <x v="9"/>
    <n v="25"/>
    <x v="0"/>
  </r>
  <r>
    <d v="2023-07-25T00:00:00"/>
    <x v="2"/>
    <x v="1"/>
    <x v="0"/>
    <n v="60315319.060000002"/>
    <x v="2"/>
    <x v="1"/>
    <x v="0"/>
    <x v="8"/>
    <x v="2"/>
    <x v="3"/>
    <x v="2"/>
    <x v="3"/>
    <x v="9"/>
    <n v="25"/>
    <x v="0"/>
  </r>
  <r>
    <d v="2023-07-25T00:00:00"/>
    <x v="2"/>
    <x v="1"/>
    <x v="1"/>
    <n v="125421179.58"/>
    <x v="2"/>
    <x v="1"/>
    <x v="1"/>
    <x v="9"/>
    <x v="2"/>
    <x v="3"/>
    <x v="2"/>
    <x v="3"/>
    <x v="9"/>
    <n v="25"/>
    <x v="0"/>
  </r>
  <r>
    <d v="2023-07-25T00:00:00"/>
    <x v="3"/>
    <x v="3"/>
    <x v="0"/>
    <n v="2001550363.6500001"/>
    <x v="3"/>
    <x v="3"/>
    <x v="0"/>
    <x v="7"/>
    <x v="2"/>
    <x v="3"/>
    <x v="2"/>
    <x v="3"/>
    <x v="9"/>
    <n v="25"/>
    <x v="0"/>
  </r>
  <r>
    <d v="2023-07-25T00:00:00"/>
    <x v="3"/>
    <x v="2"/>
    <x v="0"/>
    <n v="5565146528.8500004"/>
    <x v="3"/>
    <x v="2"/>
    <x v="0"/>
    <x v="12"/>
    <x v="2"/>
    <x v="3"/>
    <x v="2"/>
    <x v="3"/>
    <x v="9"/>
    <n v="25"/>
    <x v="0"/>
  </r>
  <r>
    <d v="2023-07-25T00:00:00"/>
    <x v="3"/>
    <x v="2"/>
    <x v="1"/>
    <n v="2837235739.8400002"/>
    <x v="3"/>
    <x v="2"/>
    <x v="1"/>
    <x v="13"/>
    <x v="2"/>
    <x v="3"/>
    <x v="2"/>
    <x v="3"/>
    <x v="9"/>
    <n v="25"/>
    <x v="0"/>
  </r>
  <r>
    <d v="2023-07-25T00:00:00"/>
    <x v="3"/>
    <x v="1"/>
    <x v="0"/>
    <n v="13862680.869999999"/>
    <x v="3"/>
    <x v="1"/>
    <x v="0"/>
    <x v="14"/>
    <x v="2"/>
    <x v="3"/>
    <x v="2"/>
    <x v="3"/>
    <x v="9"/>
    <n v="25"/>
    <x v="0"/>
  </r>
  <r>
    <d v="2023-07-24T00:00:00"/>
    <x v="0"/>
    <x v="1"/>
    <x v="1"/>
    <n v="9225561.1799999997"/>
    <x v="0"/>
    <x v="1"/>
    <x v="1"/>
    <x v="3"/>
    <x v="2"/>
    <x v="3"/>
    <x v="2"/>
    <x v="3"/>
    <x v="9"/>
    <n v="24"/>
    <x v="0"/>
  </r>
  <r>
    <d v="2023-07-24T00:00:00"/>
    <x v="1"/>
    <x v="1"/>
    <x v="0"/>
    <n v="40748.949999999997"/>
    <x v="1"/>
    <x v="1"/>
    <x v="0"/>
    <x v="0"/>
    <x v="2"/>
    <x v="3"/>
    <x v="2"/>
    <x v="3"/>
    <x v="9"/>
    <n v="24"/>
    <x v="0"/>
  </r>
  <r>
    <d v="2023-07-24T00:00:00"/>
    <x v="0"/>
    <x v="1"/>
    <x v="0"/>
    <n v="34574532.460000001"/>
    <x v="0"/>
    <x v="1"/>
    <x v="0"/>
    <x v="1"/>
    <x v="2"/>
    <x v="3"/>
    <x v="2"/>
    <x v="3"/>
    <x v="9"/>
    <n v="24"/>
    <x v="0"/>
  </r>
  <r>
    <d v="2023-07-24T00:00:00"/>
    <x v="3"/>
    <x v="2"/>
    <x v="2"/>
    <n v="139467"/>
    <x v="3"/>
    <x v="2"/>
    <x v="2"/>
    <x v="5"/>
    <x v="2"/>
    <x v="3"/>
    <x v="2"/>
    <x v="3"/>
    <x v="9"/>
    <n v="24"/>
    <x v="0"/>
  </r>
  <r>
    <d v="2023-07-24T00:00:00"/>
    <x v="2"/>
    <x v="1"/>
    <x v="2"/>
    <n v="5255"/>
    <x v="2"/>
    <x v="1"/>
    <x v="2"/>
    <x v="2"/>
    <x v="2"/>
    <x v="3"/>
    <x v="2"/>
    <x v="3"/>
    <x v="9"/>
    <n v="24"/>
    <x v="0"/>
  </r>
  <r>
    <d v="2023-07-24T00:00:00"/>
    <x v="3"/>
    <x v="3"/>
    <x v="0"/>
    <n v="1774356675.4400001"/>
    <x v="3"/>
    <x v="3"/>
    <x v="0"/>
    <x v="6"/>
    <x v="2"/>
    <x v="3"/>
    <x v="2"/>
    <x v="3"/>
    <x v="9"/>
    <n v="24"/>
    <x v="0"/>
  </r>
  <r>
    <d v="2023-07-24T00:00:00"/>
    <x v="1"/>
    <x v="0"/>
    <x v="1"/>
    <n v="210790490.19"/>
    <x v="1"/>
    <x v="0"/>
    <x v="1"/>
    <x v="10"/>
    <x v="2"/>
    <x v="3"/>
    <x v="2"/>
    <x v="3"/>
    <x v="9"/>
    <n v="24"/>
    <x v="0"/>
  </r>
  <r>
    <d v="2023-07-24T00:00:00"/>
    <x v="3"/>
    <x v="3"/>
    <x v="2"/>
    <n v="-463.74"/>
    <x v="3"/>
    <x v="3"/>
    <x v="2"/>
    <x v="4"/>
    <x v="2"/>
    <x v="3"/>
    <x v="2"/>
    <x v="3"/>
    <x v="9"/>
    <n v="24"/>
    <x v="1"/>
  </r>
  <r>
    <d v="2023-07-24T00:00:00"/>
    <x v="2"/>
    <x v="1"/>
    <x v="0"/>
    <n v="78168028.950000003"/>
    <x v="2"/>
    <x v="1"/>
    <x v="0"/>
    <x v="7"/>
    <x v="2"/>
    <x v="3"/>
    <x v="2"/>
    <x v="3"/>
    <x v="9"/>
    <n v="24"/>
    <x v="0"/>
  </r>
  <r>
    <d v="2023-07-24T00:00:00"/>
    <x v="2"/>
    <x v="1"/>
    <x v="1"/>
    <n v="85864982.040000007"/>
    <x v="2"/>
    <x v="1"/>
    <x v="1"/>
    <x v="8"/>
    <x v="2"/>
    <x v="3"/>
    <x v="2"/>
    <x v="3"/>
    <x v="9"/>
    <n v="24"/>
    <x v="0"/>
  </r>
  <r>
    <d v="2023-07-24T00:00:00"/>
    <x v="1"/>
    <x v="0"/>
    <x v="0"/>
    <n v="57291661.670000002"/>
    <x v="1"/>
    <x v="0"/>
    <x v="0"/>
    <x v="9"/>
    <x v="2"/>
    <x v="3"/>
    <x v="2"/>
    <x v="3"/>
    <x v="9"/>
    <n v="24"/>
    <x v="0"/>
  </r>
  <r>
    <d v="2023-07-24T00:00:00"/>
    <x v="3"/>
    <x v="2"/>
    <x v="0"/>
    <n v="522076079.06999999"/>
    <x v="3"/>
    <x v="2"/>
    <x v="0"/>
    <x v="11"/>
    <x v="2"/>
    <x v="3"/>
    <x v="2"/>
    <x v="3"/>
    <x v="9"/>
    <n v="24"/>
    <x v="0"/>
  </r>
  <r>
    <d v="2023-07-24T00:00:00"/>
    <x v="3"/>
    <x v="2"/>
    <x v="1"/>
    <n v="24497912233.759998"/>
    <x v="3"/>
    <x v="2"/>
    <x v="1"/>
    <x v="12"/>
    <x v="2"/>
    <x v="3"/>
    <x v="2"/>
    <x v="3"/>
    <x v="9"/>
    <n v="24"/>
    <x v="0"/>
  </r>
  <r>
    <d v="2023-07-24T00:00:00"/>
    <x v="3"/>
    <x v="1"/>
    <x v="0"/>
    <n v="48593889.729999997"/>
    <x v="3"/>
    <x v="1"/>
    <x v="0"/>
    <x v="13"/>
    <x v="2"/>
    <x v="3"/>
    <x v="2"/>
    <x v="3"/>
    <x v="9"/>
    <n v="24"/>
    <x v="0"/>
  </r>
  <r>
    <d v="2023-07-21T00:00:00"/>
    <x v="1"/>
    <x v="1"/>
    <x v="0"/>
    <n v="132814.56"/>
    <x v="1"/>
    <x v="1"/>
    <x v="0"/>
    <x v="0"/>
    <x v="2"/>
    <x v="3"/>
    <x v="2"/>
    <x v="3"/>
    <x v="9"/>
    <n v="21"/>
    <x v="0"/>
  </r>
  <r>
    <d v="2023-07-21T00:00:00"/>
    <x v="0"/>
    <x v="1"/>
    <x v="0"/>
    <n v="8707484.0600000005"/>
    <x v="0"/>
    <x v="1"/>
    <x v="0"/>
    <x v="1"/>
    <x v="2"/>
    <x v="3"/>
    <x v="2"/>
    <x v="3"/>
    <x v="9"/>
    <n v="21"/>
    <x v="0"/>
  </r>
  <r>
    <d v="2023-07-21T00:00:00"/>
    <x v="2"/>
    <x v="1"/>
    <x v="2"/>
    <n v="9076"/>
    <x v="2"/>
    <x v="1"/>
    <x v="2"/>
    <x v="4"/>
    <x v="2"/>
    <x v="3"/>
    <x v="2"/>
    <x v="3"/>
    <x v="9"/>
    <n v="21"/>
    <x v="0"/>
  </r>
  <r>
    <d v="2023-07-21T00:00:00"/>
    <x v="2"/>
    <x v="1"/>
    <x v="0"/>
    <n v="106234150.56"/>
    <x v="2"/>
    <x v="1"/>
    <x v="0"/>
    <x v="7"/>
    <x v="2"/>
    <x v="3"/>
    <x v="2"/>
    <x v="3"/>
    <x v="9"/>
    <n v="21"/>
    <x v="0"/>
  </r>
  <r>
    <d v="2023-07-21T00:00:00"/>
    <x v="2"/>
    <x v="1"/>
    <x v="1"/>
    <n v="156256462.37"/>
    <x v="2"/>
    <x v="1"/>
    <x v="1"/>
    <x v="8"/>
    <x v="2"/>
    <x v="3"/>
    <x v="2"/>
    <x v="3"/>
    <x v="9"/>
    <n v="21"/>
    <x v="0"/>
  </r>
  <r>
    <d v="2023-07-21T00:00:00"/>
    <x v="1"/>
    <x v="0"/>
    <x v="1"/>
    <n v="140263667.52000001"/>
    <x v="1"/>
    <x v="0"/>
    <x v="1"/>
    <x v="9"/>
    <x v="2"/>
    <x v="3"/>
    <x v="2"/>
    <x v="3"/>
    <x v="9"/>
    <n v="21"/>
    <x v="0"/>
  </r>
  <r>
    <d v="2023-07-21T00:00:00"/>
    <x v="3"/>
    <x v="3"/>
    <x v="1"/>
    <n v="0.05"/>
    <x v="3"/>
    <x v="3"/>
    <x v="1"/>
    <x v="2"/>
    <x v="2"/>
    <x v="3"/>
    <x v="2"/>
    <x v="3"/>
    <x v="9"/>
    <n v="21"/>
    <x v="0"/>
  </r>
  <r>
    <d v="2023-07-21T00:00:00"/>
    <x v="0"/>
    <x v="1"/>
    <x v="1"/>
    <n v="1270658.02"/>
    <x v="0"/>
    <x v="1"/>
    <x v="1"/>
    <x v="3"/>
    <x v="2"/>
    <x v="3"/>
    <x v="2"/>
    <x v="3"/>
    <x v="9"/>
    <n v="21"/>
    <x v="0"/>
  </r>
  <r>
    <d v="2023-07-21T00:00:00"/>
    <x v="3"/>
    <x v="2"/>
    <x v="2"/>
    <n v="184851"/>
    <x v="3"/>
    <x v="2"/>
    <x v="2"/>
    <x v="5"/>
    <x v="2"/>
    <x v="3"/>
    <x v="2"/>
    <x v="3"/>
    <x v="9"/>
    <n v="21"/>
    <x v="0"/>
  </r>
  <r>
    <d v="2023-07-21T00:00:00"/>
    <x v="3"/>
    <x v="3"/>
    <x v="0"/>
    <n v="1027424167.11"/>
    <x v="3"/>
    <x v="3"/>
    <x v="0"/>
    <x v="6"/>
    <x v="2"/>
    <x v="3"/>
    <x v="2"/>
    <x v="3"/>
    <x v="9"/>
    <n v="21"/>
    <x v="0"/>
  </r>
  <r>
    <d v="2023-07-21T00:00:00"/>
    <x v="1"/>
    <x v="0"/>
    <x v="0"/>
    <n v="64364827.369999997"/>
    <x v="1"/>
    <x v="0"/>
    <x v="0"/>
    <x v="10"/>
    <x v="2"/>
    <x v="3"/>
    <x v="2"/>
    <x v="3"/>
    <x v="9"/>
    <n v="21"/>
    <x v="0"/>
  </r>
  <r>
    <d v="2023-07-21T00:00:00"/>
    <x v="3"/>
    <x v="2"/>
    <x v="0"/>
    <n v="397269687.70999998"/>
    <x v="3"/>
    <x v="2"/>
    <x v="0"/>
    <x v="11"/>
    <x v="2"/>
    <x v="3"/>
    <x v="2"/>
    <x v="3"/>
    <x v="9"/>
    <n v="21"/>
    <x v="0"/>
  </r>
  <r>
    <d v="2023-07-21T00:00:00"/>
    <x v="3"/>
    <x v="1"/>
    <x v="0"/>
    <n v="15883730.09"/>
    <x v="3"/>
    <x v="1"/>
    <x v="0"/>
    <x v="12"/>
    <x v="2"/>
    <x v="3"/>
    <x v="2"/>
    <x v="3"/>
    <x v="9"/>
    <n v="21"/>
    <x v="0"/>
  </r>
  <r>
    <d v="2023-07-21T00:00:00"/>
    <x v="3"/>
    <x v="2"/>
    <x v="1"/>
    <n v="10245133848.309999"/>
    <x v="3"/>
    <x v="2"/>
    <x v="1"/>
    <x v="13"/>
    <x v="2"/>
    <x v="3"/>
    <x v="2"/>
    <x v="3"/>
    <x v="9"/>
    <n v="21"/>
    <x v="0"/>
  </r>
  <r>
    <d v="2023-07-20T00:00:00"/>
    <x v="1"/>
    <x v="1"/>
    <x v="0"/>
    <n v="123689"/>
    <x v="1"/>
    <x v="1"/>
    <x v="0"/>
    <x v="0"/>
    <x v="2"/>
    <x v="3"/>
    <x v="2"/>
    <x v="3"/>
    <x v="9"/>
    <n v="20"/>
    <x v="0"/>
  </r>
  <r>
    <d v="2023-07-20T00:00:00"/>
    <x v="0"/>
    <x v="1"/>
    <x v="0"/>
    <n v="18393464.690000001"/>
    <x v="0"/>
    <x v="1"/>
    <x v="0"/>
    <x v="1"/>
    <x v="2"/>
    <x v="3"/>
    <x v="2"/>
    <x v="3"/>
    <x v="9"/>
    <n v="20"/>
    <x v="0"/>
  </r>
  <r>
    <d v="2023-07-20T00:00:00"/>
    <x v="2"/>
    <x v="1"/>
    <x v="2"/>
    <n v="5828.55"/>
    <x v="2"/>
    <x v="1"/>
    <x v="2"/>
    <x v="3"/>
    <x v="2"/>
    <x v="3"/>
    <x v="2"/>
    <x v="3"/>
    <x v="9"/>
    <n v="20"/>
    <x v="0"/>
  </r>
  <r>
    <d v="2023-07-20T00:00:00"/>
    <x v="2"/>
    <x v="1"/>
    <x v="0"/>
    <n v="79924548.090000004"/>
    <x v="2"/>
    <x v="1"/>
    <x v="0"/>
    <x v="6"/>
    <x v="2"/>
    <x v="3"/>
    <x v="2"/>
    <x v="3"/>
    <x v="9"/>
    <n v="20"/>
    <x v="0"/>
  </r>
  <r>
    <d v="2023-07-20T00:00:00"/>
    <x v="3"/>
    <x v="2"/>
    <x v="2"/>
    <n v="73207.8"/>
    <x v="3"/>
    <x v="2"/>
    <x v="2"/>
    <x v="5"/>
    <x v="2"/>
    <x v="3"/>
    <x v="2"/>
    <x v="3"/>
    <x v="9"/>
    <n v="20"/>
    <x v="0"/>
  </r>
  <r>
    <d v="2023-07-20T00:00:00"/>
    <x v="1"/>
    <x v="0"/>
    <x v="1"/>
    <n v="245532782.16"/>
    <x v="1"/>
    <x v="0"/>
    <x v="1"/>
    <x v="9"/>
    <x v="2"/>
    <x v="3"/>
    <x v="2"/>
    <x v="3"/>
    <x v="9"/>
    <n v="20"/>
    <x v="0"/>
  </r>
  <r>
    <d v="2023-07-20T00:00:00"/>
    <x v="1"/>
    <x v="0"/>
    <x v="0"/>
    <n v="79942439.390000001"/>
    <x v="1"/>
    <x v="0"/>
    <x v="0"/>
    <x v="10"/>
    <x v="2"/>
    <x v="3"/>
    <x v="2"/>
    <x v="3"/>
    <x v="9"/>
    <n v="20"/>
    <x v="0"/>
  </r>
  <r>
    <d v="2023-07-20T00:00:00"/>
    <x v="0"/>
    <x v="1"/>
    <x v="1"/>
    <n v="7798061.1399999997"/>
    <x v="0"/>
    <x v="1"/>
    <x v="1"/>
    <x v="4"/>
    <x v="2"/>
    <x v="3"/>
    <x v="2"/>
    <x v="3"/>
    <x v="9"/>
    <n v="20"/>
    <x v="0"/>
  </r>
  <r>
    <d v="2023-07-20T00:00:00"/>
    <x v="3"/>
    <x v="3"/>
    <x v="2"/>
    <n v="32.950000000000003"/>
    <x v="3"/>
    <x v="3"/>
    <x v="2"/>
    <x v="2"/>
    <x v="2"/>
    <x v="3"/>
    <x v="2"/>
    <x v="3"/>
    <x v="9"/>
    <n v="20"/>
    <x v="0"/>
  </r>
  <r>
    <d v="2023-07-20T00:00:00"/>
    <x v="3"/>
    <x v="3"/>
    <x v="0"/>
    <n v="2487451477.1100001"/>
    <x v="3"/>
    <x v="3"/>
    <x v="0"/>
    <x v="7"/>
    <x v="2"/>
    <x v="3"/>
    <x v="2"/>
    <x v="3"/>
    <x v="9"/>
    <n v="20"/>
    <x v="0"/>
  </r>
  <r>
    <d v="2023-07-20T00:00:00"/>
    <x v="2"/>
    <x v="1"/>
    <x v="1"/>
    <n v="142063933.72"/>
    <x v="2"/>
    <x v="1"/>
    <x v="1"/>
    <x v="8"/>
    <x v="2"/>
    <x v="3"/>
    <x v="2"/>
    <x v="3"/>
    <x v="9"/>
    <n v="20"/>
    <x v="0"/>
  </r>
  <r>
    <d v="2023-07-20T00:00:00"/>
    <x v="3"/>
    <x v="2"/>
    <x v="0"/>
    <n v="679633251.40999997"/>
    <x v="3"/>
    <x v="2"/>
    <x v="0"/>
    <x v="11"/>
    <x v="2"/>
    <x v="3"/>
    <x v="2"/>
    <x v="3"/>
    <x v="9"/>
    <n v="20"/>
    <x v="0"/>
  </r>
  <r>
    <d v="2023-07-20T00:00:00"/>
    <x v="3"/>
    <x v="2"/>
    <x v="1"/>
    <n v="3954738496.0999999"/>
    <x v="3"/>
    <x v="2"/>
    <x v="1"/>
    <x v="12"/>
    <x v="2"/>
    <x v="3"/>
    <x v="2"/>
    <x v="3"/>
    <x v="9"/>
    <n v="20"/>
    <x v="0"/>
  </r>
  <r>
    <d v="2023-07-20T00:00:00"/>
    <x v="3"/>
    <x v="1"/>
    <x v="0"/>
    <n v="15490656.5"/>
    <x v="3"/>
    <x v="1"/>
    <x v="0"/>
    <x v="13"/>
    <x v="2"/>
    <x v="3"/>
    <x v="2"/>
    <x v="3"/>
    <x v="9"/>
    <n v="20"/>
    <x v="0"/>
  </r>
  <r>
    <d v="2023-07-19T00:00:00"/>
    <x v="1"/>
    <x v="1"/>
    <x v="0"/>
    <n v="122837.88"/>
    <x v="1"/>
    <x v="1"/>
    <x v="0"/>
    <x v="0"/>
    <x v="2"/>
    <x v="3"/>
    <x v="2"/>
    <x v="3"/>
    <x v="9"/>
    <n v="19"/>
    <x v="0"/>
  </r>
  <r>
    <d v="2023-07-19T00:00:00"/>
    <x v="0"/>
    <x v="1"/>
    <x v="0"/>
    <n v="12136913.5"/>
    <x v="0"/>
    <x v="1"/>
    <x v="0"/>
    <x v="1"/>
    <x v="2"/>
    <x v="3"/>
    <x v="2"/>
    <x v="3"/>
    <x v="9"/>
    <n v="19"/>
    <x v="0"/>
  </r>
  <r>
    <d v="2023-07-19T00:00:00"/>
    <x v="2"/>
    <x v="1"/>
    <x v="2"/>
    <n v="16921.96"/>
    <x v="2"/>
    <x v="1"/>
    <x v="2"/>
    <x v="2"/>
    <x v="2"/>
    <x v="3"/>
    <x v="2"/>
    <x v="3"/>
    <x v="9"/>
    <n v="19"/>
    <x v="0"/>
  </r>
  <r>
    <d v="2023-07-19T00:00:00"/>
    <x v="2"/>
    <x v="1"/>
    <x v="0"/>
    <n v="101558641.27"/>
    <x v="2"/>
    <x v="1"/>
    <x v="0"/>
    <x v="6"/>
    <x v="2"/>
    <x v="3"/>
    <x v="2"/>
    <x v="3"/>
    <x v="9"/>
    <n v="19"/>
    <x v="0"/>
  </r>
  <r>
    <d v="2023-07-19T00:00:00"/>
    <x v="3"/>
    <x v="3"/>
    <x v="0"/>
    <n v="990980212.49000001"/>
    <x v="3"/>
    <x v="3"/>
    <x v="0"/>
    <x v="7"/>
    <x v="2"/>
    <x v="3"/>
    <x v="2"/>
    <x v="3"/>
    <x v="9"/>
    <n v="19"/>
    <x v="0"/>
  </r>
  <r>
    <d v="2023-07-19T00:00:00"/>
    <x v="2"/>
    <x v="1"/>
    <x v="1"/>
    <n v="137843286.55000001"/>
    <x v="2"/>
    <x v="1"/>
    <x v="1"/>
    <x v="8"/>
    <x v="2"/>
    <x v="3"/>
    <x v="2"/>
    <x v="3"/>
    <x v="9"/>
    <n v="19"/>
    <x v="0"/>
  </r>
  <r>
    <d v="2023-07-19T00:00:00"/>
    <x v="3"/>
    <x v="2"/>
    <x v="2"/>
    <n v="367874.18"/>
    <x v="3"/>
    <x v="2"/>
    <x v="2"/>
    <x v="5"/>
    <x v="2"/>
    <x v="3"/>
    <x v="2"/>
    <x v="3"/>
    <x v="9"/>
    <n v="19"/>
    <x v="0"/>
  </r>
  <r>
    <d v="2023-07-19T00:00:00"/>
    <x v="1"/>
    <x v="0"/>
    <x v="1"/>
    <n v="725165182.33000004"/>
    <x v="1"/>
    <x v="0"/>
    <x v="1"/>
    <x v="9"/>
    <x v="2"/>
    <x v="3"/>
    <x v="2"/>
    <x v="3"/>
    <x v="9"/>
    <n v="19"/>
    <x v="0"/>
  </r>
  <r>
    <d v="2023-07-19T00:00:00"/>
    <x v="3"/>
    <x v="3"/>
    <x v="1"/>
    <n v="10507.86"/>
    <x v="3"/>
    <x v="3"/>
    <x v="1"/>
    <x v="3"/>
    <x v="2"/>
    <x v="3"/>
    <x v="2"/>
    <x v="3"/>
    <x v="9"/>
    <n v="19"/>
    <x v="0"/>
  </r>
  <r>
    <d v="2023-07-19T00:00:00"/>
    <x v="0"/>
    <x v="1"/>
    <x v="1"/>
    <n v="8052071"/>
    <x v="0"/>
    <x v="1"/>
    <x v="1"/>
    <x v="4"/>
    <x v="2"/>
    <x v="3"/>
    <x v="2"/>
    <x v="3"/>
    <x v="9"/>
    <n v="19"/>
    <x v="0"/>
  </r>
  <r>
    <d v="2023-07-19T00:00:00"/>
    <x v="1"/>
    <x v="0"/>
    <x v="0"/>
    <n v="117735299.08"/>
    <x v="1"/>
    <x v="0"/>
    <x v="0"/>
    <x v="10"/>
    <x v="2"/>
    <x v="3"/>
    <x v="2"/>
    <x v="3"/>
    <x v="9"/>
    <n v="19"/>
    <x v="0"/>
  </r>
  <r>
    <d v="2023-07-19T00:00:00"/>
    <x v="3"/>
    <x v="2"/>
    <x v="0"/>
    <n v="462963916.44"/>
    <x v="3"/>
    <x v="2"/>
    <x v="0"/>
    <x v="11"/>
    <x v="2"/>
    <x v="3"/>
    <x v="2"/>
    <x v="3"/>
    <x v="9"/>
    <n v="19"/>
    <x v="0"/>
  </r>
  <r>
    <d v="2023-07-19T00:00:00"/>
    <x v="3"/>
    <x v="1"/>
    <x v="0"/>
    <n v="16282633.24"/>
    <x v="3"/>
    <x v="1"/>
    <x v="0"/>
    <x v="12"/>
    <x v="2"/>
    <x v="3"/>
    <x v="2"/>
    <x v="3"/>
    <x v="9"/>
    <n v="19"/>
    <x v="0"/>
  </r>
  <r>
    <d v="2023-07-19T00:00:00"/>
    <x v="3"/>
    <x v="2"/>
    <x v="1"/>
    <n v="12060734293.34"/>
    <x v="3"/>
    <x v="2"/>
    <x v="1"/>
    <x v="13"/>
    <x v="2"/>
    <x v="3"/>
    <x v="2"/>
    <x v="3"/>
    <x v="9"/>
    <n v="19"/>
    <x v="0"/>
  </r>
  <r>
    <d v="2023-07-18T00:00:00"/>
    <x v="0"/>
    <x v="1"/>
    <x v="0"/>
    <n v="17876388.469999999"/>
    <x v="0"/>
    <x v="1"/>
    <x v="0"/>
    <x v="0"/>
    <x v="2"/>
    <x v="3"/>
    <x v="2"/>
    <x v="3"/>
    <x v="9"/>
    <n v="18"/>
    <x v="0"/>
  </r>
  <r>
    <d v="2023-07-18T00:00:00"/>
    <x v="3"/>
    <x v="3"/>
    <x v="2"/>
    <n v="573.41"/>
    <x v="3"/>
    <x v="3"/>
    <x v="2"/>
    <x v="1"/>
    <x v="2"/>
    <x v="3"/>
    <x v="2"/>
    <x v="3"/>
    <x v="9"/>
    <n v="18"/>
    <x v="0"/>
  </r>
  <r>
    <d v="2023-07-18T00:00:00"/>
    <x v="2"/>
    <x v="1"/>
    <x v="2"/>
    <n v="13507.36"/>
    <x v="2"/>
    <x v="1"/>
    <x v="2"/>
    <x v="2"/>
    <x v="2"/>
    <x v="3"/>
    <x v="2"/>
    <x v="3"/>
    <x v="9"/>
    <n v="18"/>
    <x v="0"/>
  </r>
  <r>
    <d v="2023-07-18T00:00:00"/>
    <x v="2"/>
    <x v="1"/>
    <x v="0"/>
    <n v="156044260.91999999"/>
    <x v="2"/>
    <x v="1"/>
    <x v="0"/>
    <x v="7"/>
    <x v="2"/>
    <x v="3"/>
    <x v="2"/>
    <x v="3"/>
    <x v="9"/>
    <n v="18"/>
    <x v="0"/>
  </r>
  <r>
    <d v="2023-07-18T00:00:00"/>
    <x v="3"/>
    <x v="3"/>
    <x v="0"/>
    <n v="790815158.98000002"/>
    <x v="3"/>
    <x v="3"/>
    <x v="0"/>
    <x v="8"/>
    <x v="2"/>
    <x v="3"/>
    <x v="2"/>
    <x v="3"/>
    <x v="9"/>
    <n v="18"/>
    <x v="0"/>
  </r>
  <r>
    <d v="2023-07-18T00:00:00"/>
    <x v="1"/>
    <x v="1"/>
    <x v="0"/>
    <n v="-38"/>
    <x v="1"/>
    <x v="1"/>
    <x v="0"/>
    <x v="5"/>
    <x v="2"/>
    <x v="3"/>
    <x v="2"/>
    <x v="3"/>
    <x v="9"/>
    <n v="18"/>
    <x v="1"/>
  </r>
  <r>
    <d v="2023-07-18T00:00:00"/>
    <x v="1"/>
    <x v="0"/>
    <x v="0"/>
    <n v="60245856.600000001"/>
    <x v="1"/>
    <x v="0"/>
    <x v="0"/>
    <x v="11"/>
    <x v="2"/>
    <x v="3"/>
    <x v="2"/>
    <x v="3"/>
    <x v="9"/>
    <n v="18"/>
    <x v="0"/>
  </r>
  <r>
    <d v="2023-07-18T00:00:00"/>
    <x v="3"/>
    <x v="3"/>
    <x v="1"/>
    <n v="4043223.02"/>
    <x v="3"/>
    <x v="3"/>
    <x v="1"/>
    <x v="3"/>
    <x v="2"/>
    <x v="3"/>
    <x v="2"/>
    <x v="3"/>
    <x v="9"/>
    <n v="18"/>
    <x v="0"/>
  </r>
  <r>
    <d v="2023-07-18T00:00:00"/>
    <x v="0"/>
    <x v="1"/>
    <x v="1"/>
    <n v="13005700.67"/>
    <x v="0"/>
    <x v="1"/>
    <x v="1"/>
    <x v="4"/>
    <x v="2"/>
    <x v="3"/>
    <x v="2"/>
    <x v="3"/>
    <x v="9"/>
    <n v="18"/>
    <x v="0"/>
  </r>
  <r>
    <d v="2023-07-18T00:00:00"/>
    <x v="3"/>
    <x v="2"/>
    <x v="2"/>
    <n v="112484.65"/>
    <x v="3"/>
    <x v="2"/>
    <x v="2"/>
    <x v="6"/>
    <x v="2"/>
    <x v="3"/>
    <x v="2"/>
    <x v="3"/>
    <x v="9"/>
    <n v="18"/>
    <x v="0"/>
  </r>
  <r>
    <d v="2023-07-18T00:00:00"/>
    <x v="2"/>
    <x v="1"/>
    <x v="1"/>
    <n v="77087614.629999995"/>
    <x v="2"/>
    <x v="1"/>
    <x v="1"/>
    <x v="9"/>
    <x v="2"/>
    <x v="3"/>
    <x v="2"/>
    <x v="3"/>
    <x v="9"/>
    <n v="18"/>
    <x v="0"/>
  </r>
  <r>
    <d v="2023-07-18T00:00:00"/>
    <x v="1"/>
    <x v="0"/>
    <x v="1"/>
    <n v="214663688.25"/>
    <x v="1"/>
    <x v="0"/>
    <x v="1"/>
    <x v="10"/>
    <x v="2"/>
    <x v="3"/>
    <x v="2"/>
    <x v="3"/>
    <x v="9"/>
    <n v="18"/>
    <x v="0"/>
  </r>
  <r>
    <d v="2023-07-18T00:00:00"/>
    <x v="3"/>
    <x v="2"/>
    <x v="0"/>
    <n v="502990564.49000001"/>
    <x v="3"/>
    <x v="2"/>
    <x v="0"/>
    <x v="12"/>
    <x v="2"/>
    <x v="3"/>
    <x v="2"/>
    <x v="3"/>
    <x v="9"/>
    <n v="18"/>
    <x v="0"/>
  </r>
  <r>
    <d v="2023-07-18T00:00:00"/>
    <x v="3"/>
    <x v="1"/>
    <x v="0"/>
    <n v="14012849.310000001"/>
    <x v="3"/>
    <x v="1"/>
    <x v="0"/>
    <x v="13"/>
    <x v="2"/>
    <x v="3"/>
    <x v="2"/>
    <x v="3"/>
    <x v="9"/>
    <n v="18"/>
    <x v="0"/>
  </r>
  <r>
    <d v="2023-07-18T00:00:00"/>
    <x v="3"/>
    <x v="2"/>
    <x v="1"/>
    <n v="3349336904.6100001"/>
    <x v="3"/>
    <x v="2"/>
    <x v="1"/>
    <x v="14"/>
    <x v="2"/>
    <x v="3"/>
    <x v="2"/>
    <x v="3"/>
    <x v="9"/>
    <n v="18"/>
    <x v="0"/>
  </r>
  <r>
    <d v="2023-07-17T00:00:00"/>
    <x v="0"/>
    <x v="1"/>
    <x v="0"/>
    <n v="14506644.73"/>
    <x v="0"/>
    <x v="1"/>
    <x v="0"/>
    <x v="0"/>
    <x v="2"/>
    <x v="3"/>
    <x v="2"/>
    <x v="3"/>
    <x v="9"/>
    <n v="17"/>
    <x v="0"/>
  </r>
  <r>
    <d v="2023-07-17T00:00:00"/>
    <x v="2"/>
    <x v="1"/>
    <x v="2"/>
    <n v="3783.32"/>
    <x v="2"/>
    <x v="1"/>
    <x v="2"/>
    <x v="1"/>
    <x v="2"/>
    <x v="3"/>
    <x v="2"/>
    <x v="3"/>
    <x v="9"/>
    <n v="17"/>
    <x v="0"/>
  </r>
  <r>
    <d v="2023-07-17T00:00:00"/>
    <x v="1"/>
    <x v="1"/>
    <x v="0"/>
    <n v="14040.88"/>
    <x v="1"/>
    <x v="1"/>
    <x v="0"/>
    <x v="4"/>
    <x v="2"/>
    <x v="3"/>
    <x v="2"/>
    <x v="3"/>
    <x v="9"/>
    <n v="17"/>
    <x v="0"/>
  </r>
  <r>
    <d v="2023-07-17T00:00:00"/>
    <x v="2"/>
    <x v="1"/>
    <x v="0"/>
    <n v="68118822.450000003"/>
    <x v="2"/>
    <x v="1"/>
    <x v="0"/>
    <x v="7"/>
    <x v="2"/>
    <x v="3"/>
    <x v="2"/>
    <x v="3"/>
    <x v="9"/>
    <n v="17"/>
    <x v="0"/>
  </r>
  <r>
    <d v="2023-07-17T00:00:00"/>
    <x v="2"/>
    <x v="1"/>
    <x v="1"/>
    <n v="63977298.560000002"/>
    <x v="2"/>
    <x v="1"/>
    <x v="1"/>
    <x v="8"/>
    <x v="2"/>
    <x v="3"/>
    <x v="2"/>
    <x v="3"/>
    <x v="9"/>
    <n v="17"/>
    <x v="0"/>
  </r>
  <r>
    <d v="2023-07-17T00:00:00"/>
    <x v="1"/>
    <x v="0"/>
    <x v="1"/>
    <n v="206078396.38999999"/>
    <x v="1"/>
    <x v="0"/>
    <x v="1"/>
    <x v="9"/>
    <x v="2"/>
    <x v="3"/>
    <x v="2"/>
    <x v="3"/>
    <x v="9"/>
    <n v="17"/>
    <x v="0"/>
  </r>
  <r>
    <d v="2023-07-17T00:00:00"/>
    <x v="1"/>
    <x v="0"/>
    <x v="0"/>
    <n v="67381935.700000003"/>
    <x v="1"/>
    <x v="0"/>
    <x v="0"/>
    <x v="10"/>
    <x v="2"/>
    <x v="3"/>
    <x v="2"/>
    <x v="3"/>
    <x v="9"/>
    <n v="17"/>
    <x v="0"/>
  </r>
  <r>
    <d v="2023-07-17T00:00:00"/>
    <x v="3"/>
    <x v="3"/>
    <x v="1"/>
    <n v="3638484.93"/>
    <x v="3"/>
    <x v="3"/>
    <x v="1"/>
    <x v="2"/>
    <x v="2"/>
    <x v="3"/>
    <x v="2"/>
    <x v="3"/>
    <x v="9"/>
    <n v="17"/>
    <x v="0"/>
  </r>
  <r>
    <d v="2023-07-17T00:00:00"/>
    <x v="0"/>
    <x v="1"/>
    <x v="1"/>
    <n v="13505606.82"/>
    <x v="0"/>
    <x v="1"/>
    <x v="1"/>
    <x v="3"/>
    <x v="2"/>
    <x v="3"/>
    <x v="2"/>
    <x v="3"/>
    <x v="9"/>
    <n v="17"/>
    <x v="0"/>
  </r>
  <r>
    <d v="2023-07-17T00:00:00"/>
    <x v="3"/>
    <x v="2"/>
    <x v="2"/>
    <n v="126727"/>
    <x v="3"/>
    <x v="2"/>
    <x v="2"/>
    <x v="5"/>
    <x v="2"/>
    <x v="3"/>
    <x v="2"/>
    <x v="3"/>
    <x v="9"/>
    <n v="17"/>
    <x v="0"/>
  </r>
  <r>
    <d v="2023-07-17T00:00:00"/>
    <x v="3"/>
    <x v="3"/>
    <x v="0"/>
    <n v="1578778525.03"/>
    <x v="3"/>
    <x v="3"/>
    <x v="0"/>
    <x v="6"/>
    <x v="2"/>
    <x v="3"/>
    <x v="2"/>
    <x v="3"/>
    <x v="9"/>
    <n v="17"/>
    <x v="0"/>
  </r>
  <r>
    <d v="2023-07-17T00:00:00"/>
    <x v="3"/>
    <x v="2"/>
    <x v="0"/>
    <n v="593696794.42999995"/>
    <x v="3"/>
    <x v="2"/>
    <x v="0"/>
    <x v="11"/>
    <x v="2"/>
    <x v="3"/>
    <x v="2"/>
    <x v="3"/>
    <x v="9"/>
    <n v="17"/>
    <x v="0"/>
  </r>
  <r>
    <d v="2023-07-17T00:00:00"/>
    <x v="3"/>
    <x v="2"/>
    <x v="1"/>
    <n v="42027804036.190002"/>
    <x v="3"/>
    <x v="2"/>
    <x v="1"/>
    <x v="12"/>
    <x v="2"/>
    <x v="3"/>
    <x v="2"/>
    <x v="3"/>
    <x v="9"/>
    <n v="17"/>
    <x v="0"/>
  </r>
  <r>
    <d v="2023-07-17T00:00:00"/>
    <x v="3"/>
    <x v="1"/>
    <x v="0"/>
    <n v="51883922.25"/>
    <x v="3"/>
    <x v="1"/>
    <x v="0"/>
    <x v="13"/>
    <x v="2"/>
    <x v="3"/>
    <x v="2"/>
    <x v="3"/>
    <x v="9"/>
    <n v="17"/>
    <x v="0"/>
  </r>
  <r>
    <d v="2023-07-14T00:00:00"/>
    <x v="0"/>
    <x v="1"/>
    <x v="0"/>
    <n v="17965331.199999999"/>
    <x v="0"/>
    <x v="1"/>
    <x v="0"/>
    <x v="0"/>
    <x v="2"/>
    <x v="3"/>
    <x v="2"/>
    <x v="3"/>
    <x v="9"/>
    <n v="14"/>
    <x v="0"/>
  </r>
  <r>
    <d v="2023-07-14T00:00:00"/>
    <x v="3"/>
    <x v="3"/>
    <x v="2"/>
    <n v="521281.11"/>
    <x v="3"/>
    <x v="3"/>
    <x v="2"/>
    <x v="1"/>
    <x v="2"/>
    <x v="3"/>
    <x v="2"/>
    <x v="3"/>
    <x v="9"/>
    <n v="14"/>
    <x v="0"/>
  </r>
  <r>
    <d v="2023-07-14T00:00:00"/>
    <x v="2"/>
    <x v="1"/>
    <x v="2"/>
    <n v="10259.91"/>
    <x v="2"/>
    <x v="1"/>
    <x v="2"/>
    <x v="2"/>
    <x v="2"/>
    <x v="3"/>
    <x v="2"/>
    <x v="3"/>
    <x v="9"/>
    <n v="14"/>
    <x v="0"/>
  </r>
  <r>
    <d v="2023-07-14T00:00:00"/>
    <x v="1"/>
    <x v="0"/>
    <x v="1"/>
    <n v="127946763.31"/>
    <x v="1"/>
    <x v="0"/>
    <x v="1"/>
    <x v="9"/>
    <x v="2"/>
    <x v="3"/>
    <x v="2"/>
    <x v="3"/>
    <x v="9"/>
    <n v="14"/>
    <x v="0"/>
  </r>
  <r>
    <d v="2023-07-14T00:00:00"/>
    <x v="0"/>
    <x v="1"/>
    <x v="1"/>
    <n v="10043526.970000001"/>
    <x v="0"/>
    <x v="1"/>
    <x v="1"/>
    <x v="3"/>
    <x v="2"/>
    <x v="3"/>
    <x v="2"/>
    <x v="3"/>
    <x v="9"/>
    <n v="14"/>
    <x v="0"/>
  </r>
  <r>
    <d v="2023-07-14T00:00:00"/>
    <x v="1"/>
    <x v="0"/>
    <x v="0"/>
    <n v="45473956.289999999"/>
    <x v="1"/>
    <x v="0"/>
    <x v="0"/>
    <x v="10"/>
    <x v="2"/>
    <x v="3"/>
    <x v="2"/>
    <x v="3"/>
    <x v="9"/>
    <n v="14"/>
    <x v="0"/>
  </r>
  <r>
    <d v="2023-07-14T00:00:00"/>
    <x v="1"/>
    <x v="1"/>
    <x v="0"/>
    <n v="33565.379999999997"/>
    <x v="1"/>
    <x v="1"/>
    <x v="0"/>
    <x v="4"/>
    <x v="2"/>
    <x v="3"/>
    <x v="2"/>
    <x v="3"/>
    <x v="9"/>
    <n v="14"/>
    <x v="0"/>
  </r>
  <r>
    <d v="2023-07-14T00:00:00"/>
    <x v="3"/>
    <x v="2"/>
    <x v="2"/>
    <n v="124973.89"/>
    <x v="3"/>
    <x v="2"/>
    <x v="2"/>
    <x v="5"/>
    <x v="2"/>
    <x v="3"/>
    <x v="2"/>
    <x v="3"/>
    <x v="9"/>
    <n v="14"/>
    <x v="0"/>
  </r>
  <r>
    <d v="2023-07-14T00:00:00"/>
    <x v="3"/>
    <x v="3"/>
    <x v="0"/>
    <n v="1714661480"/>
    <x v="3"/>
    <x v="3"/>
    <x v="0"/>
    <x v="6"/>
    <x v="2"/>
    <x v="3"/>
    <x v="2"/>
    <x v="3"/>
    <x v="9"/>
    <n v="14"/>
    <x v="0"/>
  </r>
  <r>
    <d v="2023-07-14T00:00:00"/>
    <x v="2"/>
    <x v="1"/>
    <x v="0"/>
    <n v="93998688.409999996"/>
    <x v="2"/>
    <x v="1"/>
    <x v="0"/>
    <x v="7"/>
    <x v="2"/>
    <x v="3"/>
    <x v="2"/>
    <x v="3"/>
    <x v="9"/>
    <n v="14"/>
    <x v="0"/>
  </r>
  <r>
    <d v="2023-07-14T00:00:00"/>
    <x v="2"/>
    <x v="1"/>
    <x v="1"/>
    <n v="141117245.69999999"/>
    <x v="2"/>
    <x v="1"/>
    <x v="1"/>
    <x v="8"/>
    <x v="2"/>
    <x v="3"/>
    <x v="2"/>
    <x v="3"/>
    <x v="9"/>
    <n v="14"/>
    <x v="0"/>
  </r>
  <r>
    <d v="2023-07-14T00:00:00"/>
    <x v="3"/>
    <x v="2"/>
    <x v="0"/>
    <n v="686583341.05999994"/>
    <x v="3"/>
    <x v="2"/>
    <x v="0"/>
    <x v="11"/>
    <x v="2"/>
    <x v="3"/>
    <x v="2"/>
    <x v="3"/>
    <x v="9"/>
    <n v="14"/>
    <x v="0"/>
  </r>
  <r>
    <d v="2023-07-14T00:00:00"/>
    <x v="3"/>
    <x v="2"/>
    <x v="1"/>
    <n v="13180922391.860001"/>
    <x v="3"/>
    <x v="2"/>
    <x v="1"/>
    <x v="12"/>
    <x v="2"/>
    <x v="3"/>
    <x v="2"/>
    <x v="3"/>
    <x v="9"/>
    <n v="14"/>
    <x v="0"/>
  </r>
  <r>
    <d v="2023-07-14T00:00:00"/>
    <x v="3"/>
    <x v="1"/>
    <x v="0"/>
    <n v="18121682.030000001"/>
    <x v="3"/>
    <x v="1"/>
    <x v="0"/>
    <x v="13"/>
    <x v="2"/>
    <x v="3"/>
    <x v="2"/>
    <x v="3"/>
    <x v="9"/>
    <n v="14"/>
    <x v="0"/>
  </r>
  <r>
    <d v="2023-07-13T00:00:00"/>
    <x v="1"/>
    <x v="1"/>
    <x v="0"/>
    <n v="121138.08"/>
    <x v="1"/>
    <x v="1"/>
    <x v="0"/>
    <x v="0"/>
    <x v="2"/>
    <x v="3"/>
    <x v="2"/>
    <x v="3"/>
    <x v="9"/>
    <n v="13"/>
    <x v="0"/>
  </r>
  <r>
    <d v="2023-07-13T00:00:00"/>
    <x v="0"/>
    <x v="1"/>
    <x v="0"/>
    <n v="32685401.309999999"/>
    <x v="0"/>
    <x v="1"/>
    <x v="0"/>
    <x v="1"/>
    <x v="2"/>
    <x v="3"/>
    <x v="2"/>
    <x v="3"/>
    <x v="9"/>
    <n v="13"/>
    <x v="0"/>
  </r>
  <r>
    <d v="2023-07-13T00:00:00"/>
    <x v="3"/>
    <x v="3"/>
    <x v="2"/>
    <n v="44450"/>
    <x v="3"/>
    <x v="3"/>
    <x v="2"/>
    <x v="2"/>
    <x v="2"/>
    <x v="3"/>
    <x v="2"/>
    <x v="3"/>
    <x v="9"/>
    <n v="13"/>
    <x v="0"/>
  </r>
  <r>
    <d v="2023-07-13T00:00:00"/>
    <x v="2"/>
    <x v="1"/>
    <x v="2"/>
    <n v="11402.39"/>
    <x v="2"/>
    <x v="1"/>
    <x v="2"/>
    <x v="3"/>
    <x v="2"/>
    <x v="3"/>
    <x v="2"/>
    <x v="3"/>
    <x v="9"/>
    <n v="13"/>
    <x v="0"/>
  </r>
  <r>
    <d v="2023-07-13T00:00:00"/>
    <x v="3"/>
    <x v="2"/>
    <x v="2"/>
    <n v="139284"/>
    <x v="3"/>
    <x v="2"/>
    <x v="2"/>
    <x v="4"/>
    <x v="2"/>
    <x v="3"/>
    <x v="2"/>
    <x v="3"/>
    <x v="9"/>
    <n v="13"/>
    <x v="0"/>
  </r>
  <r>
    <d v="2023-07-13T00:00:00"/>
    <x v="2"/>
    <x v="1"/>
    <x v="0"/>
    <n v="81028403.819999993"/>
    <x v="2"/>
    <x v="1"/>
    <x v="0"/>
    <x v="8"/>
    <x v="2"/>
    <x v="3"/>
    <x v="2"/>
    <x v="3"/>
    <x v="9"/>
    <n v="13"/>
    <x v="0"/>
  </r>
  <r>
    <d v="2023-07-13T00:00:00"/>
    <x v="2"/>
    <x v="1"/>
    <x v="1"/>
    <n v="187458894.33000001"/>
    <x v="2"/>
    <x v="1"/>
    <x v="1"/>
    <x v="9"/>
    <x v="2"/>
    <x v="3"/>
    <x v="2"/>
    <x v="3"/>
    <x v="9"/>
    <n v="13"/>
    <x v="0"/>
  </r>
  <r>
    <d v="2023-07-13T00:00:00"/>
    <x v="0"/>
    <x v="1"/>
    <x v="1"/>
    <n v="2161600.11"/>
    <x v="0"/>
    <x v="1"/>
    <x v="1"/>
    <x v="6"/>
    <x v="2"/>
    <x v="3"/>
    <x v="2"/>
    <x v="3"/>
    <x v="9"/>
    <n v="13"/>
    <x v="0"/>
  </r>
  <r>
    <d v="2023-07-13T00:00:00"/>
    <x v="1"/>
    <x v="0"/>
    <x v="0"/>
    <n v="35323401"/>
    <x v="1"/>
    <x v="0"/>
    <x v="0"/>
    <x v="10"/>
    <x v="2"/>
    <x v="3"/>
    <x v="2"/>
    <x v="3"/>
    <x v="9"/>
    <n v="13"/>
    <x v="0"/>
  </r>
  <r>
    <d v="2023-07-13T00:00:00"/>
    <x v="3"/>
    <x v="3"/>
    <x v="0"/>
    <n v="1218658684.1900001"/>
    <x v="3"/>
    <x v="3"/>
    <x v="0"/>
    <x v="7"/>
    <x v="2"/>
    <x v="3"/>
    <x v="2"/>
    <x v="3"/>
    <x v="9"/>
    <n v="13"/>
    <x v="0"/>
  </r>
  <r>
    <d v="2023-07-13T00:00:00"/>
    <x v="3"/>
    <x v="3"/>
    <x v="1"/>
    <n v="1500"/>
    <x v="3"/>
    <x v="3"/>
    <x v="1"/>
    <x v="5"/>
    <x v="2"/>
    <x v="3"/>
    <x v="2"/>
    <x v="3"/>
    <x v="9"/>
    <n v="13"/>
    <x v="0"/>
  </r>
  <r>
    <d v="2023-07-13T00:00:00"/>
    <x v="1"/>
    <x v="0"/>
    <x v="1"/>
    <n v="219094473"/>
    <x v="1"/>
    <x v="0"/>
    <x v="1"/>
    <x v="11"/>
    <x v="2"/>
    <x v="3"/>
    <x v="2"/>
    <x v="3"/>
    <x v="9"/>
    <n v="13"/>
    <x v="0"/>
  </r>
  <r>
    <d v="2023-07-13T00:00:00"/>
    <x v="3"/>
    <x v="2"/>
    <x v="0"/>
    <n v="531871341.95999998"/>
    <x v="3"/>
    <x v="2"/>
    <x v="0"/>
    <x v="12"/>
    <x v="2"/>
    <x v="3"/>
    <x v="2"/>
    <x v="3"/>
    <x v="9"/>
    <n v="13"/>
    <x v="0"/>
  </r>
  <r>
    <d v="2023-07-13T00:00:00"/>
    <x v="3"/>
    <x v="2"/>
    <x v="1"/>
    <n v="5845380000.9099998"/>
    <x v="3"/>
    <x v="2"/>
    <x v="1"/>
    <x v="13"/>
    <x v="2"/>
    <x v="3"/>
    <x v="2"/>
    <x v="3"/>
    <x v="9"/>
    <n v="13"/>
    <x v="0"/>
  </r>
  <r>
    <d v="2023-07-13T00:00:00"/>
    <x v="3"/>
    <x v="1"/>
    <x v="0"/>
    <n v="16116854.890000001"/>
    <x v="3"/>
    <x v="1"/>
    <x v="0"/>
    <x v="14"/>
    <x v="2"/>
    <x v="3"/>
    <x v="2"/>
    <x v="3"/>
    <x v="9"/>
    <n v="13"/>
    <x v="0"/>
  </r>
  <r>
    <d v="2023-07-12T00:00:00"/>
    <x v="1"/>
    <x v="1"/>
    <x v="0"/>
    <n v="108062.38"/>
    <x v="1"/>
    <x v="1"/>
    <x v="0"/>
    <x v="0"/>
    <x v="2"/>
    <x v="3"/>
    <x v="2"/>
    <x v="3"/>
    <x v="9"/>
    <n v="12"/>
    <x v="0"/>
  </r>
  <r>
    <d v="2023-07-12T00:00:00"/>
    <x v="0"/>
    <x v="1"/>
    <x v="0"/>
    <n v="9166308.5899999999"/>
    <x v="0"/>
    <x v="1"/>
    <x v="0"/>
    <x v="1"/>
    <x v="2"/>
    <x v="3"/>
    <x v="2"/>
    <x v="3"/>
    <x v="9"/>
    <n v="12"/>
    <x v="0"/>
  </r>
  <r>
    <d v="2023-07-12T00:00:00"/>
    <x v="2"/>
    <x v="1"/>
    <x v="2"/>
    <n v="22168.05"/>
    <x v="2"/>
    <x v="1"/>
    <x v="2"/>
    <x v="2"/>
    <x v="2"/>
    <x v="3"/>
    <x v="2"/>
    <x v="3"/>
    <x v="9"/>
    <n v="12"/>
    <x v="0"/>
  </r>
  <r>
    <d v="2023-07-12T00:00:00"/>
    <x v="2"/>
    <x v="1"/>
    <x v="0"/>
    <n v="101373823.16"/>
    <x v="2"/>
    <x v="1"/>
    <x v="0"/>
    <x v="7"/>
    <x v="2"/>
    <x v="3"/>
    <x v="2"/>
    <x v="3"/>
    <x v="9"/>
    <n v="12"/>
    <x v="0"/>
  </r>
  <r>
    <d v="2023-07-12T00:00:00"/>
    <x v="2"/>
    <x v="1"/>
    <x v="1"/>
    <n v="121461757.86"/>
    <x v="2"/>
    <x v="1"/>
    <x v="1"/>
    <x v="8"/>
    <x v="2"/>
    <x v="3"/>
    <x v="2"/>
    <x v="3"/>
    <x v="9"/>
    <n v="12"/>
    <x v="0"/>
  </r>
  <r>
    <d v="2023-07-12T00:00:00"/>
    <x v="1"/>
    <x v="0"/>
    <x v="1"/>
    <n v="630517157.13999999"/>
    <x v="1"/>
    <x v="0"/>
    <x v="1"/>
    <x v="9"/>
    <x v="2"/>
    <x v="3"/>
    <x v="2"/>
    <x v="3"/>
    <x v="9"/>
    <n v="12"/>
    <x v="0"/>
  </r>
  <r>
    <d v="2023-07-12T00:00:00"/>
    <x v="3"/>
    <x v="3"/>
    <x v="1"/>
    <n v="175913158.13999999"/>
    <x v="3"/>
    <x v="3"/>
    <x v="1"/>
    <x v="3"/>
    <x v="2"/>
    <x v="3"/>
    <x v="2"/>
    <x v="3"/>
    <x v="9"/>
    <n v="12"/>
    <x v="0"/>
  </r>
  <r>
    <d v="2023-07-12T00:00:00"/>
    <x v="0"/>
    <x v="1"/>
    <x v="1"/>
    <n v="6986187.9100000001"/>
    <x v="0"/>
    <x v="1"/>
    <x v="1"/>
    <x v="4"/>
    <x v="2"/>
    <x v="3"/>
    <x v="2"/>
    <x v="3"/>
    <x v="9"/>
    <n v="12"/>
    <x v="0"/>
  </r>
  <r>
    <d v="2023-07-12T00:00:00"/>
    <x v="3"/>
    <x v="2"/>
    <x v="2"/>
    <n v="294144.69"/>
    <x v="3"/>
    <x v="2"/>
    <x v="2"/>
    <x v="5"/>
    <x v="2"/>
    <x v="3"/>
    <x v="2"/>
    <x v="3"/>
    <x v="9"/>
    <n v="12"/>
    <x v="0"/>
  </r>
  <r>
    <d v="2023-07-12T00:00:00"/>
    <x v="3"/>
    <x v="3"/>
    <x v="0"/>
    <n v="1310237202.02"/>
    <x v="3"/>
    <x v="3"/>
    <x v="0"/>
    <x v="6"/>
    <x v="2"/>
    <x v="3"/>
    <x v="2"/>
    <x v="3"/>
    <x v="9"/>
    <n v="12"/>
    <x v="0"/>
  </r>
  <r>
    <d v="2023-07-12T00:00:00"/>
    <x v="1"/>
    <x v="0"/>
    <x v="0"/>
    <n v="86090116.5"/>
    <x v="1"/>
    <x v="0"/>
    <x v="0"/>
    <x v="10"/>
    <x v="2"/>
    <x v="3"/>
    <x v="2"/>
    <x v="3"/>
    <x v="9"/>
    <n v="12"/>
    <x v="0"/>
  </r>
  <r>
    <d v="2023-07-12T00:00:00"/>
    <x v="3"/>
    <x v="2"/>
    <x v="0"/>
    <n v="467378383.85000002"/>
    <x v="3"/>
    <x v="2"/>
    <x v="0"/>
    <x v="11"/>
    <x v="2"/>
    <x v="3"/>
    <x v="2"/>
    <x v="3"/>
    <x v="9"/>
    <n v="12"/>
    <x v="0"/>
  </r>
  <r>
    <d v="2023-07-12T00:00:00"/>
    <x v="3"/>
    <x v="2"/>
    <x v="1"/>
    <n v="11732281032.15"/>
    <x v="3"/>
    <x v="2"/>
    <x v="1"/>
    <x v="12"/>
    <x v="2"/>
    <x v="3"/>
    <x v="2"/>
    <x v="3"/>
    <x v="9"/>
    <n v="12"/>
    <x v="0"/>
  </r>
  <r>
    <d v="2023-07-12T00:00:00"/>
    <x v="3"/>
    <x v="1"/>
    <x v="0"/>
    <n v="17664651.109999999"/>
    <x v="3"/>
    <x v="1"/>
    <x v="0"/>
    <x v="13"/>
    <x v="2"/>
    <x v="3"/>
    <x v="2"/>
    <x v="3"/>
    <x v="9"/>
    <n v="12"/>
    <x v="0"/>
  </r>
  <r>
    <d v="2023-07-11T00:00:00"/>
    <x v="0"/>
    <x v="0"/>
    <x v="0"/>
    <n v="445"/>
    <x v="0"/>
    <x v="0"/>
    <x v="0"/>
    <x v="0"/>
    <x v="2"/>
    <x v="3"/>
    <x v="2"/>
    <x v="3"/>
    <x v="9"/>
    <n v="11"/>
    <x v="0"/>
  </r>
  <r>
    <d v="2023-07-11T00:00:00"/>
    <x v="1"/>
    <x v="1"/>
    <x v="0"/>
    <n v="69469.070000000007"/>
    <x v="1"/>
    <x v="1"/>
    <x v="0"/>
    <x v="1"/>
    <x v="2"/>
    <x v="3"/>
    <x v="2"/>
    <x v="3"/>
    <x v="9"/>
    <n v="11"/>
    <x v="0"/>
  </r>
  <r>
    <d v="2023-07-11T00:00:00"/>
    <x v="0"/>
    <x v="1"/>
    <x v="0"/>
    <n v="14448917.380000001"/>
    <x v="0"/>
    <x v="1"/>
    <x v="0"/>
    <x v="2"/>
    <x v="2"/>
    <x v="3"/>
    <x v="2"/>
    <x v="3"/>
    <x v="9"/>
    <n v="11"/>
    <x v="0"/>
  </r>
  <r>
    <d v="2023-07-11T00:00:00"/>
    <x v="2"/>
    <x v="1"/>
    <x v="2"/>
    <n v="12145.18"/>
    <x v="2"/>
    <x v="1"/>
    <x v="2"/>
    <x v="3"/>
    <x v="2"/>
    <x v="3"/>
    <x v="2"/>
    <x v="3"/>
    <x v="9"/>
    <n v="11"/>
    <x v="0"/>
  </r>
  <r>
    <d v="2023-07-11T00:00:00"/>
    <x v="2"/>
    <x v="1"/>
    <x v="0"/>
    <n v="96547262.810000002"/>
    <x v="2"/>
    <x v="1"/>
    <x v="0"/>
    <x v="7"/>
    <x v="2"/>
    <x v="3"/>
    <x v="2"/>
    <x v="3"/>
    <x v="9"/>
    <n v="11"/>
    <x v="0"/>
  </r>
  <r>
    <d v="2023-07-11T00:00:00"/>
    <x v="2"/>
    <x v="1"/>
    <x v="1"/>
    <n v="200000976.75999999"/>
    <x v="2"/>
    <x v="1"/>
    <x v="1"/>
    <x v="8"/>
    <x v="2"/>
    <x v="3"/>
    <x v="2"/>
    <x v="3"/>
    <x v="9"/>
    <n v="11"/>
    <x v="0"/>
  </r>
  <r>
    <d v="2023-07-11T00:00:00"/>
    <x v="1"/>
    <x v="0"/>
    <x v="0"/>
    <n v="45161157.689999998"/>
    <x v="1"/>
    <x v="0"/>
    <x v="0"/>
    <x v="9"/>
    <x v="2"/>
    <x v="3"/>
    <x v="2"/>
    <x v="3"/>
    <x v="9"/>
    <n v="11"/>
    <x v="0"/>
  </r>
  <r>
    <d v="2023-07-11T00:00:00"/>
    <x v="0"/>
    <x v="1"/>
    <x v="1"/>
    <n v="22640536.760000002"/>
    <x v="0"/>
    <x v="1"/>
    <x v="1"/>
    <x v="4"/>
    <x v="2"/>
    <x v="3"/>
    <x v="2"/>
    <x v="3"/>
    <x v="9"/>
    <n v="11"/>
    <x v="0"/>
  </r>
  <r>
    <d v="2023-07-11T00:00:00"/>
    <x v="1"/>
    <x v="0"/>
    <x v="1"/>
    <n v="111148674.12"/>
    <x v="1"/>
    <x v="0"/>
    <x v="1"/>
    <x v="10"/>
    <x v="2"/>
    <x v="3"/>
    <x v="2"/>
    <x v="3"/>
    <x v="9"/>
    <n v="11"/>
    <x v="0"/>
  </r>
  <r>
    <d v="2023-07-11T00:00:00"/>
    <x v="3"/>
    <x v="2"/>
    <x v="2"/>
    <n v="68755.69"/>
    <x v="3"/>
    <x v="2"/>
    <x v="2"/>
    <x v="5"/>
    <x v="2"/>
    <x v="3"/>
    <x v="2"/>
    <x v="3"/>
    <x v="9"/>
    <n v="11"/>
    <x v="0"/>
  </r>
  <r>
    <d v="2023-07-11T00:00:00"/>
    <x v="3"/>
    <x v="3"/>
    <x v="0"/>
    <n v="956274394.57000005"/>
    <x v="3"/>
    <x v="3"/>
    <x v="0"/>
    <x v="6"/>
    <x v="2"/>
    <x v="3"/>
    <x v="2"/>
    <x v="3"/>
    <x v="9"/>
    <n v="11"/>
    <x v="0"/>
  </r>
  <r>
    <d v="2023-07-11T00:00:00"/>
    <x v="3"/>
    <x v="2"/>
    <x v="0"/>
    <n v="507688258.25"/>
    <x v="3"/>
    <x v="2"/>
    <x v="0"/>
    <x v="11"/>
    <x v="2"/>
    <x v="3"/>
    <x v="2"/>
    <x v="3"/>
    <x v="9"/>
    <n v="11"/>
    <x v="0"/>
  </r>
  <r>
    <d v="2023-07-11T00:00:00"/>
    <x v="3"/>
    <x v="2"/>
    <x v="1"/>
    <n v="4121830005.4499998"/>
    <x v="3"/>
    <x v="2"/>
    <x v="1"/>
    <x v="12"/>
    <x v="2"/>
    <x v="3"/>
    <x v="2"/>
    <x v="3"/>
    <x v="9"/>
    <n v="11"/>
    <x v="0"/>
  </r>
  <r>
    <d v="2023-07-11T00:00:00"/>
    <x v="3"/>
    <x v="1"/>
    <x v="0"/>
    <n v="13696364.529999999"/>
    <x v="3"/>
    <x v="1"/>
    <x v="0"/>
    <x v="13"/>
    <x v="2"/>
    <x v="3"/>
    <x v="2"/>
    <x v="3"/>
    <x v="9"/>
    <n v="11"/>
    <x v="0"/>
  </r>
  <r>
    <d v="2023-07-10T00:00:00"/>
    <x v="1"/>
    <x v="1"/>
    <x v="0"/>
    <n v="30651.85"/>
    <x v="1"/>
    <x v="1"/>
    <x v="0"/>
    <x v="0"/>
    <x v="2"/>
    <x v="3"/>
    <x v="2"/>
    <x v="3"/>
    <x v="9"/>
    <n v="10"/>
    <x v="0"/>
  </r>
  <r>
    <d v="2023-07-10T00:00:00"/>
    <x v="0"/>
    <x v="1"/>
    <x v="0"/>
    <n v="12389169.279999999"/>
    <x v="0"/>
    <x v="1"/>
    <x v="0"/>
    <x v="1"/>
    <x v="2"/>
    <x v="3"/>
    <x v="2"/>
    <x v="3"/>
    <x v="9"/>
    <n v="10"/>
    <x v="0"/>
  </r>
  <r>
    <d v="2023-07-10T00:00:00"/>
    <x v="2"/>
    <x v="1"/>
    <x v="2"/>
    <n v="10100"/>
    <x v="2"/>
    <x v="1"/>
    <x v="2"/>
    <x v="2"/>
    <x v="2"/>
    <x v="3"/>
    <x v="2"/>
    <x v="3"/>
    <x v="9"/>
    <n v="10"/>
    <x v="0"/>
  </r>
  <r>
    <d v="2023-07-10T00:00:00"/>
    <x v="2"/>
    <x v="1"/>
    <x v="1"/>
    <n v="151072862.41999999"/>
    <x v="2"/>
    <x v="1"/>
    <x v="1"/>
    <x v="7"/>
    <x v="2"/>
    <x v="3"/>
    <x v="2"/>
    <x v="3"/>
    <x v="9"/>
    <n v="10"/>
    <x v="0"/>
  </r>
  <r>
    <d v="2023-07-10T00:00:00"/>
    <x v="0"/>
    <x v="1"/>
    <x v="1"/>
    <n v="10997973.85"/>
    <x v="0"/>
    <x v="1"/>
    <x v="1"/>
    <x v="3"/>
    <x v="2"/>
    <x v="3"/>
    <x v="2"/>
    <x v="3"/>
    <x v="9"/>
    <n v="10"/>
    <x v="0"/>
  </r>
  <r>
    <d v="2023-07-10T00:00:00"/>
    <x v="1"/>
    <x v="0"/>
    <x v="0"/>
    <n v="40882160.450000003"/>
    <x v="1"/>
    <x v="0"/>
    <x v="0"/>
    <x v="8"/>
    <x v="2"/>
    <x v="3"/>
    <x v="2"/>
    <x v="3"/>
    <x v="9"/>
    <n v="10"/>
    <x v="0"/>
  </r>
  <r>
    <d v="2023-07-10T00:00:00"/>
    <x v="1"/>
    <x v="0"/>
    <x v="1"/>
    <n v="205069172.59"/>
    <x v="1"/>
    <x v="0"/>
    <x v="1"/>
    <x v="9"/>
    <x v="2"/>
    <x v="3"/>
    <x v="2"/>
    <x v="3"/>
    <x v="9"/>
    <n v="10"/>
    <x v="0"/>
  </r>
  <r>
    <d v="2023-07-10T00:00:00"/>
    <x v="3"/>
    <x v="2"/>
    <x v="2"/>
    <n v="105208.31"/>
    <x v="3"/>
    <x v="2"/>
    <x v="2"/>
    <x v="4"/>
    <x v="2"/>
    <x v="3"/>
    <x v="2"/>
    <x v="3"/>
    <x v="9"/>
    <n v="10"/>
    <x v="0"/>
  </r>
  <r>
    <d v="2023-07-10T00:00:00"/>
    <x v="3"/>
    <x v="3"/>
    <x v="0"/>
    <n v="1299963625.3199999"/>
    <x v="3"/>
    <x v="3"/>
    <x v="0"/>
    <x v="5"/>
    <x v="2"/>
    <x v="3"/>
    <x v="2"/>
    <x v="3"/>
    <x v="9"/>
    <n v="10"/>
    <x v="0"/>
  </r>
  <r>
    <d v="2023-07-10T00:00:00"/>
    <x v="2"/>
    <x v="1"/>
    <x v="0"/>
    <n v="96430518.560000002"/>
    <x v="2"/>
    <x v="1"/>
    <x v="0"/>
    <x v="6"/>
    <x v="2"/>
    <x v="3"/>
    <x v="2"/>
    <x v="3"/>
    <x v="9"/>
    <n v="10"/>
    <x v="0"/>
  </r>
  <r>
    <d v="2023-07-10T00:00:00"/>
    <x v="3"/>
    <x v="2"/>
    <x v="0"/>
    <n v="587944396.08000004"/>
    <x v="3"/>
    <x v="2"/>
    <x v="0"/>
    <x v="10"/>
    <x v="2"/>
    <x v="3"/>
    <x v="2"/>
    <x v="3"/>
    <x v="9"/>
    <n v="10"/>
    <x v="0"/>
  </r>
  <r>
    <d v="2023-07-10T00:00:00"/>
    <x v="3"/>
    <x v="2"/>
    <x v="1"/>
    <n v="23498964423.759998"/>
    <x v="3"/>
    <x v="2"/>
    <x v="1"/>
    <x v="11"/>
    <x v="2"/>
    <x v="3"/>
    <x v="2"/>
    <x v="3"/>
    <x v="9"/>
    <n v="10"/>
    <x v="0"/>
  </r>
  <r>
    <d v="2023-07-10T00:00:00"/>
    <x v="3"/>
    <x v="1"/>
    <x v="0"/>
    <n v="48796504.079999998"/>
    <x v="3"/>
    <x v="1"/>
    <x v="0"/>
    <x v="12"/>
    <x v="2"/>
    <x v="3"/>
    <x v="2"/>
    <x v="3"/>
    <x v="9"/>
    <n v="10"/>
    <x v="0"/>
  </r>
  <r>
    <d v="2023-07-07T00:00:00"/>
    <x v="1"/>
    <x v="1"/>
    <x v="0"/>
    <n v="94714.79"/>
    <x v="1"/>
    <x v="1"/>
    <x v="0"/>
    <x v="0"/>
    <x v="2"/>
    <x v="3"/>
    <x v="2"/>
    <x v="3"/>
    <x v="9"/>
    <n v="7"/>
    <x v="0"/>
  </r>
  <r>
    <d v="2023-07-07T00:00:00"/>
    <x v="0"/>
    <x v="1"/>
    <x v="0"/>
    <n v="9043904"/>
    <x v="0"/>
    <x v="1"/>
    <x v="0"/>
    <x v="1"/>
    <x v="2"/>
    <x v="3"/>
    <x v="2"/>
    <x v="3"/>
    <x v="9"/>
    <n v="7"/>
    <x v="0"/>
  </r>
  <r>
    <d v="2023-07-07T00:00:00"/>
    <x v="2"/>
    <x v="1"/>
    <x v="2"/>
    <n v="9563.33"/>
    <x v="2"/>
    <x v="1"/>
    <x v="2"/>
    <x v="2"/>
    <x v="2"/>
    <x v="3"/>
    <x v="2"/>
    <x v="3"/>
    <x v="9"/>
    <n v="7"/>
    <x v="0"/>
  </r>
  <r>
    <d v="2023-07-07T00:00:00"/>
    <x v="3"/>
    <x v="3"/>
    <x v="0"/>
    <n v="1108069875.6800001"/>
    <x v="3"/>
    <x v="3"/>
    <x v="0"/>
    <x v="5"/>
    <x v="2"/>
    <x v="3"/>
    <x v="2"/>
    <x v="3"/>
    <x v="9"/>
    <n v="7"/>
    <x v="0"/>
  </r>
  <r>
    <d v="2023-07-07T00:00:00"/>
    <x v="2"/>
    <x v="1"/>
    <x v="0"/>
    <n v="73464660.180000007"/>
    <x v="2"/>
    <x v="1"/>
    <x v="0"/>
    <x v="6"/>
    <x v="2"/>
    <x v="3"/>
    <x v="2"/>
    <x v="3"/>
    <x v="9"/>
    <n v="7"/>
    <x v="0"/>
  </r>
  <r>
    <d v="2023-07-07T00:00:00"/>
    <x v="0"/>
    <x v="1"/>
    <x v="1"/>
    <n v="12802407.51"/>
    <x v="0"/>
    <x v="1"/>
    <x v="1"/>
    <x v="3"/>
    <x v="2"/>
    <x v="3"/>
    <x v="2"/>
    <x v="3"/>
    <x v="9"/>
    <n v="7"/>
    <x v="0"/>
  </r>
  <r>
    <d v="2023-07-07T00:00:00"/>
    <x v="3"/>
    <x v="2"/>
    <x v="2"/>
    <n v="105009.84"/>
    <x v="3"/>
    <x v="2"/>
    <x v="2"/>
    <x v="4"/>
    <x v="2"/>
    <x v="3"/>
    <x v="2"/>
    <x v="3"/>
    <x v="9"/>
    <n v="7"/>
    <x v="0"/>
  </r>
  <r>
    <d v="2023-07-07T00:00:00"/>
    <x v="2"/>
    <x v="1"/>
    <x v="1"/>
    <n v="118840308"/>
    <x v="2"/>
    <x v="1"/>
    <x v="1"/>
    <x v="7"/>
    <x v="2"/>
    <x v="3"/>
    <x v="2"/>
    <x v="3"/>
    <x v="9"/>
    <n v="7"/>
    <x v="0"/>
  </r>
  <r>
    <d v="2023-07-07T00:00:00"/>
    <x v="1"/>
    <x v="0"/>
    <x v="0"/>
    <n v="55504582.490000002"/>
    <x v="1"/>
    <x v="0"/>
    <x v="0"/>
    <x v="8"/>
    <x v="2"/>
    <x v="3"/>
    <x v="2"/>
    <x v="3"/>
    <x v="9"/>
    <n v="7"/>
    <x v="0"/>
  </r>
  <r>
    <d v="2023-07-07T00:00:00"/>
    <x v="1"/>
    <x v="0"/>
    <x v="1"/>
    <n v="336793609.43000001"/>
    <x v="1"/>
    <x v="0"/>
    <x v="1"/>
    <x v="9"/>
    <x v="2"/>
    <x v="3"/>
    <x v="2"/>
    <x v="3"/>
    <x v="9"/>
    <n v="7"/>
    <x v="0"/>
  </r>
  <r>
    <d v="2023-07-07T00:00:00"/>
    <x v="3"/>
    <x v="2"/>
    <x v="0"/>
    <n v="758332540.49000001"/>
    <x v="3"/>
    <x v="2"/>
    <x v="0"/>
    <x v="10"/>
    <x v="2"/>
    <x v="3"/>
    <x v="2"/>
    <x v="3"/>
    <x v="9"/>
    <n v="7"/>
    <x v="0"/>
  </r>
  <r>
    <d v="2023-07-07T00:00:00"/>
    <x v="3"/>
    <x v="2"/>
    <x v="1"/>
    <n v="9876184142.6399994"/>
    <x v="3"/>
    <x v="2"/>
    <x v="1"/>
    <x v="11"/>
    <x v="2"/>
    <x v="3"/>
    <x v="2"/>
    <x v="3"/>
    <x v="9"/>
    <n v="7"/>
    <x v="0"/>
  </r>
  <r>
    <d v="2023-07-07T00:00:00"/>
    <x v="3"/>
    <x v="1"/>
    <x v="0"/>
    <n v="17128199.879999999"/>
    <x v="3"/>
    <x v="1"/>
    <x v="0"/>
    <x v="12"/>
    <x v="2"/>
    <x v="3"/>
    <x v="2"/>
    <x v="3"/>
    <x v="9"/>
    <n v="7"/>
    <x v="0"/>
  </r>
  <r>
    <d v="2023-07-06T00:00:00"/>
    <x v="2"/>
    <x v="3"/>
    <x v="0"/>
    <n v="245.69"/>
    <x v="2"/>
    <x v="3"/>
    <x v="0"/>
    <x v="0"/>
    <x v="2"/>
    <x v="3"/>
    <x v="2"/>
    <x v="3"/>
    <x v="9"/>
    <n v="6"/>
    <x v="0"/>
  </r>
  <r>
    <d v="2023-07-06T00:00:00"/>
    <x v="0"/>
    <x v="1"/>
    <x v="0"/>
    <n v="8762832.5199999996"/>
    <x v="0"/>
    <x v="1"/>
    <x v="0"/>
    <x v="1"/>
    <x v="2"/>
    <x v="3"/>
    <x v="2"/>
    <x v="3"/>
    <x v="9"/>
    <n v="6"/>
    <x v="0"/>
  </r>
  <r>
    <d v="2023-07-06T00:00:00"/>
    <x v="2"/>
    <x v="1"/>
    <x v="2"/>
    <n v="51623.87"/>
    <x v="2"/>
    <x v="1"/>
    <x v="2"/>
    <x v="2"/>
    <x v="2"/>
    <x v="3"/>
    <x v="2"/>
    <x v="3"/>
    <x v="9"/>
    <n v="6"/>
    <x v="0"/>
  </r>
  <r>
    <d v="2023-07-06T00:00:00"/>
    <x v="2"/>
    <x v="1"/>
    <x v="0"/>
    <n v="94446846.540000007"/>
    <x v="2"/>
    <x v="1"/>
    <x v="0"/>
    <x v="7"/>
    <x v="2"/>
    <x v="3"/>
    <x v="2"/>
    <x v="3"/>
    <x v="9"/>
    <n v="6"/>
    <x v="0"/>
  </r>
  <r>
    <d v="2023-07-06T00:00:00"/>
    <x v="3"/>
    <x v="3"/>
    <x v="0"/>
    <n v="1015727270.51"/>
    <x v="3"/>
    <x v="3"/>
    <x v="0"/>
    <x v="8"/>
    <x v="2"/>
    <x v="3"/>
    <x v="2"/>
    <x v="3"/>
    <x v="9"/>
    <n v="6"/>
    <x v="0"/>
  </r>
  <r>
    <d v="2023-07-06T00:00:00"/>
    <x v="2"/>
    <x v="1"/>
    <x v="1"/>
    <n v="243459862.25"/>
    <x v="2"/>
    <x v="1"/>
    <x v="1"/>
    <x v="9"/>
    <x v="2"/>
    <x v="3"/>
    <x v="2"/>
    <x v="3"/>
    <x v="9"/>
    <n v="6"/>
    <x v="0"/>
  </r>
  <r>
    <d v="2023-07-06T00:00:00"/>
    <x v="3"/>
    <x v="3"/>
    <x v="1"/>
    <n v="968329.4"/>
    <x v="3"/>
    <x v="3"/>
    <x v="1"/>
    <x v="3"/>
    <x v="2"/>
    <x v="3"/>
    <x v="2"/>
    <x v="3"/>
    <x v="9"/>
    <n v="6"/>
    <x v="0"/>
  </r>
  <r>
    <d v="2023-07-06T00:00:00"/>
    <x v="0"/>
    <x v="1"/>
    <x v="1"/>
    <n v="13211535.1"/>
    <x v="0"/>
    <x v="1"/>
    <x v="1"/>
    <x v="4"/>
    <x v="2"/>
    <x v="3"/>
    <x v="2"/>
    <x v="3"/>
    <x v="9"/>
    <n v="6"/>
    <x v="0"/>
  </r>
  <r>
    <d v="2023-07-06T00:00:00"/>
    <x v="1"/>
    <x v="0"/>
    <x v="0"/>
    <n v="101482254.45"/>
    <x v="1"/>
    <x v="0"/>
    <x v="0"/>
    <x v="10"/>
    <x v="2"/>
    <x v="3"/>
    <x v="2"/>
    <x v="3"/>
    <x v="9"/>
    <n v="6"/>
    <x v="0"/>
  </r>
  <r>
    <d v="2023-07-06T00:00:00"/>
    <x v="1"/>
    <x v="0"/>
    <x v="1"/>
    <n v="933467896.80999994"/>
    <x v="1"/>
    <x v="0"/>
    <x v="1"/>
    <x v="11"/>
    <x v="2"/>
    <x v="3"/>
    <x v="2"/>
    <x v="3"/>
    <x v="9"/>
    <n v="6"/>
    <x v="0"/>
  </r>
  <r>
    <d v="2023-07-06T00:00:00"/>
    <x v="1"/>
    <x v="1"/>
    <x v="0"/>
    <n v="308578.8"/>
    <x v="1"/>
    <x v="1"/>
    <x v="0"/>
    <x v="5"/>
    <x v="2"/>
    <x v="3"/>
    <x v="2"/>
    <x v="3"/>
    <x v="9"/>
    <n v="6"/>
    <x v="0"/>
  </r>
  <r>
    <d v="2023-07-06T00:00:00"/>
    <x v="3"/>
    <x v="2"/>
    <x v="2"/>
    <n v="218185.27"/>
    <x v="3"/>
    <x v="2"/>
    <x v="2"/>
    <x v="6"/>
    <x v="2"/>
    <x v="3"/>
    <x v="2"/>
    <x v="3"/>
    <x v="9"/>
    <n v="6"/>
    <x v="0"/>
  </r>
  <r>
    <d v="2023-07-06T00:00:00"/>
    <x v="3"/>
    <x v="2"/>
    <x v="0"/>
    <n v="759850369.76999998"/>
    <x v="3"/>
    <x v="2"/>
    <x v="0"/>
    <x v="12"/>
    <x v="2"/>
    <x v="3"/>
    <x v="2"/>
    <x v="3"/>
    <x v="9"/>
    <n v="6"/>
    <x v="0"/>
  </r>
  <r>
    <d v="2023-07-06T00:00:00"/>
    <x v="3"/>
    <x v="1"/>
    <x v="0"/>
    <n v="14953043.65"/>
    <x v="3"/>
    <x v="1"/>
    <x v="0"/>
    <x v="13"/>
    <x v="2"/>
    <x v="3"/>
    <x v="2"/>
    <x v="3"/>
    <x v="9"/>
    <n v="6"/>
    <x v="0"/>
  </r>
  <r>
    <d v="2023-07-06T00:00:00"/>
    <x v="3"/>
    <x v="2"/>
    <x v="1"/>
    <n v="12866069075.65"/>
    <x v="3"/>
    <x v="2"/>
    <x v="1"/>
    <x v="14"/>
    <x v="2"/>
    <x v="3"/>
    <x v="2"/>
    <x v="3"/>
    <x v="9"/>
    <n v="6"/>
    <x v="0"/>
  </r>
  <r>
    <d v="2023-07-05T00:00:00"/>
    <x v="1"/>
    <x v="1"/>
    <x v="0"/>
    <n v="270606.07"/>
    <x v="1"/>
    <x v="1"/>
    <x v="0"/>
    <x v="2"/>
    <x v="2"/>
    <x v="3"/>
    <x v="2"/>
    <x v="3"/>
    <x v="9"/>
    <n v="5"/>
    <x v="0"/>
  </r>
  <r>
    <d v="2023-07-05T00:00:00"/>
    <x v="0"/>
    <x v="1"/>
    <x v="0"/>
    <n v="9794277.8800000008"/>
    <x v="0"/>
    <x v="1"/>
    <x v="0"/>
    <x v="0"/>
    <x v="2"/>
    <x v="3"/>
    <x v="2"/>
    <x v="3"/>
    <x v="9"/>
    <n v="5"/>
    <x v="0"/>
  </r>
  <r>
    <d v="2023-07-05T00:00:00"/>
    <x v="2"/>
    <x v="1"/>
    <x v="0"/>
    <n v="86922370"/>
    <x v="2"/>
    <x v="1"/>
    <x v="0"/>
    <x v="6"/>
    <x v="2"/>
    <x v="3"/>
    <x v="2"/>
    <x v="3"/>
    <x v="9"/>
    <n v="5"/>
    <x v="0"/>
  </r>
  <r>
    <d v="2023-07-05T00:00:00"/>
    <x v="2"/>
    <x v="1"/>
    <x v="1"/>
    <n v="114181097.77"/>
    <x v="2"/>
    <x v="1"/>
    <x v="1"/>
    <x v="7"/>
    <x v="2"/>
    <x v="3"/>
    <x v="2"/>
    <x v="3"/>
    <x v="9"/>
    <n v="5"/>
    <x v="0"/>
  </r>
  <r>
    <d v="2023-07-05T00:00:00"/>
    <x v="1"/>
    <x v="0"/>
    <x v="0"/>
    <n v="59488249.18"/>
    <x v="1"/>
    <x v="0"/>
    <x v="0"/>
    <x v="8"/>
    <x v="2"/>
    <x v="3"/>
    <x v="2"/>
    <x v="3"/>
    <x v="9"/>
    <n v="5"/>
    <x v="0"/>
  </r>
  <r>
    <d v="2023-07-05T00:00:00"/>
    <x v="1"/>
    <x v="0"/>
    <x v="1"/>
    <n v="273847763.43000001"/>
    <x v="1"/>
    <x v="0"/>
    <x v="1"/>
    <x v="9"/>
    <x v="2"/>
    <x v="3"/>
    <x v="2"/>
    <x v="3"/>
    <x v="9"/>
    <n v="5"/>
    <x v="0"/>
  </r>
  <r>
    <d v="2023-07-05T00:00:00"/>
    <x v="0"/>
    <x v="1"/>
    <x v="1"/>
    <n v="55807055.57"/>
    <x v="0"/>
    <x v="1"/>
    <x v="1"/>
    <x v="1"/>
    <x v="2"/>
    <x v="3"/>
    <x v="2"/>
    <x v="3"/>
    <x v="9"/>
    <n v="5"/>
    <x v="0"/>
  </r>
  <r>
    <d v="2023-07-05T00:00:00"/>
    <x v="2"/>
    <x v="1"/>
    <x v="2"/>
    <n v="6329.45"/>
    <x v="2"/>
    <x v="1"/>
    <x v="2"/>
    <x v="3"/>
    <x v="2"/>
    <x v="3"/>
    <x v="2"/>
    <x v="3"/>
    <x v="9"/>
    <n v="5"/>
    <x v="0"/>
  </r>
  <r>
    <d v="2023-07-05T00:00:00"/>
    <x v="3"/>
    <x v="2"/>
    <x v="2"/>
    <n v="68765.42"/>
    <x v="3"/>
    <x v="2"/>
    <x v="2"/>
    <x v="4"/>
    <x v="2"/>
    <x v="3"/>
    <x v="2"/>
    <x v="3"/>
    <x v="9"/>
    <n v="5"/>
    <x v="0"/>
  </r>
  <r>
    <d v="2023-07-05T00:00:00"/>
    <x v="3"/>
    <x v="3"/>
    <x v="0"/>
    <n v="1646446337.4000001"/>
    <x v="3"/>
    <x v="3"/>
    <x v="0"/>
    <x v="5"/>
    <x v="2"/>
    <x v="3"/>
    <x v="2"/>
    <x v="3"/>
    <x v="9"/>
    <n v="5"/>
    <x v="0"/>
  </r>
  <r>
    <d v="2023-07-05T00:00:00"/>
    <x v="3"/>
    <x v="2"/>
    <x v="0"/>
    <n v="639402596.51999998"/>
    <x v="3"/>
    <x v="2"/>
    <x v="0"/>
    <x v="10"/>
    <x v="2"/>
    <x v="3"/>
    <x v="2"/>
    <x v="3"/>
    <x v="9"/>
    <n v="5"/>
    <x v="0"/>
  </r>
  <r>
    <d v="2023-07-05T00:00:00"/>
    <x v="3"/>
    <x v="2"/>
    <x v="1"/>
    <n v="7555893629.1499996"/>
    <x v="3"/>
    <x v="2"/>
    <x v="1"/>
    <x v="11"/>
    <x v="2"/>
    <x v="3"/>
    <x v="2"/>
    <x v="3"/>
    <x v="9"/>
    <n v="5"/>
    <x v="0"/>
  </r>
  <r>
    <d v="2023-07-05T00:00:00"/>
    <x v="3"/>
    <x v="1"/>
    <x v="0"/>
    <n v="25126930.399999999"/>
    <x v="3"/>
    <x v="1"/>
    <x v="0"/>
    <x v="12"/>
    <x v="2"/>
    <x v="3"/>
    <x v="2"/>
    <x v="3"/>
    <x v="9"/>
    <n v="5"/>
    <x v="0"/>
  </r>
  <r>
    <d v="2023-07-03T00:00:00"/>
    <x v="1"/>
    <x v="1"/>
    <x v="0"/>
    <n v="39580.31"/>
    <x v="1"/>
    <x v="1"/>
    <x v="0"/>
    <x v="0"/>
    <x v="2"/>
    <x v="3"/>
    <x v="2"/>
    <x v="3"/>
    <x v="9"/>
    <n v="3"/>
    <x v="0"/>
  </r>
  <r>
    <d v="2023-07-03T00:00:00"/>
    <x v="0"/>
    <x v="1"/>
    <x v="0"/>
    <n v="9821532.5"/>
    <x v="0"/>
    <x v="1"/>
    <x v="0"/>
    <x v="1"/>
    <x v="2"/>
    <x v="3"/>
    <x v="2"/>
    <x v="3"/>
    <x v="9"/>
    <n v="3"/>
    <x v="0"/>
  </r>
  <r>
    <d v="2023-07-03T00:00:00"/>
    <x v="2"/>
    <x v="1"/>
    <x v="2"/>
    <n v="509002.66"/>
    <x v="2"/>
    <x v="1"/>
    <x v="2"/>
    <x v="2"/>
    <x v="2"/>
    <x v="3"/>
    <x v="2"/>
    <x v="3"/>
    <x v="9"/>
    <n v="3"/>
    <x v="0"/>
  </r>
  <r>
    <d v="2023-07-03T00:00:00"/>
    <x v="2"/>
    <x v="1"/>
    <x v="1"/>
    <n v="192350789.34"/>
    <x v="2"/>
    <x v="1"/>
    <x v="1"/>
    <x v="7"/>
    <x v="2"/>
    <x v="3"/>
    <x v="2"/>
    <x v="3"/>
    <x v="9"/>
    <n v="3"/>
    <x v="0"/>
  </r>
  <r>
    <d v="2023-07-03T00:00:00"/>
    <x v="1"/>
    <x v="0"/>
    <x v="0"/>
    <n v="43181107.049999997"/>
    <x v="1"/>
    <x v="0"/>
    <x v="0"/>
    <x v="8"/>
    <x v="2"/>
    <x v="3"/>
    <x v="2"/>
    <x v="3"/>
    <x v="9"/>
    <n v="3"/>
    <x v="0"/>
  </r>
  <r>
    <d v="2023-07-03T00:00:00"/>
    <x v="0"/>
    <x v="1"/>
    <x v="1"/>
    <n v="21584437.41"/>
    <x v="0"/>
    <x v="1"/>
    <x v="1"/>
    <x v="3"/>
    <x v="2"/>
    <x v="3"/>
    <x v="2"/>
    <x v="3"/>
    <x v="9"/>
    <n v="3"/>
    <x v="0"/>
  </r>
  <r>
    <d v="2023-07-03T00:00:00"/>
    <x v="3"/>
    <x v="2"/>
    <x v="2"/>
    <n v="179615"/>
    <x v="3"/>
    <x v="2"/>
    <x v="2"/>
    <x v="4"/>
    <x v="2"/>
    <x v="3"/>
    <x v="2"/>
    <x v="3"/>
    <x v="9"/>
    <n v="3"/>
    <x v="0"/>
  </r>
  <r>
    <d v="2023-07-03T00:00:00"/>
    <x v="3"/>
    <x v="3"/>
    <x v="0"/>
    <n v="2774215977.1399999"/>
    <x v="3"/>
    <x v="3"/>
    <x v="0"/>
    <x v="6"/>
    <x v="2"/>
    <x v="3"/>
    <x v="2"/>
    <x v="3"/>
    <x v="9"/>
    <n v="3"/>
    <x v="0"/>
  </r>
  <r>
    <d v="2023-07-03T00:00:00"/>
    <x v="2"/>
    <x v="1"/>
    <x v="0"/>
    <n v="93889426.469999999"/>
    <x v="2"/>
    <x v="1"/>
    <x v="0"/>
    <x v="5"/>
    <x v="2"/>
    <x v="3"/>
    <x v="2"/>
    <x v="3"/>
    <x v="9"/>
    <n v="3"/>
    <x v="0"/>
  </r>
  <r>
    <d v="2023-07-03T00:00:00"/>
    <x v="1"/>
    <x v="0"/>
    <x v="1"/>
    <n v="314257713.08999997"/>
    <x v="1"/>
    <x v="0"/>
    <x v="1"/>
    <x v="9"/>
    <x v="2"/>
    <x v="3"/>
    <x v="2"/>
    <x v="3"/>
    <x v="9"/>
    <n v="3"/>
    <x v="0"/>
  </r>
  <r>
    <d v="2023-07-03T00:00:00"/>
    <x v="3"/>
    <x v="2"/>
    <x v="0"/>
    <n v="1153761183.3099999"/>
    <x v="3"/>
    <x v="2"/>
    <x v="0"/>
    <x v="10"/>
    <x v="2"/>
    <x v="3"/>
    <x v="2"/>
    <x v="3"/>
    <x v="9"/>
    <n v="3"/>
    <x v="0"/>
  </r>
  <r>
    <d v="2023-07-03T00:00:00"/>
    <x v="3"/>
    <x v="2"/>
    <x v="1"/>
    <n v="44625572042.790001"/>
    <x v="3"/>
    <x v="2"/>
    <x v="1"/>
    <x v="11"/>
    <x v="2"/>
    <x v="3"/>
    <x v="2"/>
    <x v="3"/>
    <x v="9"/>
    <n v="3"/>
    <x v="0"/>
  </r>
  <r>
    <d v="2023-07-03T00:00:00"/>
    <x v="3"/>
    <x v="1"/>
    <x v="0"/>
    <n v="55568319.149999999"/>
    <x v="3"/>
    <x v="1"/>
    <x v="0"/>
    <x v="12"/>
    <x v="2"/>
    <x v="3"/>
    <x v="2"/>
    <x v="3"/>
    <x v="9"/>
    <n v="3"/>
    <x v="0"/>
  </r>
  <r>
    <d v="2023-06-30T00:00:00"/>
    <x v="1"/>
    <x v="1"/>
    <x v="0"/>
    <n v="132442.35"/>
    <x v="1"/>
    <x v="1"/>
    <x v="0"/>
    <x v="0"/>
    <x v="2"/>
    <x v="0"/>
    <x v="2"/>
    <x v="0"/>
    <x v="10"/>
    <n v="30"/>
    <x v="0"/>
  </r>
  <r>
    <d v="2023-06-30T00:00:00"/>
    <x v="0"/>
    <x v="1"/>
    <x v="0"/>
    <n v="7997441.9199999999"/>
    <x v="0"/>
    <x v="1"/>
    <x v="0"/>
    <x v="1"/>
    <x v="2"/>
    <x v="0"/>
    <x v="2"/>
    <x v="0"/>
    <x v="10"/>
    <n v="30"/>
    <x v="0"/>
  </r>
  <r>
    <d v="2023-06-30T00:00:00"/>
    <x v="2"/>
    <x v="1"/>
    <x v="2"/>
    <n v="12744.65"/>
    <x v="2"/>
    <x v="1"/>
    <x v="2"/>
    <x v="2"/>
    <x v="2"/>
    <x v="0"/>
    <x v="2"/>
    <x v="0"/>
    <x v="10"/>
    <n v="30"/>
    <x v="0"/>
  </r>
  <r>
    <d v="2023-06-30T00:00:00"/>
    <x v="2"/>
    <x v="1"/>
    <x v="0"/>
    <n v="111019830.09"/>
    <x v="2"/>
    <x v="1"/>
    <x v="0"/>
    <x v="6"/>
    <x v="2"/>
    <x v="0"/>
    <x v="2"/>
    <x v="0"/>
    <x v="10"/>
    <n v="30"/>
    <x v="0"/>
  </r>
  <r>
    <d v="2023-06-30T00:00:00"/>
    <x v="3"/>
    <x v="3"/>
    <x v="0"/>
    <n v="4325354484.5100002"/>
    <x v="3"/>
    <x v="3"/>
    <x v="0"/>
    <x v="7"/>
    <x v="2"/>
    <x v="0"/>
    <x v="2"/>
    <x v="0"/>
    <x v="10"/>
    <n v="30"/>
    <x v="0"/>
  </r>
  <r>
    <d v="2023-06-30T00:00:00"/>
    <x v="2"/>
    <x v="1"/>
    <x v="1"/>
    <n v="253877741.53999999"/>
    <x v="2"/>
    <x v="1"/>
    <x v="1"/>
    <x v="8"/>
    <x v="2"/>
    <x v="0"/>
    <x v="2"/>
    <x v="0"/>
    <x v="10"/>
    <n v="30"/>
    <x v="0"/>
  </r>
  <r>
    <d v="2023-06-30T00:00:00"/>
    <x v="3"/>
    <x v="3"/>
    <x v="1"/>
    <n v="21895.919999999998"/>
    <x v="3"/>
    <x v="3"/>
    <x v="1"/>
    <x v="3"/>
    <x v="2"/>
    <x v="0"/>
    <x v="2"/>
    <x v="0"/>
    <x v="10"/>
    <n v="30"/>
    <x v="0"/>
  </r>
  <r>
    <d v="2023-06-30T00:00:00"/>
    <x v="0"/>
    <x v="1"/>
    <x v="1"/>
    <n v="11073738.9"/>
    <x v="0"/>
    <x v="1"/>
    <x v="1"/>
    <x v="4"/>
    <x v="2"/>
    <x v="0"/>
    <x v="2"/>
    <x v="0"/>
    <x v="10"/>
    <n v="30"/>
    <x v="0"/>
  </r>
  <r>
    <d v="2023-06-30T00:00:00"/>
    <x v="3"/>
    <x v="2"/>
    <x v="2"/>
    <n v="243247"/>
    <x v="3"/>
    <x v="2"/>
    <x v="2"/>
    <x v="5"/>
    <x v="2"/>
    <x v="0"/>
    <x v="2"/>
    <x v="0"/>
    <x v="10"/>
    <n v="30"/>
    <x v="0"/>
  </r>
  <r>
    <d v="2023-06-30T00:00:00"/>
    <x v="1"/>
    <x v="0"/>
    <x v="0"/>
    <n v="41050730.899999999"/>
    <x v="1"/>
    <x v="0"/>
    <x v="0"/>
    <x v="9"/>
    <x v="2"/>
    <x v="0"/>
    <x v="2"/>
    <x v="0"/>
    <x v="10"/>
    <n v="30"/>
    <x v="0"/>
  </r>
  <r>
    <d v="2023-06-30T00:00:00"/>
    <x v="1"/>
    <x v="0"/>
    <x v="1"/>
    <n v="205726980.63999999"/>
    <x v="1"/>
    <x v="0"/>
    <x v="1"/>
    <x v="10"/>
    <x v="2"/>
    <x v="0"/>
    <x v="2"/>
    <x v="0"/>
    <x v="10"/>
    <n v="30"/>
    <x v="0"/>
  </r>
  <r>
    <d v="2023-06-30T00:00:00"/>
    <x v="3"/>
    <x v="2"/>
    <x v="0"/>
    <n v="1027356537.84"/>
    <x v="3"/>
    <x v="2"/>
    <x v="0"/>
    <x v="11"/>
    <x v="2"/>
    <x v="0"/>
    <x v="2"/>
    <x v="0"/>
    <x v="10"/>
    <n v="30"/>
    <x v="0"/>
  </r>
  <r>
    <d v="2023-06-30T00:00:00"/>
    <x v="3"/>
    <x v="1"/>
    <x v="0"/>
    <n v="19253822.91"/>
    <x v="3"/>
    <x v="1"/>
    <x v="0"/>
    <x v="12"/>
    <x v="2"/>
    <x v="0"/>
    <x v="2"/>
    <x v="0"/>
    <x v="10"/>
    <n v="30"/>
    <x v="0"/>
  </r>
  <r>
    <d v="2023-06-30T00:00:00"/>
    <x v="3"/>
    <x v="2"/>
    <x v="1"/>
    <n v="11633395045.09"/>
    <x v="3"/>
    <x v="2"/>
    <x v="1"/>
    <x v="13"/>
    <x v="2"/>
    <x v="0"/>
    <x v="2"/>
    <x v="0"/>
    <x v="10"/>
    <n v="30"/>
    <x v="0"/>
  </r>
  <r>
    <d v="2023-06-29T00:00:00"/>
    <x v="1"/>
    <x v="1"/>
    <x v="0"/>
    <n v="16200.61"/>
    <x v="1"/>
    <x v="1"/>
    <x v="0"/>
    <x v="0"/>
    <x v="2"/>
    <x v="0"/>
    <x v="2"/>
    <x v="0"/>
    <x v="10"/>
    <n v="29"/>
    <x v="0"/>
  </r>
  <r>
    <d v="2023-06-29T00:00:00"/>
    <x v="0"/>
    <x v="1"/>
    <x v="0"/>
    <n v="11940693.539999999"/>
    <x v="0"/>
    <x v="1"/>
    <x v="0"/>
    <x v="1"/>
    <x v="2"/>
    <x v="0"/>
    <x v="2"/>
    <x v="0"/>
    <x v="10"/>
    <n v="29"/>
    <x v="0"/>
  </r>
  <r>
    <d v="2023-06-29T00:00:00"/>
    <x v="3"/>
    <x v="2"/>
    <x v="2"/>
    <n v="209019.67"/>
    <x v="3"/>
    <x v="2"/>
    <x v="2"/>
    <x v="4"/>
    <x v="2"/>
    <x v="0"/>
    <x v="2"/>
    <x v="0"/>
    <x v="10"/>
    <n v="29"/>
    <x v="0"/>
  </r>
  <r>
    <d v="2023-06-29T00:00:00"/>
    <x v="2"/>
    <x v="1"/>
    <x v="2"/>
    <n v="14525"/>
    <x v="2"/>
    <x v="1"/>
    <x v="2"/>
    <x v="2"/>
    <x v="2"/>
    <x v="0"/>
    <x v="2"/>
    <x v="0"/>
    <x v="10"/>
    <n v="29"/>
    <x v="0"/>
  </r>
  <r>
    <d v="2023-06-29T00:00:00"/>
    <x v="2"/>
    <x v="1"/>
    <x v="1"/>
    <n v="209638365.91999999"/>
    <x v="2"/>
    <x v="1"/>
    <x v="1"/>
    <x v="7"/>
    <x v="2"/>
    <x v="0"/>
    <x v="2"/>
    <x v="0"/>
    <x v="10"/>
    <n v="29"/>
    <x v="0"/>
  </r>
  <r>
    <d v="2023-06-29T00:00:00"/>
    <x v="1"/>
    <x v="0"/>
    <x v="0"/>
    <n v="62218026.149999999"/>
    <x v="1"/>
    <x v="0"/>
    <x v="0"/>
    <x v="8"/>
    <x v="2"/>
    <x v="0"/>
    <x v="2"/>
    <x v="0"/>
    <x v="10"/>
    <n v="29"/>
    <x v="0"/>
  </r>
  <r>
    <d v="2023-06-29T00:00:00"/>
    <x v="0"/>
    <x v="1"/>
    <x v="1"/>
    <n v="2188392.58"/>
    <x v="0"/>
    <x v="1"/>
    <x v="1"/>
    <x v="3"/>
    <x v="2"/>
    <x v="0"/>
    <x v="2"/>
    <x v="0"/>
    <x v="10"/>
    <n v="29"/>
    <x v="0"/>
  </r>
  <r>
    <d v="2023-06-29T00:00:00"/>
    <x v="2"/>
    <x v="1"/>
    <x v="0"/>
    <n v="93479296.799999997"/>
    <x v="2"/>
    <x v="1"/>
    <x v="0"/>
    <x v="5"/>
    <x v="2"/>
    <x v="0"/>
    <x v="2"/>
    <x v="0"/>
    <x v="10"/>
    <n v="29"/>
    <x v="0"/>
  </r>
  <r>
    <d v="2023-06-29T00:00:00"/>
    <x v="3"/>
    <x v="3"/>
    <x v="0"/>
    <n v="1887749974.03"/>
    <x v="3"/>
    <x v="3"/>
    <x v="0"/>
    <x v="6"/>
    <x v="2"/>
    <x v="0"/>
    <x v="2"/>
    <x v="0"/>
    <x v="10"/>
    <n v="29"/>
    <x v="0"/>
  </r>
  <r>
    <d v="2023-06-29T00:00:00"/>
    <x v="1"/>
    <x v="0"/>
    <x v="1"/>
    <n v="541494449.37"/>
    <x v="1"/>
    <x v="0"/>
    <x v="1"/>
    <x v="9"/>
    <x v="2"/>
    <x v="0"/>
    <x v="2"/>
    <x v="0"/>
    <x v="10"/>
    <n v="29"/>
    <x v="0"/>
  </r>
  <r>
    <d v="2023-06-29T00:00:00"/>
    <x v="3"/>
    <x v="2"/>
    <x v="0"/>
    <n v="552980074.12"/>
    <x v="3"/>
    <x v="2"/>
    <x v="0"/>
    <x v="10"/>
    <x v="2"/>
    <x v="0"/>
    <x v="2"/>
    <x v="0"/>
    <x v="10"/>
    <n v="29"/>
    <x v="0"/>
  </r>
  <r>
    <d v="2023-06-29T00:00:00"/>
    <x v="3"/>
    <x v="1"/>
    <x v="0"/>
    <n v="17250258.920000002"/>
    <x v="3"/>
    <x v="1"/>
    <x v="0"/>
    <x v="11"/>
    <x v="2"/>
    <x v="0"/>
    <x v="2"/>
    <x v="0"/>
    <x v="10"/>
    <n v="29"/>
    <x v="0"/>
  </r>
  <r>
    <d v="2023-06-29T00:00:00"/>
    <x v="3"/>
    <x v="2"/>
    <x v="1"/>
    <n v="5545910322.6300001"/>
    <x v="3"/>
    <x v="2"/>
    <x v="1"/>
    <x v="12"/>
    <x v="2"/>
    <x v="0"/>
    <x v="2"/>
    <x v="0"/>
    <x v="10"/>
    <n v="29"/>
    <x v="0"/>
  </r>
  <r>
    <d v="2023-06-28T00:00:00"/>
    <x v="0"/>
    <x v="0"/>
    <x v="0"/>
    <n v="185"/>
    <x v="0"/>
    <x v="0"/>
    <x v="0"/>
    <x v="0"/>
    <x v="2"/>
    <x v="0"/>
    <x v="2"/>
    <x v="0"/>
    <x v="10"/>
    <n v="28"/>
    <x v="0"/>
  </r>
  <r>
    <d v="2023-06-28T00:00:00"/>
    <x v="2"/>
    <x v="3"/>
    <x v="0"/>
    <n v="14534.74"/>
    <x v="2"/>
    <x v="3"/>
    <x v="0"/>
    <x v="1"/>
    <x v="2"/>
    <x v="0"/>
    <x v="2"/>
    <x v="0"/>
    <x v="10"/>
    <n v="28"/>
    <x v="0"/>
  </r>
  <r>
    <d v="2023-06-28T00:00:00"/>
    <x v="0"/>
    <x v="1"/>
    <x v="0"/>
    <n v="9069276.0999999996"/>
    <x v="0"/>
    <x v="1"/>
    <x v="0"/>
    <x v="2"/>
    <x v="2"/>
    <x v="0"/>
    <x v="2"/>
    <x v="0"/>
    <x v="10"/>
    <n v="28"/>
    <x v="0"/>
  </r>
  <r>
    <d v="2023-06-28T00:00:00"/>
    <x v="2"/>
    <x v="1"/>
    <x v="0"/>
    <n v="100477662.88"/>
    <x v="2"/>
    <x v="1"/>
    <x v="0"/>
    <x v="9"/>
    <x v="2"/>
    <x v="0"/>
    <x v="2"/>
    <x v="0"/>
    <x v="10"/>
    <n v="28"/>
    <x v="0"/>
  </r>
  <r>
    <d v="2023-06-28T00:00:00"/>
    <x v="3"/>
    <x v="3"/>
    <x v="2"/>
    <n v="-951.1"/>
    <x v="3"/>
    <x v="3"/>
    <x v="2"/>
    <x v="5"/>
    <x v="2"/>
    <x v="0"/>
    <x v="2"/>
    <x v="0"/>
    <x v="10"/>
    <n v="28"/>
    <x v="1"/>
  </r>
  <r>
    <d v="2023-06-28T00:00:00"/>
    <x v="1"/>
    <x v="0"/>
    <x v="0"/>
    <n v="125588039.87"/>
    <x v="1"/>
    <x v="0"/>
    <x v="0"/>
    <x v="12"/>
    <x v="2"/>
    <x v="0"/>
    <x v="2"/>
    <x v="0"/>
    <x v="10"/>
    <n v="28"/>
    <x v="0"/>
  </r>
  <r>
    <d v="2023-06-28T00:00:00"/>
    <x v="3"/>
    <x v="3"/>
    <x v="1"/>
    <n v="7046.32"/>
    <x v="3"/>
    <x v="3"/>
    <x v="1"/>
    <x v="3"/>
    <x v="2"/>
    <x v="0"/>
    <x v="2"/>
    <x v="0"/>
    <x v="10"/>
    <n v="28"/>
    <x v="0"/>
  </r>
  <r>
    <d v="2023-06-28T00:00:00"/>
    <x v="0"/>
    <x v="1"/>
    <x v="1"/>
    <n v="7471878.3200000003"/>
    <x v="0"/>
    <x v="1"/>
    <x v="1"/>
    <x v="4"/>
    <x v="2"/>
    <x v="0"/>
    <x v="2"/>
    <x v="0"/>
    <x v="10"/>
    <n v="28"/>
    <x v="0"/>
  </r>
  <r>
    <d v="2023-06-28T00:00:00"/>
    <x v="2"/>
    <x v="1"/>
    <x v="2"/>
    <n v="29313.17"/>
    <x v="2"/>
    <x v="1"/>
    <x v="2"/>
    <x v="6"/>
    <x v="2"/>
    <x v="0"/>
    <x v="2"/>
    <x v="0"/>
    <x v="10"/>
    <n v="28"/>
    <x v="0"/>
  </r>
  <r>
    <d v="2023-06-28T00:00:00"/>
    <x v="3"/>
    <x v="2"/>
    <x v="2"/>
    <n v="118695.34"/>
    <x v="3"/>
    <x v="2"/>
    <x v="2"/>
    <x v="7"/>
    <x v="2"/>
    <x v="0"/>
    <x v="2"/>
    <x v="0"/>
    <x v="10"/>
    <n v="28"/>
    <x v="0"/>
  </r>
  <r>
    <d v="2023-06-28T00:00:00"/>
    <x v="1"/>
    <x v="1"/>
    <x v="0"/>
    <n v="547802.77"/>
    <x v="1"/>
    <x v="1"/>
    <x v="0"/>
    <x v="8"/>
    <x v="2"/>
    <x v="0"/>
    <x v="2"/>
    <x v="0"/>
    <x v="10"/>
    <n v="28"/>
    <x v="0"/>
  </r>
  <r>
    <d v="2023-06-28T00:00:00"/>
    <x v="3"/>
    <x v="3"/>
    <x v="0"/>
    <n v="1255075246.5799999"/>
    <x v="3"/>
    <x v="3"/>
    <x v="0"/>
    <x v="10"/>
    <x v="2"/>
    <x v="0"/>
    <x v="2"/>
    <x v="0"/>
    <x v="10"/>
    <n v="28"/>
    <x v="0"/>
  </r>
  <r>
    <d v="2023-06-28T00:00:00"/>
    <x v="2"/>
    <x v="1"/>
    <x v="1"/>
    <n v="190771180.28"/>
    <x v="2"/>
    <x v="1"/>
    <x v="1"/>
    <x v="11"/>
    <x v="2"/>
    <x v="0"/>
    <x v="2"/>
    <x v="0"/>
    <x v="10"/>
    <n v="28"/>
    <x v="0"/>
  </r>
  <r>
    <d v="2023-06-28T00:00:00"/>
    <x v="1"/>
    <x v="0"/>
    <x v="1"/>
    <n v="1485172214.9300001"/>
    <x v="1"/>
    <x v="0"/>
    <x v="1"/>
    <x v="13"/>
    <x v="2"/>
    <x v="0"/>
    <x v="2"/>
    <x v="0"/>
    <x v="10"/>
    <n v="28"/>
    <x v="0"/>
  </r>
  <r>
    <d v="2023-06-28T00:00:00"/>
    <x v="3"/>
    <x v="2"/>
    <x v="0"/>
    <n v="560604123.77999997"/>
    <x v="3"/>
    <x v="2"/>
    <x v="0"/>
    <x v="14"/>
    <x v="2"/>
    <x v="0"/>
    <x v="2"/>
    <x v="0"/>
    <x v="10"/>
    <n v="28"/>
    <x v="0"/>
  </r>
  <r>
    <d v="2023-06-28T00:00:00"/>
    <x v="3"/>
    <x v="1"/>
    <x v="0"/>
    <n v="16593725.52"/>
    <x v="3"/>
    <x v="1"/>
    <x v="0"/>
    <x v="15"/>
    <x v="2"/>
    <x v="0"/>
    <x v="2"/>
    <x v="0"/>
    <x v="10"/>
    <n v="28"/>
    <x v="0"/>
  </r>
  <r>
    <d v="2023-06-28T00:00:00"/>
    <x v="3"/>
    <x v="2"/>
    <x v="1"/>
    <n v="11065389947.360001"/>
    <x v="3"/>
    <x v="2"/>
    <x v="1"/>
    <x v="16"/>
    <x v="2"/>
    <x v="0"/>
    <x v="2"/>
    <x v="0"/>
    <x v="10"/>
    <n v="28"/>
    <x v="0"/>
  </r>
  <r>
    <d v="2023-06-27T00:00:00"/>
    <x v="1"/>
    <x v="1"/>
    <x v="0"/>
    <n v="298036.82"/>
    <x v="1"/>
    <x v="1"/>
    <x v="0"/>
    <x v="0"/>
    <x v="2"/>
    <x v="0"/>
    <x v="2"/>
    <x v="0"/>
    <x v="10"/>
    <n v="27"/>
    <x v="0"/>
  </r>
  <r>
    <d v="2023-06-27T00:00:00"/>
    <x v="0"/>
    <x v="1"/>
    <x v="0"/>
    <n v="11794036.859999999"/>
    <x v="0"/>
    <x v="1"/>
    <x v="0"/>
    <x v="1"/>
    <x v="2"/>
    <x v="0"/>
    <x v="2"/>
    <x v="0"/>
    <x v="10"/>
    <n v="27"/>
    <x v="0"/>
  </r>
  <r>
    <d v="2023-06-27T00:00:00"/>
    <x v="2"/>
    <x v="1"/>
    <x v="2"/>
    <n v="507757.64"/>
    <x v="2"/>
    <x v="1"/>
    <x v="2"/>
    <x v="2"/>
    <x v="2"/>
    <x v="0"/>
    <x v="2"/>
    <x v="0"/>
    <x v="10"/>
    <n v="27"/>
    <x v="0"/>
  </r>
  <r>
    <d v="2023-06-27T00:00:00"/>
    <x v="3"/>
    <x v="2"/>
    <x v="2"/>
    <n v="357390.24"/>
    <x v="3"/>
    <x v="2"/>
    <x v="2"/>
    <x v="3"/>
    <x v="2"/>
    <x v="0"/>
    <x v="2"/>
    <x v="0"/>
    <x v="10"/>
    <n v="27"/>
    <x v="0"/>
  </r>
  <r>
    <d v="2023-06-27T00:00:00"/>
    <x v="3"/>
    <x v="3"/>
    <x v="0"/>
    <n v="1648361099.4400001"/>
    <x v="3"/>
    <x v="3"/>
    <x v="0"/>
    <x v="5"/>
    <x v="2"/>
    <x v="0"/>
    <x v="2"/>
    <x v="0"/>
    <x v="10"/>
    <n v="27"/>
    <x v="0"/>
  </r>
  <r>
    <d v="2023-06-27T00:00:00"/>
    <x v="2"/>
    <x v="1"/>
    <x v="0"/>
    <n v="86141969.959999993"/>
    <x v="2"/>
    <x v="1"/>
    <x v="0"/>
    <x v="6"/>
    <x v="2"/>
    <x v="0"/>
    <x v="2"/>
    <x v="0"/>
    <x v="10"/>
    <n v="27"/>
    <x v="0"/>
  </r>
  <r>
    <d v="2023-06-27T00:00:00"/>
    <x v="2"/>
    <x v="1"/>
    <x v="1"/>
    <n v="237419798.63999999"/>
    <x v="2"/>
    <x v="1"/>
    <x v="1"/>
    <x v="7"/>
    <x v="2"/>
    <x v="0"/>
    <x v="2"/>
    <x v="0"/>
    <x v="10"/>
    <n v="27"/>
    <x v="0"/>
  </r>
  <r>
    <d v="2023-06-27T00:00:00"/>
    <x v="1"/>
    <x v="0"/>
    <x v="0"/>
    <n v="25689891.120000001"/>
    <x v="1"/>
    <x v="0"/>
    <x v="0"/>
    <x v="8"/>
    <x v="2"/>
    <x v="0"/>
    <x v="2"/>
    <x v="0"/>
    <x v="10"/>
    <n v="27"/>
    <x v="0"/>
  </r>
  <r>
    <d v="2023-06-27T00:00:00"/>
    <x v="0"/>
    <x v="1"/>
    <x v="1"/>
    <n v="5856722.5999999996"/>
    <x v="0"/>
    <x v="1"/>
    <x v="1"/>
    <x v="4"/>
    <x v="2"/>
    <x v="0"/>
    <x v="2"/>
    <x v="0"/>
    <x v="10"/>
    <n v="27"/>
    <x v="0"/>
  </r>
  <r>
    <d v="2023-06-27T00:00:00"/>
    <x v="1"/>
    <x v="0"/>
    <x v="1"/>
    <n v="872560153.91999996"/>
    <x v="1"/>
    <x v="0"/>
    <x v="1"/>
    <x v="9"/>
    <x v="2"/>
    <x v="0"/>
    <x v="2"/>
    <x v="0"/>
    <x v="10"/>
    <n v="27"/>
    <x v="0"/>
  </r>
  <r>
    <d v="2023-06-27T00:00:00"/>
    <x v="3"/>
    <x v="2"/>
    <x v="0"/>
    <n v="449737745.12"/>
    <x v="3"/>
    <x v="2"/>
    <x v="0"/>
    <x v="10"/>
    <x v="2"/>
    <x v="0"/>
    <x v="2"/>
    <x v="0"/>
    <x v="10"/>
    <n v="27"/>
    <x v="0"/>
  </r>
  <r>
    <d v="2023-06-27T00:00:00"/>
    <x v="3"/>
    <x v="1"/>
    <x v="0"/>
    <n v="13740597.83"/>
    <x v="3"/>
    <x v="1"/>
    <x v="0"/>
    <x v="11"/>
    <x v="2"/>
    <x v="0"/>
    <x v="2"/>
    <x v="0"/>
    <x v="10"/>
    <n v="27"/>
    <x v="0"/>
  </r>
  <r>
    <d v="2023-06-27T00:00:00"/>
    <x v="3"/>
    <x v="2"/>
    <x v="1"/>
    <n v="3849145442.6799998"/>
    <x v="3"/>
    <x v="2"/>
    <x v="1"/>
    <x v="12"/>
    <x v="2"/>
    <x v="0"/>
    <x v="2"/>
    <x v="0"/>
    <x v="10"/>
    <n v="27"/>
    <x v="0"/>
  </r>
  <r>
    <d v="2023-06-26T00:00:00"/>
    <x v="1"/>
    <x v="1"/>
    <x v="0"/>
    <n v="157290.85999999999"/>
    <x v="1"/>
    <x v="1"/>
    <x v="0"/>
    <x v="0"/>
    <x v="2"/>
    <x v="0"/>
    <x v="2"/>
    <x v="0"/>
    <x v="10"/>
    <n v="26"/>
    <x v="0"/>
  </r>
  <r>
    <d v="2023-06-26T00:00:00"/>
    <x v="0"/>
    <x v="1"/>
    <x v="0"/>
    <n v="23556601.300000001"/>
    <x v="0"/>
    <x v="1"/>
    <x v="0"/>
    <x v="1"/>
    <x v="2"/>
    <x v="0"/>
    <x v="2"/>
    <x v="0"/>
    <x v="10"/>
    <n v="26"/>
    <x v="0"/>
  </r>
  <r>
    <d v="2023-06-26T00:00:00"/>
    <x v="3"/>
    <x v="3"/>
    <x v="2"/>
    <n v="95.32"/>
    <x v="3"/>
    <x v="3"/>
    <x v="2"/>
    <x v="2"/>
    <x v="2"/>
    <x v="0"/>
    <x v="2"/>
    <x v="0"/>
    <x v="10"/>
    <n v="26"/>
    <x v="0"/>
  </r>
  <r>
    <d v="2023-06-26T00:00:00"/>
    <x v="2"/>
    <x v="1"/>
    <x v="0"/>
    <n v="111909275.78"/>
    <x v="2"/>
    <x v="1"/>
    <x v="0"/>
    <x v="7"/>
    <x v="2"/>
    <x v="0"/>
    <x v="2"/>
    <x v="0"/>
    <x v="10"/>
    <n v="26"/>
    <x v="0"/>
  </r>
  <r>
    <d v="2023-06-26T00:00:00"/>
    <x v="2"/>
    <x v="1"/>
    <x v="2"/>
    <n v="10921.45"/>
    <x v="2"/>
    <x v="1"/>
    <x v="2"/>
    <x v="5"/>
    <x v="2"/>
    <x v="0"/>
    <x v="2"/>
    <x v="0"/>
    <x v="10"/>
    <n v="26"/>
    <x v="0"/>
  </r>
  <r>
    <d v="2023-06-26T00:00:00"/>
    <x v="3"/>
    <x v="3"/>
    <x v="0"/>
    <n v="1837992690.78"/>
    <x v="3"/>
    <x v="3"/>
    <x v="0"/>
    <x v="8"/>
    <x v="2"/>
    <x v="0"/>
    <x v="2"/>
    <x v="0"/>
    <x v="10"/>
    <n v="26"/>
    <x v="0"/>
  </r>
  <r>
    <d v="2023-06-26T00:00:00"/>
    <x v="2"/>
    <x v="1"/>
    <x v="1"/>
    <n v="100892068.16"/>
    <x v="2"/>
    <x v="1"/>
    <x v="1"/>
    <x v="9"/>
    <x v="2"/>
    <x v="0"/>
    <x v="2"/>
    <x v="0"/>
    <x v="10"/>
    <n v="26"/>
    <x v="0"/>
  </r>
  <r>
    <d v="2023-06-26T00:00:00"/>
    <x v="3"/>
    <x v="3"/>
    <x v="1"/>
    <n v="284118.81"/>
    <x v="3"/>
    <x v="3"/>
    <x v="1"/>
    <x v="3"/>
    <x v="2"/>
    <x v="0"/>
    <x v="2"/>
    <x v="0"/>
    <x v="10"/>
    <n v="26"/>
    <x v="0"/>
  </r>
  <r>
    <d v="2023-06-26T00:00:00"/>
    <x v="0"/>
    <x v="1"/>
    <x v="1"/>
    <n v="16625994.49"/>
    <x v="0"/>
    <x v="1"/>
    <x v="1"/>
    <x v="4"/>
    <x v="2"/>
    <x v="0"/>
    <x v="2"/>
    <x v="0"/>
    <x v="10"/>
    <n v="26"/>
    <x v="0"/>
  </r>
  <r>
    <d v="2023-06-26T00:00:00"/>
    <x v="3"/>
    <x v="2"/>
    <x v="2"/>
    <n v="134803.28"/>
    <x v="3"/>
    <x v="2"/>
    <x v="2"/>
    <x v="6"/>
    <x v="2"/>
    <x v="0"/>
    <x v="2"/>
    <x v="0"/>
    <x v="10"/>
    <n v="26"/>
    <x v="0"/>
  </r>
  <r>
    <d v="2023-06-26T00:00:00"/>
    <x v="1"/>
    <x v="0"/>
    <x v="0"/>
    <n v="56059862.100000001"/>
    <x v="1"/>
    <x v="0"/>
    <x v="0"/>
    <x v="10"/>
    <x v="2"/>
    <x v="0"/>
    <x v="2"/>
    <x v="0"/>
    <x v="10"/>
    <n v="26"/>
    <x v="0"/>
  </r>
  <r>
    <d v="2023-06-26T00:00:00"/>
    <x v="1"/>
    <x v="0"/>
    <x v="1"/>
    <n v="2393974427.8099999"/>
    <x v="1"/>
    <x v="0"/>
    <x v="1"/>
    <x v="11"/>
    <x v="2"/>
    <x v="0"/>
    <x v="2"/>
    <x v="0"/>
    <x v="10"/>
    <n v="26"/>
    <x v="0"/>
  </r>
  <r>
    <d v="2023-06-26T00:00:00"/>
    <x v="3"/>
    <x v="2"/>
    <x v="0"/>
    <n v="428493952.41000003"/>
    <x v="3"/>
    <x v="2"/>
    <x v="0"/>
    <x v="12"/>
    <x v="2"/>
    <x v="0"/>
    <x v="2"/>
    <x v="0"/>
    <x v="10"/>
    <n v="26"/>
    <x v="0"/>
  </r>
  <r>
    <d v="2023-06-26T00:00:00"/>
    <x v="3"/>
    <x v="2"/>
    <x v="1"/>
    <n v="24152273924.950001"/>
    <x v="3"/>
    <x v="2"/>
    <x v="1"/>
    <x v="13"/>
    <x v="2"/>
    <x v="0"/>
    <x v="2"/>
    <x v="0"/>
    <x v="10"/>
    <n v="26"/>
    <x v="0"/>
  </r>
  <r>
    <d v="2023-06-26T00:00:00"/>
    <x v="3"/>
    <x v="1"/>
    <x v="0"/>
    <n v="48551679.079999998"/>
    <x v="3"/>
    <x v="1"/>
    <x v="0"/>
    <x v="14"/>
    <x v="2"/>
    <x v="0"/>
    <x v="2"/>
    <x v="0"/>
    <x v="10"/>
    <n v="26"/>
    <x v="0"/>
  </r>
  <r>
    <d v="2023-06-23T00:00:00"/>
    <x v="0"/>
    <x v="0"/>
    <x v="0"/>
    <n v="0"/>
    <x v="0"/>
    <x v="0"/>
    <x v="0"/>
    <x v="0"/>
    <x v="2"/>
    <x v="0"/>
    <x v="2"/>
    <x v="0"/>
    <x v="10"/>
    <n v="23"/>
    <x v="0"/>
  </r>
  <r>
    <d v="2023-06-23T00:00:00"/>
    <x v="1"/>
    <x v="1"/>
    <x v="0"/>
    <n v="29862.76"/>
    <x v="1"/>
    <x v="1"/>
    <x v="0"/>
    <x v="1"/>
    <x v="2"/>
    <x v="0"/>
    <x v="2"/>
    <x v="0"/>
    <x v="10"/>
    <n v="23"/>
    <x v="0"/>
  </r>
  <r>
    <d v="2023-06-23T00:00:00"/>
    <x v="0"/>
    <x v="1"/>
    <x v="0"/>
    <n v="33376486.219999999"/>
    <x v="0"/>
    <x v="1"/>
    <x v="0"/>
    <x v="2"/>
    <x v="2"/>
    <x v="0"/>
    <x v="2"/>
    <x v="0"/>
    <x v="10"/>
    <n v="23"/>
    <x v="0"/>
  </r>
  <r>
    <d v="2023-06-23T00:00:00"/>
    <x v="2"/>
    <x v="1"/>
    <x v="2"/>
    <n v="18619.89"/>
    <x v="2"/>
    <x v="1"/>
    <x v="2"/>
    <x v="3"/>
    <x v="2"/>
    <x v="0"/>
    <x v="2"/>
    <x v="0"/>
    <x v="10"/>
    <n v="23"/>
    <x v="0"/>
  </r>
  <r>
    <d v="2023-06-23T00:00:00"/>
    <x v="3"/>
    <x v="2"/>
    <x v="2"/>
    <n v="283643.27"/>
    <x v="3"/>
    <x v="2"/>
    <x v="2"/>
    <x v="4"/>
    <x v="2"/>
    <x v="0"/>
    <x v="2"/>
    <x v="0"/>
    <x v="10"/>
    <n v="23"/>
    <x v="0"/>
  </r>
  <r>
    <d v="2023-06-23T00:00:00"/>
    <x v="3"/>
    <x v="3"/>
    <x v="0"/>
    <n v="2270922745.3499999"/>
    <x v="3"/>
    <x v="3"/>
    <x v="0"/>
    <x v="7"/>
    <x v="2"/>
    <x v="0"/>
    <x v="2"/>
    <x v="0"/>
    <x v="10"/>
    <n v="23"/>
    <x v="0"/>
  </r>
  <r>
    <d v="2023-06-23T00:00:00"/>
    <x v="2"/>
    <x v="1"/>
    <x v="1"/>
    <n v="150491487.97"/>
    <x v="2"/>
    <x v="1"/>
    <x v="1"/>
    <x v="8"/>
    <x v="2"/>
    <x v="0"/>
    <x v="2"/>
    <x v="0"/>
    <x v="10"/>
    <n v="23"/>
    <x v="0"/>
  </r>
  <r>
    <d v="2023-06-23T00:00:00"/>
    <x v="1"/>
    <x v="0"/>
    <x v="0"/>
    <n v="59491971.240000002"/>
    <x v="1"/>
    <x v="0"/>
    <x v="0"/>
    <x v="9"/>
    <x v="2"/>
    <x v="0"/>
    <x v="2"/>
    <x v="0"/>
    <x v="10"/>
    <n v="23"/>
    <x v="0"/>
  </r>
  <r>
    <d v="2023-06-23T00:00:00"/>
    <x v="0"/>
    <x v="1"/>
    <x v="1"/>
    <n v="2529706.6800000002"/>
    <x v="0"/>
    <x v="1"/>
    <x v="1"/>
    <x v="5"/>
    <x v="2"/>
    <x v="0"/>
    <x v="2"/>
    <x v="0"/>
    <x v="10"/>
    <n v="23"/>
    <x v="0"/>
  </r>
  <r>
    <d v="2023-06-23T00:00:00"/>
    <x v="2"/>
    <x v="1"/>
    <x v="0"/>
    <n v="115682573.27"/>
    <x v="2"/>
    <x v="1"/>
    <x v="0"/>
    <x v="6"/>
    <x v="2"/>
    <x v="0"/>
    <x v="2"/>
    <x v="0"/>
    <x v="10"/>
    <n v="23"/>
    <x v="0"/>
  </r>
  <r>
    <d v="2023-06-23T00:00:00"/>
    <x v="1"/>
    <x v="0"/>
    <x v="1"/>
    <n v="9312194644.1100006"/>
    <x v="1"/>
    <x v="0"/>
    <x v="1"/>
    <x v="10"/>
    <x v="2"/>
    <x v="0"/>
    <x v="2"/>
    <x v="0"/>
    <x v="10"/>
    <n v="23"/>
    <x v="0"/>
  </r>
  <r>
    <d v="2023-06-23T00:00:00"/>
    <x v="3"/>
    <x v="2"/>
    <x v="0"/>
    <n v="5505011699.7399998"/>
    <x v="3"/>
    <x v="2"/>
    <x v="0"/>
    <x v="11"/>
    <x v="2"/>
    <x v="0"/>
    <x v="2"/>
    <x v="0"/>
    <x v="10"/>
    <n v="23"/>
    <x v="0"/>
  </r>
  <r>
    <d v="2023-06-23T00:00:00"/>
    <x v="3"/>
    <x v="2"/>
    <x v="1"/>
    <n v="12386437264.82"/>
    <x v="3"/>
    <x v="2"/>
    <x v="1"/>
    <x v="12"/>
    <x v="2"/>
    <x v="0"/>
    <x v="2"/>
    <x v="0"/>
    <x v="10"/>
    <n v="23"/>
    <x v="0"/>
  </r>
  <r>
    <d v="2023-06-23T00:00:00"/>
    <x v="3"/>
    <x v="1"/>
    <x v="0"/>
    <n v="16415300.039999999"/>
    <x v="3"/>
    <x v="1"/>
    <x v="0"/>
    <x v="13"/>
    <x v="2"/>
    <x v="0"/>
    <x v="2"/>
    <x v="0"/>
    <x v="10"/>
    <n v="23"/>
    <x v="0"/>
  </r>
  <r>
    <d v="2023-06-22T00:00:00"/>
    <x v="0"/>
    <x v="1"/>
    <x v="0"/>
    <n v="6888562.6799999997"/>
    <x v="0"/>
    <x v="1"/>
    <x v="0"/>
    <x v="0"/>
    <x v="2"/>
    <x v="0"/>
    <x v="2"/>
    <x v="0"/>
    <x v="10"/>
    <n v="22"/>
    <x v="0"/>
  </r>
  <r>
    <d v="2023-06-22T00:00:00"/>
    <x v="1"/>
    <x v="1"/>
    <x v="0"/>
    <n v="45224.84"/>
    <x v="1"/>
    <x v="1"/>
    <x v="0"/>
    <x v="3"/>
    <x v="2"/>
    <x v="0"/>
    <x v="2"/>
    <x v="0"/>
    <x v="10"/>
    <n v="22"/>
    <x v="0"/>
  </r>
  <r>
    <d v="2023-06-22T00:00:00"/>
    <x v="2"/>
    <x v="1"/>
    <x v="2"/>
    <n v="15592.07"/>
    <x v="2"/>
    <x v="1"/>
    <x v="2"/>
    <x v="1"/>
    <x v="2"/>
    <x v="0"/>
    <x v="2"/>
    <x v="0"/>
    <x v="10"/>
    <n v="22"/>
    <x v="0"/>
  </r>
  <r>
    <d v="2023-06-22T00:00:00"/>
    <x v="2"/>
    <x v="1"/>
    <x v="0"/>
    <n v="90014587.049999997"/>
    <x v="2"/>
    <x v="1"/>
    <x v="0"/>
    <x v="5"/>
    <x v="2"/>
    <x v="0"/>
    <x v="2"/>
    <x v="0"/>
    <x v="10"/>
    <n v="22"/>
    <x v="0"/>
  </r>
  <r>
    <d v="2023-06-22T00:00:00"/>
    <x v="3"/>
    <x v="3"/>
    <x v="0"/>
    <n v="935177939.53999996"/>
    <x v="3"/>
    <x v="3"/>
    <x v="0"/>
    <x v="6"/>
    <x v="2"/>
    <x v="0"/>
    <x v="2"/>
    <x v="0"/>
    <x v="10"/>
    <n v="22"/>
    <x v="0"/>
  </r>
  <r>
    <d v="2023-06-22T00:00:00"/>
    <x v="0"/>
    <x v="1"/>
    <x v="1"/>
    <n v="15415371.050000001"/>
    <x v="0"/>
    <x v="1"/>
    <x v="1"/>
    <x v="2"/>
    <x v="2"/>
    <x v="0"/>
    <x v="2"/>
    <x v="0"/>
    <x v="10"/>
    <n v="22"/>
    <x v="0"/>
  </r>
  <r>
    <d v="2023-06-22T00:00:00"/>
    <x v="3"/>
    <x v="2"/>
    <x v="2"/>
    <n v="796014.07999999996"/>
    <x v="3"/>
    <x v="2"/>
    <x v="2"/>
    <x v="4"/>
    <x v="2"/>
    <x v="0"/>
    <x v="2"/>
    <x v="0"/>
    <x v="10"/>
    <n v="22"/>
    <x v="0"/>
  </r>
  <r>
    <d v="2023-06-22T00:00:00"/>
    <x v="2"/>
    <x v="1"/>
    <x v="1"/>
    <n v="344569655"/>
    <x v="2"/>
    <x v="1"/>
    <x v="1"/>
    <x v="7"/>
    <x v="2"/>
    <x v="0"/>
    <x v="2"/>
    <x v="0"/>
    <x v="10"/>
    <n v="22"/>
    <x v="0"/>
  </r>
  <r>
    <d v="2023-06-22T00:00:00"/>
    <x v="1"/>
    <x v="0"/>
    <x v="0"/>
    <n v="100606922.39"/>
    <x v="1"/>
    <x v="0"/>
    <x v="0"/>
    <x v="8"/>
    <x v="2"/>
    <x v="0"/>
    <x v="2"/>
    <x v="0"/>
    <x v="10"/>
    <n v="22"/>
    <x v="0"/>
  </r>
  <r>
    <d v="2023-06-22T00:00:00"/>
    <x v="1"/>
    <x v="0"/>
    <x v="1"/>
    <n v="13375391755.690001"/>
    <x v="1"/>
    <x v="0"/>
    <x v="1"/>
    <x v="9"/>
    <x v="2"/>
    <x v="0"/>
    <x v="2"/>
    <x v="0"/>
    <x v="10"/>
    <n v="22"/>
    <x v="0"/>
  </r>
  <r>
    <d v="2023-06-22T00:00:00"/>
    <x v="3"/>
    <x v="2"/>
    <x v="0"/>
    <n v="364114773.49000001"/>
    <x v="3"/>
    <x v="2"/>
    <x v="0"/>
    <x v="10"/>
    <x v="2"/>
    <x v="0"/>
    <x v="2"/>
    <x v="0"/>
    <x v="10"/>
    <n v="22"/>
    <x v="0"/>
  </r>
  <r>
    <d v="2023-06-22T00:00:00"/>
    <x v="3"/>
    <x v="1"/>
    <x v="0"/>
    <n v="17269701.550000001"/>
    <x v="3"/>
    <x v="1"/>
    <x v="0"/>
    <x v="11"/>
    <x v="2"/>
    <x v="0"/>
    <x v="2"/>
    <x v="0"/>
    <x v="10"/>
    <n v="22"/>
    <x v="0"/>
  </r>
  <r>
    <d v="2023-06-22T00:00:00"/>
    <x v="3"/>
    <x v="2"/>
    <x v="1"/>
    <n v="11608713291.5"/>
    <x v="3"/>
    <x v="2"/>
    <x v="1"/>
    <x v="12"/>
    <x v="2"/>
    <x v="0"/>
    <x v="2"/>
    <x v="0"/>
    <x v="10"/>
    <n v="22"/>
    <x v="0"/>
  </r>
  <r>
    <d v="2023-06-21T00:00:00"/>
    <x v="1"/>
    <x v="1"/>
    <x v="0"/>
    <n v="1205443.1200000001"/>
    <x v="1"/>
    <x v="1"/>
    <x v="0"/>
    <x v="5"/>
    <x v="2"/>
    <x v="0"/>
    <x v="2"/>
    <x v="0"/>
    <x v="10"/>
    <n v="21"/>
    <x v="0"/>
  </r>
  <r>
    <d v="2023-06-21T00:00:00"/>
    <x v="0"/>
    <x v="0"/>
    <x v="0"/>
    <n v="121.2"/>
    <x v="0"/>
    <x v="0"/>
    <x v="0"/>
    <x v="0"/>
    <x v="2"/>
    <x v="0"/>
    <x v="2"/>
    <x v="0"/>
    <x v="10"/>
    <n v="21"/>
    <x v="0"/>
  </r>
  <r>
    <d v="2023-06-21T00:00:00"/>
    <x v="0"/>
    <x v="1"/>
    <x v="0"/>
    <n v="10625106.210000001"/>
    <x v="0"/>
    <x v="1"/>
    <x v="0"/>
    <x v="1"/>
    <x v="2"/>
    <x v="0"/>
    <x v="2"/>
    <x v="0"/>
    <x v="10"/>
    <n v="21"/>
    <x v="0"/>
  </r>
  <r>
    <d v="2023-06-21T00:00:00"/>
    <x v="3"/>
    <x v="3"/>
    <x v="2"/>
    <n v="951.1"/>
    <x v="3"/>
    <x v="3"/>
    <x v="2"/>
    <x v="2"/>
    <x v="2"/>
    <x v="0"/>
    <x v="2"/>
    <x v="0"/>
    <x v="10"/>
    <n v="21"/>
    <x v="0"/>
  </r>
  <r>
    <d v="2023-06-21T00:00:00"/>
    <x v="2"/>
    <x v="1"/>
    <x v="2"/>
    <n v="11555.77"/>
    <x v="2"/>
    <x v="1"/>
    <x v="2"/>
    <x v="3"/>
    <x v="2"/>
    <x v="0"/>
    <x v="2"/>
    <x v="0"/>
    <x v="10"/>
    <n v="21"/>
    <x v="0"/>
  </r>
  <r>
    <d v="2023-06-21T00:00:00"/>
    <x v="2"/>
    <x v="1"/>
    <x v="0"/>
    <n v="123822788.83"/>
    <x v="2"/>
    <x v="1"/>
    <x v="0"/>
    <x v="7"/>
    <x v="2"/>
    <x v="0"/>
    <x v="2"/>
    <x v="0"/>
    <x v="10"/>
    <n v="21"/>
    <x v="0"/>
  </r>
  <r>
    <d v="2023-06-21T00:00:00"/>
    <x v="3"/>
    <x v="3"/>
    <x v="0"/>
    <n v="1559791395.6600001"/>
    <x v="3"/>
    <x v="3"/>
    <x v="0"/>
    <x v="8"/>
    <x v="2"/>
    <x v="0"/>
    <x v="2"/>
    <x v="0"/>
    <x v="10"/>
    <n v="21"/>
    <x v="0"/>
  </r>
  <r>
    <d v="2023-06-21T00:00:00"/>
    <x v="3"/>
    <x v="2"/>
    <x v="2"/>
    <n v="179641.44"/>
    <x v="3"/>
    <x v="2"/>
    <x v="2"/>
    <x v="6"/>
    <x v="2"/>
    <x v="0"/>
    <x v="2"/>
    <x v="0"/>
    <x v="10"/>
    <n v="21"/>
    <x v="0"/>
  </r>
  <r>
    <d v="2023-06-21T00:00:00"/>
    <x v="2"/>
    <x v="1"/>
    <x v="1"/>
    <n v="319509781.85000002"/>
    <x v="2"/>
    <x v="1"/>
    <x v="1"/>
    <x v="9"/>
    <x v="2"/>
    <x v="0"/>
    <x v="2"/>
    <x v="0"/>
    <x v="10"/>
    <n v="21"/>
    <x v="0"/>
  </r>
  <r>
    <d v="2023-06-21T00:00:00"/>
    <x v="1"/>
    <x v="0"/>
    <x v="0"/>
    <n v="66517315.740000002"/>
    <x v="1"/>
    <x v="0"/>
    <x v="0"/>
    <x v="10"/>
    <x v="2"/>
    <x v="0"/>
    <x v="2"/>
    <x v="0"/>
    <x v="10"/>
    <n v="21"/>
    <x v="0"/>
  </r>
  <r>
    <d v="2023-06-21T00:00:00"/>
    <x v="0"/>
    <x v="1"/>
    <x v="1"/>
    <n v="2380022.5699999998"/>
    <x v="0"/>
    <x v="1"/>
    <x v="1"/>
    <x v="4"/>
    <x v="2"/>
    <x v="0"/>
    <x v="2"/>
    <x v="0"/>
    <x v="10"/>
    <n v="21"/>
    <x v="0"/>
  </r>
  <r>
    <d v="2023-06-21T00:00:00"/>
    <x v="1"/>
    <x v="0"/>
    <x v="1"/>
    <n v="5096284070.7200003"/>
    <x v="1"/>
    <x v="0"/>
    <x v="1"/>
    <x v="11"/>
    <x v="2"/>
    <x v="0"/>
    <x v="2"/>
    <x v="0"/>
    <x v="10"/>
    <n v="21"/>
    <x v="0"/>
  </r>
  <r>
    <d v="2023-06-21T00:00:00"/>
    <x v="3"/>
    <x v="2"/>
    <x v="0"/>
    <n v="642303697.23000002"/>
    <x v="3"/>
    <x v="2"/>
    <x v="0"/>
    <x v="12"/>
    <x v="2"/>
    <x v="0"/>
    <x v="2"/>
    <x v="0"/>
    <x v="10"/>
    <n v="21"/>
    <x v="0"/>
  </r>
  <r>
    <d v="2023-06-21T00:00:00"/>
    <x v="3"/>
    <x v="1"/>
    <x v="0"/>
    <n v="16798058.059999999"/>
    <x v="3"/>
    <x v="1"/>
    <x v="0"/>
    <x v="13"/>
    <x v="2"/>
    <x v="0"/>
    <x v="2"/>
    <x v="0"/>
    <x v="10"/>
    <n v="21"/>
    <x v="0"/>
  </r>
  <r>
    <d v="2023-06-21T00:00:00"/>
    <x v="3"/>
    <x v="2"/>
    <x v="1"/>
    <n v="6871886470.1899996"/>
    <x v="3"/>
    <x v="2"/>
    <x v="1"/>
    <x v="14"/>
    <x v="2"/>
    <x v="0"/>
    <x v="2"/>
    <x v="0"/>
    <x v="10"/>
    <n v="21"/>
    <x v="0"/>
  </r>
  <r>
    <d v="2023-06-20T00:00:00"/>
    <x v="1"/>
    <x v="1"/>
    <x v="0"/>
    <n v="83988.22"/>
    <x v="1"/>
    <x v="1"/>
    <x v="0"/>
    <x v="0"/>
    <x v="2"/>
    <x v="0"/>
    <x v="2"/>
    <x v="0"/>
    <x v="10"/>
    <n v="20"/>
    <x v="0"/>
  </r>
  <r>
    <d v="2023-06-20T00:00:00"/>
    <x v="0"/>
    <x v="1"/>
    <x v="0"/>
    <n v="13001502.060000001"/>
    <x v="0"/>
    <x v="1"/>
    <x v="0"/>
    <x v="1"/>
    <x v="2"/>
    <x v="0"/>
    <x v="2"/>
    <x v="0"/>
    <x v="10"/>
    <n v="20"/>
    <x v="0"/>
  </r>
  <r>
    <d v="2023-06-20T00:00:00"/>
    <x v="2"/>
    <x v="1"/>
    <x v="2"/>
    <n v="11095.24"/>
    <x v="2"/>
    <x v="1"/>
    <x v="2"/>
    <x v="2"/>
    <x v="2"/>
    <x v="0"/>
    <x v="2"/>
    <x v="0"/>
    <x v="10"/>
    <n v="20"/>
    <x v="0"/>
  </r>
  <r>
    <d v="2023-06-20T00:00:00"/>
    <x v="2"/>
    <x v="1"/>
    <x v="0"/>
    <n v="108012519.5"/>
    <x v="2"/>
    <x v="1"/>
    <x v="0"/>
    <x v="5"/>
    <x v="2"/>
    <x v="0"/>
    <x v="2"/>
    <x v="0"/>
    <x v="10"/>
    <n v="20"/>
    <x v="0"/>
  </r>
  <r>
    <d v="2023-06-20T00:00:00"/>
    <x v="1"/>
    <x v="0"/>
    <x v="0"/>
    <n v="52235243.789999999"/>
    <x v="1"/>
    <x v="0"/>
    <x v="0"/>
    <x v="8"/>
    <x v="2"/>
    <x v="0"/>
    <x v="2"/>
    <x v="0"/>
    <x v="10"/>
    <n v="20"/>
    <x v="0"/>
  </r>
  <r>
    <d v="2023-06-20T00:00:00"/>
    <x v="0"/>
    <x v="1"/>
    <x v="1"/>
    <n v="12933265.199999999"/>
    <x v="0"/>
    <x v="1"/>
    <x v="1"/>
    <x v="3"/>
    <x v="2"/>
    <x v="0"/>
    <x v="2"/>
    <x v="0"/>
    <x v="10"/>
    <n v="20"/>
    <x v="0"/>
  </r>
  <r>
    <d v="2023-06-20T00:00:00"/>
    <x v="3"/>
    <x v="2"/>
    <x v="2"/>
    <n v="74602.19"/>
    <x v="3"/>
    <x v="2"/>
    <x v="2"/>
    <x v="4"/>
    <x v="2"/>
    <x v="0"/>
    <x v="2"/>
    <x v="0"/>
    <x v="10"/>
    <n v="20"/>
    <x v="0"/>
  </r>
  <r>
    <d v="2023-06-20T00:00:00"/>
    <x v="3"/>
    <x v="3"/>
    <x v="0"/>
    <n v="2513055405.6399999"/>
    <x v="3"/>
    <x v="3"/>
    <x v="0"/>
    <x v="6"/>
    <x v="2"/>
    <x v="0"/>
    <x v="2"/>
    <x v="0"/>
    <x v="10"/>
    <n v="20"/>
    <x v="0"/>
  </r>
  <r>
    <d v="2023-06-20T00:00:00"/>
    <x v="2"/>
    <x v="1"/>
    <x v="1"/>
    <n v="266416934.63999999"/>
    <x v="2"/>
    <x v="1"/>
    <x v="1"/>
    <x v="7"/>
    <x v="2"/>
    <x v="0"/>
    <x v="2"/>
    <x v="0"/>
    <x v="10"/>
    <n v="20"/>
    <x v="0"/>
  </r>
  <r>
    <d v="2023-06-20T00:00:00"/>
    <x v="1"/>
    <x v="0"/>
    <x v="1"/>
    <n v="3599907653.4899998"/>
    <x v="1"/>
    <x v="0"/>
    <x v="1"/>
    <x v="9"/>
    <x v="2"/>
    <x v="0"/>
    <x v="2"/>
    <x v="0"/>
    <x v="10"/>
    <n v="20"/>
    <x v="0"/>
  </r>
  <r>
    <d v="2023-06-20T00:00:00"/>
    <x v="3"/>
    <x v="2"/>
    <x v="0"/>
    <n v="696941695.32000005"/>
    <x v="3"/>
    <x v="2"/>
    <x v="0"/>
    <x v="10"/>
    <x v="2"/>
    <x v="0"/>
    <x v="2"/>
    <x v="0"/>
    <x v="10"/>
    <n v="20"/>
    <x v="0"/>
  </r>
  <r>
    <d v="2023-06-20T00:00:00"/>
    <x v="3"/>
    <x v="1"/>
    <x v="0"/>
    <n v="57310653.549999997"/>
    <x v="3"/>
    <x v="1"/>
    <x v="0"/>
    <x v="12"/>
    <x v="2"/>
    <x v="0"/>
    <x v="2"/>
    <x v="0"/>
    <x v="10"/>
    <n v="20"/>
    <x v="0"/>
  </r>
  <r>
    <d v="2023-06-20T00:00:00"/>
    <x v="3"/>
    <x v="2"/>
    <x v="1"/>
    <n v="22927351706.68"/>
    <x v="3"/>
    <x v="2"/>
    <x v="1"/>
    <x v="11"/>
    <x v="2"/>
    <x v="0"/>
    <x v="2"/>
    <x v="0"/>
    <x v="10"/>
    <n v="20"/>
    <x v="0"/>
  </r>
  <r>
    <d v="2023-06-16T00:00:00"/>
    <x v="1"/>
    <x v="1"/>
    <x v="0"/>
    <n v="84398.51"/>
    <x v="1"/>
    <x v="1"/>
    <x v="0"/>
    <x v="0"/>
    <x v="2"/>
    <x v="0"/>
    <x v="2"/>
    <x v="0"/>
    <x v="10"/>
    <n v="16"/>
    <x v="0"/>
  </r>
  <r>
    <d v="2023-06-16T00:00:00"/>
    <x v="0"/>
    <x v="1"/>
    <x v="0"/>
    <n v="13821787.949999999"/>
    <x v="0"/>
    <x v="1"/>
    <x v="0"/>
    <x v="1"/>
    <x v="2"/>
    <x v="0"/>
    <x v="2"/>
    <x v="0"/>
    <x v="10"/>
    <n v="16"/>
    <x v="0"/>
  </r>
  <r>
    <d v="2023-06-16T00:00:00"/>
    <x v="3"/>
    <x v="3"/>
    <x v="0"/>
    <n v="765956198.75"/>
    <x v="3"/>
    <x v="3"/>
    <x v="0"/>
    <x v="5"/>
    <x v="2"/>
    <x v="0"/>
    <x v="2"/>
    <x v="0"/>
    <x v="10"/>
    <n v="16"/>
    <x v="0"/>
  </r>
  <r>
    <d v="2023-06-16T00:00:00"/>
    <x v="2"/>
    <x v="1"/>
    <x v="0"/>
    <n v="115541333.28"/>
    <x v="2"/>
    <x v="1"/>
    <x v="0"/>
    <x v="6"/>
    <x v="2"/>
    <x v="0"/>
    <x v="2"/>
    <x v="0"/>
    <x v="10"/>
    <n v="16"/>
    <x v="0"/>
  </r>
  <r>
    <d v="2023-06-16T00:00:00"/>
    <x v="2"/>
    <x v="1"/>
    <x v="1"/>
    <n v="514023374.06"/>
    <x v="2"/>
    <x v="1"/>
    <x v="1"/>
    <x v="7"/>
    <x v="2"/>
    <x v="0"/>
    <x v="2"/>
    <x v="0"/>
    <x v="10"/>
    <n v="16"/>
    <x v="0"/>
  </r>
  <r>
    <d v="2023-06-16T00:00:00"/>
    <x v="1"/>
    <x v="0"/>
    <x v="0"/>
    <n v="61110127.229999997"/>
    <x v="1"/>
    <x v="0"/>
    <x v="0"/>
    <x v="8"/>
    <x v="2"/>
    <x v="0"/>
    <x v="2"/>
    <x v="0"/>
    <x v="10"/>
    <n v="16"/>
    <x v="0"/>
  </r>
  <r>
    <d v="2023-06-16T00:00:00"/>
    <x v="0"/>
    <x v="1"/>
    <x v="1"/>
    <n v="4446013.84"/>
    <x v="0"/>
    <x v="1"/>
    <x v="1"/>
    <x v="2"/>
    <x v="2"/>
    <x v="0"/>
    <x v="2"/>
    <x v="0"/>
    <x v="10"/>
    <n v="16"/>
    <x v="0"/>
  </r>
  <r>
    <d v="2023-06-16T00:00:00"/>
    <x v="3"/>
    <x v="2"/>
    <x v="2"/>
    <n v="135429"/>
    <x v="3"/>
    <x v="2"/>
    <x v="2"/>
    <x v="3"/>
    <x v="2"/>
    <x v="0"/>
    <x v="2"/>
    <x v="0"/>
    <x v="10"/>
    <n v="16"/>
    <x v="0"/>
  </r>
  <r>
    <d v="2023-06-16T00:00:00"/>
    <x v="2"/>
    <x v="1"/>
    <x v="2"/>
    <n v="10525.04"/>
    <x v="2"/>
    <x v="1"/>
    <x v="2"/>
    <x v="4"/>
    <x v="2"/>
    <x v="0"/>
    <x v="2"/>
    <x v="0"/>
    <x v="10"/>
    <n v="16"/>
    <x v="0"/>
  </r>
  <r>
    <d v="2023-06-16T00:00:00"/>
    <x v="1"/>
    <x v="0"/>
    <x v="1"/>
    <n v="1373650012.9100001"/>
    <x v="1"/>
    <x v="0"/>
    <x v="1"/>
    <x v="9"/>
    <x v="2"/>
    <x v="0"/>
    <x v="2"/>
    <x v="0"/>
    <x v="10"/>
    <n v="16"/>
    <x v="0"/>
  </r>
  <r>
    <d v="2023-06-16T00:00:00"/>
    <x v="3"/>
    <x v="2"/>
    <x v="0"/>
    <n v="461556317.13"/>
    <x v="3"/>
    <x v="2"/>
    <x v="0"/>
    <x v="10"/>
    <x v="2"/>
    <x v="0"/>
    <x v="2"/>
    <x v="0"/>
    <x v="10"/>
    <n v="16"/>
    <x v="0"/>
  </r>
  <r>
    <d v="2023-06-16T00:00:00"/>
    <x v="3"/>
    <x v="1"/>
    <x v="0"/>
    <n v="18485235.57"/>
    <x v="3"/>
    <x v="1"/>
    <x v="0"/>
    <x v="11"/>
    <x v="2"/>
    <x v="0"/>
    <x v="2"/>
    <x v="0"/>
    <x v="10"/>
    <n v="16"/>
    <x v="0"/>
  </r>
  <r>
    <d v="2023-06-16T00:00:00"/>
    <x v="3"/>
    <x v="2"/>
    <x v="1"/>
    <n v="26086568397.5"/>
    <x v="3"/>
    <x v="2"/>
    <x v="1"/>
    <x v="12"/>
    <x v="2"/>
    <x v="0"/>
    <x v="2"/>
    <x v="0"/>
    <x v="10"/>
    <n v="16"/>
    <x v="0"/>
  </r>
  <r>
    <d v="2023-06-15T00:00:00"/>
    <x v="0"/>
    <x v="0"/>
    <x v="0"/>
    <n v="50"/>
    <x v="0"/>
    <x v="0"/>
    <x v="0"/>
    <x v="0"/>
    <x v="2"/>
    <x v="0"/>
    <x v="2"/>
    <x v="0"/>
    <x v="10"/>
    <n v="15"/>
    <x v="0"/>
  </r>
  <r>
    <d v="2023-06-15T00:00:00"/>
    <x v="1"/>
    <x v="1"/>
    <x v="0"/>
    <n v="107270.79"/>
    <x v="1"/>
    <x v="1"/>
    <x v="0"/>
    <x v="1"/>
    <x v="2"/>
    <x v="0"/>
    <x v="2"/>
    <x v="0"/>
    <x v="10"/>
    <n v="15"/>
    <x v="0"/>
  </r>
  <r>
    <d v="2023-06-15T00:00:00"/>
    <x v="0"/>
    <x v="1"/>
    <x v="0"/>
    <n v="8611877.1799999997"/>
    <x v="0"/>
    <x v="1"/>
    <x v="0"/>
    <x v="2"/>
    <x v="2"/>
    <x v="0"/>
    <x v="2"/>
    <x v="0"/>
    <x v="10"/>
    <n v="15"/>
    <x v="0"/>
  </r>
  <r>
    <d v="2023-06-15T00:00:00"/>
    <x v="2"/>
    <x v="1"/>
    <x v="0"/>
    <n v="88392279.170000002"/>
    <x v="2"/>
    <x v="1"/>
    <x v="0"/>
    <x v="6"/>
    <x v="2"/>
    <x v="0"/>
    <x v="2"/>
    <x v="0"/>
    <x v="10"/>
    <n v="15"/>
    <x v="0"/>
  </r>
  <r>
    <d v="2023-06-15T00:00:00"/>
    <x v="3"/>
    <x v="3"/>
    <x v="0"/>
    <n v="1988905805.22"/>
    <x v="3"/>
    <x v="3"/>
    <x v="0"/>
    <x v="7"/>
    <x v="2"/>
    <x v="0"/>
    <x v="2"/>
    <x v="0"/>
    <x v="10"/>
    <n v="15"/>
    <x v="0"/>
  </r>
  <r>
    <d v="2023-06-15T00:00:00"/>
    <x v="2"/>
    <x v="1"/>
    <x v="1"/>
    <n v="212681762.91999999"/>
    <x v="2"/>
    <x v="1"/>
    <x v="1"/>
    <x v="8"/>
    <x v="2"/>
    <x v="0"/>
    <x v="2"/>
    <x v="0"/>
    <x v="10"/>
    <n v="15"/>
    <x v="0"/>
  </r>
  <r>
    <d v="2023-06-15T00:00:00"/>
    <x v="1"/>
    <x v="0"/>
    <x v="0"/>
    <n v="61200912.939999998"/>
    <x v="1"/>
    <x v="0"/>
    <x v="0"/>
    <x v="9"/>
    <x v="2"/>
    <x v="0"/>
    <x v="2"/>
    <x v="0"/>
    <x v="10"/>
    <n v="15"/>
    <x v="0"/>
  </r>
  <r>
    <d v="2023-06-15T00:00:00"/>
    <x v="0"/>
    <x v="1"/>
    <x v="1"/>
    <n v="85639336.769999996"/>
    <x v="0"/>
    <x v="1"/>
    <x v="1"/>
    <x v="4"/>
    <x v="2"/>
    <x v="0"/>
    <x v="2"/>
    <x v="0"/>
    <x v="10"/>
    <n v="15"/>
    <x v="0"/>
  </r>
  <r>
    <d v="2023-06-15T00:00:00"/>
    <x v="3"/>
    <x v="2"/>
    <x v="2"/>
    <n v="402179"/>
    <x v="3"/>
    <x v="2"/>
    <x v="2"/>
    <x v="5"/>
    <x v="2"/>
    <x v="0"/>
    <x v="2"/>
    <x v="0"/>
    <x v="10"/>
    <n v="15"/>
    <x v="0"/>
  </r>
  <r>
    <d v="2023-06-15T00:00:00"/>
    <x v="2"/>
    <x v="1"/>
    <x v="2"/>
    <n v="5867.81"/>
    <x v="2"/>
    <x v="1"/>
    <x v="2"/>
    <x v="3"/>
    <x v="2"/>
    <x v="0"/>
    <x v="2"/>
    <x v="0"/>
    <x v="10"/>
    <n v="15"/>
    <x v="0"/>
  </r>
  <r>
    <d v="2023-06-15T00:00:00"/>
    <x v="1"/>
    <x v="0"/>
    <x v="1"/>
    <n v="2157248713.8099999"/>
    <x v="1"/>
    <x v="0"/>
    <x v="1"/>
    <x v="10"/>
    <x v="2"/>
    <x v="0"/>
    <x v="2"/>
    <x v="0"/>
    <x v="10"/>
    <n v="15"/>
    <x v="0"/>
  </r>
  <r>
    <d v="2023-06-15T00:00:00"/>
    <x v="3"/>
    <x v="2"/>
    <x v="0"/>
    <n v="519646038.35000002"/>
    <x v="3"/>
    <x v="2"/>
    <x v="0"/>
    <x v="11"/>
    <x v="2"/>
    <x v="0"/>
    <x v="2"/>
    <x v="0"/>
    <x v="10"/>
    <n v="15"/>
    <x v="0"/>
  </r>
  <r>
    <d v="2023-06-15T00:00:00"/>
    <x v="3"/>
    <x v="1"/>
    <x v="0"/>
    <n v="17552770.699999999"/>
    <x v="3"/>
    <x v="1"/>
    <x v="0"/>
    <x v="12"/>
    <x v="2"/>
    <x v="0"/>
    <x v="2"/>
    <x v="0"/>
    <x v="10"/>
    <n v="15"/>
    <x v="0"/>
  </r>
  <r>
    <d v="2023-06-15T00:00:00"/>
    <x v="3"/>
    <x v="2"/>
    <x v="1"/>
    <n v="64305899338.800003"/>
    <x v="3"/>
    <x v="2"/>
    <x v="1"/>
    <x v="13"/>
    <x v="2"/>
    <x v="0"/>
    <x v="2"/>
    <x v="0"/>
    <x v="10"/>
    <n v="15"/>
    <x v="0"/>
  </r>
  <r>
    <d v="2023-06-14T00:00:00"/>
    <x v="1"/>
    <x v="1"/>
    <x v="0"/>
    <n v="51035.6"/>
    <x v="1"/>
    <x v="1"/>
    <x v="0"/>
    <x v="0"/>
    <x v="2"/>
    <x v="0"/>
    <x v="2"/>
    <x v="0"/>
    <x v="10"/>
    <n v="14"/>
    <x v="0"/>
  </r>
  <r>
    <d v="2023-06-14T00:00:00"/>
    <x v="0"/>
    <x v="1"/>
    <x v="0"/>
    <n v="17913922.489999998"/>
    <x v="0"/>
    <x v="1"/>
    <x v="0"/>
    <x v="1"/>
    <x v="2"/>
    <x v="0"/>
    <x v="2"/>
    <x v="0"/>
    <x v="10"/>
    <n v="14"/>
    <x v="0"/>
  </r>
  <r>
    <d v="2023-06-14T00:00:00"/>
    <x v="2"/>
    <x v="1"/>
    <x v="2"/>
    <n v="15046.58"/>
    <x v="2"/>
    <x v="1"/>
    <x v="2"/>
    <x v="2"/>
    <x v="2"/>
    <x v="0"/>
    <x v="2"/>
    <x v="0"/>
    <x v="10"/>
    <n v="14"/>
    <x v="0"/>
  </r>
  <r>
    <d v="2023-06-14T00:00:00"/>
    <x v="2"/>
    <x v="1"/>
    <x v="0"/>
    <n v="101804307.15000001"/>
    <x v="2"/>
    <x v="1"/>
    <x v="0"/>
    <x v="6"/>
    <x v="2"/>
    <x v="0"/>
    <x v="2"/>
    <x v="0"/>
    <x v="10"/>
    <n v="14"/>
    <x v="0"/>
  </r>
  <r>
    <d v="2023-06-14T00:00:00"/>
    <x v="2"/>
    <x v="1"/>
    <x v="1"/>
    <n v="265897271.53"/>
    <x v="2"/>
    <x v="1"/>
    <x v="1"/>
    <x v="7"/>
    <x v="2"/>
    <x v="0"/>
    <x v="2"/>
    <x v="0"/>
    <x v="10"/>
    <n v="14"/>
    <x v="0"/>
  </r>
  <r>
    <d v="2023-06-14T00:00:00"/>
    <x v="1"/>
    <x v="0"/>
    <x v="0"/>
    <n v="95231392.090000004"/>
    <x v="1"/>
    <x v="0"/>
    <x v="0"/>
    <x v="8"/>
    <x v="2"/>
    <x v="0"/>
    <x v="2"/>
    <x v="0"/>
    <x v="10"/>
    <n v="14"/>
    <x v="0"/>
  </r>
  <r>
    <d v="2023-06-14T00:00:00"/>
    <x v="0"/>
    <x v="1"/>
    <x v="1"/>
    <n v="3766644.91"/>
    <x v="0"/>
    <x v="1"/>
    <x v="1"/>
    <x v="3"/>
    <x v="2"/>
    <x v="0"/>
    <x v="2"/>
    <x v="0"/>
    <x v="10"/>
    <n v="14"/>
    <x v="0"/>
  </r>
  <r>
    <d v="2023-06-14T00:00:00"/>
    <x v="1"/>
    <x v="0"/>
    <x v="1"/>
    <n v="4845467738.1400003"/>
    <x v="1"/>
    <x v="0"/>
    <x v="1"/>
    <x v="9"/>
    <x v="2"/>
    <x v="0"/>
    <x v="2"/>
    <x v="0"/>
    <x v="10"/>
    <n v="14"/>
    <x v="0"/>
  </r>
  <r>
    <d v="2023-06-14T00:00:00"/>
    <x v="3"/>
    <x v="2"/>
    <x v="2"/>
    <n v="142352.56"/>
    <x v="3"/>
    <x v="2"/>
    <x v="2"/>
    <x v="4"/>
    <x v="2"/>
    <x v="0"/>
    <x v="2"/>
    <x v="0"/>
    <x v="10"/>
    <n v="14"/>
    <x v="0"/>
  </r>
  <r>
    <d v="2023-06-14T00:00:00"/>
    <x v="3"/>
    <x v="3"/>
    <x v="0"/>
    <n v="1364164617.79"/>
    <x v="3"/>
    <x v="3"/>
    <x v="0"/>
    <x v="5"/>
    <x v="2"/>
    <x v="0"/>
    <x v="2"/>
    <x v="0"/>
    <x v="10"/>
    <n v="14"/>
    <x v="0"/>
  </r>
  <r>
    <d v="2023-06-14T00:00:00"/>
    <x v="3"/>
    <x v="2"/>
    <x v="1"/>
    <n v="33644324269.689999"/>
    <x v="3"/>
    <x v="2"/>
    <x v="1"/>
    <x v="10"/>
    <x v="2"/>
    <x v="0"/>
    <x v="2"/>
    <x v="0"/>
    <x v="10"/>
    <n v="14"/>
    <x v="0"/>
  </r>
  <r>
    <d v="2023-06-14T00:00:00"/>
    <x v="3"/>
    <x v="2"/>
    <x v="0"/>
    <n v="610448226.25"/>
    <x v="3"/>
    <x v="2"/>
    <x v="0"/>
    <x v="11"/>
    <x v="2"/>
    <x v="0"/>
    <x v="2"/>
    <x v="0"/>
    <x v="10"/>
    <n v="14"/>
    <x v="0"/>
  </r>
  <r>
    <d v="2023-06-14T00:00:00"/>
    <x v="3"/>
    <x v="1"/>
    <x v="0"/>
    <n v="16404165.560000001"/>
    <x v="3"/>
    <x v="1"/>
    <x v="0"/>
    <x v="12"/>
    <x v="2"/>
    <x v="0"/>
    <x v="2"/>
    <x v="0"/>
    <x v="10"/>
    <n v="14"/>
    <x v="0"/>
  </r>
  <r>
    <d v="2023-06-13T00:00:00"/>
    <x v="1"/>
    <x v="1"/>
    <x v="0"/>
    <n v="69539.88"/>
    <x v="1"/>
    <x v="1"/>
    <x v="0"/>
    <x v="0"/>
    <x v="2"/>
    <x v="0"/>
    <x v="2"/>
    <x v="0"/>
    <x v="10"/>
    <n v="13"/>
    <x v="0"/>
  </r>
  <r>
    <d v="2023-06-13T00:00:00"/>
    <x v="0"/>
    <x v="1"/>
    <x v="0"/>
    <n v="8989018.9199999999"/>
    <x v="0"/>
    <x v="1"/>
    <x v="0"/>
    <x v="1"/>
    <x v="2"/>
    <x v="0"/>
    <x v="2"/>
    <x v="0"/>
    <x v="10"/>
    <n v="13"/>
    <x v="0"/>
  </r>
  <r>
    <d v="2023-06-13T00:00:00"/>
    <x v="2"/>
    <x v="1"/>
    <x v="2"/>
    <n v="11723.45"/>
    <x v="2"/>
    <x v="1"/>
    <x v="2"/>
    <x v="2"/>
    <x v="2"/>
    <x v="0"/>
    <x v="2"/>
    <x v="0"/>
    <x v="10"/>
    <n v="13"/>
    <x v="0"/>
  </r>
  <r>
    <d v="2023-06-13T00:00:00"/>
    <x v="3"/>
    <x v="2"/>
    <x v="2"/>
    <n v="96028.25"/>
    <x v="3"/>
    <x v="2"/>
    <x v="2"/>
    <x v="3"/>
    <x v="2"/>
    <x v="0"/>
    <x v="2"/>
    <x v="0"/>
    <x v="10"/>
    <n v="13"/>
    <x v="0"/>
  </r>
  <r>
    <d v="2023-06-13T00:00:00"/>
    <x v="2"/>
    <x v="1"/>
    <x v="0"/>
    <n v="78551607.299999997"/>
    <x v="2"/>
    <x v="1"/>
    <x v="0"/>
    <x v="6"/>
    <x v="2"/>
    <x v="0"/>
    <x v="2"/>
    <x v="0"/>
    <x v="10"/>
    <n v="13"/>
    <x v="0"/>
  </r>
  <r>
    <d v="2023-06-13T00:00:00"/>
    <x v="3"/>
    <x v="3"/>
    <x v="0"/>
    <n v="1101359216.9200001"/>
    <x v="3"/>
    <x v="3"/>
    <x v="0"/>
    <x v="7"/>
    <x v="2"/>
    <x v="0"/>
    <x v="2"/>
    <x v="0"/>
    <x v="10"/>
    <n v="13"/>
    <x v="0"/>
  </r>
  <r>
    <d v="2023-06-13T00:00:00"/>
    <x v="2"/>
    <x v="1"/>
    <x v="1"/>
    <n v="223201144.24000001"/>
    <x v="2"/>
    <x v="1"/>
    <x v="1"/>
    <x v="8"/>
    <x v="2"/>
    <x v="0"/>
    <x v="2"/>
    <x v="0"/>
    <x v="10"/>
    <n v="13"/>
    <x v="0"/>
  </r>
  <r>
    <d v="2023-06-13T00:00:00"/>
    <x v="1"/>
    <x v="0"/>
    <x v="0"/>
    <n v="60785868.93"/>
    <x v="1"/>
    <x v="0"/>
    <x v="0"/>
    <x v="9"/>
    <x v="2"/>
    <x v="0"/>
    <x v="2"/>
    <x v="0"/>
    <x v="10"/>
    <n v="13"/>
    <x v="0"/>
  </r>
  <r>
    <d v="2023-06-13T00:00:00"/>
    <x v="3"/>
    <x v="3"/>
    <x v="1"/>
    <n v="20222.189999999999"/>
    <x v="3"/>
    <x v="3"/>
    <x v="1"/>
    <x v="4"/>
    <x v="2"/>
    <x v="0"/>
    <x v="2"/>
    <x v="0"/>
    <x v="10"/>
    <n v="13"/>
    <x v="0"/>
  </r>
  <r>
    <d v="2023-06-13T00:00:00"/>
    <x v="0"/>
    <x v="1"/>
    <x v="1"/>
    <n v="932648.19"/>
    <x v="0"/>
    <x v="1"/>
    <x v="1"/>
    <x v="5"/>
    <x v="2"/>
    <x v="0"/>
    <x v="2"/>
    <x v="0"/>
    <x v="10"/>
    <n v="13"/>
    <x v="0"/>
  </r>
  <r>
    <d v="2023-06-13T00:00:00"/>
    <x v="1"/>
    <x v="0"/>
    <x v="1"/>
    <n v="1361162200.9400001"/>
    <x v="1"/>
    <x v="0"/>
    <x v="1"/>
    <x v="10"/>
    <x v="2"/>
    <x v="0"/>
    <x v="2"/>
    <x v="0"/>
    <x v="10"/>
    <n v="13"/>
    <x v="0"/>
  </r>
  <r>
    <d v="2023-06-13T00:00:00"/>
    <x v="3"/>
    <x v="2"/>
    <x v="0"/>
    <n v="490329245.91000003"/>
    <x v="3"/>
    <x v="2"/>
    <x v="0"/>
    <x v="11"/>
    <x v="2"/>
    <x v="0"/>
    <x v="2"/>
    <x v="0"/>
    <x v="10"/>
    <n v="13"/>
    <x v="0"/>
  </r>
  <r>
    <d v="2023-06-13T00:00:00"/>
    <x v="3"/>
    <x v="2"/>
    <x v="1"/>
    <n v="14089915190.290001"/>
    <x v="3"/>
    <x v="2"/>
    <x v="1"/>
    <x v="12"/>
    <x v="2"/>
    <x v="0"/>
    <x v="2"/>
    <x v="0"/>
    <x v="10"/>
    <n v="13"/>
    <x v="0"/>
  </r>
  <r>
    <d v="2023-06-13T00:00:00"/>
    <x v="3"/>
    <x v="1"/>
    <x v="0"/>
    <n v="12425119.26"/>
    <x v="3"/>
    <x v="1"/>
    <x v="0"/>
    <x v="13"/>
    <x v="2"/>
    <x v="0"/>
    <x v="2"/>
    <x v="0"/>
    <x v="10"/>
    <n v="13"/>
    <x v="0"/>
  </r>
  <r>
    <d v="2023-06-12T00:00:00"/>
    <x v="0"/>
    <x v="0"/>
    <x v="0"/>
    <n v="115"/>
    <x v="0"/>
    <x v="0"/>
    <x v="0"/>
    <x v="0"/>
    <x v="2"/>
    <x v="0"/>
    <x v="2"/>
    <x v="0"/>
    <x v="10"/>
    <n v="12"/>
    <x v="0"/>
  </r>
  <r>
    <d v="2023-06-12T00:00:00"/>
    <x v="1"/>
    <x v="1"/>
    <x v="0"/>
    <n v="24528.62"/>
    <x v="1"/>
    <x v="1"/>
    <x v="0"/>
    <x v="1"/>
    <x v="2"/>
    <x v="0"/>
    <x v="2"/>
    <x v="0"/>
    <x v="10"/>
    <n v="12"/>
    <x v="0"/>
  </r>
  <r>
    <d v="2023-06-12T00:00:00"/>
    <x v="0"/>
    <x v="1"/>
    <x v="0"/>
    <n v="18344169.620000001"/>
    <x v="0"/>
    <x v="1"/>
    <x v="0"/>
    <x v="2"/>
    <x v="2"/>
    <x v="0"/>
    <x v="2"/>
    <x v="0"/>
    <x v="10"/>
    <n v="12"/>
    <x v="0"/>
  </r>
  <r>
    <d v="2023-06-12T00:00:00"/>
    <x v="2"/>
    <x v="1"/>
    <x v="2"/>
    <n v="8410"/>
    <x v="2"/>
    <x v="1"/>
    <x v="2"/>
    <x v="3"/>
    <x v="2"/>
    <x v="0"/>
    <x v="2"/>
    <x v="0"/>
    <x v="10"/>
    <n v="12"/>
    <x v="0"/>
  </r>
  <r>
    <d v="2023-06-12T00:00:00"/>
    <x v="3"/>
    <x v="2"/>
    <x v="2"/>
    <n v="102690.29"/>
    <x v="3"/>
    <x v="2"/>
    <x v="2"/>
    <x v="6"/>
    <x v="2"/>
    <x v="0"/>
    <x v="2"/>
    <x v="0"/>
    <x v="10"/>
    <n v="12"/>
    <x v="0"/>
  </r>
  <r>
    <d v="2023-06-12T00:00:00"/>
    <x v="2"/>
    <x v="1"/>
    <x v="1"/>
    <n v="145347103.33000001"/>
    <x v="2"/>
    <x v="1"/>
    <x v="1"/>
    <x v="9"/>
    <x v="2"/>
    <x v="0"/>
    <x v="2"/>
    <x v="0"/>
    <x v="10"/>
    <n v="12"/>
    <x v="0"/>
  </r>
  <r>
    <d v="2023-06-12T00:00:00"/>
    <x v="1"/>
    <x v="0"/>
    <x v="0"/>
    <n v="47462897.880000003"/>
    <x v="1"/>
    <x v="0"/>
    <x v="0"/>
    <x v="10"/>
    <x v="2"/>
    <x v="0"/>
    <x v="2"/>
    <x v="0"/>
    <x v="10"/>
    <n v="12"/>
    <x v="0"/>
  </r>
  <r>
    <d v="2023-06-12T00:00:00"/>
    <x v="3"/>
    <x v="3"/>
    <x v="1"/>
    <n v="1591596.07"/>
    <x v="3"/>
    <x v="3"/>
    <x v="1"/>
    <x v="4"/>
    <x v="2"/>
    <x v="0"/>
    <x v="2"/>
    <x v="0"/>
    <x v="10"/>
    <n v="12"/>
    <x v="0"/>
  </r>
  <r>
    <d v="2023-06-12T00:00:00"/>
    <x v="0"/>
    <x v="1"/>
    <x v="1"/>
    <n v="17261973.140000001"/>
    <x v="0"/>
    <x v="1"/>
    <x v="1"/>
    <x v="5"/>
    <x v="2"/>
    <x v="0"/>
    <x v="2"/>
    <x v="0"/>
    <x v="10"/>
    <n v="12"/>
    <x v="0"/>
  </r>
  <r>
    <d v="2023-06-12T00:00:00"/>
    <x v="1"/>
    <x v="0"/>
    <x v="1"/>
    <n v="1020911078.46"/>
    <x v="1"/>
    <x v="0"/>
    <x v="1"/>
    <x v="11"/>
    <x v="2"/>
    <x v="0"/>
    <x v="2"/>
    <x v="0"/>
    <x v="10"/>
    <n v="12"/>
    <x v="0"/>
  </r>
  <r>
    <d v="2023-06-12T00:00:00"/>
    <x v="3"/>
    <x v="3"/>
    <x v="0"/>
    <n v="1339788984.24"/>
    <x v="3"/>
    <x v="3"/>
    <x v="0"/>
    <x v="7"/>
    <x v="2"/>
    <x v="0"/>
    <x v="2"/>
    <x v="0"/>
    <x v="10"/>
    <n v="12"/>
    <x v="0"/>
  </r>
  <r>
    <d v="2023-06-12T00:00:00"/>
    <x v="2"/>
    <x v="1"/>
    <x v="0"/>
    <n v="85509918.510000005"/>
    <x v="2"/>
    <x v="1"/>
    <x v="0"/>
    <x v="8"/>
    <x v="2"/>
    <x v="0"/>
    <x v="2"/>
    <x v="0"/>
    <x v="10"/>
    <n v="12"/>
    <x v="0"/>
  </r>
  <r>
    <d v="2023-06-12T00:00:00"/>
    <x v="3"/>
    <x v="2"/>
    <x v="0"/>
    <n v="560314938.25999999"/>
    <x v="3"/>
    <x v="2"/>
    <x v="0"/>
    <x v="12"/>
    <x v="2"/>
    <x v="0"/>
    <x v="2"/>
    <x v="0"/>
    <x v="10"/>
    <n v="12"/>
    <x v="0"/>
  </r>
  <r>
    <d v="2023-06-12T00:00:00"/>
    <x v="3"/>
    <x v="2"/>
    <x v="1"/>
    <n v="30505095177.369999"/>
    <x v="3"/>
    <x v="2"/>
    <x v="1"/>
    <x v="13"/>
    <x v="2"/>
    <x v="0"/>
    <x v="2"/>
    <x v="0"/>
    <x v="10"/>
    <n v="12"/>
    <x v="0"/>
  </r>
  <r>
    <d v="2023-06-12T00:00:00"/>
    <x v="3"/>
    <x v="1"/>
    <x v="0"/>
    <n v="48562073.549999997"/>
    <x v="3"/>
    <x v="1"/>
    <x v="0"/>
    <x v="14"/>
    <x v="2"/>
    <x v="0"/>
    <x v="2"/>
    <x v="0"/>
    <x v="10"/>
    <n v="12"/>
    <x v="0"/>
  </r>
  <r>
    <d v="2023-06-09T00:00:00"/>
    <x v="0"/>
    <x v="0"/>
    <x v="0"/>
    <n v="220"/>
    <x v="0"/>
    <x v="0"/>
    <x v="0"/>
    <x v="0"/>
    <x v="2"/>
    <x v="0"/>
    <x v="2"/>
    <x v="0"/>
    <x v="10"/>
    <n v="9"/>
    <x v="0"/>
  </r>
  <r>
    <d v="2023-06-09T00:00:00"/>
    <x v="1"/>
    <x v="1"/>
    <x v="0"/>
    <n v="308595.48"/>
    <x v="1"/>
    <x v="1"/>
    <x v="0"/>
    <x v="1"/>
    <x v="2"/>
    <x v="0"/>
    <x v="2"/>
    <x v="0"/>
    <x v="10"/>
    <n v="9"/>
    <x v="0"/>
  </r>
  <r>
    <d v="2023-06-09T00:00:00"/>
    <x v="0"/>
    <x v="1"/>
    <x v="0"/>
    <n v="6155585.5"/>
    <x v="0"/>
    <x v="1"/>
    <x v="0"/>
    <x v="2"/>
    <x v="2"/>
    <x v="0"/>
    <x v="2"/>
    <x v="0"/>
    <x v="10"/>
    <n v="9"/>
    <x v="0"/>
  </r>
  <r>
    <d v="2023-06-09T00:00:00"/>
    <x v="2"/>
    <x v="1"/>
    <x v="2"/>
    <n v="10302.6"/>
    <x v="2"/>
    <x v="1"/>
    <x v="2"/>
    <x v="3"/>
    <x v="2"/>
    <x v="0"/>
    <x v="2"/>
    <x v="0"/>
    <x v="10"/>
    <n v="9"/>
    <x v="0"/>
  </r>
  <r>
    <d v="2023-06-09T00:00:00"/>
    <x v="2"/>
    <x v="1"/>
    <x v="0"/>
    <n v="88136056.989999995"/>
    <x v="2"/>
    <x v="1"/>
    <x v="0"/>
    <x v="8"/>
    <x v="2"/>
    <x v="0"/>
    <x v="2"/>
    <x v="0"/>
    <x v="10"/>
    <n v="9"/>
    <x v="0"/>
  </r>
  <r>
    <d v="2023-06-09T00:00:00"/>
    <x v="3"/>
    <x v="2"/>
    <x v="2"/>
    <n v="242156.27"/>
    <x v="3"/>
    <x v="2"/>
    <x v="2"/>
    <x v="6"/>
    <x v="2"/>
    <x v="0"/>
    <x v="2"/>
    <x v="0"/>
    <x v="10"/>
    <n v="9"/>
    <x v="0"/>
  </r>
  <r>
    <d v="2023-06-09T00:00:00"/>
    <x v="2"/>
    <x v="1"/>
    <x v="1"/>
    <n v="128083654.95999999"/>
    <x v="2"/>
    <x v="1"/>
    <x v="1"/>
    <x v="9"/>
    <x v="2"/>
    <x v="0"/>
    <x v="2"/>
    <x v="0"/>
    <x v="10"/>
    <n v="9"/>
    <x v="0"/>
  </r>
  <r>
    <d v="2023-06-09T00:00:00"/>
    <x v="3"/>
    <x v="3"/>
    <x v="1"/>
    <n v="9613859.2699999996"/>
    <x v="3"/>
    <x v="3"/>
    <x v="1"/>
    <x v="4"/>
    <x v="2"/>
    <x v="0"/>
    <x v="2"/>
    <x v="0"/>
    <x v="10"/>
    <n v="9"/>
    <x v="0"/>
  </r>
  <r>
    <d v="2023-06-09T00:00:00"/>
    <x v="0"/>
    <x v="1"/>
    <x v="1"/>
    <n v="21536501.809999999"/>
    <x v="0"/>
    <x v="1"/>
    <x v="1"/>
    <x v="5"/>
    <x v="2"/>
    <x v="0"/>
    <x v="2"/>
    <x v="0"/>
    <x v="10"/>
    <n v="9"/>
    <x v="0"/>
  </r>
  <r>
    <d v="2023-06-09T00:00:00"/>
    <x v="1"/>
    <x v="0"/>
    <x v="1"/>
    <n v="614737289.96000004"/>
    <x v="1"/>
    <x v="0"/>
    <x v="1"/>
    <x v="11"/>
    <x v="2"/>
    <x v="0"/>
    <x v="2"/>
    <x v="0"/>
    <x v="10"/>
    <n v="9"/>
    <x v="0"/>
  </r>
  <r>
    <d v="2023-06-09T00:00:00"/>
    <x v="3"/>
    <x v="3"/>
    <x v="0"/>
    <n v="1302455642.1300001"/>
    <x v="3"/>
    <x v="3"/>
    <x v="0"/>
    <x v="7"/>
    <x v="2"/>
    <x v="0"/>
    <x v="2"/>
    <x v="0"/>
    <x v="10"/>
    <n v="9"/>
    <x v="0"/>
  </r>
  <r>
    <d v="2023-06-09T00:00:00"/>
    <x v="1"/>
    <x v="0"/>
    <x v="0"/>
    <n v="42858819.109999999"/>
    <x v="1"/>
    <x v="0"/>
    <x v="0"/>
    <x v="10"/>
    <x v="2"/>
    <x v="0"/>
    <x v="2"/>
    <x v="0"/>
    <x v="10"/>
    <n v="9"/>
    <x v="0"/>
  </r>
  <r>
    <d v="2023-06-09T00:00:00"/>
    <x v="3"/>
    <x v="2"/>
    <x v="0"/>
    <n v="433105347.85000002"/>
    <x v="3"/>
    <x v="2"/>
    <x v="0"/>
    <x v="12"/>
    <x v="2"/>
    <x v="0"/>
    <x v="2"/>
    <x v="0"/>
    <x v="10"/>
    <n v="9"/>
    <x v="0"/>
  </r>
  <r>
    <d v="2023-06-09T00:00:00"/>
    <x v="3"/>
    <x v="2"/>
    <x v="1"/>
    <n v="12192718776.280001"/>
    <x v="3"/>
    <x v="2"/>
    <x v="1"/>
    <x v="13"/>
    <x v="2"/>
    <x v="0"/>
    <x v="2"/>
    <x v="0"/>
    <x v="10"/>
    <n v="9"/>
    <x v="0"/>
  </r>
  <r>
    <d v="2023-06-09T00:00:00"/>
    <x v="3"/>
    <x v="1"/>
    <x v="0"/>
    <n v="15706044.99"/>
    <x v="3"/>
    <x v="1"/>
    <x v="0"/>
    <x v="14"/>
    <x v="2"/>
    <x v="0"/>
    <x v="2"/>
    <x v="0"/>
    <x v="10"/>
    <n v="9"/>
    <x v="0"/>
  </r>
  <r>
    <d v="2023-06-08T00:00:00"/>
    <x v="0"/>
    <x v="1"/>
    <x v="0"/>
    <n v="15990558.32"/>
    <x v="0"/>
    <x v="1"/>
    <x v="0"/>
    <x v="0"/>
    <x v="2"/>
    <x v="0"/>
    <x v="2"/>
    <x v="0"/>
    <x v="10"/>
    <n v="8"/>
    <x v="0"/>
  </r>
  <r>
    <d v="2023-06-08T00:00:00"/>
    <x v="2"/>
    <x v="1"/>
    <x v="0"/>
    <n v="81634292.409999996"/>
    <x v="2"/>
    <x v="1"/>
    <x v="0"/>
    <x v="6"/>
    <x v="2"/>
    <x v="0"/>
    <x v="2"/>
    <x v="0"/>
    <x v="10"/>
    <n v="8"/>
    <x v="0"/>
  </r>
  <r>
    <d v="2023-06-08T00:00:00"/>
    <x v="3"/>
    <x v="3"/>
    <x v="0"/>
    <n v="2109744912.8599999"/>
    <x v="3"/>
    <x v="3"/>
    <x v="0"/>
    <x v="7"/>
    <x v="2"/>
    <x v="0"/>
    <x v="2"/>
    <x v="0"/>
    <x v="10"/>
    <n v="8"/>
    <x v="0"/>
  </r>
  <r>
    <d v="2023-06-08T00:00:00"/>
    <x v="2"/>
    <x v="1"/>
    <x v="1"/>
    <n v="252202105.25"/>
    <x v="2"/>
    <x v="1"/>
    <x v="1"/>
    <x v="8"/>
    <x v="2"/>
    <x v="0"/>
    <x v="2"/>
    <x v="0"/>
    <x v="10"/>
    <n v="8"/>
    <x v="0"/>
  </r>
  <r>
    <d v="2023-06-08T00:00:00"/>
    <x v="1"/>
    <x v="0"/>
    <x v="0"/>
    <n v="51572375.18"/>
    <x v="1"/>
    <x v="0"/>
    <x v="0"/>
    <x v="9"/>
    <x v="2"/>
    <x v="0"/>
    <x v="2"/>
    <x v="0"/>
    <x v="10"/>
    <n v="8"/>
    <x v="0"/>
  </r>
  <r>
    <d v="2023-06-08T00:00:00"/>
    <x v="3"/>
    <x v="3"/>
    <x v="1"/>
    <n v="2481643.7799999998"/>
    <x v="3"/>
    <x v="3"/>
    <x v="1"/>
    <x v="1"/>
    <x v="2"/>
    <x v="0"/>
    <x v="2"/>
    <x v="0"/>
    <x v="10"/>
    <n v="8"/>
    <x v="0"/>
  </r>
  <r>
    <d v="2023-06-08T00:00:00"/>
    <x v="0"/>
    <x v="1"/>
    <x v="1"/>
    <n v="23008811.390000001"/>
    <x v="0"/>
    <x v="1"/>
    <x v="1"/>
    <x v="2"/>
    <x v="2"/>
    <x v="0"/>
    <x v="2"/>
    <x v="0"/>
    <x v="10"/>
    <n v="8"/>
    <x v="0"/>
  </r>
  <r>
    <d v="2023-06-08T00:00:00"/>
    <x v="1"/>
    <x v="1"/>
    <x v="0"/>
    <n v="120068.31"/>
    <x v="1"/>
    <x v="1"/>
    <x v="0"/>
    <x v="3"/>
    <x v="2"/>
    <x v="0"/>
    <x v="2"/>
    <x v="0"/>
    <x v="10"/>
    <n v="8"/>
    <x v="0"/>
  </r>
  <r>
    <d v="2023-06-08T00:00:00"/>
    <x v="2"/>
    <x v="1"/>
    <x v="2"/>
    <n v="6849.84"/>
    <x v="2"/>
    <x v="1"/>
    <x v="2"/>
    <x v="4"/>
    <x v="2"/>
    <x v="0"/>
    <x v="2"/>
    <x v="0"/>
    <x v="10"/>
    <n v="8"/>
    <x v="0"/>
  </r>
  <r>
    <d v="2023-06-08T00:00:00"/>
    <x v="3"/>
    <x v="2"/>
    <x v="2"/>
    <n v="149638"/>
    <x v="3"/>
    <x v="2"/>
    <x v="2"/>
    <x v="5"/>
    <x v="2"/>
    <x v="0"/>
    <x v="2"/>
    <x v="0"/>
    <x v="10"/>
    <n v="8"/>
    <x v="0"/>
  </r>
  <r>
    <d v="2023-06-08T00:00:00"/>
    <x v="1"/>
    <x v="0"/>
    <x v="1"/>
    <n v="705949151.34000003"/>
    <x v="1"/>
    <x v="0"/>
    <x v="1"/>
    <x v="10"/>
    <x v="2"/>
    <x v="0"/>
    <x v="2"/>
    <x v="0"/>
    <x v="10"/>
    <n v="8"/>
    <x v="0"/>
  </r>
  <r>
    <d v="2023-06-08T00:00:00"/>
    <x v="3"/>
    <x v="2"/>
    <x v="0"/>
    <n v="375555640.66000003"/>
    <x v="3"/>
    <x v="2"/>
    <x v="0"/>
    <x v="11"/>
    <x v="2"/>
    <x v="0"/>
    <x v="2"/>
    <x v="0"/>
    <x v="10"/>
    <n v="8"/>
    <x v="0"/>
  </r>
  <r>
    <d v="2023-06-08T00:00:00"/>
    <x v="3"/>
    <x v="2"/>
    <x v="1"/>
    <n v="5644696879.54"/>
    <x v="3"/>
    <x v="2"/>
    <x v="1"/>
    <x v="12"/>
    <x v="2"/>
    <x v="0"/>
    <x v="2"/>
    <x v="0"/>
    <x v="10"/>
    <n v="8"/>
    <x v="0"/>
  </r>
  <r>
    <d v="2023-06-08T00:00:00"/>
    <x v="3"/>
    <x v="1"/>
    <x v="0"/>
    <n v="15251729.99"/>
    <x v="3"/>
    <x v="1"/>
    <x v="0"/>
    <x v="13"/>
    <x v="2"/>
    <x v="0"/>
    <x v="2"/>
    <x v="0"/>
    <x v="10"/>
    <n v="8"/>
    <x v="0"/>
  </r>
  <r>
    <d v="2023-06-07T00:00:00"/>
    <x v="1"/>
    <x v="1"/>
    <x v="0"/>
    <n v="59735.32"/>
    <x v="1"/>
    <x v="1"/>
    <x v="0"/>
    <x v="0"/>
    <x v="2"/>
    <x v="0"/>
    <x v="2"/>
    <x v="0"/>
    <x v="10"/>
    <n v="7"/>
    <x v="0"/>
  </r>
  <r>
    <d v="2023-06-07T00:00:00"/>
    <x v="0"/>
    <x v="1"/>
    <x v="0"/>
    <n v="7511182.2999999998"/>
    <x v="0"/>
    <x v="1"/>
    <x v="0"/>
    <x v="1"/>
    <x v="2"/>
    <x v="0"/>
    <x v="2"/>
    <x v="0"/>
    <x v="10"/>
    <n v="7"/>
    <x v="0"/>
  </r>
  <r>
    <d v="2023-06-07T00:00:00"/>
    <x v="2"/>
    <x v="1"/>
    <x v="2"/>
    <n v="14533.18"/>
    <x v="2"/>
    <x v="1"/>
    <x v="2"/>
    <x v="2"/>
    <x v="2"/>
    <x v="0"/>
    <x v="2"/>
    <x v="0"/>
    <x v="10"/>
    <n v="7"/>
    <x v="0"/>
  </r>
  <r>
    <d v="2023-06-07T00:00:00"/>
    <x v="2"/>
    <x v="1"/>
    <x v="0"/>
    <n v="83196031.409999996"/>
    <x v="2"/>
    <x v="1"/>
    <x v="0"/>
    <x v="5"/>
    <x v="2"/>
    <x v="0"/>
    <x v="2"/>
    <x v="0"/>
    <x v="10"/>
    <n v="7"/>
    <x v="0"/>
  </r>
  <r>
    <d v="2023-06-07T00:00:00"/>
    <x v="3"/>
    <x v="3"/>
    <x v="0"/>
    <n v="819577892.02999997"/>
    <x v="3"/>
    <x v="3"/>
    <x v="0"/>
    <x v="6"/>
    <x v="2"/>
    <x v="0"/>
    <x v="2"/>
    <x v="0"/>
    <x v="10"/>
    <n v="7"/>
    <x v="0"/>
  </r>
  <r>
    <d v="2023-06-07T00:00:00"/>
    <x v="2"/>
    <x v="1"/>
    <x v="1"/>
    <n v="223402846.16"/>
    <x v="2"/>
    <x v="1"/>
    <x v="1"/>
    <x v="7"/>
    <x v="2"/>
    <x v="0"/>
    <x v="2"/>
    <x v="0"/>
    <x v="10"/>
    <n v="7"/>
    <x v="0"/>
  </r>
  <r>
    <d v="2023-06-07T00:00:00"/>
    <x v="1"/>
    <x v="0"/>
    <x v="1"/>
    <n v="1999109470.9400001"/>
    <x v="1"/>
    <x v="0"/>
    <x v="1"/>
    <x v="8"/>
    <x v="2"/>
    <x v="0"/>
    <x v="2"/>
    <x v="0"/>
    <x v="10"/>
    <n v="7"/>
    <x v="0"/>
  </r>
  <r>
    <d v="2023-06-07T00:00:00"/>
    <x v="0"/>
    <x v="1"/>
    <x v="1"/>
    <n v="1609960.04"/>
    <x v="0"/>
    <x v="1"/>
    <x v="1"/>
    <x v="3"/>
    <x v="2"/>
    <x v="0"/>
    <x v="2"/>
    <x v="0"/>
    <x v="10"/>
    <n v="7"/>
    <x v="0"/>
  </r>
  <r>
    <d v="2023-06-07T00:00:00"/>
    <x v="1"/>
    <x v="0"/>
    <x v="0"/>
    <n v="68738791.620000005"/>
    <x v="1"/>
    <x v="0"/>
    <x v="0"/>
    <x v="9"/>
    <x v="2"/>
    <x v="0"/>
    <x v="2"/>
    <x v="0"/>
    <x v="10"/>
    <n v="7"/>
    <x v="0"/>
  </r>
  <r>
    <d v="2023-06-07T00:00:00"/>
    <x v="3"/>
    <x v="2"/>
    <x v="2"/>
    <n v="59379.62"/>
    <x v="3"/>
    <x v="2"/>
    <x v="2"/>
    <x v="4"/>
    <x v="2"/>
    <x v="0"/>
    <x v="2"/>
    <x v="0"/>
    <x v="10"/>
    <n v="7"/>
    <x v="0"/>
  </r>
  <r>
    <d v="2023-06-07T00:00:00"/>
    <x v="3"/>
    <x v="2"/>
    <x v="0"/>
    <n v="570438062.19000006"/>
    <x v="3"/>
    <x v="2"/>
    <x v="0"/>
    <x v="10"/>
    <x v="2"/>
    <x v="0"/>
    <x v="2"/>
    <x v="0"/>
    <x v="10"/>
    <n v="7"/>
    <x v="0"/>
  </r>
  <r>
    <d v="2023-06-07T00:00:00"/>
    <x v="3"/>
    <x v="2"/>
    <x v="1"/>
    <n v="14425777405.120001"/>
    <x v="3"/>
    <x v="2"/>
    <x v="1"/>
    <x v="11"/>
    <x v="2"/>
    <x v="0"/>
    <x v="2"/>
    <x v="0"/>
    <x v="10"/>
    <n v="7"/>
    <x v="0"/>
  </r>
  <r>
    <d v="2023-06-07T00:00:00"/>
    <x v="3"/>
    <x v="1"/>
    <x v="0"/>
    <n v="16123579.279999999"/>
    <x v="3"/>
    <x v="1"/>
    <x v="0"/>
    <x v="12"/>
    <x v="2"/>
    <x v="0"/>
    <x v="2"/>
    <x v="0"/>
    <x v="10"/>
    <n v="7"/>
    <x v="0"/>
  </r>
  <r>
    <d v="2023-06-06T00:00:00"/>
    <x v="1"/>
    <x v="1"/>
    <x v="0"/>
    <n v="328064.2"/>
    <x v="1"/>
    <x v="1"/>
    <x v="0"/>
    <x v="0"/>
    <x v="2"/>
    <x v="0"/>
    <x v="2"/>
    <x v="0"/>
    <x v="10"/>
    <n v="6"/>
    <x v="0"/>
  </r>
  <r>
    <d v="2023-06-06T00:00:00"/>
    <x v="0"/>
    <x v="1"/>
    <x v="0"/>
    <n v="12038633.710000001"/>
    <x v="0"/>
    <x v="1"/>
    <x v="0"/>
    <x v="1"/>
    <x v="2"/>
    <x v="0"/>
    <x v="2"/>
    <x v="0"/>
    <x v="10"/>
    <n v="6"/>
    <x v="0"/>
  </r>
  <r>
    <d v="2023-06-06T00:00:00"/>
    <x v="2"/>
    <x v="1"/>
    <x v="0"/>
    <n v="81660527.180000007"/>
    <x v="2"/>
    <x v="1"/>
    <x v="0"/>
    <x v="5"/>
    <x v="2"/>
    <x v="0"/>
    <x v="2"/>
    <x v="0"/>
    <x v="10"/>
    <n v="6"/>
    <x v="0"/>
  </r>
  <r>
    <d v="2023-06-06T00:00:00"/>
    <x v="1"/>
    <x v="0"/>
    <x v="1"/>
    <n v="371731350.18000001"/>
    <x v="1"/>
    <x v="0"/>
    <x v="1"/>
    <x v="8"/>
    <x v="2"/>
    <x v="0"/>
    <x v="2"/>
    <x v="0"/>
    <x v="10"/>
    <n v="6"/>
    <x v="0"/>
  </r>
  <r>
    <d v="2023-06-06T00:00:00"/>
    <x v="0"/>
    <x v="1"/>
    <x v="1"/>
    <n v="562193.04"/>
    <x v="0"/>
    <x v="1"/>
    <x v="1"/>
    <x v="2"/>
    <x v="2"/>
    <x v="0"/>
    <x v="2"/>
    <x v="0"/>
    <x v="10"/>
    <n v="6"/>
    <x v="0"/>
  </r>
  <r>
    <d v="2023-06-06T00:00:00"/>
    <x v="2"/>
    <x v="1"/>
    <x v="2"/>
    <n v="14834.51"/>
    <x v="2"/>
    <x v="1"/>
    <x v="2"/>
    <x v="3"/>
    <x v="2"/>
    <x v="0"/>
    <x v="2"/>
    <x v="0"/>
    <x v="10"/>
    <n v="6"/>
    <x v="0"/>
  </r>
  <r>
    <d v="2023-06-06T00:00:00"/>
    <x v="3"/>
    <x v="2"/>
    <x v="2"/>
    <n v="105978.95"/>
    <x v="3"/>
    <x v="2"/>
    <x v="2"/>
    <x v="4"/>
    <x v="2"/>
    <x v="0"/>
    <x v="2"/>
    <x v="0"/>
    <x v="10"/>
    <n v="6"/>
    <x v="0"/>
  </r>
  <r>
    <d v="2023-06-06T00:00:00"/>
    <x v="3"/>
    <x v="3"/>
    <x v="0"/>
    <n v="800820418.73000002"/>
    <x v="3"/>
    <x v="3"/>
    <x v="0"/>
    <x v="6"/>
    <x v="2"/>
    <x v="0"/>
    <x v="2"/>
    <x v="0"/>
    <x v="10"/>
    <n v="6"/>
    <x v="0"/>
  </r>
  <r>
    <d v="2023-06-06T00:00:00"/>
    <x v="2"/>
    <x v="1"/>
    <x v="1"/>
    <n v="111743665.73999999"/>
    <x v="2"/>
    <x v="1"/>
    <x v="1"/>
    <x v="7"/>
    <x v="2"/>
    <x v="0"/>
    <x v="2"/>
    <x v="0"/>
    <x v="10"/>
    <n v="6"/>
    <x v="0"/>
  </r>
  <r>
    <d v="2023-06-06T00:00:00"/>
    <x v="1"/>
    <x v="0"/>
    <x v="0"/>
    <n v="51772594.670000002"/>
    <x v="1"/>
    <x v="0"/>
    <x v="0"/>
    <x v="9"/>
    <x v="2"/>
    <x v="0"/>
    <x v="2"/>
    <x v="0"/>
    <x v="10"/>
    <n v="6"/>
    <x v="0"/>
  </r>
  <r>
    <d v="2023-06-06T00:00:00"/>
    <x v="3"/>
    <x v="2"/>
    <x v="0"/>
    <n v="740768720.91999996"/>
    <x v="3"/>
    <x v="2"/>
    <x v="0"/>
    <x v="10"/>
    <x v="2"/>
    <x v="0"/>
    <x v="2"/>
    <x v="0"/>
    <x v="10"/>
    <n v="6"/>
    <x v="0"/>
  </r>
  <r>
    <d v="2023-06-06T00:00:00"/>
    <x v="3"/>
    <x v="2"/>
    <x v="1"/>
    <n v="4391681026.04"/>
    <x v="3"/>
    <x v="2"/>
    <x v="1"/>
    <x v="11"/>
    <x v="2"/>
    <x v="0"/>
    <x v="2"/>
    <x v="0"/>
    <x v="10"/>
    <n v="6"/>
    <x v="0"/>
  </r>
  <r>
    <d v="2023-06-06T00:00:00"/>
    <x v="3"/>
    <x v="1"/>
    <x v="0"/>
    <n v="13291485.640000001"/>
    <x v="3"/>
    <x v="1"/>
    <x v="0"/>
    <x v="12"/>
    <x v="2"/>
    <x v="0"/>
    <x v="2"/>
    <x v="0"/>
    <x v="10"/>
    <n v="6"/>
    <x v="0"/>
  </r>
  <r>
    <d v="2023-06-05T00:00:00"/>
    <x v="0"/>
    <x v="1"/>
    <x v="0"/>
    <n v="11711693.060000001"/>
    <x v="0"/>
    <x v="1"/>
    <x v="0"/>
    <x v="0"/>
    <x v="2"/>
    <x v="0"/>
    <x v="2"/>
    <x v="0"/>
    <x v="10"/>
    <n v="5"/>
    <x v="0"/>
  </r>
  <r>
    <d v="2023-06-05T00:00:00"/>
    <x v="2"/>
    <x v="1"/>
    <x v="2"/>
    <n v="11872.4"/>
    <x v="2"/>
    <x v="1"/>
    <x v="2"/>
    <x v="1"/>
    <x v="2"/>
    <x v="0"/>
    <x v="2"/>
    <x v="0"/>
    <x v="10"/>
    <n v="5"/>
    <x v="0"/>
  </r>
  <r>
    <d v="2023-06-05T00:00:00"/>
    <x v="2"/>
    <x v="1"/>
    <x v="0"/>
    <n v="103130408.36"/>
    <x v="2"/>
    <x v="1"/>
    <x v="0"/>
    <x v="6"/>
    <x v="2"/>
    <x v="0"/>
    <x v="2"/>
    <x v="0"/>
    <x v="10"/>
    <n v="5"/>
    <x v="0"/>
  </r>
  <r>
    <d v="2023-06-05T00:00:00"/>
    <x v="3"/>
    <x v="3"/>
    <x v="0"/>
    <n v="1330048341.6800001"/>
    <x v="3"/>
    <x v="3"/>
    <x v="0"/>
    <x v="8"/>
    <x v="2"/>
    <x v="0"/>
    <x v="2"/>
    <x v="0"/>
    <x v="10"/>
    <n v="5"/>
    <x v="0"/>
  </r>
  <r>
    <d v="2023-06-05T00:00:00"/>
    <x v="1"/>
    <x v="0"/>
    <x v="1"/>
    <n v="146378308.38999999"/>
    <x v="1"/>
    <x v="0"/>
    <x v="1"/>
    <x v="10"/>
    <x v="2"/>
    <x v="0"/>
    <x v="2"/>
    <x v="0"/>
    <x v="10"/>
    <n v="5"/>
    <x v="0"/>
  </r>
  <r>
    <d v="2023-06-05T00:00:00"/>
    <x v="3"/>
    <x v="3"/>
    <x v="1"/>
    <n v="35836.639999999999"/>
    <x v="3"/>
    <x v="3"/>
    <x v="1"/>
    <x v="2"/>
    <x v="2"/>
    <x v="0"/>
    <x v="2"/>
    <x v="0"/>
    <x v="10"/>
    <n v="5"/>
    <x v="0"/>
  </r>
  <r>
    <d v="2023-06-05T00:00:00"/>
    <x v="0"/>
    <x v="1"/>
    <x v="1"/>
    <n v="5930627.0999999996"/>
    <x v="0"/>
    <x v="1"/>
    <x v="1"/>
    <x v="3"/>
    <x v="2"/>
    <x v="0"/>
    <x v="2"/>
    <x v="0"/>
    <x v="10"/>
    <n v="5"/>
    <x v="0"/>
  </r>
  <r>
    <d v="2023-06-05T00:00:00"/>
    <x v="1"/>
    <x v="1"/>
    <x v="0"/>
    <n v="19798.580000000002"/>
    <x v="1"/>
    <x v="1"/>
    <x v="0"/>
    <x v="4"/>
    <x v="2"/>
    <x v="0"/>
    <x v="2"/>
    <x v="0"/>
    <x v="10"/>
    <n v="5"/>
    <x v="0"/>
  </r>
  <r>
    <d v="2023-06-05T00:00:00"/>
    <x v="3"/>
    <x v="2"/>
    <x v="2"/>
    <n v="32144"/>
    <x v="3"/>
    <x v="2"/>
    <x v="2"/>
    <x v="5"/>
    <x v="2"/>
    <x v="0"/>
    <x v="2"/>
    <x v="0"/>
    <x v="10"/>
    <n v="5"/>
    <x v="0"/>
  </r>
  <r>
    <d v="2023-06-05T00:00:00"/>
    <x v="2"/>
    <x v="1"/>
    <x v="1"/>
    <n v="95632389.319999993"/>
    <x v="2"/>
    <x v="1"/>
    <x v="1"/>
    <x v="7"/>
    <x v="2"/>
    <x v="0"/>
    <x v="2"/>
    <x v="0"/>
    <x v="10"/>
    <n v="5"/>
    <x v="0"/>
  </r>
  <r>
    <d v="2023-06-05T00:00:00"/>
    <x v="1"/>
    <x v="0"/>
    <x v="0"/>
    <n v="41379671.920000002"/>
    <x v="1"/>
    <x v="0"/>
    <x v="0"/>
    <x v="9"/>
    <x v="2"/>
    <x v="0"/>
    <x v="2"/>
    <x v="0"/>
    <x v="10"/>
    <n v="5"/>
    <x v="0"/>
  </r>
  <r>
    <d v="2023-06-05T00:00:00"/>
    <x v="3"/>
    <x v="2"/>
    <x v="0"/>
    <n v="578261080.71000004"/>
    <x v="3"/>
    <x v="2"/>
    <x v="0"/>
    <x v="11"/>
    <x v="2"/>
    <x v="0"/>
    <x v="2"/>
    <x v="0"/>
    <x v="10"/>
    <n v="5"/>
    <x v="0"/>
  </r>
  <r>
    <d v="2023-06-05T00:00:00"/>
    <x v="3"/>
    <x v="2"/>
    <x v="1"/>
    <n v="19907581678.139999"/>
    <x v="3"/>
    <x v="2"/>
    <x v="1"/>
    <x v="12"/>
    <x v="2"/>
    <x v="0"/>
    <x v="2"/>
    <x v="0"/>
    <x v="10"/>
    <n v="5"/>
    <x v="0"/>
  </r>
  <r>
    <d v="2023-06-05T00:00:00"/>
    <x v="3"/>
    <x v="1"/>
    <x v="0"/>
    <n v="51039031.43"/>
    <x v="3"/>
    <x v="1"/>
    <x v="0"/>
    <x v="13"/>
    <x v="2"/>
    <x v="0"/>
    <x v="2"/>
    <x v="0"/>
    <x v="10"/>
    <n v="5"/>
    <x v="0"/>
  </r>
  <r>
    <d v="2023-06-02T00:00:00"/>
    <x v="0"/>
    <x v="1"/>
    <x v="0"/>
    <n v="14837998.880000001"/>
    <x v="0"/>
    <x v="1"/>
    <x v="0"/>
    <x v="0"/>
    <x v="2"/>
    <x v="0"/>
    <x v="2"/>
    <x v="0"/>
    <x v="10"/>
    <n v="2"/>
    <x v="0"/>
  </r>
  <r>
    <d v="2023-06-02T00:00:00"/>
    <x v="2"/>
    <x v="1"/>
    <x v="2"/>
    <n v="365674.35"/>
    <x v="2"/>
    <x v="1"/>
    <x v="2"/>
    <x v="1"/>
    <x v="2"/>
    <x v="0"/>
    <x v="2"/>
    <x v="0"/>
    <x v="10"/>
    <n v="2"/>
    <x v="0"/>
  </r>
  <r>
    <d v="2023-06-02T00:00:00"/>
    <x v="2"/>
    <x v="1"/>
    <x v="0"/>
    <n v="91856492.359999999"/>
    <x v="2"/>
    <x v="1"/>
    <x v="0"/>
    <x v="7"/>
    <x v="2"/>
    <x v="0"/>
    <x v="2"/>
    <x v="0"/>
    <x v="10"/>
    <n v="2"/>
    <x v="0"/>
  </r>
  <r>
    <d v="2023-06-02T00:00:00"/>
    <x v="2"/>
    <x v="1"/>
    <x v="1"/>
    <n v="189342836.62"/>
    <x v="2"/>
    <x v="1"/>
    <x v="1"/>
    <x v="8"/>
    <x v="2"/>
    <x v="0"/>
    <x v="2"/>
    <x v="0"/>
    <x v="10"/>
    <n v="2"/>
    <x v="0"/>
  </r>
  <r>
    <d v="2023-06-02T00:00:00"/>
    <x v="1"/>
    <x v="0"/>
    <x v="0"/>
    <n v="50561413.850000001"/>
    <x v="1"/>
    <x v="0"/>
    <x v="0"/>
    <x v="9"/>
    <x v="2"/>
    <x v="0"/>
    <x v="2"/>
    <x v="0"/>
    <x v="10"/>
    <n v="2"/>
    <x v="0"/>
  </r>
  <r>
    <d v="2023-06-02T00:00:00"/>
    <x v="3"/>
    <x v="3"/>
    <x v="1"/>
    <n v="443501.37"/>
    <x v="3"/>
    <x v="3"/>
    <x v="1"/>
    <x v="2"/>
    <x v="2"/>
    <x v="0"/>
    <x v="2"/>
    <x v="0"/>
    <x v="10"/>
    <n v="2"/>
    <x v="0"/>
  </r>
  <r>
    <d v="2023-06-02T00:00:00"/>
    <x v="0"/>
    <x v="1"/>
    <x v="1"/>
    <n v="15795092.369999999"/>
    <x v="0"/>
    <x v="1"/>
    <x v="1"/>
    <x v="3"/>
    <x v="2"/>
    <x v="0"/>
    <x v="2"/>
    <x v="0"/>
    <x v="10"/>
    <n v="2"/>
    <x v="0"/>
  </r>
  <r>
    <d v="2023-06-02T00:00:00"/>
    <x v="1"/>
    <x v="1"/>
    <x v="0"/>
    <n v="48505.69"/>
    <x v="1"/>
    <x v="1"/>
    <x v="0"/>
    <x v="4"/>
    <x v="2"/>
    <x v="0"/>
    <x v="2"/>
    <x v="0"/>
    <x v="10"/>
    <n v="2"/>
    <x v="0"/>
  </r>
  <r>
    <d v="2023-06-02T00:00:00"/>
    <x v="3"/>
    <x v="2"/>
    <x v="2"/>
    <n v="176754"/>
    <x v="3"/>
    <x v="2"/>
    <x v="2"/>
    <x v="5"/>
    <x v="2"/>
    <x v="0"/>
    <x v="2"/>
    <x v="0"/>
    <x v="10"/>
    <n v="2"/>
    <x v="0"/>
  </r>
  <r>
    <d v="2023-06-02T00:00:00"/>
    <x v="3"/>
    <x v="3"/>
    <x v="0"/>
    <n v="739076121.00999999"/>
    <x v="3"/>
    <x v="3"/>
    <x v="0"/>
    <x v="6"/>
    <x v="2"/>
    <x v="0"/>
    <x v="2"/>
    <x v="0"/>
    <x v="10"/>
    <n v="2"/>
    <x v="0"/>
  </r>
  <r>
    <d v="2023-06-02T00:00:00"/>
    <x v="1"/>
    <x v="0"/>
    <x v="1"/>
    <n v="158032672.75"/>
    <x v="1"/>
    <x v="0"/>
    <x v="1"/>
    <x v="10"/>
    <x v="2"/>
    <x v="0"/>
    <x v="2"/>
    <x v="0"/>
    <x v="10"/>
    <n v="2"/>
    <x v="0"/>
  </r>
  <r>
    <d v="2023-06-02T00:00:00"/>
    <x v="3"/>
    <x v="2"/>
    <x v="0"/>
    <n v="729877570.15999997"/>
    <x v="3"/>
    <x v="2"/>
    <x v="0"/>
    <x v="11"/>
    <x v="2"/>
    <x v="0"/>
    <x v="2"/>
    <x v="0"/>
    <x v="10"/>
    <n v="2"/>
    <x v="0"/>
  </r>
  <r>
    <d v="2023-06-02T00:00:00"/>
    <x v="3"/>
    <x v="2"/>
    <x v="1"/>
    <n v="14460025488.200001"/>
    <x v="3"/>
    <x v="2"/>
    <x v="1"/>
    <x v="12"/>
    <x v="2"/>
    <x v="0"/>
    <x v="2"/>
    <x v="0"/>
    <x v="10"/>
    <n v="2"/>
    <x v="0"/>
  </r>
  <r>
    <d v="2023-06-02T00:00:00"/>
    <x v="3"/>
    <x v="1"/>
    <x v="0"/>
    <n v="17642128.940000001"/>
    <x v="3"/>
    <x v="1"/>
    <x v="0"/>
    <x v="13"/>
    <x v="2"/>
    <x v="0"/>
    <x v="2"/>
    <x v="0"/>
    <x v="10"/>
    <n v="2"/>
    <x v="0"/>
  </r>
  <r>
    <d v="2023-06-01T00:00:00"/>
    <x v="0"/>
    <x v="0"/>
    <x v="0"/>
    <n v="200"/>
    <x v="0"/>
    <x v="0"/>
    <x v="0"/>
    <x v="0"/>
    <x v="2"/>
    <x v="0"/>
    <x v="2"/>
    <x v="0"/>
    <x v="10"/>
    <n v="1"/>
    <x v="0"/>
  </r>
  <r>
    <d v="2023-06-01T00:00:00"/>
    <x v="1"/>
    <x v="1"/>
    <x v="0"/>
    <n v="57864.98"/>
    <x v="1"/>
    <x v="1"/>
    <x v="0"/>
    <x v="1"/>
    <x v="2"/>
    <x v="0"/>
    <x v="2"/>
    <x v="0"/>
    <x v="10"/>
    <n v="1"/>
    <x v="0"/>
  </r>
  <r>
    <d v="2023-06-01T00:00:00"/>
    <x v="0"/>
    <x v="1"/>
    <x v="0"/>
    <n v="14150515.58"/>
    <x v="0"/>
    <x v="1"/>
    <x v="0"/>
    <x v="2"/>
    <x v="2"/>
    <x v="0"/>
    <x v="2"/>
    <x v="0"/>
    <x v="10"/>
    <n v="1"/>
    <x v="0"/>
  </r>
  <r>
    <d v="2023-06-01T00:00:00"/>
    <x v="2"/>
    <x v="1"/>
    <x v="2"/>
    <n v="15079"/>
    <x v="2"/>
    <x v="1"/>
    <x v="2"/>
    <x v="3"/>
    <x v="2"/>
    <x v="0"/>
    <x v="2"/>
    <x v="0"/>
    <x v="10"/>
    <n v="1"/>
    <x v="0"/>
  </r>
  <r>
    <d v="2023-06-01T00:00:00"/>
    <x v="2"/>
    <x v="1"/>
    <x v="0"/>
    <n v="78568499.900000006"/>
    <x v="2"/>
    <x v="1"/>
    <x v="0"/>
    <x v="6"/>
    <x v="2"/>
    <x v="0"/>
    <x v="2"/>
    <x v="0"/>
    <x v="10"/>
    <n v="1"/>
    <x v="0"/>
  </r>
  <r>
    <d v="2023-06-01T00:00:00"/>
    <x v="2"/>
    <x v="1"/>
    <x v="1"/>
    <n v="248522452.72999999"/>
    <x v="2"/>
    <x v="1"/>
    <x v="1"/>
    <x v="8"/>
    <x v="2"/>
    <x v="0"/>
    <x v="2"/>
    <x v="0"/>
    <x v="10"/>
    <n v="1"/>
    <x v="0"/>
  </r>
  <r>
    <d v="2023-06-01T00:00:00"/>
    <x v="0"/>
    <x v="1"/>
    <x v="1"/>
    <n v="9858698.7799999993"/>
    <x v="0"/>
    <x v="1"/>
    <x v="1"/>
    <x v="4"/>
    <x v="2"/>
    <x v="0"/>
    <x v="2"/>
    <x v="0"/>
    <x v="10"/>
    <n v="1"/>
    <x v="0"/>
  </r>
  <r>
    <d v="2023-06-01T00:00:00"/>
    <x v="3"/>
    <x v="2"/>
    <x v="2"/>
    <n v="163363.81"/>
    <x v="3"/>
    <x v="2"/>
    <x v="2"/>
    <x v="5"/>
    <x v="2"/>
    <x v="0"/>
    <x v="2"/>
    <x v="0"/>
    <x v="10"/>
    <n v="1"/>
    <x v="0"/>
  </r>
  <r>
    <d v="2023-06-01T00:00:00"/>
    <x v="3"/>
    <x v="3"/>
    <x v="0"/>
    <n v="1953565099.77"/>
    <x v="3"/>
    <x v="3"/>
    <x v="0"/>
    <x v="7"/>
    <x v="2"/>
    <x v="0"/>
    <x v="2"/>
    <x v="0"/>
    <x v="10"/>
    <n v="1"/>
    <x v="0"/>
  </r>
  <r>
    <d v="2023-06-01T00:00:00"/>
    <x v="1"/>
    <x v="0"/>
    <x v="1"/>
    <n v="996485138.77999997"/>
    <x v="1"/>
    <x v="0"/>
    <x v="1"/>
    <x v="9"/>
    <x v="2"/>
    <x v="0"/>
    <x v="2"/>
    <x v="0"/>
    <x v="10"/>
    <n v="1"/>
    <x v="0"/>
  </r>
  <r>
    <d v="2023-06-01T00:00:00"/>
    <x v="1"/>
    <x v="0"/>
    <x v="0"/>
    <n v="79708608.609999999"/>
    <x v="1"/>
    <x v="0"/>
    <x v="0"/>
    <x v="10"/>
    <x v="2"/>
    <x v="0"/>
    <x v="2"/>
    <x v="0"/>
    <x v="10"/>
    <n v="1"/>
    <x v="0"/>
  </r>
  <r>
    <d v="2023-06-01T00:00:00"/>
    <x v="3"/>
    <x v="2"/>
    <x v="0"/>
    <n v="502219814.45999998"/>
    <x v="3"/>
    <x v="2"/>
    <x v="0"/>
    <x v="11"/>
    <x v="2"/>
    <x v="0"/>
    <x v="2"/>
    <x v="0"/>
    <x v="10"/>
    <n v="1"/>
    <x v="0"/>
  </r>
  <r>
    <d v="2023-06-01T00:00:00"/>
    <x v="3"/>
    <x v="1"/>
    <x v="0"/>
    <n v="17935710.100000001"/>
    <x v="3"/>
    <x v="1"/>
    <x v="0"/>
    <x v="12"/>
    <x v="2"/>
    <x v="0"/>
    <x v="2"/>
    <x v="0"/>
    <x v="10"/>
    <n v="1"/>
    <x v="0"/>
  </r>
  <r>
    <d v="2023-06-01T00:00:00"/>
    <x v="3"/>
    <x v="2"/>
    <x v="1"/>
    <n v="28312454694.23"/>
    <x v="3"/>
    <x v="2"/>
    <x v="1"/>
    <x v="13"/>
    <x v="2"/>
    <x v="0"/>
    <x v="2"/>
    <x v="0"/>
    <x v="10"/>
    <n v="1"/>
    <x v="0"/>
  </r>
  <r>
    <d v="2023-05-31T00:00:00"/>
    <x v="1"/>
    <x v="1"/>
    <x v="0"/>
    <n v="85867.46"/>
    <x v="1"/>
    <x v="1"/>
    <x v="0"/>
    <x v="0"/>
    <x v="2"/>
    <x v="0"/>
    <x v="2"/>
    <x v="0"/>
    <x v="11"/>
    <n v="31"/>
    <x v="0"/>
  </r>
  <r>
    <d v="2023-05-31T00:00:00"/>
    <x v="0"/>
    <x v="1"/>
    <x v="0"/>
    <n v="8635742.4700000007"/>
    <x v="0"/>
    <x v="1"/>
    <x v="0"/>
    <x v="1"/>
    <x v="2"/>
    <x v="0"/>
    <x v="2"/>
    <x v="0"/>
    <x v="11"/>
    <n v="31"/>
    <x v="0"/>
  </r>
  <r>
    <d v="2023-05-31T00:00:00"/>
    <x v="2"/>
    <x v="1"/>
    <x v="2"/>
    <n v="8429.2199999999993"/>
    <x v="2"/>
    <x v="1"/>
    <x v="2"/>
    <x v="2"/>
    <x v="2"/>
    <x v="0"/>
    <x v="2"/>
    <x v="0"/>
    <x v="11"/>
    <n v="31"/>
    <x v="0"/>
  </r>
  <r>
    <d v="2023-05-31T00:00:00"/>
    <x v="3"/>
    <x v="2"/>
    <x v="2"/>
    <n v="353262.02"/>
    <x v="3"/>
    <x v="2"/>
    <x v="2"/>
    <x v="5"/>
    <x v="2"/>
    <x v="0"/>
    <x v="2"/>
    <x v="0"/>
    <x v="11"/>
    <n v="31"/>
    <x v="0"/>
  </r>
  <r>
    <d v="2023-05-31T00:00:00"/>
    <x v="2"/>
    <x v="1"/>
    <x v="1"/>
    <n v="180038310.74000001"/>
    <x v="2"/>
    <x v="1"/>
    <x v="1"/>
    <x v="9"/>
    <x v="2"/>
    <x v="0"/>
    <x v="2"/>
    <x v="0"/>
    <x v="11"/>
    <n v="31"/>
    <x v="0"/>
  </r>
  <r>
    <d v="2023-05-31T00:00:00"/>
    <x v="1"/>
    <x v="0"/>
    <x v="0"/>
    <n v="53778001.32"/>
    <x v="1"/>
    <x v="0"/>
    <x v="0"/>
    <x v="10"/>
    <x v="2"/>
    <x v="0"/>
    <x v="2"/>
    <x v="0"/>
    <x v="11"/>
    <n v="31"/>
    <x v="0"/>
  </r>
  <r>
    <d v="2023-05-31T00:00:00"/>
    <x v="3"/>
    <x v="3"/>
    <x v="1"/>
    <n v="3130839.87"/>
    <x v="3"/>
    <x v="3"/>
    <x v="1"/>
    <x v="3"/>
    <x v="2"/>
    <x v="0"/>
    <x v="2"/>
    <x v="0"/>
    <x v="11"/>
    <n v="31"/>
    <x v="0"/>
  </r>
  <r>
    <d v="2023-05-31T00:00:00"/>
    <x v="0"/>
    <x v="1"/>
    <x v="1"/>
    <n v="7055947.8499999996"/>
    <x v="0"/>
    <x v="1"/>
    <x v="1"/>
    <x v="4"/>
    <x v="2"/>
    <x v="0"/>
    <x v="2"/>
    <x v="0"/>
    <x v="11"/>
    <n v="31"/>
    <x v="0"/>
  </r>
  <r>
    <d v="2023-05-31T00:00:00"/>
    <x v="2"/>
    <x v="1"/>
    <x v="0"/>
    <n v="90105073.560000002"/>
    <x v="2"/>
    <x v="1"/>
    <x v="0"/>
    <x v="6"/>
    <x v="2"/>
    <x v="0"/>
    <x v="2"/>
    <x v="0"/>
    <x v="11"/>
    <n v="31"/>
    <x v="0"/>
  </r>
  <r>
    <d v="2023-05-31T00:00:00"/>
    <x v="3"/>
    <x v="3"/>
    <x v="0"/>
    <n v="2159725901.98"/>
    <x v="3"/>
    <x v="3"/>
    <x v="0"/>
    <x v="7"/>
    <x v="2"/>
    <x v="0"/>
    <x v="2"/>
    <x v="0"/>
    <x v="11"/>
    <n v="31"/>
    <x v="0"/>
  </r>
  <r>
    <d v="2023-05-31T00:00:00"/>
    <x v="1"/>
    <x v="0"/>
    <x v="1"/>
    <n v="193809311.53"/>
    <x v="1"/>
    <x v="0"/>
    <x v="1"/>
    <x v="8"/>
    <x v="2"/>
    <x v="0"/>
    <x v="2"/>
    <x v="0"/>
    <x v="11"/>
    <n v="31"/>
    <x v="0"/>
  </r>
  <r>
    <d v="2023-05-31T00:00:00"/>
    <x v="3"/>
    <x v="2"/>
    <x v="0"/>
    <n v="844497888.34000003"/>
    <x v="3"/>
    <x v="2"/>
    <x v="0"/>
    <x v="11"/>
    <x v="2"/>
    <x v="0"/>
    <x v="2"/>
    <x v="0"/>
    <x v="11"/>
    <n v="31"/>
    <x v="0"/>
  </r>
  <r>
    <d v="2023-05-31T00:00:00"/>
    <x v="3"/>
    <x v="1"/>
    <x v="0"/>
    <n v="15645961.32"/>
    <x v="3"/>
    <x v="1"/>
    <x v="0"/>
    <x v="12"/>
    <x v="2"/>
    <x v="0"/>
    <x v="2"/>
    <x v="0"/>
    <x v="11"/>
    <n v="31"/>
    <x v="0"/>
  </r>
  <r>
    <d v="2023-05-31T00:00:00"/>
    <x v="3"/>
    <x v="2"/>
    <x v="1"/>
    <n v="8064497715.5699997"/>
    <x v="3"/>
    <x v="2"/>
    <x v="1"/>
    <x v="13"/>
    <x v="2"/>
    <x v="0"/>
    <x v="2"/>
    <x v="0"/>
    <x v="11"/>
    <n v="31"/>
    <x v="0"/>
  </r>
  <r>
    <d v="2023-05-30T00:00:00"/>
    <x v="0"/>
    <x v="1"/>
    <x v="0"/>
    <n v="6007422.7400000002"/>
    <x v="0"/>
    <x v="1"/>
    <x v="0"/>
    <x v="0"/>
    <x v="2"/>
    <x v="0"/>
    <x v="2"/>
    <x v="0"/>
    <x v="11"/>
    <n v="30"/>
    <x v="0"/>
  </r>
  <r>
    <d v="2023-05-30T00:00:00"/>
    <x v="2"/>
    <x v="1"/>
    <x v="2"/>
    <n v="7942.91"/>
    <x v="2"/>
    <x v="1"/>
    <x v="2"/>
    <x v="1"/>
    <x v="2"/>
    <x v="0"/>
    <x v="2"/>
    <x v="0"/>
    <x v="11"/>
    <n v="30"/>
    <x v="0"/>
  </r>
  <r>
    <d v="2023-05-30T00:00:00"/>
    <x v="3"/>
    <x v="3"/>
    <x v="0"/>
    <n v="1091708471.01"/>
    <x v="3"/>
    <x v="3"/>
    <x v="0"/>
    <x v="5"/>
    <x v="2"/>
    <x v="0"/>
    <x v="2"/>
    <x v="0"/>
    <x v="11"/>
    <n v="30"/>
    <x v="0"/>
  </r>
  <r>
    <d v="2023-05-30T00:00:00"/>
    <x v="2"/>
    <x v="1"/>
    <x v="0"/>
    <n v="82084335.340000004"/>
    <x v="2"/>
    <x v="1"/>
    <x v="0"/>
    <x v="6"/>
    <x v="2"/>
    <x v="0"/>
    <x v="2"/>
    <x v="0"/>
    <x v="11"/>
    <n v="30"/>
    <x v="0"/>
  </r>
  <r>
    <d v="2023-05-30T00:00:00"/>
    <x v="2"/>
    <x v="1"/>
    <x v="1"/>
    <n v="187000433.03"/>
    <x v="2"/>
    <x v="1"/>
    <x v="1"/>
    <x v="7"/>
    <x v="2"/>
    <x v="0"/>
    <x v="2"/>
    <x v="0"/>
    <x v="11"/>
    <n v="30"/>
    <x v="0"/>
  </r>
  <r>
    <d v="2023-05-30T00:00:00"/>
    <x v="0"/>
    <x v="1"/>
    <x v="1"/>
    <n v="2111771.85"/>
    <x v="0"/>
    <x v="1"/>
    <x v="1"/>
    <x v="2"/>
    <x v="2"/>
    <x v="0"/>
    <x v="2"/>
    <x v="0"/>
    <x v="11"/>
    <n v="30"/>
    <x v="0"/>
  </r>
  <r>
    <d v="2023-05-30T00:00:00"/>
    <x v="1"/>
    <x v="0"/>
    <x v="0"/>
    <n v="41942137.700000003"/>
    <x v="1"/>
    <x v="0"/>
    <x v="0"/>
    <x v="8"/>
    <x v="2"/>
    <x v="0"/>
    <x v="2"/>
    <x v="0"/>
    <x v="11"/>
    <n v="30"/>
    <x v="0"/>
  </r>
  <r>
    <d v="2023-05-30T00:00:00"/>
    <x v="1"/>
    <x v="1"/>
    <x v="0"/>
    <n v="26685.97"/>
    <x v="1"/>
    <x v="1"/>
    <x v="0"/>
    <x v="3"/>
    <x v="2"/>
    <x v="0"/>
    <x v="2"/>
    <x v="0"/>
    <x v="11"/>
    <n v="30"/>
    <x v="0"/>
  </r>
  <r>
    <d v="2023-05-30T00:00:00"/>
    <x v="3"/>
    <x v="2"/>
    <x v="2"/>
    <n v="206847"/>
    <x v="3"/>
    <x v="2"/>
    <x v="2"/>
    <x v="4"/>
    <x v="2"/>
    <x v="0"/>
    <x v="2"/>
    <x v="0"/>
    <x v="11"/>
    <n v="30"/>
    <x v="0"/>
  </r>
  <r>
    <d v="2023-05-30T00:00:00"/>
    <x v="1"/>
    <x v="0"/>
    <x v="1"/>
    <n v="252224926.53"/>
    <x v="1"/>
    <x v="0"/>
    <x v="1"/>
    <x v="9"/>
    <x v="2"/>
    <x v="0"/>
    <x v="2"/>
    <x v="0"/>
    <x v="11"/>
    <n v="30"/>
    <x v="0"/>
  </r>
  <r>
    <d v="2023-05-30T00:00:00"/>
    <x v="3"/>
    <x v="2"/>
    <x v="0"/>
    <n v="566839303.5"/>
    <x v="3"/>
    <x v="2"/>
    <x v="0"/>
    <x v="10"/>
    <x v="2"/>
    <x v="0"/>
    <x v="2"/>
    <x v="0"/>
    <x v="11"/>
    <n v="30"/>
    <x v="0"/>
  </r>
  <r>
    <d v="2023-05-30T00:00:00"/>
    <x v="3"/>
    <x v="2"/>
    <x v="1"/>
    <n v="26039105724.200001"/>
    <x v="3"/>
    <x v="2"/>
    <x v="1"/>
    <x v="11"/>
    <x v="2"/>
    <x v="0"/>
    <x v="2"/>
    <x v="0"/>
    <x v="11"/>
    <n v="30"/>
    <x v="0"/>
  </r>
  <r>
    <d v="2023-05-30T00:00:00"/>
    <x v="3"/>
    <x v="1"/>
    <x v="0"/>
    <n v="57271084.039999999"/>
    <x v="3"/>
    <x v="1"/>
    <x v="0"/>
    <x v="12"/>
    <x v="2"/>
    <x v="0"/>
    <x v="2"/>
    <x v="0"/>
    <x v="11"/>
    <n v="30"/>
    <x v="0"/>
  </r>
  <r>
    <d v="2023-05-26T00:00:00"/>
    <x v="0"/>
    <x v="0"/>
    <x v="0"/>
    <n v="20"/>
    <x v="0"/>
    <x v="0"/>
    <x v="0"/>
    <x v="0"/>
    <x v="2"/>
    <x v="0"/>
    <x v="2"/>
    <x v="0"/>
    <x v="11"/>
    <n v="26"/>
    <x v="0"/>
  </r>
  <r>
    <d v="2023-05-26T00:00:00"/>
    <x v="1"/>
    <x v="1"/>
    <x v="0"/>
    <n v="144582.17000000001"/>
    <x v="1"/>
    <x v="1"/>
    <x v="0"/>
    <x v="1"/>
    <x v="2"/>
    <x v="0"/>
    <x v="2"/>
    <x v="0"/>
    <x v="11"/>
    <n v="26"/>
    <x v="0"/>
  </r>
  <r>
    <d v="2023-05-26T00:00:00"/>
    <x v="0"/>
    <x v="1"/>
    <x v="0"/>
    <n v="11467399.210000001"/>
    <x v="0"/>
    <x v="1"/>
    <x v="0"/>
    <x v="2"/>
    <x v="2"/>
    <x v="0"/>
    <x v="2"/>
    <x v="0"/>
    <x v="11"/>
    <n v="26"/>
    <x v="0"/>
  </r>
  <r>
    <d v="2023-05-26T00:00:00"/>
    <x v="2"/>
    <x v="1"/>
    <x v="2"/>
    <n v="6451.72"/>
    <x v="2"/>
    <x v="1"/>
    <x v="2"/>
    <x v="3"/>
    <x v="2"/>
    <x v="0"/>
    <x v="2"/>
    <x v="0"/>
    <x v="11"/>
    <n v="26"/>
    <x v="0"/>
  </r>
  <r>
    <d v="2023-05-26T00:00:00"/>
    <x v="0"/>
    <x v="1"/>
    <x v="1"/>
    <n v="21191594.300000001"/>
    <x v="0"/>
    <x v="1"/>
    <x v="1"/>
    <x v="4"/>
    <x v="2"/>
    <x v="0"/>
    <x v="2"/>
    <x v="0"/>
    <x v="11"/>
    <n v="26"/>
    <x v="0"/>
  </r>
  <r>
    <d v="2023-05-26T00:00:00"/>
    <x v="2"/>
    <x v="1"/>
    <x v="0"/>
    <n v="92494786.25"/>
    <x v="2"/>
    <x v="1"/>
    <x v="0"/>
    <x v="7"/>
    <x v="2"/>
    <x v="0"/>
    <x v="2"/>
    <x v="0"/>
    <x v="11"/>
    <n v="26"/>
    <x v="0"/>
  </r>
  <r>
    <d v="2023-05-26T00:00:00"/>
    <x v="2"/>
    <x v="1"/>
    <x v="1"/>
    <n v="463060307.52999997"/>
    <x v="2"/>
    <x v="1"/>
    <x v="1"/>
    <x v="8"/>
    <x v="2"/>
    <x v="0"/>
    <x v="2"/>
    <x v="0"/>
    <x v="11"/>
    <n v="26"/>
    <x v="0"/>
  </r>
  <r>
    <d v="2023-05-26T00:00:00"/>
    <x v="1"/>
    <x v="0"/>
    <x v="1"/>
    <n v="102197776.95"/>
    <x v="1"/>
    <x v="0"/>
    <x v="1"/>
    <x v="9"/>
    <x v="2"/>
    <x v="0"/>
    <x v="2"/>
    <x v="0"/>
    <x v="11"/>
    <n v="26"/>
    <x v="0"/>
  </r>
  <r>
    <d v="2023-05-26T00:00:00"/>
    <x v="1"/>
    <x v="0"/>
    <x v="0"/>
    <n v="50990547.25"/>
    <x v="1"/>
    <x v="0"/>
    <x v="0"/>
    <x v="10"/>
    <x v="2"/>
    <x v="0"/>
    <x v="2"/>
    <x v="0"/>
    <x v="11"/>
    <n v="26"/>
    <x v="0"/>
  </r>
  <r>
    <d v="2023-05-26T00:00:00"/>
    <x v="3"/>
    <x v="2"/>
    <x v="2"/>
    <n v="411404.11"/>
    <x v="3"/>
    <x v="2"/>
    <x v="2"/>
    <x v="5"/>
    <x v="2"/>
    <x v="0"/>
    <x v="2"/>
    <x v="0"/>
    <x v="11"/>
    <n v="26"/>
    <x v="0"/>
  </r>
  <r>
    <d v="2023-05-26T00:00:00"/>
    <x v="3"/>
    <x v="3"/>
    <x v="0"/>
    <n v="1283327537.02"/>
    <x v="3"/>
    <x v="3"/>
    <x v="0"/>
    <x v="6"/>
    <x v="2"/>
    <x v="0"/>
    <x v="2"/>
    <x v="0"/>
    <x v="11"/>
    <n v="26"/>
    <x v="0"/>
  </r>
  <r>
    <d v="2023-05-26T00:00:00"/>
    <x v="3"/>
    <x v="2"/>
    <x v="0"/>
    <n v="582339079.59000003"/>
    <x v="3"/>
    <x v="2"/>
    <x v="0"/>
    <x v="11"/>
    <x v="2"/>
    <x v="0"/>
    <x v="2"/>
    <x v="0"/>
    <x v="11"/>
    <n v="26"/>
    <x v="0"/>
  </r>
  <r>
    <d v="2023-05-26T00:00:00"/>
    <x v="3"/>
    <x v="2"/>
    <x v="1"/>
    <n v="12262826100.16"/>
    <x v="3"/>
    <x v="2"/>
    <x v="1"/>
    <x v="12"/>
    <x v="2"/>
    <x v="0"/>
    <x v="2"/>
    <x v="0"/>
    <x v="11"/>
    <n v="26"/>
    <x v="0"/>
  </r>
  <r>
    <d v="2023-05-26T00:00:00"/>
    <x v="3"/>
    <x v="1"/>
    <x v="0"/>
    <n v="15855345.810000001"/>
    <x v="3"/>
    <x v="1"/>
    <x v="0"/>
    <x v="13"/>
    <x v="2"/>
    <x v="0"/>
    <x v="2"/>
    <x v="0"/>
    <x v="11"/>
    <n v="26"/>
    <x v="0"/>
  </r>
  <r>
    <d v="2023-05-25T00:00:00"/>
    <x v="1"/>
    <x v="1"/>
    <x v="0"/>
    <n v="229894.37"/>
    <x v="1"/>
    <x v="1"/>
    <x v="0"/>
    <x v="0"/>
    <x v="2"/>
    <x v="0"/>
    <x v="2"/>
    <x v="0"/>
    <x v="11"/>
    <n v="25"/>
    <x v="0"/>
  </r>
  <r>
    <d v="2023-05-25T00:00:00"/>
    <x v="0"/>
    <x v="1"/>
    <x v="0"/>
    <n v="28371716.920000002"/>
    <x v="0"/>
    <x v="1"/>
    <x v="0"/>
    <x v="1"/>
    <x v="2"/>
    <x v="0"/>
    <x v="2"/>
    <x v="0"/>
    <x v="11"/>
    <n v="25"/>
    <x v="0"/>
  </r>
  <r>
    <d v="2023-05-25T00:00:00"/>
    <x v="2"/>
    <x v="1"/>
    <x v="2"/>
    <n v="9336.1200000000008"/>
    <x v="2"/>
    <x v="1"/>
    <x v="2"/>
    <x v="2"/>
    <x v="2"/>
    <x v="0"/>
    <x v="2"/>
    <x v="0"/>
    <x v="11"/>
    <n v="25"/>
    <x v="0"/>
  </r>
  <r>
    <d v="2023-05-25T00:00:00"/>
    <x v="2"/>
    <x v="1"/>
    <x v="0"/>
    <n v="77521579.950000003"/>
    <x v="2"/>
    <x v="1"/>
    <x v="0"/>
    <x v="6"/>
    <x v="2"/>
    <x v="0"/>
    <x v="2"/>
    <x v="0"/>
    <x v="11"/>
    <n v="25"/>
    <x v="0"/>
  </r>
  <r>
    <d v="2023-05-25T00:00:00"/>
    <x v="1"/>
    <x v="0"/>
    <x v="0"/>
    <n v="53171757.009999998"/>
    <x v="1"/>
    <x v="0"/>
    <x v="0"/>
    <x v="8"/>
    <x v="2"/>
    <x v="0"/>
    <x v="2"/>
    <x v="0"/>
    <x v="11"/>
    <n v="25"/>
    <x v="0"/>
  </r>
  <r>
    <d v="2023-05-25T00:00:00"/>
    <x v="3"/>
    <x v="3"/>
    <x v="1"/>
    <n v="8558.7199999999993"/>
    <x v="3"/>
    <x v="3"/>
    <x v="1"/>
    <x v="3"/>
    <x v="2"/>
    <x v="0"/>
    <x v="2"/>
    <x v="0"/>
    <x v="11"/>
    <n v="25"/>
    <x v="0"/>
  </r>
  <r>
    <d v="2023-05-25T00:00:00"/>
    <x v="0"/>
    <x v="1"/>
    <x v="1"/>
    <n v="1542402.74"/>
    <x v="0"/>
    <x v="1"/>
    <x v="1"/>
    <x v="4"/>
    <x v="2"/>
    <x v="0"/>
    <x v="2"/>
    <x v="0"/>
    <x v="11"/>
    <n v="25"/>
    <x v="0"/>
  </r>
  <r>
    <d v="2023-05-25T00:00:00"/>
    <x v="1"/>
    <x v="0"/>
    <x v="1"/>
    <n v="307603435.75"/>
    <x v="1"/>
    <x v="0"/>
    <x v="1"/>
    <x v="10"/>
    <x v="2"/>
    <x v="0"/>
    <x v="2"/>
    <x v="0"/>
    <x v="11"/>
    <n v="25"/>
    <x v="0"/>
  </r>
  <r>
    <d v="2023-05-25T00:00:00"/>
    <x v="3"/>
    <x v="2"/>
    <x v="2"/>
    <n v="182333.31"/>
    <x v="3"/>
    <x v="2"/>
    <x v="2"/>
    <x v="5"/>
    <x v="2"/>
    <x v="0"/>
    <x v="2"/>
    <x v="0"/>
    <x v="11"/>
    <n v="25"/>
    <x v="0"/>
  </r>
  <r>
    <d v="2023-05-25T00:00:00"/>
    <x v="3"/>
    <x v="3"/>
    <x v="0"/>
    <n v="1888578592.98"/>
    <x v="3"/>
    <x v="3"/>
    <x v="0"/>
    <x v="7"/>
    <x v="2"/>
    <x v="0"/>
    <x v="2"/>
    <x v="0"/>
    <x v="11"/>
    <n v="25"/>
    <x v="0"/>
  </r>
  <r>
    <d v="2023-05-25T00:00:00"/>
    <x v="2"/>
    <x v="1"/>
    <x v="1"/>
    <n v="707609246.23000002"/>
    <x v="2"/>
    <x v="1"/>
    <x v="1"/>
    <x v="9"/>
    <x v="2"/>
    <x v="0"/>
    <x v="2"/>
    <x v="0"/>
    <x v="11"/>
    <n v="25"/>
    <x v="0"/>
  </r>
  <r>
    <d v="2023-05-25T00:00:00"/>
    <x v="3"/>
    <x v="2"/>
    <x v="0"/>
    <n v="486603745.75"/>
    <x v="3"/>
    <x v="2"/>
    <x v="0"/>
    <x v="11"/>
    <x v="2"/>
    <x v="0"/>
    <x v="2"/>
    <x v="0"/>
    <x v="11"/>
    <n v="25"/>
    <x v="0"/>
  </r>
  <r>
    <d v="2023-05-25T00:00:00"/>
    <x v="3"/>
    <x v="2"/>
    <x v="1"/>
    <n v="4300645098.3900003"/>
    <x v="3"/>
    <x v="2"/>
    <x v="1"/>
    <x v="12"/>
    <x v="2"/>
    <x v="0"/>
    <x v="2"/>
    <x v="0"/>
    <x v="11"/>
    <n v="25"/>
    <x v="0"/>
  </r>
  <r>
    <d v="2023-05-25T00:00:00"/>
    <x v="3"/>
    <x v="1"/>
    <x v="0"/>
    <n v="14455775.33"/>
    <x v="3"/>
    <x v="1"/>
    <x v="0"/>
    <x v="13"/>
    <x v="2"/>
    <x v="0"/>
    <x v="2"/>
    <x v="0"/>
    <x v="11"/>
    <n v="25"/>
    <x v="0"/>
  </r>
  <r>
    <d v="2023-05-24T00:00:00"/>
    <x v="2"/>
    <x v="3"/>
    <x v="0"/>
    <n v="708.21"/>
    <x v="2"/>
    <x v="3"/>
    <x v="0"/>
    <x v="0"/>
    <x v="2"/>
    <x v="0"/>
    <x v="2"/>
    <x v="0"/>
    <x v="11"/>
    <n v="24"/>
    <x v="0"/>
  </r>
  <r>
    <d v="2023-05-24T00:00:00"/>
    <x v="0"/>
    <x v="1"/>
    <x v="0"/>
    <n v="22975694.370000001"/>
    <x v="0"/>
    <x v="1"/>
    <x v="0"/>
    <x v="1"/>
    <x v="2"/>
    <x v="0"/>
    <x v="2"/>
    <x v="0"/>
    <x v="11"/>
    <n v="24"/>
    <x v="0"/>
  </r>
  <r>
    <d v="2023-05-24T00:00:00"/>
    <x v="3"/>
    <x v="2"/>
    <x v="2"/>
    <n v="101209"/>
    <x v="3"/>
    <x v="2"/>
    <x v="2"/>
    <x v="5"/>
    <x v="2"/>
    <x v="0"/>
    <x v="2"/>
    <x v="0"/>
    <x v="11"/>
    <n v="24"/>
    <x v="0"/>
  </r>
  <r>
    <d v="2023-05-24T00:00:00"/>
    <x v="2"/>
    <x v="1"/>
    <x v="2"/>
    <n v="18160"/>
    <x v="2"/>
    <x v="1"/>
    <x v="2"/>
    <x v="2"/>
    <x v="2"/>
    <x v="0"/>
    <x v="2"/>
    <x v="0"/>
    <x v="11"/>
    <n v="24"/>
    <x v="0"/>
  </r>
  <r>
    <d v="2023-05-24T00:00:00"/>
    <x v="3"/>
    <x v="3"/>
    <x v="0"/>
    <n v="1802202268.24"/>
    <x v="3"/>
    <x v="3"/>
    <x v="0"/>
    <x v="6"/>
    <x v="2"/>
    <x v="0"/>
    <x v="2"/>
    <x v="0"/>
    <x v="11"/>
    <n v="24"/>
    <x v="0"/>
  </r>
  <r>
    <d v="2023-05-24T00:00:00"/>
    <x v="2"/>
    <x v="1"/>
    <x v="0"/>
    <n v="95581842.349999994"/>
    <x v="2"/>
    <x v="1"/>
    <x v="0"/>
    <x v="7"/>
    <x v="2"/>
    <x v="0"/>
    <x v="2"/>
    <x v="0"/>
    <x v="11"/>
    <n v="24"/>
    <x v="0"/>
  </r>
  <r>
    <d v="2023-05-24T00:00:00"/>
    <x v="2"/>
    <x v="1"/>
    <x v="1"/>
    <n v="738126059.11000001"/>
    <x v="2"/>
    <x v="1"/>
    <x v="1"/>
    <x v="9"/>
    <x v="2"/>
    <x v="0"/>
    <x v="2"/>
    <x v="0"/>
    <x v="11"/>
    <n v="24"/>
    <x v="0"/>
  </r>
  <r>
    <d v="2023-05-24T00:00:00"/>
    <x v="1"/>
    <x v="0"/>
    <x v="0"/>
    <n v="130751410.87"/>
    <x v="1"/>
    <x v="0"/>
    <x v="0"/>
    <x v="10"/>
    <x v="2"/>
    <x v="0"/>
    <x v="2"/>
    <x v="0"/>
    <x v="11"/>
    <n v="24"/>
    <x v="0"/>
  </r>
  <r>
    <d v="2023-05-24T00:00:00"/>
    <x v="0"/>
    <x v="1"/>
    <x v="1"/>
    <n v="6879699.9800000004"/>
    <x v="0"/>
    <x v="1"/>
    <x v="1"/>
    <x v="3"/>
    <x v="2"/>
    <x v="0"/>
    <x v="2"/>
    <x v="0"/>
    <x v="11"/>
    <n v="24"/>
    <x v="0"/>
  </r>
  <r>
    <d v="2023-05-24T00:00:00"/>
    <x v="1"/>
    <x v="1"/>
    <x v="0"/>
    <n v="16699.669999999998"/>
    <x v="1"/>
    <x v="1"/>
    <x v="0"/>
    <x v="4"/>
    <x v="2"/>
    <x v="0"/>
    <x v="2"/>
    <x v="0"/>
    <x v="11"/>
    <n v="24"/>
    <x v="0"/>
  </r>
  <r>
    <d v="2023-05-24T00:00:00"/>
    <x v="1"/>
    <x v="0"/>
    <x v="1"/>
    <n v="623309999.66999996"/>
    <x v="1"/>
    <x v="0"/>
    <x v="1"/>
    <x v="8"/>
    <x v="2"/>
    <x v="0"/>
    <x v="2"/>
    <x v="0"/>
    <x v="11"/>
    <n v="24"/>
    <x v="0"/>
  </r>
  <r>
    <d v="2023-05-24T00:00:00"/>
    <x v="3"/>
    <x v="2"/>
    <x v="0"/>
    <n v="320354164.19"/>
    <x v="3"/>
    <x v="2"/>
    <x v="0"/>
    <x v="11"/>
    <x v="2"/>
    <x v="0"/>
    <x v="2"/>
    <x v="0"/>
    <x v="11"/>
    <n v="24"/>
    <x v="0"/>
  </r>
  <r>
    <d v="2023-05-24T00:00:00"/>
    <x v="3"/>
    <x v="2"/>
    <x v="1"/>
    <n v="11311730493.309999"/>
    <x v="3"/>
    <x v="2"/>
    <x v="1"/>
    <x v="12"/>
    <x v="2"/>
    <x v="0"/>
    <x v="2"/>
    <x v="0"/>
    <x v="11"/>
    <n v="24"/>
    <x v="0"/>
  </r>
  <r>
    <d v="2023-05-24T00:00:00"/>
    <x v="3"/>
    <x v="1"/>
    <x v="0"/>
    <n v="15537006.050000001"/>
    <x v="3"/>
    <x v="1"/>
    <x v="0"/>
    <x v="13"/>
    <x v="2"/>
    <x v="0"/>
    <x v="2"/>
    <x v="0"/>
    <x v="11"/>
    <n v="24"/>
    <x v="0"/>
  </r>
  <r>
    <d v="2023-05-23T00:00:00"/>
    <x v="0"/>
    <x v="1"/>
    <x v="0"/>
    <n v="6567949.9699999997"/>
    <x v="0"/>
    <x v="1"/>
    <x v="0"/>
    <x v="0"/>
    <x v="2"/>
    <x v="0"/>
    <x v="2"/>
    <x v="0"/>
    <x v="11"/>
    <n v="23"/>
    <x v="0"/>
  </r>
  <r>
    <d v="2023-05-23T00:00:00"/>
    <x v="3"/>
    <x v="3"/>
    <x v="0"/>
    <n v="1899549836.6199999"/>
    <x v="3"/>
    <x v="3"/>
    <x v="0"/>
    <x v="5"/>
    <x v="2"/>
    <x v="0"/>
    <x v="2"/>
    <x v="0"/>
    <x v="11"/>
    <n v="23"/>
    <x v="0"/>
  </r>
  <r>
    <d v="2023-05-23T00:00:00"/>
    <x v="2"/>
    <x v="1"/>
    <x v="2"/>
    <n v="9467.7199999999993"/>
    <x v="2"/>
    <x v="1"/>
    <x v="2"/>
    <x v="2"/>
    <x v="2"/>
    <x v="0"/>
    <x v="2"/>
    <x v="0"/>
    <x v="11"/>
    <n v="23"/>
    <x v="0"/>
  </r>
  <r>
    <d v="2023-05-23T00:00:00"/>
    <x v="1"/>
    <x v="0"/>
    <x v="1"/>
    <n v="182857912.58000001"/>
    <x v="1"/>
    <x v="0"/>
    <x v="1"/>
    <x v="7"/>
    <x v="2"/>
    <x v="0"/>
    <x v="2"/>
    <x v="0"/>
    <x v="11"/>
    <n v="23"/>
    <x v="0"/>
  </r>
  <r>
    <d v="2023-05-23T00:00:00"/>
    <x v="1"/>
    <x v="0"/>
    <x v="0"/>
    <n v="52669704.32"/>
    <x v="1"/>
    <x v="0"/>
    <x v="0"/>
    <x v="8"/>
    <x v="2"/>
    <x v="0"/>
    <x v="2"/>
    <x v="0"/>
    <x v="11"/>
    <n v="23"/>
    <x v="0"/>
  </r>
  <r>
    <d v="2023-05-23T00:00:00"/>
    <x v="1"/>
    <x v="1"/>
    <x v="0"/>
    <n v="209452.6"/>
    <x v="1"/>
    <x v="1"/>
    <x v="0"/>
    <x v="3"/>
    <x v="2"/>
    <x v="0"/>
    <x v="2"/>
    <x v="0"/>
    <x v="11"/>
    <n v="23"/>
    <x v="0"/>
  </r>
  <r>
    <d v="2023-05-23T00:00:00"/>
    <x v="2"/>
    <x v="1"/>
    <x v="1"/>
    <n v="311822724.47000003"/>
    <x v="2"/>
    <x v="1"/>
    <x v="1"/>
    <x v="9"/>
    <x v="2"/>
    <x v="0"/>
    <x v="2"/>
    <x v="0"/>
    <x v="11"/>
    <n v="23"/>
    <x v="0"/>
  </r>
  <r>
    <d v="2023-05-23T00:00:00"/>
    <x v="0"/>
    <x v="1"/>
    <x v="1"/>
    <n v="9603466.2899999991"/>
    <x v="0"/>
    <x v="1"/>
    <x v="1"/>
    <x v="1"/>
    <x v="2"/>
    <x v="0"/>
    <x v="2"/>
    <x v="0"/>
    <x v="11"/>
    <n v="23"/>
    <x v="0"/>
  </r>
  <r>
    <d v="2023-05-23T00:00:00"/>
    <x v="3"/>
    <x v="2"/>
    <x v="2"/>
    <n v="180283.17"/>
    <x v="3"/>
    <x v="2"/>
    <x v="2"/>
    <x v="4"/>
    <x v="2"/>
    <x v="0"/>
    <x v="2"/>
    <x v="0"/>
    <x v="11"/>
    <n v="23"/>
    <x v="0"/>
  </r>
  <r>
    <d v="2023-05-23T00:00:00"/>
    <x v="2"/>
    <x v="1"/>
    <x v="0"/>
    <n v="151305472.28999999"/>
    <x v="2"/>
    <x v="1"/>
    <x v="0"/>
    <x v="6"/>
    <x v="2"/>
    <x v="0"/>
    <x v="2"/>
    <x v="0"/>
    <x v="11"/>
    <n v="23"/>
    <x v="0"/>
  </r>
  <r>
    <d v="2023-05-23T00:00:00"/>
    <x v="3"/>
    <x v="2"/>
    <x v="0"/>
    <n v="381621980.08999997"/>
    <x v="3"/>
    <x v="2"/>
    <x v="0"/>
    <x v="10"/>
    <x v="2"/>
    <x v="0"/>
    <x v="2"/>
    <x v="0"/>
    <x v="11"/>
    <n v="23"/>
    <x v="0"/>
  </r>
  <r>
    <d v="2023-05-23T00:00:00"/>
    <x v="3"/>
    <x v="1"/>
    <x v="0"/>
    <n v="12058969.4"/>
    <x v="3"/>
    <x v="1"/>
    <x v="0"/>
    <x v="11"/>
    <x v="2"/>
    <x v="0"/>
    <x v="2"/>
    <x v="0"/>
    <x v="11"/>
    <n v="23"/>
    <x v="0"/>
  </r>
  <r>
    <d v="2023-05-23T00:00:00"/>
    <x v="3"/>
    <x v="2"/>
    <x v="1"/>
    <n v="4046457221.6700001"/>
    <x v="3"/>
    <x v="2"/>
    <x v="1"/>
    <x v="12"/>
    <x v="2"/>
    <x v="0"/>
    <x v="2"/>
    <x v="0"/>
    <x v="11"/>
    <n v="23"/>
    <x v="0"/>
  </r>
  <r>
    <d v="2023-05-22T00:00:00"/>
    <x v="1"/>
    <x v="1"/>
    <x v="0"/>
    <n v="26924.09"/>
    <x v="1"/>
    <x v="1"/>
    <x v="0"/>
    <x v="0"/>
    <x v="2"/>
    <x v="0"/>
    <x v="2"/>
    <x v="0"/>
    <x v="11"/>
    <n v="22"/>
    <x v="0"/>
  </r>
  <r>
    <d v="2023-05-22T00:00:00"/>
    <x v="0"/>
    <x v="1"/>
    <x v="0"/>
    <n v="50108404.009999998"/>
    <x v="0"/>
    <x v="1"/>
    <x v="0"/>
    <x v="1"/>
    <x v="2"/>
    <x v="0"/>
    <x v="2"/>
    <x v="0"/>
    <x v="11"/>
    <n v="22"/>
    <x v="0"/>
  </r>
  <r>
    <d v="2023-05-22T00:00:00"/>
    <x v="3"/>
    <x v="3"/>
    <x v="0"/>
    <n v="1704597408.3299999"/>
    <x v="3"/>
    <x v="3"/>
    <x v="0"/>
    <x v="5"/>
    <x v="2"/>
    <x v="0"/>
    <x v="2"/>
    <x v="0"/>
    <x v="11"/>
    <n v="22"/>
    <x v="0"/>
  </r>
  <r>
    <d v="2023-05-22T00:00:00"/>
    <x v="2"/>
    <x v="1"/>
    <x v="0"/>
    <n v="75910316.510000005"/>
    <x v="2"/>
    <x v="1"/>
    <x v="0"/>
    <x v="6"/>
    <x v="2"/>
    <x v="0"/>
    <x v="2"/>
    <x v="0"/>
    <x v="11"/>
    <n v="22"/>
    <x v="0"/>
  </r>
  <r>
    <d v="2023-05-22T00:00:00"/>
    <x v="3"/>
    <x v="2"/>
    <x v="2"/>
    <n v="568848.92000000004"/>
    <x v="3"/>
    <x v="2"/>
    <x v="2"/>
    <x v="4"/>
    <x v="2"/>
    <x v="0"/>
    <x v="2"/>
    <x v="0"/>
    <x v="11"/>
    <n v="22"/>
    <x v="0"/>
  </r>
  <r>
    <d v="2023-05-22T00:00:00"/>
    <x v="1"/>
    <x v="0"/>
    <x v="0"/>
    <n v="52899833.219999999"/>
    <x v="1"/>
    <x v="0"/>
    <x v="0"/>
    <x v="7"/>
    <x v="2"/>
    <x v="0"/>
    <x v="2"/>
    <x v="0"/>
    <x v="11"/>
    <n v="22"/>
    <x v="0"/>
  </r>
  <r>
    <d v="2023-05-22T00:00:00"/>
    <x v="0"/>
    <x v="1"/>
    <x v="1"/>
    <n v="3527671.93"/>
    <x v="0"/>
    <x v="1"/>
    <x v="1"/>
    <x v="2"/>
    <x v="2"/>
    <x v="0"/>
    <x v="2"/>
    <x v="0"/>
    <x v="11"/>
    <n v="22"/>
    <x v="0"/>
  </r>
  <r>
    <d v="2023-05-22T00:00:00"/>
    <x v="1"/>
    <x v="0"/>
    <x v="1"/>
    <n v="279721838.92000002"/>
    <x v="1"/>
    <x v="0"/>
    <x v="1"/>
    <x v="8"/>
    <x v="2"/>
    <x v="0"/>
    <x v="2"/>
    <x v="0"/>
    <x v="11"/>
    <n v="22"/>
    <x v="0"/>
  </r>
  <r>
    <d v="2023-05-22T00:00:00"/>
    <x v="2"/>
    <x v="1"/>
    <x v="1"/>
    <n v="403204028.12"/>
    <x v="2"/>
    <x v="1"/>
    <x v="1"/>
    <x v="9"/>
    <x v="2"/>
    <x v="0"/>
    <x v="2"/>
    <x v="0"/>
    <x v="11"/>
    <n v="22"/>
    <x v="0"/>
  </r>
  <r>
    <d v="2023-05-22T00:00:00"/>
    <x v="2"/>
    <x v="1"/>
    <x v="2"/>
    <n v="11447.21"/>
    <x v="2"/>
    <x v="1"/>
    <x v="2"/>
    <x v="3"/>
    <x v="2"/>
    <x v="0"/>
    <x v="2"/>
    <x v="0"/>
    <x v="11"/>
    <n v="22"/>
    <x v="0"/>
  </r>
  <r>
    <d v="2023-05-22T00:00:00"/>
    <x v="3"/>
    <x v="2"/>
    <x v="0"/>
    <n v="5762039671.1800003"/>
    <x v="3"/>
    <x v="2"/>
    <x v="0"/>
    <x v="10"/>
    <x v="2"/>
    <x v="0"/>
    <x v="2"/>
    <x v="0"/>
    <x v="11"/>
    <n v="22"/>
    <x v="0"/>
  </r>
  <r>
    <d v="2023-05-22T00:00:00"/>
    <x v="3"/>
    <x v="2"/>
    <x v="1"/>
    <n v="20681912476.279999"/>
    <x v="3"/>
    <x v="2"/>
    <x v="1"/>
    <x v="11"/>
    <x v="2"/>
    <x v="0"/>
    <x v="2"/>
    <x v="0"/>
    <x v="11"/>
    <n v="22"/>
    <x v="0"/>
  </r>
  <r>
    <d v="2023-05-22T00:00:00"/>
    <x v="3"/>
    <x v="1"/>
    <x v="0"/>
    <n v="46575324.920000002"/>
    <x v="3"/>
    <x v="1"/>
    <x v="0"/>
    <x v="12"/>
    <x v="2"/>
    <x v="0"/>
    <x v="2"/>
    <x v="0"/>
    <x v="11"/>
    <n v="22"/>
    <x v="0"/>
  </r>
  <r>
    <d v="2023-05-19T00:00:00"/>
    <x v="0"/>
    <x v="0"/>
    <x v="0"/>
    <n v="20"/>
    <x v="0"/>
    <x v="0"/>
    <x v="0"/>
    <x v="0"/>
    <x v="2"/>
    <x v="0"/>
    <x v="2"/>
    <x v="0"/>
    <x v="11"/>
    <n v="19"/>
    <x v="0"/>
  </r>
  <r>
    <d v="2023-05-19T00:00:00"/>
    <x v="1"/>
    <x v="1"/>
    <x v="0"/>
    <n v="501332.35"/>
    <x v="1"/>
    <x v="1"/>
    <x v="0"/>
    <x v="1"/>
    <x v="2"/>
    <x v="0"/>
    <x v="2"/>
    <x v="0"/>
    <x v="11"/>
    <n v="19"/>
    <x v="0"/>
  </r>
  <r>
    <d v="2023-05-19T00:00:00"/>
    <x v="0"/>
    <x v="1"/>
    <x v="0"/>
    <n v="11800919.23"/>
    <x v="0"/>
    <x v="1"/>
    <x v="0"/>
    <x v="2"/>
    <x v="2"/>
    <x v="0"/>
    <x v="2"/>
    <x v="0"/>
    <x v="11"/>
    <n v="19"/>
    <x v="0"/>
  </r>
  <r>
    <d v="2023-05-19T00:00:00"/>
    <x v="2"/>
    <x v="1"/>
    <x v="0"/>
    <n v="96578848.030000001"/>
    <x v="2"/>
    <x v="1"/>
    <x v="0"/>
    <x v="6"/>
    <x v="2"/>
    <x v="0"/>
    <x v="2"/>
    <x v="0"/>
    <x v="11"/>
    <n v="19"/>
    <x v="0"/>
  </r>
  <r>
    <d v="2023-05-19T00:00:00"/>
    <x v="3"/>
    <x v="3"/>
    <x v="0"/>
    <n v="1769362551.5699999"/>
    <x v="3"/>
    <x v="3"/>
    <x v="0"/>
    <x v="7"/>
    <x v="2"/>
    <x v="0"/>
    <x v="2"/>
    <x v="0"/>
    <x v="11"/>
    <n v="19"/>
    <x v="0"/>
  </r>
  <r>
    <d v="2023-05-19T00:00:00"/>
    <x v="2"/>
    <x v="1"/>
    <x v="2"/>
    <n v="14920.06"/>
    <x v="2"/>
    <x v="1"/>
    <x v="2"/>
    <x v="4"/>
    <x v="2"/>
    <x v="0"/>
    <x v="2"/>
    <x v="0"/>
    <x v="11"/>
    <n v="19"/>
    <x v="0"/>
  </r>
  <r>
    <d v="2023-05-19T00:00:00"/>
    <x v="2"/>
    <x v="1"/>
    <x v="1"/>
    <n v="804938678.12"/>
    <x v="2"/>
    <x v="1"/>
    <x v="1"/>
    <x v="8"/>
    <x v="2"/>
    <x v="0"/>
    <x v="2"/>
    <x v="0"/>
    <x v="11"/>
    <n v="19"/>
    <x v="0"/>
  </r>
  <r>
    <d v="2023-05-19T00:00:00"/>
    <x v="1"/>
    <x v="0"/>
    <x v="1"/>
    <n v="115800332.81999999"/>
    <x v="1"/>
    <x v="0"/>
    <x v="1"/>
    <x v="9"/>
    <x v="2"/>
    <x v="0"/>
    <x v="2"/>
    <x v="0"/>
    <x v="11"/>
    <n v="19"/>
    <x v="0"/>
  </r>
  <r>
    <d v="2023-05-19T00:00:00"/>
    <x v="1"/>
    <x v="0"/>
    <x v="0"/>
    <n v="53833355.549999997"/>
    <x v="1"/>
    <x v="0"/>
    <x v="0"/>
    <x v="10"/>
    <x v="2"/>
    <x v="0"/>
    <x v="2"/>
    <x v="0"/>
    <x v="11"/>
    <n v="19"/>
    <x v="0"/>
  </r>
  <r>
    <d v="2023-05-19T00:00:00"/>
    <x v="0"/>
    <x v="1"/>
    <x v="1"/>
    <n v="28166857.949999999"/>
    <x v="0"/>
    <x v="1"/>
    <x v="1"/>
    <x v="3"/>
    <x v="2"/>
    <x v="0"/>
    <x v="2"/>
    <x v="0"/>
    <x v="11"/>
    <n v="19"/>
    <x v="0"/>
  </r>
  <r>
    <d v="2023-05-19T00:00:00"/>
    <x v="3"/>
    <x v="2"/>
    <x v="2"/>
    <n v="524167.22"/>
    <x v="3"/>
    <x v="2"/>
    <x v="2"/>
    <x v="5"/>
    <x v="2"/>
    <x v="0"/>
    <x v="2"/>
    <x v="0"/>
    <x v="11"/>
    <n v="19"/>
    <x v="0"/>
  </r>
  <r>
    <d v="2023-05-19T00:00:00"/>
    <x v="3"/>
    <x v="2"/>
    <x v="0"/>
    <n v="318944453.61000001"/>
    <x v="3"/>
    <x v="2"/>
    <x v="0"/>
    <x v="11"/>
    <x v="2"/>
    <x v="0"/>
    <x v="2"/>
    <x v="0"/>
    <x v="11"/>
    <n v="19"/>
    <x v="0"/>
  </r>
  <r>
    <d v="2023-05-19T00:00:00"/>
    <x v="3"/>
    <x v="2"/>
    <x v="1"/>
    <n v="9853223037.4099998"/>
    <x v="3"/>
    <x v="2"/>
    <x v="1"/>
    <x v="12"/>
    <x v="2"/>
    <x v="0"/>
    <x v="2"/>
    <x v="0"/>
    <x v="11"/>
    <n v="19"/>
    <x v="0"/>
  </r>
  <r>
    <d v="2023-05-19T00:00:00"/>
    <x v="3"/>
    <x v="1"/>
    <x v="0"/>
    <n v="15540158.49"/>
    <x v="3"/>
    <x v="1"/>
    <x v="0"/>
    <x v="13"/>
    <x v="2"/>
    <x v="0"/>
    <x v="2"/>
    <x v="0"/>
    <x v="11"/>
    <n v="19"/>
    <x v="0"/>
  </r>
  <r>
    <d v="2023-05-18T00:00:00"/>
    <x v="1"/>
    <x v="1"/>
    <x v="0"/>
    <n v="24957.41"/>
    <x v="1"/>
    <x v="1"/>
    <x v="0"/>
    <x v="0"/>
    <x v="2"/>
    <x v="0"/>
    <x v="2"/>
    <x v="0"/>
    <x v="11"/>
    <n v="18"/>
    <x v="0"/>
  </r>
  <r>
    <d v="2023-05-18T00:00:00"/>
    <x v="0"/>
    <x v="1"/>
    <x v="0"/>
    <n v="18290632.510000002"/>
    <x v="0"/>
    <x v="1"/>
    <x v="0"/>
    <x v="1"/>
    <x v="2"/>
    <x v="0"/>
    <x v="2"/>
    <x v="0"/>
    <x v="11"/>
    <n v="18"/>
    <x v="0"/>
  </r>
  <r>
    <d v="2023-05-18T00:00:00"/>
    <x v="2"/>
    <x v="1"/>
    <x v="2"/>
    <n v="11282.49"/>
    <x v="2"/>
    <x v="1"/>
    <x v="2"/>
    <x v="2"/>
    <x v="2"/>
    <x v="0"/>
    <x v="2"/>
    <x v="0"/>
    <x v="11"/>
    <n v="18"/>
    <x v="0"/>
  </r>
  <r>
    <d v="2023-05-18T00:00:00"/>
    <x v="2"/>
    <x v="1"/>
    <x v="0"/>
    <n v="83235013.459999993"/>
    <x v="2"/>
    <x v="1"/>
    <x v="0"/>
    <x v="5"/>
    <x v="2"/>
    <x v="0"/>
    <x v="2"/>
    <x v="0"/>
    <x v="11"/>
    <n v="18"/>
    <x v="0"/>
  </r>
  <r>
    <d v="2023-05-18T00:00:00"/>
    <x v="3"/>
    <x v="3"/>
    <x v="0"/>
    <n v="1003352713.46"/>
    <x v="3"/>
    <x v="3"/>
    <x v="0"/>
    <x v="6"/>
    <x v="2"/>
    <x v="0"/>
    <x v="2"/>
    <x v="0"/>
    <x v="11"/>
    <n v="18"/>
    <x v="0"/>
  </r>
  <r>
    <d v="2023-05-18T00:00:00"/>
    <x v="1"/>
    <x v="0"/>
    <x v="0"/>
    <n v="74081811.760000005"/>
    <x v="1"/>
    <x v="0"/>
    <x v="0"/>
    <x v="7"/>
    <x v="2"/>
    <x v="0"/>
    <x v="2"/>
    <x v="0"/>
    <x v="11"/>
    <n v="18"/>
    <x v="0"/>
  </r>
  <r>
    <d v="2023-05-18T00:00:00"/>
    <x v="2"/>
    <x v="1"/>
    <x v="1"/>
    <n v="693286906.76999998"/>
    <x v="2"/>
    <x v="1"/>
    <x v="1"/>
    <x v="8"/>
    <x v="2"/>
    <x v="0"/>
    <x v="2"/>
    <x v="0"/>
    <x v="11"/>
    <n v="18"/>
    <x v="0"/>
  </r>
  <r>
    <d v="2023-05-18T00:00:00"/>
    <x v="0"/>
    <x v="1"/>
    <x v="1"/>
    <n v="694115.81"/>
    <x v="0"/>
    <x v="1"/>
    <x v="1"/>
    <x v="3"/>
    <x v="2"/>
    <x v="0"/>
    <x v="2"/>
    <x v="0"/>
    <x v="11"/>
    <n v="18"/>
    <x v="0"/>
  </r>
  <r>
    <d v="2023-05-18T00:00:00"/>
    <x v="1"/>
    <x v="0"/>
    <x v="1"/>
    <n v="193793615.84"/>
    <x v="1"/>
    <x v="0"/>
    <x v="1"/>
    <x v="9"/>
    <x v="2"/>
    <x v="0"/>
    <x v="2"/>
    <x v="0"/>
    <x v="11"/>
    <n v="18"/>
    <x v="0"/>
  </r>
  <r>
    <d v="2023-05-18T00:00:00"/>
    <x v="3"/>
    <x v="2"/>
    <x v="2"/>
    <n v="328235.12"/>
    <x v="3"/>
    <x v="2"/>
    <x v="2"/>
    <x v="4"/>
    <x v="2"/>
    <x v="0"/>
    <x v="2"/>
    <x v="0"/>
    <x v="11"/>
    <n v="18"/>
    <x v="0"/>
  </r>
  <r>
    <d v="2023-05-18T00:00:00"/>
    <x v="3"/>
    <x v="2"/>
    <x v="0"/>
    <n v="282526014.23000002"/>
    <x v="3"/>
    <x v="2"/>
    <x v="0"/>
    <x v="10"/>
    <x v="2"/>
    <x v="0"/>
    <x v="2"/>
    <x v="0"/>
    <x v="11"/>
    <n v="18"/>
    <x v="0"/>
  </r>
  <r>
    <d v="2023-05-18T00:00:00"/>
    <x v="3"/>
    <x v="2"/>
    <x v="1"/>
    <n v="3601943892.8499999"/>
    <x v="3"/>
    <x v="2"/>
    <x v="1"/>
    <x v="11"/>
    <x v="2"/>
    <x v="0"/>
    <x v="2"/>
    <x v="0"/>
    <x v="11"/>
    <n v="18"/>
    <x v="0"/>
  </r>
  <r>
    <d v="2023-05-18T00:00:00"/>
    <x v="3"/>
    <x v="1"/>
    <x v="0"/>
    <n v="14710854.310000001"/>
    <x v="3"/>
    <x v="1"/>
    <x v="0"/>
    <x v="12"/>
    <x v="2"/>
    <x v="0"/>
    <x v="2"/>
    <x v="0"/>
    <x v="11"/>
    <n v="18"/>
    <x v="0"/>
  </r>
  <r>
    <d v="2023-05-17T00:00:00"/>
    <x v="1"/>
    <x v="1"/>
    <x v="0"/>
    <n v="24455.49"/>
    <x v="1"/>
    <x v="1"/>
    <x v="0"/>
    <x v="0"/>
    <x v="2"/>
    <x v="0"/>
    <x v="2"/>
    <x v="0"/>
    <x v="11"/>
    <n v="17"/>
    <x v="0"/>
  </r>
  <r>
    <d v="2023-05-17T00:00:00"/>
    <x v="0"/>
    <x v="1"/>
    <x v="0"/>
    <n v="75509610.409999996"/>
    <x v="0"/>
    <x v="1"/>
    <x v="0"/>
    <x v="1"/>
    <x v="2"/>
    <x v="0"/>
    <x v="2"/>
    <x v="0"/>
    <x v="11"/>
    <n v="17"/>
    <x v="0"/>
  </r>
  <r>
    <d v="2023-05-17T00:00:00"/>
    <x v="2"/>
    <x v="1"/>
    <x v="2"/>
    <n v="10480.030000000001"/>
    <x v="2"/>
    <x v="1"/>
    <x v="2"/>
    <x v="2"/>
    <x v="2"/>
    <x v="0"/>
    <x v="2"/>
    <x v="0"/>
    <x v="11"/>
    <n v="17"/>
    <x v="0"/>
  </r>
  <r>
    <d v="2023-05-17T00:00:00"/>
    <x v="2"/>
    <x v="1"/>
    <x v="1"/>
    <n v="416600714.88"/>
    <x v="2"/>
    <x v="1"/>
    <x v="1"/>
    <x v="8"/>
    <x v="2"/>
    <x v="0"/>
    <x v="2"/>
    <x v="0"/>
    <x v="11"/>
    <n v="17"/>
    <x v="0"/>
  </r>
  <r>
    <d v="2023-05-17T00:00:00"/>
    <x v="3"/>
    <x v="3"/>
    <x v="1"/>
    <n v="10315732.789999999"/>
    <x v="3"/>
    <x v="3"/>
    <x v="1"/>
    <x v="3"/>
    <x v="2"/>
    <x v="0"/>
    <x v="2"/>
    <x v="0"/>
    <x v="11"/>
    <n v="17"/>
    <x v="0"/>
  </r>
  <r>
    <d v="2023-05-17T00:00:00"/>
    <x v="0"/>
    <x v="1"/>
    <x v="1"/>
    <n v="31790152.59"/>
    <x v="0"/>
    <x v="1"/>
    <x v="1"/>
    <x v="4"/>
    <x v="2"/>
    <x v="0"/>
    <x v="2"/>
    <x v="0"/>
    <x v="11"/>
    <n v="17"/>
    <x v="0"/>
  </r>
  <r>
    <d v="2023-05-17T00:00:00"/>
    <x v="1"/>
    <x v="0"/>
    <x v="0"/>
    <n v="97925496.700000003"/>
    <x v="1"/>
    <x v="0"/>
    <x v="0"/>
    <x v="10"/>
    <x v="2"/>
    <x v="0"/>
    <x v="2"/>
    <x v="0"/>
    <x v="11"/>
    <n v="17"/>
    <x v="0"/>
  </r>
  <r>
    <d v="2023-05-17T00:00:00"/>
    <x v="3"/>
    <x v="2"/>
    <x v="2"/>
    <n v="358006.99"/>
    <x v="3"/>
    <x v="2"/>
    <x v="2"/>
    <x v="5"/>
    <x v="2"/>
    <x v="0"/>
    <x v="2"/>
    <x v="0"/>
    <x v="11"/>
    <n v="17"/>
    <x v="0"/>
  </r>
  <r>
    <d v="2023-05-17T00:00:00"/>
    <x v="3"/>
    <x v="3"/>
    <x v="0"/>
    <n v="1078497024.3900001"/>
    <x v="3"/>
    <x v="3"/>
    <x v="0"/>
    <x v="6"/>
    <x v="2"/>
    <x v="0"/>
    <x v="2"/>
    <x v="0"/>
    <x v="11"/>
    <n v="17"/>
    <x v="0"/>
  </r>
  <r>
    <d v="2023-05-17T00:00:00"/>
    <x v="2"/>
    <x v="1"/>
    <x v="0"/>
    <n v="117699590.59999999"/>
    <x v="2"/>
    <x v="1"/>
    <x v="0"/>
    <x v="7"/>
    <x v="2"/>
    <x v="0"/>
    <x v="2"/>
    <x v="0"/>
    <x v="11"/>
    <n v="17"/>
    <x v="0"/>
  </r>
  <r>
    <d v="2023-05-17T00:00:00"/>
    <x v="1"/>
    <x v="0"/>
    <x v="1"/>
    <n v="708842873.82000005"/>
    <x v="1"/>
    <x v="0"/>
    <x v="1"/>
    <x v="9"/>
    <x v="2"/>
    <x v="0"/>
    <x v="2"/>
    <x v="0"/>
    <x v="11"/>
    <n v="17"/>
    <x v="0"/>
  </r>
  <r>
    <d v="2023-05-17T00:00:00"/>
    <x v="3"/>
    <x v="2"/>
    <x v="0"/>
    <n v="331401287.42000002"/>
    <x v="3"/>
    <x v="2"/>
    <x v="0"/>
    <x v="11"/>
    <x v="2"/>
    <x v="0"/>
    <x v="2"/>
    <x v="0"/>
    <x v="11"/>
    <n v="17"/>
    <x v="0"/>
  </r>
  <r>
    <d v="2023-05-17T00:00:00"/>
    <x v="3"/>
    <x v="1"/>
    <x v="0"/>
    <n v="19050853.710000001"/>
    <x v="3"/>
    <x v="1"/>
    <x v="0"/>
    <x v="12"/>
    <x v="2"/>
    <x v="0"/>
    <x v="2"/>
    <x v="0"/>
    <x v="11"/>
    <n v="17"/>
    <x v="0"/>
  </r>
  <r>
    <d v="2023-05-17T00:00:00"/>
    <x v="3"/>
    <x v="2"/>
    <x v="1"/>
    <n v="11957082844.68"/>
    <x v="3"/>
    <x v="2"/>
    <x v="1"/>
    <x v="13"/>
    <x v="2"/>
    <x v="0"/>
    <x v="2"/>
    <x v="0"/>
    <x v="11"/>
    <n v="17"/>
    <x v="0"/>
  </r>
  <r>
    <d v="2023-05-16T00:00:00"/>
    <x v="3"/>
    <x v="2"/>
    <x v="2"/>
    <n v="178560.25"/>
    <x v="3"/>
    <x v="2"/>
    <x v="2"/>
    <x v="6"/>
    <x v="2"/>
    <x v="0"/>
    <x v="2"/>
    <x v="0"/>
    <x v="11"/>
    <n v="16"/>
    <x v="0"/>
  </r>
  <r>
    <d v="2023-05-16T00:00:00"/>
    <x v="0"/>
    <x v="0"/>
    <x v="0"/>
    <n v="3418.88"/>
    <x v="0"/>
    <x v="0"/>
    <x v="0"/>
    <x v="0"/>
    <x v="2"/>
    <x v="0"/>
    <x v="2"/>
    <x v="0"/>
    <x v="11"/>
    <n v="16"/>
    <x v="0"/>
  </r>
  <r>
    <d v="2023-05-16T00:00:00"/>
    <x v="1"/>
    <x v="1"/>
    <x v="0"/>
    <n v="42768.55"/>
    <x v="1"/>
    <x v="1"/>
    <x v="0"/>
    <x v="1"/>
    <x v="2"/>
    <x v="0"/>
    <x v="2"/>
    <x v="0"/>
    <x v="11"/>
    <n v="16"/>
    <x v="0"/>
  </r>
  <r>
    <d v="2023-05-16T00:00:00"/>
    <x v="0"/>
    <x v="1"/>
    <x v="0"/>
    <n v="19062027.300000001"/>
    <x v="0"/>
    <x v="1"/>
    <x v="0"/>
    <x v="2"/>
    <x v="2"/>
    <x v="0"/>
    <x v="2"/>
    <x v="0"/>
    <x v="11"/>
    <n v="16"/>
    <x v="0"/>
  </r>
  <r>
    <d v="2023-05-16T00:00:00"/>
    <x v="2"/>
    <x v="1"/>
    <x v="2"/>
    <n v="7272.54"/>
    <x v="2"/>
    <x v="1"/>
    <x v="2"/>
    <x v="3"/>
    <x v="2"/>
    <x v="0"/>
    <x v="2"/>
    <x v="0"/>
    <x v="11"/>
    <n v="16"/>
    <x v="0"/>
  </r>
  <r>
    <d v="2023-05-16T00:00:00"/>
    <x v="3"/>
    <x v="3"/>
    <x v="0"/>
    <n v="1087795619.8299999"/>
    <x v="3"/>
    <x v="3"/>
    <x v="0"/>
    <x v="7"/>
    <x v="2"/>
    <x v="0"/>
    <x v="2"/>
    <x v="0"/>
    <x v="11"/>
    <n v="16"/>
    <x v="0"/>
  </r>
  <r>
    <d v="2023-05-16T00:00:00"/>
    <x v="2"/>
    <x v="1"/>
    <x v="0"/>
    <n v="105976479.08"/>
    <x v="2"/>
    <x v="1"/>
    <x v="0"/>
    <x v="8"/>
    <x v="2"/>
    <x v="0"/>
    <x v="2"/>
    <x v="0"/>
    <x v="11"/>
    <n v="16"/>
    <x v="0"/>
  </r>
  <r>
    <d v="2023-05-16T00:00:00"/>
    <x v="2"/>
    <x v="1"/>
    <x v="1"/>
    <n v="835327617.77999997"/>
    <x v="2"/>
    <x v="1"/>
    <x v="1"/>
    <x v="9"/>
    <x v="2"/>
    <x v="0"/>
    <x v="2"/>
    <x v="0"/>
    <x v="11"/>
    <n v="16"/>
    <x v="0"/>
  </r>
  <r>
    <d v="2023-05-16T00:00:00"/>
    <x v="1"/>
    <x v="0"/>
    <x v="0"/>
    <n v="69800273.079999998"/>
    <x v="1"/>
    <x v="0"/>
    <x v="0"/>
    <x v="10"/>
    <x v="2"/>
    <x v="0"/>
    <x v="2"/>
    <x v="0"/>
    <x v="11"/>
    <n v="16"/>
    <x v="0"/>
  </r>
  <r>
    <d v="2023-05-16T00:00:00"/>
    <x v="3"/>
    <x v="3"/>
    <x v="1"/>
    <n v="13049452.08"/>
    <x v="3"/>
    <x v="3"/>
    <x v="1"/>
    <x v="4"/>
    <x v="2"/>
    <x v="0"/>
    <x v="2"/>
    <x v="0"/>
    <x v="11"/>
    <n v="16"/>
    <x v="0"/>
  </r>
  <r>
    <d v="2023-05-16T00:00:00"/>
    <x v="0"/>
    <x v="1"/>
    <x v="1"/>
    <n v="2128743.9900000002"/>
    <x v="0"/>
    <x v="1"/>
    <x v="1"/>
    <x v="5"/>
    <x v="2"/>
    <x v="0"/>
    <x v="2"/>
    <x v="0"/>
    <x v="11"/>
    <n v="16"/>
    <x v="0"/>
  </r>
  <r>
    <d v="2023-05-16T00:00:00"/>
    <x v="1"/>
    <x v="0"/>
    <x v="1"/>
    <n v="178079425.16"/>
    <x v="1"/>
    <x v="0"/>
    <x v="1"/>
    <x v="11"/>
    <x v="2"/>
    <x v="0"/>
    <x v="2"/>
    <x v="0"/>
    <x v="11"/>
    <n v="16"/>
    <x v="0"/>
  </r>
  <r>
    <d v="2023-05-16T00:00:00"/>
    <x v="3"/>
    <x v="2"/>
    <x v="0"/>
    <n v="410307890.97000003"/>
    <x v="3"/>
    <x v="2"/>
    <x v="0"/>
    <x v="12"/>
    <x v="2"/>
    <x v="0"/>
    <x v="2"/>
    <x v="0"/>
    <x v="11"/>
    <n v="16"/>
    <x v="0"/>
  </r>
  <r>
    <d v="2023-05-16T00:00:00"/>
    <x v="3"/>
    <x v="1"/>
    <x v="0"/>
    <n v="9682293.5199999996"/>
    <x v="3"/>
    <x v="1"/>
    <x v="0"/>
    <x v="13"/>
    <x v="2"/>
    <x v="0"/>
    <x v="2"/>
    <x v="0"/>
    <x v="11"/>
    <n v="16"/>
    <x v="0"/>
  </r>
  <r>
    <d v="2023-05-16T00:00:00"/>
    <x v="3"/>
    <x v="2"/>
    <x v="1"/>
    <n v="16036814411.860001"/>
    <x v="3"/>
    <x v="2"/>
    <x v="1"/>
    <x v="14"/>
    <x v="2"/>
    <x v="0"/>
    <x v="2"/>
    <x v="0"/>
    <x v="11"/>
    <n v="16"/>
    <x v="0"/>
  </r>
  <r>
    <d v="2023-05-15T00:00:00"/>
    <x v="1"/>
    <x v="1"/>
    <x v="0"/>
    <n v="29749.14"/>
    <x v="1"/>
    <x v="1"/>
    <x v="0"/>
    <x v="0"/>
    <x v="2"/>
    <x v="0"/>
    <x v="2"/>
    <x v="0"/>
    <x v="11"/>
    <n v="15"/>
    <x v="0"/>
  </r>
  <r>
    <d v="2023-05-15T00:00:00"/>
    <x v="0"/>
    <x v="1"/>
    <x v="0"/>
    <n v="26496347.219999999"/>
    <x v="0"/>
    <x v="1"/>
    <x v="0"/>
    <x v="1"/>
    <x v="2"/>
    <x v="0"/>
    <x v="2"/>
    <x v="0"/>
    <x v="11"/>
    <n v="15"/>
    <x v="0"/>
  </r>
  <r>
    <d v="2023-05-15T00:00:00"/>
    <x v="2"/>
    <x v="1"/>
    <x v="2"/>
    <n v="10383.33"/>
    <x v="2"/>
    <x v="1"/>
    <x v="2"/>
    <x v="2"/>
    <x v="2"/>
    <x v="0"/>
    <x v="2"/>
    <x v="0"/>
    <x v="11"/>
    <n v="15"/>
    <x v="0"/>
  </r>
  <r>
    <d v="2023-05-15T00:00:00"/>
    <x v="3"/>
    <x v="2"/>
    <x v="2"/>
    <n v="158201.29"/>
    <x v="3"/>
    <x v="2"/>
    <x v="2"/>
    <x v="3"/>
    <x v="2"/>
    <x v="0"/>
    <x v="2"/>
    <x v="0"/>
    <x v="11"/>
    <n v="15"/>
    <x v="0"/>
  </r>
  <r>
    <d v="2023-05-15T00:00:00"/>
    <x v="2"/>
    <x v="1"/>
    <x v="0"/>
    <n v="125839325.22"/>
    <x v="2"/>
    <x v="1"/>
    <x v="0"/>
    <x v="6"/>
    <x v="2"/>
    <x v="0"/>
    <x v="2"/>
    <x v="0"/>
    <x v="11"/>
    <n v="15"/>
    <x v="0"/>
  </r>
  <r>
    <d v="2023-05-15T00:00:00"/>
    <x v="3"/>
    <x v="3"/>
    <x v="0"/>
    <n v="1378374396.27"/>
    <x v="3"/>
    <x v="3"/>
    <x v="0"/>
    <x v="7"/>
    <x v="2"/>
    <x v="0"/>
    <x v="2"/>
    <x v="0"/>
    <x v="11"/>
    <n v="15"/>
    <x v="0"/>
  </r>
  <r>
    <d v="2023-05-15T00:00:00"/>
    <x v="2"/>
    <x v="1"/>
    <x v="1"/>
    <n v="598118919.90999997"/>
    <x v="2"/>
    <x v="1"/>
    <x v="1"/>
    <x v="8"/>
    <x v="2"/>
    <x v="0"/>
    <x v="2"/>
    <x v="0"/>
    <x v="11"/>
    <n v="15"/>
    <x v="0"/>
  </r>
  <r>
    <d v="2023-05-15T00:00:00"/>
    <x v="1"/>
    <x v="0"/>
    <x v="0"/>
    <n v="43963008.149999999"/>
    <x v="1"/>
    <x v="0"/>
    <x v="0"/>
    <x v="9"/>
    <x v="2"/>
    <x v="0"/>
    <x v="2"/>
    <x v="0"/>
    <x v="11"/>
    <n v="15"/>
    <x v="0"/>
  </r>
  <r>
    <d v="2023-05-15T00:00:00"/>
    <x v="3"/>
    <x v="3"/>
    <x v="1"/>
    <n v="46660.42"/>
    <x v="3"/>
    <x v="3"/>
    <x v="1"/>
    <x v="4"/>
    <x v="2"/>
    <x v="0"/>
    <x v="2"/>
    <x v="0"/>
    <x v="11"/>
    <n v="15"/>
    <x v="0"/>
  </r>
  <r>
    <d v="2023-05-15T00:00:00"/>
    <x v="0"/>
    <x v="1"/>
    <x v="1"/>
    <n v="29050158.640000001"/>
    <x v="0"/>
    <x v="1"/>
    <x v="1"/>
    <x v="5"/>
    <x v="2"/>
    <x v="0"/>
    <x v="2"/>
    <x v="0"/>
    <x v="11"/>
    <n v="15"/>
    <x v="0"/>
  </r>
  <r>
    <d v="2023-05-15T00:00:00"/>
    <x v="1"/>
    <x v="0"/>
    <x v="1"/>
    <n v="244532117.02000001"/>
    <x v="1"/>
    <x v="0"/>
    <x v="1"/>
    <x v="10"/>
    <x v="2"/>
    <x v="0"/>
    <x v="2"/>
    <x v="0"/>
    <x v="11"/>
    <n v="15"/>
    <x v="0"/>
  </r>
  <r>
    <d v="2023-05-15T00:00:00"/>
    <x v="3"/>
    <x v="2"/>
    <x v="0"/>
    <n v="571832268.28999996"/>
    <x v="3"/>
    <x v="2"/>
    <x v="0"/>
    <x v="11"/>
    <x v="2"/>
    <x v="0"/>
    <x v="2"/>
    <x v="0"/>
    <x v="11"/>
    <n v="15"/>
    <x v="0"/>
  </r>
  <r>
    <d v="2023-05-15T00:00:00"/>
    <x v="3"/>
    <x v="2"/>
    <x v="1"/>
    <n v="32106002210.599998"/>
    <x v="3"/>
    <x v="2"/>
    <x v="1"/>
    <x v="12"/>
    <x v="2"/>
    <x v="0"/>
    <x v="2"/>
    <x v="0"/>
    <x v="11"/>
    <n v="15"/>
    <x v="0"/>
  </r>
  <r>
    <d v="2023-05-15T00:00:00"/>
    <x v="3"/>
    <x v="1"/>
    <x v="0"/>
    <n v="48832270.299999997"/>
    <x v="3"/>
    <x v="1"/>
    <x v="0"/>
    <x v="13"/>
    <x v="2"/>
    <x v="0"/>
    <x v="2"/>
    <x v="0"/>
    <x v="11"/>
    <n v="15"/>
    <x v="0"/>
  </r>
  <r>
    <d v="2023-05-12T00:00:00"/>
    <x v="0"/>
    <x v="1"/>
    <x v="0"/>
    <n v="18129414.530000001"/>
    <x v="0"/>
    <x v="1"/>
    <x v="0"/>
    <x v="0"/>
    <x v="2"/>
    <x v="0"/>
    <x v="2"/>
    <x v="0"/>
    <x v="11"/>
    <n v="12"/>
    <x v="0"/>
  </r>
  <r>
    <d v="2023-05-12T00:00:00"/>
    <x v="2"/>
    <x v="1"/>
    <x v="2"/>
    <n v="8155.58"/>
    <x v="2"/>
    <x v="1"/>
    <x v="2"/>
    <x v="1"/>
    <x v="2"/>
    <x v="0"/>
    <x v="2"/>
    <x v="0"/>
    <x v="11"/>
    <n v="12"/>
    <x v="0"/>
  </r>
  <r>
    <d v="2023-05-12T00:00:00"/>
    <x v="2"/>
    <x v="1"/>
    <x v="0"/>
    <n v="101212104.59"/>
    <x v="2"/>
    <x v="1"/>
    <x v="0"/>
    <x v="5"/>
    <x v="2"/>
    <x v="0"/>
    <x v="2"/>
    <x v="0"/>
    <x v="11"/>
    <n v="12"/>
    <x v="0"/>
  </r>
  <r>
    <d v="2023-05-12T00:00:00"/>
    <x v="1"/>
    <x v="1"/>
    <x v="0"/>
    <n v="137090.71"/>
    <x v="1"/>
    <x v="1"/>
    <x v="0"/>
    <x v="3"/>
    <x v="2"/>
    <x v="0"/>
    <x v="2"/>
    <x v="0"/>
    <x v="11"/>
    <n v="12"/>
    <x v="0"/>
  </r>
  <r>
    <d v="2023-05-12T00:00:00"/>
    <x v="2"/>
    <x v="1"/>
    <x v="1"/>
    <n v="872451318.25"/>
    <x v="2"/>
    <x v="1"/>
    <x v="1"/>
    <x v="7"/>
    <x v="2"/>
    <x v="0"/>
    <x v="2"/>
    <x v="0"/>
    <x v="11"/>
    <n v="12"/>
    <x v="0"/>
  </r>
  <r>
    <d v="2023-05-12T00:00:00"/>
    <x v="0"/>
    <x v="1"/>
    <x v="1"/>
    <n v="14213436.99"/>
    <x v="0"/>
    <x v="1"/>
    <x v="1"/>
    <x v="2"/>
    <x v="2"/>
    <x v="0"/>
    <x v="2"/>
    <x v="0"/>
    <x v="11"/>
    <n v="12"/>
    <x v="0"/>
  </r>
  <r>
    <d v="2023-05-12T00:00:00"/>
    <x v="3"/>
    <x v="2"/>
    <x v="2"/>
    <n v="296223"/>
    <x v="3"/>
    <x v="2"/>
    <x v="2"/>
    <x v="4"/>
    <x v="2"/>
    <x v="0"/>
    <x v="2"/>
    <x v="0"/>
    <x v="11"/>
    <n v="12"/>
    <x v="0"/>
  </r>
  <r>
    <d v="2023-05-12T00:00:00"/>
    <x v="3"/>
    <x v="3"/>
    <x v="0"/>
    <n v="1541664210.3399999"/>
    <x v="3"/>
    <x v="3"/>
    <x v="0"/>
    <x v="6"/>
    <x v="2"/>
    <x v="0"/>
    <x v="2"/>
    <x v="0"/>
    <x v="11"/>
    <n v="12"/>
    <x v="0"/>
  </r>
  <r>
    <d v="2023-05-12T00:00:00"/>
    <x v="1"/>
    <x v="0"/>
    <x v="0"/>
    <n v="52673466.240000002"/>
    <x v="1"/>
    <x v="0"/>
    <x v="0"/>
    <x v="8"/>
    <x v="2"/>
    <x v="0"/>
    <x v="2"/>
    <x v="0"/>
    <x v="11"/>
    <n v="12"/>
    <x v="0"/>
  </r>
  <r>
    <d v="2023-05-12T00:00:00"/>
    <x v="1"/>
    <x v="0"/>
    <x v="1"/>
    <n v="167133391.00999999"/>
    <x v="1"/>
    <x v="0"/>
    <x v="1"/>
    <x v="9"/>
    <x v="2"/>
    <x v="0"/>
    <x v="2"/>
    <x v="0"/>
    <x v="11"/>
    <n v="12"/>
    <x v="0"/>
  </r>
  <r>
    <d v="2023-05-12T00:00:00"/>
    <x v="3"/>
    <x v="2"/>
    <x v="0"/>
    <n v="577994195.38"/>
    <x v="3"/>
    <x v="2"/>
    <x v="0"/>
    <x v="10"/>
    <x v="2"/>
    <x v="0"/>
    <x v="2"/>
    <x v="0"/>
    <x v="11"/>
    <n v="12"/>
    <x v="0"/>
  </r>
  <r>
    <d v="2023-05-12T00:00:00"/>
    <x v="3"/>
    <x v="2"/>
    <x v="1"/>
    <n v="12856159481.91"/>
    <x v="3"/>
    <x v="2"/>
    <x v="1"/>
    <x v="11"/>
    <x v="2"/>
    <x v="0"/>
    <x v="2"/>
    <x v="0"/>
    <x v="11"/>
    <n v="12"/>
    <x v="0"/>
  </r>
  <r>
    <d v="2023-05-12T00:00:00"/>
    <x v="3"/>
    <x v="1"/>
    <x v="0"/>
    <n v="15288216.42"/>
    <x v="3"/>
    <x v="1"/>
    <x v="0"/>
    <x v="12"/>
    <x v="2"/>
    <x v="0"/>
    <x v="2"/>
    <x v="0"/>
    <x v="11"/>
    <n v="12"/>
    <x v="0"/>
  </r>
  <r>
    <d v="2023-05-11T00:00:00"/>
    <x v="0"/>
    <x v="0"/>
    <x v="0"/>
    <n v="705"/>
    <x v="0"/>
    <x v="0"/>
    <x v="0"/>
    <x v="0"/>
    <x v="2"/>
    <x v="0"/>
    <x v="2"/>
    <x v="0"/>
    <x v="11"/>
    <n v="11"/>
    <x v="0"/>
  </r>
  <r>
    <d v="2023-05-11T00:00:00"/>
    <x v="0"/>
    <x v="1"/>
    <x v="0"/>
    <n v="11992492.050000001"/>
    <x v="0"/>
    <x v="1"/>
    <x v="0"/>
    <x v="1"/>
    <x v="2"/>
    <x v="0"/>
    <x v="2"/>
    <x v="0"/>
    <x v="11"/>
    <n v="11"/>
    <x v="0"/>
  </r>
  <r>
    <d v="2023-05-11T00:00:00"/>
    <x v="2"/>
    <x v="1"/>
    <x v="2"/>
    <n v="15502.44"/>
    <x v="2"/>
    <x v="1"/>
    <x v="2"/>
    <x v="2"/>
    <x v="2"/>
    <x v="0"/>
    <x v="2"/>
    <x v="0"/>
    <x v="11"/>
    <n v="11"/>
    <x v="0"/>
  </r>
  <r>
    <d v="2023-05-11T00:00:00"/>
    <x v="1"/>
    <x v="1"/>
    <x v="0"/>
    <n v="17798.990000000002"/>
    <x v="1"/>
    <x v="1"/>
    <x v="0"/>
    <x v="4"/>
    <x v="2"/>
    <x v="0"/>
    <x v="2"/>
    <x v="0"/>
    <x v="11"/>
    <n v="11"/>
    <x v="0"/>
  </r>
  <r>
    <d v="2023-05-11T00:00:00"/>
    <x v="2"/>
    <x v="1"/>
    <x v="1"/>
    <n v="924102259.83000004"/>
    <x v="2"/>
    <x v="1"/>
    <x v="1"/>
    <x v="8"/>
    <x v="2"/>
    <x v="0"/>
    <x v="2"/>
    <x v="0"/>
    <x v="11"/>
    <n v="11"/>
    <x v="0"/>
  </r>
  <r>
    <d v="2023-05-11T00:00:00"/>
    <x v="1"/>
    <x v="0"/>
    <x v="0"/>
    <n v="44052185.939999998"/>
    <x v="1"/>
    <x v="0"/>
    <x v="0"/>
    <x v="9"/>
    <x v="2"/>
    <x v="0"/>
    <x v="2"/>
    <x v="0"/>
    <x v="11"/>
    <n v="11"/>
    <x v="0"/>
  </r>
  <r>
    <d v="2023-05-11T00:00:00"/>
    <x v="0"/>
    <x v="1"/>
    <x v="1"/>
    <n v="14958054.08"/>
    <x v="0"/>
    <x v="1"/>
    <x v="1"/>
    <x v="3"/>
    <x v="2"/>
    <x v="0"/>
    <x v="2"/>
    <x v="0"/>
    <x v="11"/>
    <n v="11"/>
    <x v="0"/>
  </r>
  <r>
    <d v="2023-05-11T00:00:00"/>
    <x v="3"/>
    <x v="2"/>
    <x v="2"/>
    <n v="160603"/>
    <x v="3"/>
    <x v="2"/>
    <x v="2"/>
    <x v="5"/>
    <x v="2"/>
    <x v="0"/>
    <x v="2"/>
    <x v="0"/>
    <x v="11"/>
    <n v="11"/>
    <x v="0"/>
  </r>
  <r>
    <d v="2023-05-11T00:00:00"/>
    <x v="3"/>
    <x v="3"/>
    <x v="0"/>
    <n v="1284254900.3699999"/>
    <x v="3"/>
    <x v="3"/>
    <x v="0"/>
    <x v="6"/>
    <x v="2"/>
    <x v="0"/>
    <x v="2"/>
    <x v="0"/>
    <x v="11"/>
    <n v="11"/>
    <x v="0"/>
  </r>
  <r>
    <d v="2023-05-11T00:00:00"/>
    <x v="2"/>
    <x v="1"/>
    <x v="0"/>
    <n v="54988123.100000001"/>
    <x v="2"/>
    <x v="1"/>
    <x v="0"/>
    <x v="7"/>
    <x v="2"/>
    <x v="0"/>
    <x v="2"/>
    <x v="0"/>
    <x v="11"/>
    <n v="11"/>
    <x v="0"/>
  </r>
  <r>
    <d v="2023-05-11T00:00:00"/>
    <x v="1"/>
    <x v="0"/>
    <x v="1"/>
    <n v="248910352.5"/>
    <x v="1"/>
    <x v="0"/>
    <x v="1"/>
    <x v="10"/>
    <x v="2"/>
    <x v="0"/>
    <x v="2"/>
    <x v="0"/>
    <x v="11"/>
    <n v="11"/>
    <x v="0"/>
  </r>
  <r>
    <d v="2023-05-11T00:00:00"/>
    <x v="3"/>
    <x v="2"/>
    <x v="0"/>
    <n v="390458952.69"/>
    <x v="3"/>
    <x v="2"/>
    <x v="0"/>
    <x v="11"/>
    <x v="2"/>
    <x v="0"/>
    <x v="2"/>
    <x v="0"/>
    <x v="11"/>
    <n v="11"/>
    <x v="0"/>
  </r>
  <r>
    <d v="2023-05-11T00:00:00"/>
    <x v="3"/>
    <x v="2"/>
    <x v="1"/>
    <n v="4844711027.9099998"/>
    <x v="3"/>
    <x v="2"/>
    <x v="1"/>
    <x v="12"/>
    <x v="2"/>
    <x v="0"/>
    <x v="2"/>
    <x v="0"/>
    <x v="11"/>
    <n v="11"/>
    <x v="0"/>
  </r>
  <r>
    <d v="2023-05-11T00:00:00"/>
    <x v="3"/>
    <x v="1"/>
    <x v="0"/>
    <n v="14448304.220000001"/>
    <x v="3"/>
    <x v="1"/>
    <x v="0"/>
    <x v="13"/>
    <x v="2"/>
    <x v="0"/>
    <x v="2"/>
    <x v="0"/>
    <x v="11"/>
    <n v="11"/>
    <x v="0"/>
  </r>
  <r>
    <d v="2023-05-10T00:00:00"/>
    <x v="1"/>
    <x v="1"/>
    <x v="0"/>
    <n v="65527.94"/>
    <x v="1"/>
    <x v="1"/>
    <x v="0"/>
    <x v="0"/>
    <x v="2"/>
    <x v="0"/>
    <x v="2"/>
    <x v="0"/>
    <x v="11"/>
    <n v="10"/>
    <x v="0"/>
  </r>
  <r>
    <d v="2023-05-10T00:00:00"/>
    <x v="0"/>
    <x v="1"/>
    <x v="0"/>
    <n v="20484524.469999999"/>
    <x v="0"/>
    <x v="1"/>
    <x v="0"/>
    <x v="1"/>
    <x v="2"/>
    <x v="0"/>
    <x v="2"/>
    <x v="0"/>
    <x v="11"/>
    <n v="10"/>
    <x v="0"/>
  </r>
  <r>
    <d v="2023-05-10T00:00:00"/>
    <x v="2"/>
    <x v="1"/>
    <x v="2"/>
    <n v="460875.29"/>
    <x v="2"/>
    <x v="1"/>
    <x v="2"/>
    <x v="2"/>
    <x v="2"/>
    <x v="0"/>
    <x v="2"/>
    <x v="0"/>
    <x v="11"/>
    <n v="10"/>
    <x v="0"/>
  </r>
  <r>
    <d v="2023-05-10T00:00:00"/>
    <x v="2"/>
    <x v="1"/>
    <x v="0"/>
    <n v="82604025.870000005"/>
    <x v="2"/>
    <x v="1"/>
    <x v="0"/>
    <x v="5"/>
    <x v="2"/>
    <x v="0"/>
    <x v="2"/>
    <x v="0"/>
    <x v="11"/>
    <n v="10"/>
    <x v="0"/>
  </r>
  <r>
    <d v="2023-05-10T00:00:00"/>
    <x v="3"/>
    <x v="3"/>
    <x v="0"/>
    <n v="1292567753.1900001"/>
    <x v="3"/>
    <x v="3"/>
    <x v="0"/>
    <x v="6"/>
    <x v="2"/>
    <x v="0"/>
    <x v="2"/>
    <x v="0"/>
    <x v="11"/>
    <n v="10"/>
    <x v="0"/>
  </r>
  <r>
    <d v="2023-05-10T00:00:00"/>
    <x v="2"/>
    <x v="1"/>
    <x v="1"/>
    <n v="578658902.44000006"/>
    <x v="2"/>
    <x v="1"/>
    <x v="1"/>
    <x v="7"/>
    <x v="2"/>
    <x v="0"/>
    <x v="2"/>
    <x v="0"/>
    <x v="11"/>
    <n v="10"/>
    <x v="0"/>
  </r>
  <r>
    <d v="2023-05-10T00:00:00"/>
    <x v="1"/>
    <x v="0"/>
    <x v="0"/>
    <n v="106146188.11"/>
    <x v="1"/>
    <x v="0"/>
    <x v="0"/>
    <x v="8"/>
    <x v="2"/>
    <x v="0"/>
    <x v="2"/>
    <x v="0"/>
    <x v="11"/>
    <n v="10"/>
    <x v="0"/>
  </r>
  <r>
    <d v="2023-05-10T00:00:00"/>
    <x v="0"/>
    <x v="1"/>
    <x v="1"/>
    <n v="1820857.73"/>
    <x v="0"/>
    <x v="1"/>
    <x v="1"/>
    <x v="3"/>
    <x v="2"/>
    <x v="0"/>
    <x v="2"/>
    <x v="0"/>
    <x v="11"/>
    <n v="10"/>
    <x v="0"/>
  </r>
  <r>
    <d v="2023-05-10T00:00:00"/>
    <x v="3"/>
    <x v="2"/>
    <x v="2"/>
    <n v="317651"/>
    <x v="3"/>
    <x v="2"/>
    <x v="2"/>
    <x v="4"/>
    <x v="2"/>
    <x v="0"/>
    <x v="2"/>
    <x v="0"/>
    <x v="11"/>
    <n v="10"/>
    <x v="0"/>
  </r>
  <r>
    <d v="2023-05-10T00:00:00"/>
    <x v="1"/>
    <x v="0"/>
    <x v="1"/>
    <n v="845469473.14999998"/>
    <x v="1"/>
    <x v="0"/>
    <x v="1"/>
    <x v="9"/>
    <x v="2"/>
    <x v="0"/>
    <x v="2"/>
    <x v="0"/>
    <x v="11"/>
    <n v="10"/>
    <x v="0"/>
  </r>
  <r>
    <d v="2023-05-10T00:00:00"/>
    <x v="3"/>
    <x v="2"/>
    <x v="0"/>
    <n v="348907054.32999998"/>
    <x v="3"/>
    <x v="2"/>
    <x v="0"/>
    <x v="10"/>
    <x v="2"/>
    <x v="0"/>
    <x v="2"/>
    <x v="0"/>
    <x v="11"/>
    <n v="10"/>
    <x v="0"/>
  </r>
  <r>
    <d v="2023-05-10T00:00:00"/>
    <x v="3"/>
    <x v="2"/>
    <x v="1"/>
    <n v="11547667912.76"/>
    <x v="3"/>
    <x v="2"/>
    <x v="1"/>
    <x v="11"/>
    <x v="2"/>
    <x v="0"/>
    <x v="2"/>
    <x v="0"/>
    <x v="11"/>
    <n v="10"/>
    <x v="0"/>
  </r>
  <r>
    <d v="2023-05-10T00:00:00"/>
    <x v="3"/>
    <x v="1"/>
    <x v="0"/>
    <n v="15000450.93"/>
    <x v="3"/>
    <x v="1"/>
    <x v="0"/>
    <x v="12"/>
    <x v="2"/>
    <x v="0"/>
    <x v="2"/>
    <x v="0"/>
    <x v="11"/>
    <n v="10"/>
    <x v="0"/>
  </r>
  <r>
    <d v="2023-05-09T00:00:00"/>
    <x v="0"/>
    <x v="1"/>
    <x v="0"/>
    <n v="5579170.04"/>
    <x v="0"/>
    <x v="1"/>
    <x v="0"/>
    <x v="0"/>
    <x v="2"/>
    <x v="0"/>
    <x v="2"/>
    <x v="0"/>
    <x v="11"/>
    <n v="9"/>
    <x v="0"/>
  </r>
  <r>
    <d v="2023-05-09T00:00:00"/>
    <x v="2"/>
    <x v="1"/>
    <x v="1"/>
    <n v="422997692.23000002"/>
    <x v="2"/>
    <x v="1"/>
    <x v="1"/>
    <x v="9"/>
    <x v="2"/>
    <x v="0"/>
    <x v="2"/>
    <x v="0"/>
    <x v="11"/>
    <n v="9"/>
    <x v="0"/>
  </r>
  <r>
    <d v="2023-05-09T00:00:00"/>
    <x v="2"/>
    <x v="1"/>
    <x v="2"/>
    <n v="37999.519999999997"/>
    <x v="2"/>
    <x v="1"/>
    <x v="2"/>
    <x v="4"/>
    <x v="2"/>
    <x v="0"/>
    <x v="2"/>
    <x v="0"/>
    <x v="11"/>
    <n v="9"/>
    <x v="0"/>
  </r>
  <r>
    <d v="2023-05-09T00:00:00"/>
    <x v="3"/>
    <x v="3"/>
    <x v="1"/>
    <n v="206437.37"/>
    <x v="3"/>
    <x v="3"/>
    <x v="1"/>
    <x v="1"/>
    <x v="2"/>
    <x v="0"/>
    <x v="2"/>
    <x v="0"/>
    <x v="11"/>
    <n v="9"/>
    <x v="0"/>
  </r>
  <r>
    <d v="2023-05-09T00:00:00"/>
    <x v="0"/>
    <x v="1"/>
    <x v="1"/>
    <n v="17801701.809999999"/>
    <x v="0"/>
    <x v="1"/>
    <x v="1"/>
    <x v="2"/>
    <x v="2"/>
    <x v="0"/>
    <x v="2"/>
    <x v="0"/>
    <x v="11"/>
    <n v="9"/>
    <x v="0"/>
  </r>
  <r>
    <d v="2023-05-09T00:00:00"/>
    <x v="3"/>
    <x v="2"/>
    <x v="2"/>
    <n v="348755.79"/>
    <x v="3"/>
    <x v="2"/>
    <x v="2"/>
    <x v="5"/>
    <x v="2"/>
    <x v="0"/>
    <x v="2"/>
    <x v="0"/>
    <x v="11"/>
    <n v="9"/>
    <x v="0"/>
  </r>
  <r>
    <d v="2023-05-09T00:00:00"/>
    <x v="1"/>
    <x v="1"/>
    <x v="0"/>
    <n v="152881.78"/>
    <x v="1"/>
    <x v="1"/>
    <x v="0"/>
    <x v="3"/>
    <x v="2"/>
    <x v="0"/>
    <x v="2"/>
    <x v="0"/>
    <x v="11"/>
    <n v="9"/>
    <x v="0"/>
  </r>
  <r>
    <d v="2023-05-09T00:00:00"/>
    <x v="3"/>
    <x v="3"/>
    <x v="0"/>
    <n v="1476373639.6800001"/>
    <x v="3"/>
    <x v="3"/>
    <x v="0"/>
    <x v="6"/>
    <x v="2"/>
    <x v="0"/>
    <x v="2"/>
    <x v="0"/>
    <x v="11"/>
    <n v="9"/>
    <x v="0"/>
  </r>
  <r>
    <d v="2023-05-09T00:00:00"/>
    <x v="2"/>
    <x v="1"/>
    <x v="0"/>
    <n v="72130061.719999999"/>
    <x v="2"/>
    <x v="1"/>
    <x v="0"/>
    <x v="7"/>
    <x v="2"/>
    <x v="0"/>
    <x v="2"/>
    <x v="0"/>
    <x v="11"/>
    <n v="9"/>
    <x v="0"/>
  </r>
  <r>
    <d v="2023-05-09T00:00:00"/>
    <x v="1"/>
    <x v="0"/>
    <x v="0"/>
    <n v="57860067.68"/>
    <x v="1"/>
    <x v="0"/>
    <x v="0"/>
    <x v="8"/>
    <x v="2"/>
    <x v="0"/>
    <x v="2"/>
    <x v="0"/>
    <x v="11"/>
    <n v="9"/>
    <x v="0"/>
  </r>
  <r>
    <d v="2023-05-09T00:00:00"/>
    <x v="1"/>
    <x v="0"/>
    <x v="1"/>
    <n v="316335646.81"/>
    <x v="1"/>
    <x v="0"/>
    <x v="1"/>
    <x v="10"/>
    <x v="2"/>
    <x v="0"/>
    <x v="2"/>
    <x v="0"/>
    <x v="11"/>
    <n v="9"/>
    <x v="0"/>
  </r>
  <r>
    <d v="2023-05-09T00:00:00"/>
    <x v="3"/>
    <x v="2"/>
    <x v="0"/>
    <n v="685070829.26999998"/>
    <x v="3"/>
    <x v="2"/>
    <x v="0"/>
    <x v="11"/>
    <x v="2"/>
    <x v="0"/>
    <x v="2"/>
    <x v="0"/>
    <x v="11"/>
    <n v="9"/>
    <x v="0"/>
  </r>
  <r>
    <d v="2023-05-09T00:00:00"/>
    <x v="3"/>
    <x v="2"/>
    <x v="1"/>
    <n v="3114284977.5599999"/>
    <x v="3"/>
    <x v="2"/>
    <x v="1"/>
    <x v="12"/>
    <x v="2"/>
    <x v="0"/>
    <x v="2"/>
    <x v="0"/>
    <x v="11"/>
    <n v="9"/>
    <x v="0"/>
  </r>
  <r>
    <d v="2023-05-09T00:00:00"/>
    <x v="3"/>
    <x v="1"/>
    <x v="0"/>
    <n v="12074207.09"/>
    <x v="3"/>
    <x v="1"/>
    <x v="0"/>
    <x v="13"/>
    <x v="2"/>
    <x v="0"/>
    <x v="2"/>
    <x v="0"/>
    <x v="11"/>
    <n v="9"/>
    <x v="0"/>
  </r>
  <r>
    <d v="2023-05-08T00:00:00"/>
    <x v="0"/>
    <x v="0"/>
    <x v="0"/>
    <n v="200"/>
    <x v="0"/>
    <x v="0"/>
    <x v="0"/>
    <x v="0"/>
    <x v="2"/>
    <x v="0"/>
    <x v="2"/>
    <x v="0"/>
    <x v="11"/>
    <n v="8"/>
    <x v="0"/>
  </r>
  <r>
    <d v="2023-05-08T00:00:00"/>
    <x v="1"/>
    <x v="1"/>
    <x v="0"/>
    <n v="21402.93"/>
    <x v="1"/>
    <x v="1"/>
    <x v="0"/>
    <x v="1"/>
    <x v="2"/>
    <x v="0"/>
    <x v="2"/>
    <x v="0"/>
    <x v="11"/>
    <n v="8"/>
    <x v="0"/>
  </r>
  <r>
    <d v="2023-05-08T00:00:00"/>
    <x v="0"/>
    <x v="1"/>
    <x v="0"/>
    <n v="9121744.8699999992"/>
    <x v="0"/>
    <x v="1"/>
    <x v="0"/>
    <x v="2"/>
    <x v="2"/>
    <x v="0"/>
    <x v="2"/>
    <x v="0"/>
    <x v="11"/>
    <n v="8"/>
    <x v="0"/>
  </r>
  <r>
    <d v="2023-05-08T00:00:00"/>
    <x v="2"/>
    <x v="1"/>
    <x v="2"/>
    <n v="20639.810000000001"/>
    <x v="2"/>
    <x v="1"/>
    <x v="2"/>
    <x v="3"/>
    <x v="2"/>
    <x v="0"/>
    <x v="2"/>
    <x v="0"/>
    <x v="11"/>
    <n v="8"/>
    <x v="0"/>
  </r>
  <r>
    <d v="2023-05-08T00:00:00"/>
    <x v="2"/>
    <x v="1"/>
    <x v="0"/>
    <n v="81090217.599999994"/>
    <x v="2"/>
    <x v="1"/>
    <x v="0"/>
    <x v="7"/>
    <x v="2"/>
    <x v="0"/>
    <x v="2"/>
    <x v="0"/>
    <x v="11"/>
    <n v="8"/>
    <x v="0"/>
  </r>
  <r>
    <d v="2023-05-08T00:00:00"/>
    <x v="3"/>
    <x v="3"/>
    <x v="0"/>
    <n v="1168911335.9200001"/>
    <x v="3"/>
    <x v="3"/>
    <x v="0"/>
    <x v="8"/>
    <x v="2"/>
    <x v="0"/>
    <x v="2"/>
    <x v="0"/>
    <x v="11"/>
    <n v="8"/>
    <x v="0"/>
  </r>
  <r>
    <d v="2023-05-08T00:00:00"/>
    <x v="3"/>
    <x v="3"/>
    <x v="1"/>
    <n v="11671.68"/>
    <x v="3"/>
    <x v="3"/>
    <x v="1"/>
    <x v="4"/>
    <x v="2"/>
    <x v="0"/>
    <x v="2"/>
    <x v="0"/>
    <x v="11"/>
    <n v="8"/>
    <x v="0"/>
  </r>
  <r>
    <d v="2023-05-08T00:00:00"/>
    <x v="0"/>
    <x v="1"/>
    <x v="1"/>
    <n v="24536792.710000001"/>
    <x v="0"/>
    <x v="1"/>
    <x v="1"/>
    <x v="5"/>
    <x v="2"/>
    <x v="0"/>
    <x v="2"/>
    <x v="0"/>
    <x v="11"/>
    <n v="8"/>
    <x v="0"/>
  </r>
  <r>
    <d v="2023-05-08T00:00:00"/>
    <x v="3"/>
    <x v="2"/>
    <x v="2"/>
    <n v="172009"/>
    <x v="3"/>
    <x v="2"/>
    <x v="2"/>
    <x v="6"/>
    <x v="2"/>
    <x v="0"/>
    <x v="2"/>
    <x v="0"/>
    <x v="11"/>
    <n v="8"/>
    <x v="0"/>
  </r>
  <r>
    <d v="2023-05-08T00:00:00"/>
    <x v="2"/>
    <x v="1"/>
    <x v="1"/>
    <n v="424778119.81999999"/>
    <x v="2"/>
    <x v="1"/>
    <x v="1"/>
    <x v="9"/>
    <x v="2"/>
    <x v="0"/>
    <x v="2"/>
    <x v="0"/>
    <x v="11"/>
    <n v="8"/>
    <x v="0"/>
  </r>
  <r>
    <d v="2023-05-08T00:00:00"/>
    <x v="1"/>
    <x v="0"/>
    <x v="0"/>
    <n v="38078989.600000001"/>
    <x v="1"/>
    <x v="0"/>
    <x v="0"/>
    <x v="10"/>
    <x v="2"/>
    <x v="0"/>
    <x v="2"/>
    <x v="0"/>
    <x v="11"/>
    <n v="8"/>
    <x v="0"/>
  </r>
  <r>
    <d v="2023-05-08T00:00:00"/>
    <x v="1"/>
    <x v="0"/>
    <x v="1"/>
    <n v="348392718.38"/>
    <x v="1"/>
    <x v="0"/>
    <x v="1"/>
    <x v="11"/>
    <x v="2"/>
    <x v="0"/>
    <x v="2"/>
    <x v="0"/>
    <x v="11"/>
    <n v="8"/>
    <x v="0"/>
  </r>
  <r>
    <d v="2023-05-08T00:00:00"/>
    <x v="3"/>
    <x v="2"/>
    <x v="0"/>
    <n v="493834065.55000001"/>
    <x v="3"/>
    <x v="2"/>
    <x v="0"/>
    <x v="12"/>
    <x v="2"/>
    <x v="0"/>
    <x v="2"/>
    <x v="0"/>
    <x v="11"/>
    <n v="8"/>
    <x v="0"/>
  </r>
  <r>
    <d v="2023-05-08T00:00:00"/>
    <x v="3"/>
    <x v="2"/>
    <x v="1"/>
    <n v="21071321242.459999"/>
    <x v="3"/>
    <x v="2"/>
    <x v="1"/>
    <x v="13"/>
    <x v="2"/>
    <x v="0"/>
    <x v="2"/>
    <x v="0"/>
    <x v="11"/>
    <n v="8"/>
    <x v="0"/>
  </r>
  <r>
    <d v="2023-05-08T00:00:00"/>
    <x v="3"/>
    <x v="1"/>
    <x v="0"/>
    <n v="46759374.240000002"/>
    <x v="3"/>
    <x v="1"/>
    <x v="0"/>
    <x v="14"/>
    <x v="2"/>
    <x v="0"/>
    <x v="2"/>
    <x v="0"/>
    <x v="11"/>
    <n v="8"/>
    <x v="0"/>
  </r>
  <r>
    <d v="2023-05-05T00:00:00"/>
    <x v="0"/>
    <x v="0"/>
    <x v="0"/>
    <n v="0"/>
    <x v="0"/>
    <x v="0"/>
    <x v="0"/>
    <x v="0"/>
    <x v="2"/>
    <x v="0"/>
    <x v="2"/>
    <x v="0"/>
    <x v="11"/>
    <n v="5"/>
    <x v="0"/>
  </r>
  <r>
    <d v="2023-05-05T00:00:00"/>
    <x v="1"/>
    <x v="1"/>
    <x v="0"/>
    <n v="91851.44"/>
    <x v="1"/>
    <x v="1"/>
    <x v="0"/>
    <x v="4"/>
    <x v="2"/>
    <x v="0"/>
    <x v="2"/>
    <x v="0"/>
    <x v="11"/>
    <n v="5"/>
    <x v="0"/>
  </r>
  <r>
    <d v="2023-05-05T00:00:00"/>
    <x v="0"/>
    <x v="1"/>
    <x v="0"/>
    <n v="6719860.4199999999"/>
    <x v="0"/>
    <x v="1"/>
    <x v="0"/>
    <x v="1"/>
    <x v="2"/>
    <x v="0"/>
    <x v="2"/>
    <x v="0"/>
    <x v="11"/>
    <n v="5"/>
    <x v="0"/>
  </r>
  <r>
    <d v="2023-05-05T00:00:00"/>
    <x v="3"/>
    <x v="2"/>
    <x v="2"/>
    <n v="244552"/>
    <x v="3"/>
    <x v="2"/>
    <x v="2"/>
    <x v="6"/>
    <x v="2"/>
    <x v="0"/>
    <x v="2"/>
    <x v="0"/>
    <x v="11"/>
    <n v="5"/>
    <x v="0"/>
  </r>
  <r>
    <d v="2023-05-05T00:00:00"/>
    <x v="2"/>
    <x v="1"/>
    <x v="0"/>
    <n v="85788934.109999999"/>
    <x v="2"/>
    <x v="1"/>
    <x v="0"/>
    <x v="7"/>
    <x v="2"/>
    <x v="0"/>
    <x v="2"/>
    <x v="0"/>
    <x v="11"/>
    <n v="5"/>
    <x v="0"/>
  </r>
  <r>
    <d v="2023-05-05T00:00:00"/>
    <x v="3"/>
    <x v="3"/>
    <x v="0"/>
    <n v="1547199376.8399999"/>
    <x v="3"/>
    <x v="3"/>
    <x v="0"/>
    <x v="8"/>
    <x v="2"/>
    <x v="0"/>
    <x v="2"/>
    <x v="0"/>
    <x v="11"/>
    <n v="5"/>
    <x v="0"/>
  </r>
  <r>
    <d v="2023-05-05T00:00:00"/>
    <x v="2"/>
    <x v="1"/>
    <x v="2"/>
    <n v="16270.18"/>
    <x v="2"/>
    <x v="1"/>
    <x v="2"/>
    <x v="5"/>
    <x v="2"/>
    <x v="0"/>
    <x v="2"/>
    <x v="0"/>
    <x v="11"/>
    <n v="5"/>
    <x v="0"/>
  </r>
  <r>
    <d v="2023-05-05T00:00:00"/>
    <x v="2"/>
    <x v="1"/>
    <x v="1"/>
    <n v="637856650.19000006"/>
    <x v="2"/>
    <x v="1"/>
    <x v="1"/>
    <x v="9"/>
    <x v="2"/>
    <x v="0"/>
    <x v="2"/>
    <x v="0"/>
    <x v="11"/>
    <n v="5"/>
    <x v="0"/>
  </r>
  <r>
    <d v="2023-05-05T00:00:00"/>
    <x v="3"/>
    <x v="3"/>
    <x v="1"/>
    <n v="1879403.14"/>
    <x v="3"/>
    <x v="3"/>
    <x v="1"/>
    <x v="2"/>
    <x v="2"/>
    <x v="0"/>
    <x v="2"/>
    <x v="0"/>
    <x v="11"/>
    <n v="5"/>
    <x v="0"/>
  </r>
  <r>
    <d v="2023-05-05T00:00:00"/>
    <x v="0"/>
    <x v="1"/>
    <x v="1"/>
    <n v="9299574"/>
    <x v="0"/>
    <x v="1"/>
    <x v="1"/>
    <x v="3"/>
    <x v="2"/>
    <x v="0"/>
    <x v="2"/>
    <x v="0"/>
    <x v="11"/>
    <n v="5"/>
    <x v="0"/>
  </r>
  <r>
    <d v="2023-05-05T00:00:00"/>
    <x v="1"/>
    <x v="0"/>
    <x v="0"/>
    <n v="34756625.460000001"/>
    <x v="1"/>
    <x v="0"/>
    <x v="0"/>
    <x v="10"/>
    <x v="2"/>
    <x v="0"/>
    <x v="2"/>
    <x v="0"/>
    <x v="11"/>
    <n v="5"/>
    <x v="0"/>
  </r>
  <r>
    <d v="2023-05-05T00:00:00"/>
    <x v="1"/>
    <x v="0"/>
    <x v="1"/>
    <n v="480964441.75999999"/>
    <x v="1"/>
    <x v="0"/>
    <x v="1"/>
    <x v="11"/>
    <x v="2"/>
    <x v="0"/>
    <x v="2"/>
    <x v="0"/>
    <x v="11"/>
    <n v="5"/>
    <x v="0"/>
  </r>
  <r>
    <d v="2023-05-05T00:00:00"/>
    <x v="3"/>
    <x v="2"/>
    <x v="0"/>
    <n v="569739007.62"/>
    <x v="3"/>
    <x v="2"/>
    <x v="0"/>
    <x v="12"/>
    <x v="2"/>
    <x v="0"/>
    <x v="2"/>
    <x v="0"/>
    <x v="11"/>
    <n v="5"/>
    <x v="0"/>
  </r>
  <r>
    <d v="2023-05-05T00:00:00"/>
    <x v="3"/>
    <x v="2"/>
    <x v="1"/>
    <n v="7911658774.0600004"/>
    <x v="3"/>
    <x v="2"/>
    <x v="1"/>
    <x v="13"/>
    <x v="2"/>
    <x v="0"/>
    <x v="2"/>
    <x v="0"/>
    <x v="11"/>
    <n v="5"/>
    <x v="0"/>
  </r>
  <r>
    <d v="2023-05-05T00:00:00"/>
    <x v="3"/>
    <x v="1"/>
    <x v="0"/>
    <n v="15057623.720000001"/>
    <x v="3"/>
    <x v="1"/>
    <x v="0"/>
    <x v="14"/>
    <x v="2"/>
    <x v="0"/>
    <x v="2"/>
    <x v="0"/>
    <x v="11"/>
    <n v="5"/>
    <x v="0"/>
  </r>
  <r>
    <d v="2023-05-04T00:00:00"/>
    <x v="1"/>
    <x v="1"/>
    <x v="0"/>
    <n v="17498.64"/>
    <x v="1"/>
    <x v="1"/>
    <x v="0"/>
    <x v="0"/>
    <x v="2"/>
    <x v="0"/>
    <x v="2"/>
    <x v="0"/>
    <x v="11"/>
    <n v="4"/>
    <x v="0"/>
  </r>
  <r>
    <d v="2023-05-04T00:00:00"/>
    <x v="0"/>
    <x v="1"/>
    <x v="0"/>
    <n v="15841961.640000001"/>
    <x v="0"/>
    <x v="1"/>
    <x v="0"/>
    <x v="1"/>
    <x v="2"/>
    <x v="0"/>
    <x v="2"/>
    <x v="0"/>
    <x v="11"/>
    <n v="4"/>
    <x v="0"/>
  </r>
  <r>
    <d v="2023-05-04T00:00:00"/>
    <x v="2"/>
    <x v="1"/>
    <x v="2"/>
    <n v="7650.85"/>
    <x v="2"/>
    <x v="1"/>
    <x v="2"/>
    <x v="3"/>
    <x v="2"/>
    <x v="0"/>
    <x v="2"/>
    <x v="0"/>
    <x v="11"/>
    <n v="4"/>
    <x v="0"/>
  </r>
  <r>
    <d v="2023-05-04T00:00:00"/>
    <x v="2"/>
    <x v="1"/>
    <x v="1"/>
    <n v="730016749.60000002"/>
    <x v="2"/>
    <x v="1"/>
    <x v="1"/>
    <x v="7"/>
    <x v="2"/>
    <x v="0"/>
    <x v="2"/>
    <x v="0"/>
    <x v="11"/>
    <n v="4"/>
    <x v="0"/>
  </r>
  <r>
    <d v="2023-05-04T00:00:00"/>
    <x v="0"/>
    <x v="1"/>
    <x v="1"/>
    <n v="18860976.359999999"/>
    <x v="0"/>
    <x v="1"/>
    <x v="1"/>
    <x v="2"/>
    <x v="2"/>
    <x v="0"/>
    <x v="2"/>
    <x v="0"/>
    <x v="11"/>
    <n v="4"/>
    <x v="0"/>
  </r>
  <r>
    <d v="2023-05-04T00:00:00"/>
    <x v="3"/>
    <x v="2"/>
    <x v="2"/>
    <n v="188016.88"/>
    <x v="3"/>
    <x v="2"/>
    <x v="2"/>
    <x v="4"/>
    <x v="2"/>
    <x v="0"/>
    <x v="2"/>
    <x v="0"/>
    <x v="11"/>
    <n v="4"/>
    <x v="0"/>
  </r>
  <r>
    <d v="2023-05-04T00:00:00"/>
    <x v="2"/>
    <x v="1"/>
    <x v="0"/>
    <n v="120797227.98999999"/>
    <x v="2"/>
    <x v="1"/>
    <x v="0"/>
    <x v="5"/>
    <x v="2"/>
    <x v="0"/>
    <x v="2"/>
    <x v="0"/>
    <x v="11"/>
    <n v="4"/>
    <x v="0"/>
  </r>
  <r>
    <d v="2023-05-04T00:00:00"/>
    <x v="3"/>
    <x v="3"/>
    <x v="0"/>
    <n v="3551501760.6300001"/>
    <x v="3"/>
    <x v="3"/>
    <x v="0"/>
    <x v="6"/>
    <x v="2"/>
    <x v="0"/>
    <x v="2"/>
    <x v="0"/>
    <x v="11"/>
    <n v="4"/>
    <x v="0"/>
  </r>
  <r>
    <d v="2023-05-04T00:00:00"/>
    <x v="1"/>
    <x v="0"/>
    <x v="0"/>
    <n v="79865720.209999993"/>
    <x v="1"/>
    <x v="0"/>
    <x v="0"/>
    <x v="8"/>
    <x v="2"/>
    <x v="0"/>
    <x v="2"/>
    <x v="0"/>
    <x v="11"/>
    <n v="4"/>
    <x v="0"/>
  </r>
  <r>
    <d v="2023-05-04T00:00:00"/>
    <x v="1"/>
    <x v="0"/>
    <x v="1"/>
    <n v="660438874.69000006"/>
    <x v="1"/>
    <x v="0"/>
    <x v="1"/>
    <x v="9"/>
    <x v="2"/>
    <x v="0"/>
    <x v="2"/>
    <x v="0"/>
    <x v="11"/>
    <n v="4"/>
    <x v="0"/>
  </r>
  <r>
    <d v="2023-05-04T00:00:00"/>
    <x v="3"/>
    <x v="2"/>
    <x v="0"/>
    <n v="432095387.08999997"/>
    <x v="3"/>
    <x v="2"/>
    <x v="0"/>
    <x v="10"/>
    <x v="2"/>
    <x v="0"/>
    <x v="2"/>
    <x v="0"/>
    <x v="11"/>
    <n v="4"/>
    <x v="0"/>
  </r>
  <r>
    <d v="2023-05-04T00:00:00"/>
    <x v="3"/>
    <x v="2"/>
    <x v="1"/>
    <n v="3521167664.1799998"/>
    <x v="3"/>
    <x v="2"/>
    <x v="1"/>
    <x v="11"/>
    <x v="2"/>
    <x v="0"/>
    <x v="2"/>
    <x v="0"/>
    <x v="11"/>
    <n v="4"/>
    <x v="0"/>
  </r>
  <r>
    <d v="2023-05-04T00:00:00"/>
    <x v="3"/>
    <x v="1"/>
    <x v="0"/>
    <n v="15493402.75"/>
    <x v="3"/>
    <x v="1"/>
    <x v="0"/>
    <x v="12"/>
    <x v="2"/>
    <x v="0"/>
    <x v="2"/>
    <x v="0"/>
    <x v="11"/>
    <n v="4"/>
    <x v="0"/>
  </r>
  <r>
    <d v="2023-05-03T00:00:00"/>
    <x v="1"/>
    <x v="1"/>
    <x v="0"/>
    <n v="71063.95"/>
    <x v="1"/>
    <x v="1"/>
    <x v="0"/>
    <x v="0"/>
    <x v="2"/>
    <x v="0"/>
    <x v="2"/>
    <x v="0"/>
    <x v="11"/>
    <n v="3"/>
    <x v="0"/>
  </r>
  <r>
    <d v="2023-05-03T00:00:00"/>
    <x v="0"/>
    <x v="1"/>
    <x v="0"/>
    <n v="10873853.52"/>
    <x v="0"/>
    <x v="1"/>
    <x v="0"/>
    <x v="1"/>
    <x v="2"/>
    <x v="0"/>
    <x v="2"/>
    <x v="0"/>
    <x v="11"/>
    <n v="3"/>
    <x v="0"/>
  </r>
  <r>
    <d v="2023-05-03T00:00:00"/>
    <x v="2"/>
    <x v="1"/>
    <x v="2"/>
    <n v="26210.799999999999"/>
    <x v="2"/>
    <x v="1"/>
    <x v="2"/>
    <x v="2"/>
    <x v="2"/>
    <x v="0"/>
    <x v="2"/>
    <x v="0"/>
    <x v="11"/>
    <n v="3"/>
    <x v="0"/>
  </r>
  <r>
    <d v="2023-05-03T00:00:00"/>
    <x v="2"/>
    <x v="1"/>
    <x v="0"/>
    <n v="204399242.65000001"/>
    <x v="2"/>
    <x v="1"/>
    <x v="0"/>
    <x v="6"/>
    <x v="2"/>
    <x v="0"/>
    <x v="2"/>
    <x v="0"/>
    <x v="11"/>
    <n v="3"/>
    <x v="0"/>
  </r>
  <r>
    <d v="2023-05-03T00:00:00"/>
    <x v="3"/>
    <x v="3"/>
    <x v="0"/>
    <n v="3803395025.1700001"/>
    <x v="3"/>
    <x v="3"/>
    <x v="0"/>
    <x v="7"/>
    <x v="2"/>
    <x v="0"/>
    <x v="2"/>
    <x v="0"/>
    <x v="11"/>
    <n v="3"/>
    <x v="0"/>
  </r>
  <r>
    <d v="2023-05-03T00:00:00"/>
    <x v="2"/>
    <x v="1"/>
    <x v="1"/>
    <n v="665594870.54999995"/>
    <x v="2"/>
    <x v="1"/>
    <x v="1"/>
    <x v="8"/>
    <x v="2"/>
    <x v="0"/>
    <x v="2"/>
    <x v="0"/>
    <x v="11"/>
    <n v="3"/>
    <x v="0"/>
  </r>
  <r>
    <d v="2023-05-03T00:00:00"/>
    <x v="3"/>
    <x v="3"/>
    <x v="1"/>
    <n v="4427340.03"/>
    <x v="3"/>
    <x v="3"/>
    <x v="1"/>
    <x v="3"/>
    <x v="2"/>
    <x v="0"/>
    <x v="2"/>
    <x v="0"/>
    <x v="11"/>
    <n v="3"/>
    <x v="0"/>
  </r>
  <r>
    <d v="2023-05-03T00:00:00"/>
    <x v="0"/>
    <x v="1"/>
    <x v="1"/>
    <n v="10851954.08"/>
    <x v="0"/>
    <x v="1"/>
    <x v="1"/>
    <x v="4"/>
    <x v="2"/>
    <x v="0"/>
    <x v="2"/>
    <x v="0"/>
    <x v="11"/>
    <n v="3"/>
    <x v="0"/>
  </r>
  <r>
    <d v="2023-05-03T00:00:00"/>
    <x v="1"/>
    <x v="0"/>
    <x v="0"/>
    <n v="118109846.23999999"/>
    <x v="1"/>
    <x v="0"/>
    <x v="0"/>
    <x v="9"/>
    <x v="2"/>
    <x v="0"/>
    <x v="2"/>
    <x v="0"/>
    <x v="11"/>
    <n v="3"/>
    <x v="0"/>
  </r>
  <r>
    <d v="2023-05-03T00:00:00"/>
    <x v="3"/>
    <x v="2"/>
    <x v="2"/>
    <n v="243602"/>
    <x v="3"/>
    <x v="2"/>
    <x v="2"/>
    <x v="5"/>
    <x v="2"/>
    <x v="0"/>
    <x v="2"/>
    <x v="0"/>
    <x v="11"/>
    <n v="3"/>
    <x v="0"/>
  </r>
  <r>
    <d v="2023-05-03T00:00:00"/>
    <x v="1"/>
    <x v="0"/>
    <x v="1"/>
    <n v="2544517099.0100002"/>
    <x v="1"/>
    <x v="0"/>
    <x v="1"/>
    <x v="10"/>
    <x v="2"/>
    <x v="0"/>
    <x v="2"/>
    <x v="0"/>
    <x v="11"/>
    <n v="3"/>
    <x v="0"/>
  </r>
  <r>
    <d v="2023-05-03T00:00:00"/>
    <x v="3"/>
    <x v="2"/>
    <x v="0"/>
    <n v="928099507.20000005"/>
    <x v="3"/>
    <x v="2"/>
    <x v="0"/>
    <x v="11"/>
    <x v="2"/>
    <x v="0"/>
    <x v="2"/>
    <x v="0"/>
    <x v="11"/>
    <n v="3"/>
    <x v="0"/>
  </r>
  <r>
    <d v="2023-05-03T00:00:00"/>
    <x v="3"/>
    <x v="1"/>
    <x v="0"/>
    <n v="15920395.33"/>
    <x v="3"/>
    <x v="1"/>
    <x v="0"/>
    <x v="12"/>
    <x v="2"/>
    <x v="0"/>
    <x v="2"/>
    <x v="0"/>
    <x v="11"/>
    <n v="3"/>
    <x v="0"/>
  </r>
  <r>
    <d v="2023-05-03T00:00:00"/>
    <x v="3"/>
    <x v="2"/>
    <x v="1"/>
    <n v="14626752609.75"/>
    <x v="3"/>
    <x v="2"/>
    <x v="1"/>
    <x v="13"/>
    <x v="2"/>
    <x v="0"/>
    <x v="2"/>
    <x v="0"/>
    <x v="11"/>
    <n v="3"/>
    <x v="0"/>
  </r>
  <r>
    <d v="2023-05-02T00:00:00"/>
    <x v="1"/>
    <x v="1"/>
    <x v="0"/>
    <n v="29470.73"/>
    <x v="1"/>
    <x v="1"/>
    <x v="0"/>
    <x v="0"/>
    <x v="2"/>
    <x v="0"/>
    <x v="2"/>
    <x v="0"/>
    <x v="11"/>
    <n v="2"/>
    <x v="0"/>
  </r>
  <r>
    <d v="2023-05-02T00:00:00"/>
    <x v="0"/>
    <x v="1"/>
    <x v="0"/>
    <n v="44327519.93"/>
    <x v="0"/>
    <x v="1"/>
    <x v="0"/>
    <x v="1"/>
    <x v="2"/>
    <x v="0"/>
    <x v="2"/>
    <x v="0"/>
    <x v="11"/>
    <n v="2"/>
    <x v="0"/>
  </r>
  <r>
    <d v="2023-05-02T00:00:00"/>
    <x v="2"/>
    <x v="1"/>
    <x v="0"/>
    <n v="90110207.629999995"/>
    <x v="2"/>
    <x v="1"/>
    <x v="0"/>
    <x v="6"/>
    <x v="2"/>
    <x v="0"/>
    <x v="2"/>
    <x v="0"/>
    <x v="11"/>
    <n v="2"/>
    <x v="0"/>
  </r>
  <r>
    <d v="2023-05-02T00:00:00"/>
    <x v="3"/>
    <x v="3"/>
    <x v="0"/>
    <n v="3514782751.4000001"/>
    <x v="3"/>
    <x v="3"/>
    <x v="0"/>
    <x v="7"/>
    <x v="2"/>
    <x v="0"/>
    <x v="2"/>
    <x v="0"/>
    <x v="11"/>
    <n v="2"/>
    <x v="0"/>
  </r>
  <r>
    <d v="2023-05-02T00:00:00"/>
    <x v="2"/>
    <x v="1"/>
    <x v="2"/>
    <n v="7551.88"/>
    <x v="2"/>
    <x v="1"/>
    <x v="2"/>
    <x v="4"/>
    <x v="2"/>
    <x v="0"/>
    <x v="2"/>
    <x v="0"/>
    <x v="11"/>
    <n v="2"/>
    <x v="0"/>
  </r>
  <r>
    <d v="2023-05-02T00:00:00"/>
    <x v="2"/>
    <x v="1"/>
    <x v="1"/>
    <n v="714222478.72000003"/>
    <x v="2"/>
    <x v="1"/>
    <x v="1"/>
    <x v="8"/>
    <x v="2"/>
    <x v="0"/>
    <x v="2"/>
    <x v="0"/>
    <x v="11"/>
    <n v="2"/>
    <x v="0"/>
  </r>
  <r>
    <d v="2023-05-02T00:00:00"/>
    <x v="3"/>
    <x v="3"/>
    <x v="1"/>
    <n v="198141.95"/>
    <x v="3"/>
    <x v="3"/>
    <x v="1"/>
    <x v="2"/>
    <x v="2"/>
    <x v="0"/>
    <x v="2"/>
    <x v="0"/>
    <x v="11"/>
    <n v="2"/>
    <x v="0"/>
  </r>
  <r>
    <d v="2023-05-02T00:00:00"/>
    <x v="0"/>
    <x v="1"/>
    <x v="1"/>
    <n v="6497356.8899999997"/>
    <x v="0"/>
    <x v="1"/>
    <x v="1"/>
    <x v="3"/>
    <x v="2"/>
    <x v="0"/>
    <x v="2"/>
    <x v="0"/>
    <x v="11"/>
    <n v="2"/>
    <x v="0"/>
  </r>
  <r>
    <d v="2023-05-02T00:00:00"/>
    <x v="3"/>
    <x v="2"/>
    <x v="2"/>
    <n v="511919"/>
    <x v="3"/>
    <x v="2"/>
    <x v="2"/>
    <x v="5"/>
    <x v="2"/>
    <x v="0"/>
    <x v="2"/>
    <x v="0"/>
    <x v="11"/>
    <n v="2"/>
    <x v="0"/>
  </r>
  <r>
    <d v="2023-05-02T00:00:00"/>
    <x v="1"/>
    <x v="0"/>
    <x v="0"/>
    <n v="56062940.990000002"/>
    <x v="1"/>
    <x v="0"/>
    <x v="0"/>
    <x v="9"/>
    <x v="2"/>
    <x v="0"/>
    <x v="2"/>
    <x v="0"/>
    <x v="11"/>
    <n v="2"/>
    <x v="0"/>
  </r>
  <r>
    <d v="2023-05-02T00:00:00"/>
    <x v="1"/>
    <x v="0"/>
    <x v="1"/>
    <n v="5410443622.8000002"/>
    <x v="1"/>
    <x v="0"/>
    <x v="1"/>
    <x v="10"/>
    <x v="2"/>
    <x v="0"/>
    <x v="2"/>
    <x v="0"/>
    <x v="11"/>
    <n v="2"/>
    <x v="0"/>
  </r>
  <r>
    <d v="2023-05-02T00:00:00"/>
    <x v="3"/>
    <x v="2"/>
    <x v="0"/>
    <n v="483339481.64999998"/>
    <x v="3"/>
    <x v="2"/>
    <x v="0"/>
    <x v="11"/>
    <x v="2"/>
    <x v="0"/>
    <x v="2"/>
    <x v="0"/>
    <x v="11"/>
    <n v="2"/>
    <x v="0"/>
  </r>
  <r>
    <d v="2023-05-02T00:00:00"/>
    <x v="3"/>
    <x v="1"/>
    <x v="0"/>
    <n v="14172594.58"/>
    <x v="3"/>
    <x v="1"/>
    <x v="0"/>
    <x v="12"/>
    <x v="2"/>
    <x v="0"/>
    <x v="2"/>
    <x v="0"/>
    <x v="11"/>
    <n v="2"/>
    <x v="0"/>
  </r>
  <r>
    <d v="2023-05-02T00:00:00"/>
    <x v="3"/>
    <x v="2"/>
    <x v="1"/>
    <n v="7719284548.3400002"/>
    <x v="3"/>
    <x v="2"/>
    <x v="1"/>
    <x v="13"/>
    <x v="2"/>
    <x v="0"/>
    <x v="2"/>
    <x v="0"/>
    <x v="11"/>
    <n v="2"/>
    <x v="0"/>
  </r>
  <r>
    <d v="2023-05-01T00:00:00"/>
    <x v="1"/>
    <x v="1"/>
    <x v="0"/>
    <n v="202054.63"/>
    <x v="1"/>
    <x v="1"/>
    <x v="0"/>
    <x v="0"/>
    <x v="2"/>
    <x v="0"/>
    <x v="2"/>
    <x v="0"/>
    <x v="11"/>
    <n v="1"/>
    <x v="0"/>
  </r>
  <r>
    <d v="2023-05-01T00:00:00"/>
    <x v="0"/>
    <x v="1"/>
    <x v="0"/>
    <n v="13030512.74"/>
    <x v="0"/>
    <x v="1"/>
    <x v="0"/>
    <x v="1"/>
    <x v="2"/>
    <x v="0"/>
    <x v="2"/>
    <x v="0"/>
    <x v="11"/>
    <n v="1"/>
    <x v="0"/>
  </r>
  <r>
    <d v="2023-05-01T00:00:00"/>
    <x v="2"/>
    <x v="1"/>
    <x v="2"/>
    <n v="6968.67"/>
    <x v="2"/>
    <x v="1"/>
    <x v="2"/>
    <x v="2"/>
    <x v="2"/>
    <x v="0"/>
    <x v="2"/>
    <x v="0"/>
    <x v="11"/>
    <n v="1"/>
    <x v="0"/>
  </r>
  <r>
    <d v="2023-05-01T00:00:00"/>
    <x v="2"/>
    <x v="1"/>
    <x v="0"/>
    <n v="100226875.01000001"/>
    <x v="2"/>
    <x v="1"/>
    <x v="0"/>
    <x v="6"/>
    <x v="2"/>
    <x v="0"/>
    <x v="2"/>
    <x v="0"/>
    <x v="11"/>
    <n v="1"/>
    <x v="0"/>
  </r>
  <r>
    <d v="2023-05-01T00:00:00"/>
    <x v="3"/>
    <x v="3"/>
    <x v="0"/>
    <n v="7166722488.5900002"/>
    <x v="3"/>
    <x v="3"/>
    <x v="0"/>
    <x v="7"/>
    <x v="2"/>
    <x v="0"/>
    <x v="2"/>
    <x v="0"/>
    <x v="11"/>
    <n v="1"/>
    <x v="0"/>
  </r>
  <r>
    <d v="2023-05-01T00:00:00"/>
    <x v="2"/>
    <x v="1"/>
    <x v="1"/>
    <n v="267073659.02000001"/>
    <x v="2"/>
    <x v="1"/>
    <x v="1"/>
    <x v="8"/>
    <x v="2"/>
    <x v="0"/>
    <x v="2"/>
    <x v="0"/>
    <x v="11"/>
    <n v="1"/>
    <x v="0"/>
  </r>
  <r>
    <d v="2023-05-01T00:00:00"/>
    <x v="3"/>
    <x v="3"/>
    <x v="1"/>
    <n v="8083604.9299999997"/>
    <x v="3"/>
    <x v="3"/>
    <x v="1"/>
    <x v="3"/>
    <x v="2"/>
    <x v="0"/>
    <x v="2"/>
    <x v="0"/>
    <x v="11"/>
    <n v="1"/>
    <x v="0"/>
  </r>
  <r>
    <d v="2023-05-01T00:00:00"/>
    <x v="0"/>
    <x v="1"/>
    <x v="1"/>
    <n v="1134902.98"/>
    <x v="0"/>
    <x v="1"/>
    <x v="1"/>
    <x v="4"/>
    <x v="2"/>
    <x v="0"/>
    <x v="2"/>
    <x v="0"/>
    <x v="11"/>
    <n v="1"/>
    <x v="0"/>
  </r>
  <r>
    <d v="2023-05-01T00:00:00"/>
    <x v="3"/>
    <x v="2"/>
    <x v="2"/>
    <n v="53169.95"/>
    <x v="3"/>
    <x v="2"/>
    <x v="2"/>
    <x v="5"/>
    <x v="2"/>
    <x v="0"/>
    <x v="2"/>
    <x v="0"/>
    <x v="11"/>
    <n v="1"/>
    <x v="0"/>
  </r>
  <r>
    <d v="2023-05-01T00:00:00"/>
    <x v="1"/>
    <x v="0"/>
    <x v="0"/>
    <n v="66039175.329999998"/>
    <x v="1"/>
    <x v="0"/>
    <x v="0"/>
    <x v="9"/>
    <x v="2"/>
    <x v="0"/>
    <x v="2"/>
    <x v="0"/>
    <x v="11"/>
    <n v="1"/>
    <x v="0"/>
  </r>
  <r>
    <d v="2023-05-01T00:00:00"/>
    <x v="1"/>
    <x v="0"/>
    <x v="1"/>
    <n v="4911431321.6800003"/>
    <x v="1"/>
    <x v="0"/>
    <x v="1"/>
    <x v="10"/>
    <x v="2"/>
    <x v="0"/>
    <x v="2"/>
    <x v="0"/>
    <x v="11"/>
    <n v="1"/>
    <x v="0"/>
  </r>
  <r>
    <d v="2023-05-01T00:00:00"/>
    <x v="3"/>
    <x v="2"/>
    <x v="0"/>
    <n v="613405932.80999994"/>
    <x v="3"/>
    <x v="2"/>
    <x v="0"/>
    <x v="11"/>
    <x v="2"/>
    <x v="0"/>
    <x v="2"/>
    <x v="0"/>
    <x v="11"/>
    <n v="1"/>
    <x v="0"/>
  </r>
  <r>
    <d v="2023-05-01T00:00:00"/>
    <x v="3"/>
    <x v="2"/>
    <x v="1"/>
    <n v="48715274166.459999"/>
    <x v="3"/>
    <x v="2"/>
    <x v="1"/>
    <x v="12"/>
    <x v="2"/>
    <x v="0"/>
    <x v="2"/>
    <x v="0"/>
    <x v="11"/>
    <n v="1"/>
    <x v="0"/>
  </r>
  <r>
    <d v="2023-05-01T00:00:00"/>
    <x v="3"/>
    <x v="1"/>
    <x v="0"/>
    <n v="51599715.189999998"/>
    <x v="3"/>
    <x v="1"/>
    <x v="0"/>
    <x v="13"/>
    <x v="2"/>
    <x v="0"/>
    <x v="2"/>
    <x v="0"/>
    <x v="11"/>
    <n v="1"/>
    <x v="0"/>
  </r>
  <r>
    <d v="2023-04-28T00:00:00"/>
    <x v="0"/>
    <x v="0"/>
    <x v="0"/>
    <n v="20"/>
    <x v="0"/>
    <x v="0"/>
    <x v="0"/>
    <x v="0"/>
    <x v="2"/>
    <x v="0"/>
    <x v="2"/>
    <x v="0"/>
    <x v="0"/>
    <n v="28"/>
    <x v="0"/>
  </r>
  <r>
    <d v="2023-04-28T00:00:00"/>
    <x v="1"/>
    <x v="1"/>
    <x v="0"/>
    <n v="16593.560000000001"/>
    <x v="1"/>
    <x v="1"/>
    <x v="0"/>
    <x v="1"/>
    <x v="2"/>
    <x v="0"/>
    <x v="2"/>
    <x v="0"/>
    <x v="0"/>
    <n v="28"/>
    <x v="0"/>
  </r>
  <r>
    <d v="2023-04-28T00:00:00"/>
    <x v="0"/>
    <x v="1"/>
    <x v="0"/>
    <n v="20902078.27"/>
    <x v="0"/>
    <x v="1"/>
    <x v="0"/>
    <x v="2"/>
    <x v="2"/>
    <x v="0"/>
    <x v="2"/>
    <x v="0"/>
    <x v="0"/>
    <n v="28"/>
    <x v="0"/>
  </r>
  <r>
    <d v="2023-04-28T00:00:00"/>
    <x v="3"/>
    <x v="2"/>
    <x v="2"/>
    <n v="355655.22"/>
    <x v="3"/>
    <x v="2"/>
    <x v="2"/>
    <x v="5"/>
    <x v="2"/>
    <x v="0"/>
    <x v="2"/>
    <x v="0"/>
    <x v="0"/>
    <n v="28"/>
    <x v="0"/>
  </r>
  <r>
    <d v="2023-04-28T00:00:00"/>
    <x v="2"/>
    <x v="1"/>
    <x v="2"/>
    <n v="137441.9"/>
    <x v="2"/>
    <x v="1"/>
    <x v="2"/>
    <x v="3"/>
    <x v="2"/>
    <x v="0"/>
    <x v="2"/>
    <x v="0"/>
    <x v="0"/>
    <n v="28"/>
    <x v="0"/>
  </r>
  <r>
    <d v="2023-04-28T00:00:00"/>
    <x v="2"/>
    <x v="1"/>
    <x v="0"/>
    <n v="105977969.39"/>
    <x v="2"/>
    <x v="1"/>
    <x v="0"/>
    <x v="6"/>
    <x v="2"/>
    <x v="0"/>
    <x v="2"/>
    <x v="0"/>
    <x v="0"/>
    <n v="28"/>
    <x v="0"/>
  </r>
  <r>
    <d v="2023-04-28T00:00:00"/>
    <x v="3"/>
    <x v="3"/>
    <x v="0"/>
    <n v="3919492314.3299999"/>
    <x v="3"/>
    <x v="3"/>
    <x v="0"/>
    <x v="7"/>
    <x v="2"/>
    <x v="0"/>
    <x v="2"/>
    <x v="0"/>
    <x v="0"/>
    <n v="28"/>
    <x v="0"/>
  </r>
  <r>
    <d v="2023-04-28T00:00:00"/>
    <x v="2"/>
    <x v="1"/>
    <x v="1"/>
    <n v="423741187.85000002"/>
    <x v="2"/>
    <x v="1"/>
    <x v="1"/>
    <x v="8"/>
    <x v="2"/>
    <x v="0"/>
    <x v="2"/>
    <x v="0"/>
    <x v="0"/>
    <n v="28"/>
    <x v="0"/>
  </r>
  <r>
    <d v="2023-04-28T00:00:00"/>
    <x v="1"/>
    <x v="0"/>
    <x v="0"/>
    <n v="47916004.640000001"/>
    <x v="1"/>
    <x v="0"/>
    <x v="0"/>
    <x v="9"/>
    <x v="2"/>
    <x v="0"/>
    <x v="2"/>
    <x v="0"/>
    <x v="0"/>
    <n v="28"/>
    <x v="0"/>
  </r>
  <r>
    <d v="2023-04-28T00:00:00"/>
    <x v="0"/>
    <x v="1"/>
    <x v="1"/>
    <n v="20143313.260000002"/>
    <x v="0"/>
    <x v="1"/>
    <x v="1"/>
    <x v="4"/>
    <x v="2"/>
    <x v="0"/>
    <x v="2"/>
    <x v="0"/>
    <x v="0"/>
    <n v="28"/>
    <x v="0"/>
  </r>
  <r>
    <d v="2023-04-28T00:00:00"/>
    <x v="3"/>
    <x v="2"/>
    <x v="0"/>
    <n v="1018878222.67"/>
    <x v="3"/>
    <x v="2"/>
    <x v="0"/>
    <x v="10"/>
    <x v="2"/>
    <x v="0"/>
    <x v="2"/>
    <x v="0"/>
    <x v="0"/>
    <n v="28"/>
    <x v="0"/>
  </r>
  <r>
    <d v="2023-04-28T00:00:00"/>
    <x v="1"/>
    <x v="0"/>
    <x v="1"/>
    <n v="7351557627.8400002"/>
    <x v="1"/>
    <x v="0"/>
    <x v="1"/>
    <x v="11"/>
    <x v="2"/>
    <x v="0"/>
    <x v="2"/>
    <x v="0"/>
    <x v="0"/>
    <n v="28"/>
    <x v="0"/>
  </r>
  <r>
    <d v="2023-04-28T00:00:00"/>
    <x v="3"/>
    <x v="1"/>
    <x v="0"/>
    <n v="14446425.92"/>
    <x v="3"/>
    <x v="1"/>
    <x v="0"/>
    <x v="12"/>
    <x v="2"/>
    <x v="0"/>
    <x v="2"/>
    <x v="0"/>
    <x v="0"/>
    <n v="28"/>
    <x v="0"/>
  </r>
  <r>
    <d v="2023-04-28T00:00:00"/>
    <x v="3"/>
    <x v="2"/>
    <x v="1"/>
    <n v="15129130514.57"/>
    <x v="3"/>
    <x v="2"/>
    <x v="1"/>
    <x v="13"/>
    <x v="2"/>
    <x v="0"/>
    <x v="2"/>
    <x v="0"/>
    <x v="0"/>
    <n v="28"/>
    <x v="0"/>
  </r>
  <r>
    <d v="2023-04-27T00:00:00"/>
    <x v="1"/>
    <x v="1"/>
    <x v="0"/>
    <n v="14670.39"/>
    <x v="1"/>
    <x v="1"/>
    <x v="0"/>
    <x v="0"/>
    <x v="2"/>
    <x v="0"/>
    <x v="2"/>
    <x v="0"/>
    <x v="0"/>
    <n v="27"/>
    <x v="0"/>
  </r>
  <r>
    <d v="2023-04-27T00:00:00"/>
    <x v="0"/>
    <x v="1"/>
    <x v="0"/>
    <n v="8075671.5300000003"/>
    <x v="0"/>
    <x v="1"/>
    <x v="0"/>
    <x v="1"/>
    <x v="2"/>
    <x v="0"/>
    <x v="2"/>
    <x v="0"/>
    <x v="0"/>
    <n v="27"/>
    <x v="0"/>
  </r>
  <r>
    <d v="2023-04-27T00:00:00"/>
    <x v="2"/>
    <x v="1"/>
    <x v="2"/>
    <n v="16633.080000000002"/>
    <x v="2"/>
    <x v="1"/>
    <x v="2"/>
    <x v="2"/>
    <x v="2"/>
    <x v="0"/>
    <x v="2"/>
    <x v="0"/>
    <x v="0"/>
    <n v="27"/>
    <x v="0"/>
  </r>
  <r>
    <d v="2023-04-27T00:00:00"/>
    <x v="3"/>
    <x v="2"/>
    <x v="2"/>
    <n v="237474.56"/>
    <x v="3"/>
    <x v="2"/>
    <x v="2"/>
    <x v="3"/>
    <x v="2"/>
    <x v="0"/>
    <x v="2"/>
    <x v="0"/>
    <x v="0"/>
    <n v="27"/>
    <x v="0"/>
  </r>
  <r>
    <d v="2023-04-27T00:00:00"/>
    <x v="3"/>
    <x v="3"/>
    <x v="0"/>
    <n v="2325393392.2399998"/>
    <x v="3"/>
    <x v="3"/>
    <x v="0"/>
    <x v="6"/>
    <x v="2"/>
    <x v="0"/>
    <x v="2"/>
    <x v="0"/>
    <x v="0"/>
    <n v="27"/>
    <x v="0"/>
  </r>
  <r>
    <d v="2023-04-27T00:00:00"/>
    <x v="0"/>
    <x v="1"/>
    <x v="1"/>
    <n v="16480996.18"/>
    <x v="0"/>
    <x v="1"/>
    <x v="1"/>
    <x v="4"/>
    <x v="2"/>
    <x v="0"/>
    <x v="2"/>
    <x v="0"/>
    <x v="0"/>
    <n v="27"/>
    <x v="0"/>
  </r>
  <r>
    <d v="2023-04-27T00:00:00"/>
    <x v="2"/>
    <x v="1"/>
    <x v="1"/>
    <n v="623996146.52999997"/>
    <x v="2"/>
    <x v="1"/>
    <x v="1"/>
    <x v="8"/>
    <x v="2"/>
    <x v="0"/>
    <x v="2"/>
    <x v="0"/>
    <x v="0"/>
    <n v="27"/>
    <x v="0"/>
  </r>
  <r>
    <d v="2023-04-27T00:00:00"/>
    <x v="2"/>
    <x v="1"/>
    <x v="0"/>
    <n v="89790732.319999993"/>
    <x v="2"/>
    <x v="1"/>
    <x v="0"/>
    <x v="5"/>
    <x v="2"/>
    <x v="0"/>
    <x v="2"/>
    <x v="0"/>
    <x v="0"/>
    <n v="27"/>
    <x v="0"/>
  </r>
  <r>
    <d v="2023-04-27T00:00:00"/>
    <x v="1"/>
    <x v="0"/>
    <x v="0"/>
    <n v="75992015.480000004"/>
    <x v="1"/>
    <x v="0"/>
    <x v="0"/>
    <x v="7"/>
    <x v="2"/>
    <x v="0"/>
    <x v="2"/>
    <x v="0"/>
    <x v="0"/>
    <n v="27"/>
    <x v="0"/>
  </r>
  <r>
    <d v="2023-04-27T00:00:00"/>
    <x v="1"/>
    <x v="0"/>
    <x v="1"/>
    <n v="8721470171.5499992"/>
    <x v="1"/>
    <x v="0"/>
    <x v="1"/>
    <x v="9"/>
    <x v="2"/>
    <x v="0"/>
    <x v="2"/>
    <x v="0"/>
    <x v="0"/>
    <n v="27"/>
    <x v="0"/>
  </r>
  <r>
    <d v="2023-04-27T00:00:00"/>
    <x v="3"/>
    <x v="2"/>
    <x v="0"/>
    <n v="626112045.70000005"/>
    <x v="3"/>
    <x v="2"/>
    <x v="0"/>
    <x v="10"/>
    <x v="2"/>
    <x v="0"/>
    <x v="2"/>
    <x v="0"/>
    <x v="0"/>
    <n v="27"/>
    <x v="0"/>
  </r>
  <r>
    <d v="2023-04-27T00:00:00"/>
    <x v="3"/>
    <x v="1"/>
    <x v="0"/>
    <n v="14062385.539999999"/>
    <x v="3"/>
    <x v="1"/>
    <x v="0"/>
    <x v="11"/>
    <x v="2"/>
    <x v="0"/>
    <x v="2"/>
    <x v="0"/>
    <x v="0"/>
    <n v="27"/>
    <x v="0"/>
  </r>
  <r>
    <d v="2023-04-27T00:00:00"/>
    <x v="3"/>
    <x v="2"/>
    <x v="1"/>
    <n v="4660952496.7799997"/>
    <x v="3"/>
    <x v="2"/>
    <x v="1"/>
    <x v="12"/>
    <x v="2"/>
    <x v="0"/>
    <x v="2"/>
    <x v="0"/>
    <x v="0"/>
    <n v="27"/>
    <x v="0"/>
  </r>
  <r>
    <d v="2023-04-26T00:00:00"/>
    <x v="0"/>
    <x v="0"/>
    <x v="0"/>
    <n v="80"/>
    <x v="0"/>
    <x v="0"/>
    <x v="0"/>
    <x v="0"/>
    <x v="2"/>
    <x v="0"/>
    <x v="2"/>
    <x v="0"/>
    <x v="0"/>
    <n v="26"/>
    <x v="0"/>
  </r>
  <r>
    <d v="2023-04-26T00:00:00"/>
    <x v="1"/>
    <x v="1"/>
    <x v="0"/>
    <n v="80155.19"/>
    <x v="1"/>
    <x v="1"/>
    <x v="0"/>
    <x v="1"/>
    <x v="2"/>
    <x v="0"/>
    <x v="2"/>
    <x v="0"/>
    <x v="0"/>
    <n v="26"/>
    <x v="0"/>
  </r>
  <r>
    <d v="2023-04-26T00:00:00"/>
    <x v="0"/>
    <x v="1"/>
    <x v="0"/>
    <n v="12936192.4"/>
    <x v="0"/>
    <x v="1"/>
    <x v="0"/>
    <x v="2"/>
    <x v="2"/>
    <x v="0"/>
    <x v="2"/>
    <x v="0"/>
    <x v="0"/>
    <n v="26"/>
    <x v="0"/>
  </r>
  <r>
    <d v="2023-04-26T00:00:00"/>
    <x v="3"/>
    <x v="2"/>
    <x v="2"/>
    <n v="283415"/>
    <x v="3"/>
    <x v="2"/>
    <x v="2"/>
    <x v="5"/>
    <x v="2"/>
    <x v="0"/>
    <x v="2"/>
    <x v="0"/>
    <x v="0"/>
    <n v="26"/>
    <x v="0"/>
  </r>
  <r>
    <d v="2023-04-26T00:00:00"/>
    <x v="2"/>
    <x v="1"/>
    <x v="2"/>
    <n v="14369.33"/>
    <x v="2"/>
    <x v="1"/>
    <x v="2"/>
    <x v="3"/>
    <x v="2"/>
    <x v="0"/>
    <x v="2"/>
    <x v="0"/>
    <x v="0"/>
    <n v="26"/>
    <x v="0"/>
  </r>
  <r>
    <d v="2023-04-26T00:00:00"/>
    <x v="3"/>
    <x v="3"/>
    <x v="0"/>
    <n v="2087800409.95"/>
    <x v="3"/>
    <x v="3"/>
    <x v="0"/>
    <x v="6"/>
    <x v="2"/>
    <x v="0"/>
    <x v="2"/>
    <x v="0"/>
    <x v="0"/>
    <n v="26"/>
    <x v="0"/>
  </r>
  <r>
    <d v="2023-04-26T00:00:00"/>
    <x v="2"/>
    <x v="1"/>
    <x v="0"/>
    <n v="187230965.5"/>
    <x v="2"/>
    <x v="1"/>
    <x v="0"/>
    <x v="7"/>
    <x v="2"/>
    <x v="0"/>
    <x v="2"/>
    <x v="0"/>
    <x v="0"/>
    <n v="26"/>
    <x v="0"/>
  </r>
  <r>
    <d v="2023-04-26T00:00:00"/>
    <x v="2"/>
    <x v="1"/>
    <x v="1"/>
    <n v="735846707.65999997"/>
    <x v="2"/>
    <x v="1"/>
    <x v="1"/>
    <x v="8"/>
    <x v="2"/>
    <x v="0"/>
    <x v="2"/>
    <x v="0"/>
    <x v="0"/>
    <n v="26"/>
    <x v="0"/>
  </r>
  <r>
    <d v="2023-04-26T00:00:00"/>
    <x v="0"/>
    <x v="1"/>
    <x v="1"/>
    <n v="110022685.45999999"/>
    <x v="0"/>
    <x v="1"/>
    <x v="1"/>
    <x v="4"/>
    <x v="2"/>
    <x v="0"/>
    <x v="2"/>
    <x v="0"/>
    <x v="0"/>
    <n v="26"/>
    <x v="0"/>
  </r>
  <r>
    <d v="2023-04-26T00:00:00"/>
    <x v="1"/>
    <x v="0"/>
    <x v="0"/>
    <n v="98864370.909999996"/>
    <x v="1"/>
    <x v="0"/>
    <x v="0"/>
    <x v="9"/>
    <x v="2"/>
    <x v="0"/>
    <x v="2"/>
    <x v="0"/>
    <x v="0"/>
    <n v="26"/>
    <x v="0"/>
  </r>
  <r>
    <d v="2023-04-26T00:00:00"/>
    <x v="1"/>
    <x v="0"/>
    <x v="1"/>
    <n v="12389946473.209999"/>
    <x v="1"/>
    <x v="0"/>
    <x v="1"/>
    <x v="10"/>
    <x v="2"/>
    <x v="0"/>
    <x v="2"/>
    <x v="0"/>
    <x v="0"/>
    <n v="26"/>
    <x v="0"/>
  </r>
  <r>
    <d v="2023-04-26T00:00:00"/>
    <x v="3"/>
    <x v="2"/>
    <x v="0"/>
    <n v="406213579.42000002"/>
    <x v="3"/>
    <x v="2"/>
    <x v="0"/>
    <x v="11"/>
    <x v="2"/>
    <x v="0"/>
    <x v="2"/>
    <x v="0"/>
    <x v="0"/>
    <n v="26"/>
    <x v="0"/>
  </r>
  <r>
    <d v="2023-04-26T00:00:00"/>
    <x v="3"/>
    <x v="1"/>
    <x v="0"/>
    <n v="14697866.09"/>
    <x v="3"/>
    <x v="1"/>
    <x v="0"/>
    <x v="12"/>
    <x v="2"/>
    <x v="0"/>
    <x v="2"/>
    <x v="0"/>
    <x v="0"/>
    <n v="26"/>
    <x v="0"/>
  </r>
  <r>
    <d v="2023-04-26T00:00:00"/>
    <x v="3"/>
    <x v="2"/>
    <x v="1"/>
    <n v="13868990621.950001"/>
    <x v="3"/>
    <x v="2"/>
    <x v="1"/>
    <x v="13"/>
    <x v="2"/>
    <x v="0"/>
    <x v="2"/>
    <x v="0"/>
    <x v="0"/>
    <n v="26"/>
    <x v="0"/>
  </r>
  <r>
    <d v="2023-04-25T00:00:00"/>
    <x v="0"/>
    <x v="0"/>
    <x v="0"/>
    <n v="285"/>
    <x v="0"/>
    <x v="0"/>
    <x v="0"/>
    <x v="0"/>
    <x v="2"/>
    <x v="0"/>
    <x v="2"/>
    <x v="0"/>
    <x v="0"/>
    <n v="25"/>
    <x v="0"/>
  </r>
  <r>
    <d v="2023-04-25T00:00:00"/>
    <x v="1"/>
    <x v="1"/>
    <x v="0"/>
    <n v="53090"/>
    <x v="1"/>
    <x v="1"/>
    <x v="0"/>
    <x v="1"/>
    <x v="2"/>
    <x v="0"/>
    <x v="2"/>
    <x v="0"/>
    <x v="0"/>
    <n v="25"/>
    <x v="0"/>
  </r>
  <r>
    <d v="2023-04-25T00:00:00"/>
    <x v="0"/>
    <x v="1"/>
    <x v="0"/>
    <n v="15679650.25"/>
    <x v="0"/>
    <x v="1"/>
    <x v="0"/>
    <x v="2"/>
    <x v="2"/>
    <x v="0"/>
    <x v="2"/>
    <x v="0"/>
    <x v="0"/>
    <n v="25"/>
    <x v="0"/>
  </r>
  <r>
    <d v="2023-04-25T00:00:00"/>
    <x v="2"/>
    <x v="1"/>
    <x v="2"/>
    <n v="708252.12"/>
    <x v="2"/>
    <x v="1"/>
    <x v="2"/>
    <x v="3"/>
    <x v="2"/>
    <x v="0"/>
    <x v="2"/>
    <x v="0"/>
    <x v="0"/>
    <n v="25"/>
    <x v="0"/>
  </r>
  <r>
    <d v="2023-04-25T00:00:00"/>
    <x v="2"/>
    <x v="1"/>
    <x v="0"/>
    <n v="80422246.120000005"/>
    <x v="2"/>
    <x v="1"/>
    <x v="0"/>
    <x v="7"/>
    <x v="2"/>
    <x v="0"/>
    <x v="2"/>
    <x v="0"/>
    <x v="0"/>
    <n v="25"/>
    <x v="0"/>
  </r>
  <r>
    <d v="2023-04-25T00:00:00"/>
    <x v="3"/>
    <x v="3"/>
    <x v="0"/>
    <n v="2334128329.0900002"/>
    <x v="3"/>
    <x v="3"/>
    <x v="0"/>
    <x v="8"/>
    <x v="2"/>
    <x v="0"/>
    <x v="2"/>
    <x v="0"/>
    <x v="0"/>
    <n v="25"/>
    <x v="0"/>
  </r>
  <r>
    <d v="2023-04-25T00:00:00"/>
    <x v="1"/>
    <x v="0"/>
    <x v="0"/>
    <n v="63318875.920000002"/>
    <x v="1"/>
    <x v="0"/>
    <x v="0"/>
    <x v="10"/>
    <x v="2"/>
    <x v="0"/>
    <x v="2"/>
    <x v="0"/>
    <x v="0"/>
    <n v="25"/>
    <x v="0"/>
  </r>
  <r>
    <d v="2023-04-25T00:00:00"/>
    <x v="3"/>
    <x v="3"/>
    <x v="1"/>
    <n v="37178.49"/>
    <x v="3"/>
    <x v="3"/>
    <x v="1"/>
    <x v="4"/>
    <x v="2"/>
    <x v="0"/>
    <x v="2"/>
    <x v="0"/>
    <x v="0"/>
    <n v="25"/>
    <x v="0"/>
  </r>
  <r>
    <d v="2023-04-25T00:00:00"/>
    <x v="0"/>
    <x v="1"/>
    <x v="1"/>
    <n v="5921729.9400000004"/>
    <x v="0"/>
    <x v="1"/>
    <x v="1"/>
    <x v="5"/>
    <x v="2"/>
    <x v="0"/>
    <x v="2"/>
    <x v="0"/>
    <x v="0"/>
    <n v="25"/>
    <x v="0"/>
  </r>
  <r>
    <d v="2023-04-25T00:00:00"/>
    <x v="3"/>
    <x v="2"/>
    <x v="2"/>
    <n v="62590"/>
    <x v="3"/>
    <x v="2"/>
    <x v="2"/>
    <x v="6"/>
    <x v="2"/>
    <x v="0"/>
    <x v="2"/>
    <x v="0"/>
    <x v="0"/>
    <n v="25"/>
    <x v="0"/>
  </r>
  <r>
    <d v="2023-04-25T00:00:00"/>
    <x v="2"/>
    <x v="1"/>
    <x v="1"/>
    <n v="1194568903.9400001"/>
    <x v="2"/>
    <x v="1"/>
    <x v="1"/>
    <x v="9"/>
    <x v="2"/>
    <x v="0"/>
    <x v="2"/>
    <x v="0"/>
    <x v="0"/>
    <n v="25"/>
    <x v="0"/>
  </r>
  <r>
    <d v="2023-04-25T00:00:00"/>
    <x v="1"/>
    <x v="0"/>
    <x v="1"/>
    <n v="44058717773.269997"/>
    <x v="1"/>
    <x v="0"/>
    <x v="1"/>
    <x v="11"/>
    <x v="2"/>
    <x v="0"/>
    <x v="2"/>
    <x v="0"/>
    <x v="0"/>
    <n v="25"/>
    <x v="0"/>
  </r>
  <r>
    <d v="2023-04-25T00:00:00"/>
    <x v="3"/>
    <x v="2"/>
    <x v="0"/>
    <n v="366926027.69999999"/>
    <x v="3"/>
    <x v="2"/>
    <x v="0"/>
    <x v="12"/>
    <x v="2"/>
    <x v="0"/>
    <x v="2"/>
    <x v="0"/>
    <x v="0"/>
    <n v="25"/>
    <x v="0"/>
  </r>
  <r>
    <d v="2023-04-25T00:00:00"/>
    <x v="3"/>
    <x v="1"/>
    <x v="0"/>
    <n v="12102291.25"/>
    <x v="3"/>
    <x v="1"/>
    <x v="0"/>
    <x v="13"/>
    <x v="2"/>
    <x v="0"/>
    <x v="2"/>
    <x v="0"/>
    <x v="0"/>
    <n v="25"/>
    <x v="0"/>
  </r>
  <r>
    <d v="2023-04-25T00:00:00"/>
    <x v="3"/>
    <x v="2"/>
    <x v="1"/>
    <n v="3379494624.3800001"/>
    <x v="3"/>
    <x v="2"/>
    <x v="1"/>
    <x v="14"/>
    <x v="2"/>
    <x v="0"/>
    <x v="2"/>
    <x v="0"/>
    <x v="0"/>
    <n v="25"/>
    <x v="0"/>
  </r>
  <r>
    <d v="2023-04-24T00:00:00"/>
    <x v="0"/>
    <x v="1"/>
    <x v="0"/>
    <n v="10723853.789999999"/>
    <x v="0"/>
    <x v="1"/>
    <x v="0"/>
    <x v="0"/>
    <x v="2"/>
    <x v="0"/>
    <x v="2"/>
    <x v="0"/>
    <x v="0"/>
    <n v="24"/>
    <x v="0"/>
  </r>
  <r>
    <d v="2023-04-24T00:00:00"/>
    <x v="2"/>
    <x v="1"/>
    <x v="2"/>
    <n v="14068.36"/>
    <x v="2"/>
    <x v="1"/>
    <x v="2"/>
    <x v="1"/>
    <x v="2"/>
    <x v="0"/>
    <x v="2"/>
    <x v="0"/>
    <x v="0"/>
    <n v="24"/>
    <x v="0"/>
  </r>
  <r>
    <d v="2023-04-24T00:00:00"/>
    <x v="2"/>
    <x v="1"/>
    <x v="0"/>
    <n v="73591827.260000005"/>
    <x v="2"/>
    <x v="1"/>
    <x v="0"/>
    <x v="5"/>
    <x v="2"/>
    <x v="0"/>
    <x v="2"/>
    <x v="0"/>
    <x v="0"/>
    <n v="24"/>
    <x v="0"/>
  </r>
  <r>
    <d v="2023-04-24T00:00:00"/>
    <x v="3"/>
    <x v="3"/>
    <x v="0"/>
    <n v="1356393480.6099999"/>
    <x v="3"/>
    <x v="3"/>
    <x v="0"/>
    <x v="6"/>
    <x v="2"/>
    <x v="0"/>
    <x v="2"/>
    <x v="0"/>
    <x v="0"/>
    <n v="24"/>
    <x v="0"/>
  </r>
  <r>
    <d v="2023-04-24T00:00:00"/>
    <x v="2"/>
    <x v="1"/>
    <x v="1"/>
    <n v="1222883395.8399999"/>
    <x v="2"/>
    <x v="1"/>
    <x v="1"/>
    <x v="7"/>
    <x v="2"/>
    <x v="0"/>
    <x v="2"/>
    <x v="0"/>
    <x v="0"/>
    <n v="24"/>
    <x v="0"/>
  </r>
  <r>
    <d v="2023-04-24T00:00:00"/>
    <x v="0"/>
    <x v="1"/>
    <x v="1"/>
    <n v="15473363.439999999"/>
    <x v="0"/>
    <x v="1"/>
    <x v="1"/>
    <x v="2"/>
    <x v="2"/>
    <x v="0"/>
    <x v="2"/>
    <x v="0"/>
    <x v="0"/>
    <n v="24"/>
    <x v="0"/>
  </r>
  <r>
    <d v="2023-04-24T00:00:00"/>
    <x v="3"/>
    <x v="2"/>
    <x v="2"/>
    <n v="161371"/>
    <x v="3"/>
    <x v="2"/>
    <x v="2"/>
    <x v="4"/>
    <x v="2"/>
    <x v="0"/>
    <x v="2"/>
    <x v="0"/>
    <x v="0"/>
    <n v="24"/>
    <x v="0"/>
  </r>
  <r>
    <d v="2023-04-24T00:00:00"/>
    <x v="1"/>
    <x v="1"/>
    <x v="0"/>
    <n v="34083.69"/>
    <x v="1"/>
    <x v="1"/>
    <x v="0"/>
    <x v="3"/>
    <x v="2"/>
    <x v="0"/>
    <x v="2"/>
    <x v="0"/>
    <x v="0"/>
    <n v="24"/>
    <x v="0"/>
  </r>
  <r>
    <d v="2023-04-24T00:00:00"/>
    <x v="1"/>
    <x v="0"/>
    <x v="0"/>
    <n v="56926483.579999998"/>
    <x v="1"/>
    <x v="0"/>
    <x v="0"/>
    <x v="8"/>
    <x v="2"/>
    <x v="0"/>
    <x v="2"/>
    <x v="0"/>
    <x v="0"/>
    <n v="24"/>
    <x v="0"/>
  </r>
  <r>
    <d v="2023-04-24T00:00:00"/>
    <x v="1"/>
    <x v="0"/>
    <x v="1"/>
    <n v="9800683231.8999996"/>
    <x v="1"/>
    <x v="0"/>
    <x v="1"/>
    <x v="9"/>
    <x v="2"/>
    <x v="0"/>
    <x v="2"/>
    <x v="0"/>
    <x v="0"/>
    <n v="24"/>
    <x v="0"/>
  </r>
  <r>
    <d v="2023-04-24T00:00:00"/>
    <x v="3"/>
    <x v="2"/>
    <x v="0"/>
    <n v="5118150416.0600004"/>
    <x v="3"/>
    <x v="2"/>
    <x v="0"/>
    <x v="10"/>
    <x v="2"/>
    <x v="0"/>
    <x v="2"/>
    <x v="0"/>
    <x v="0"/>
    <n v="24"/>
    <x v="0"/>
  </r>
  <r>
    <d v="2023-04-24T00:00:00"/>
    <x v="3"/>
    <x v="1"/>
    <x v="0"/>
    <n v="44571966.340000004"/>
    <x v="3"/>
    <x v="1"/>
    <x v="0"/>
    <x v="11"/>
    <x v="2"/>
    <x v="0"/>
    <x v="2"/>
    <x v="0"/>
    <x v="0"/>
    <n v="24"/>
    <x v="0"/>
  </r>
  <r>
    <d v="2023-04-24T00:00:00"/>
    <x v="3"/>
    <x v="2"/>
    <x v="1"/>
    <n v="21573262470.93"/>
    <x v="3"/>
    <x v="2"/>
    <x v="1"/>
    <x v="12"/>
    <x v="2"/>
    <x v="0"/>
    <x v="2"/>
    <x v="0"/>
    <x v="0"/>
    <n v="24"/>
    <x v="0"/>
  </r>
  <r>
    <d v="2023-04-21T00:00:00"/>
    <x v="1"/>
    <x v="1"/>
    <x v="0"/>
    <n v="47415.199999999997"/>
    <x v="1"/>
    <x v="1"/>
    <x v="0"/>
    <x v="0"/>
    <x v="2"/>
    <x v="0"/>
    <x v="2"/>
    <x v="0"/>
    <x v="0"/>
    <n v="21"/>
    <x v="0"/>
  </r>
  <r>
    <d v="2023-04-21T00:00:00"/>
    <x v="0"/>
    <x v="1"/>
    <x v="0"/>
    <n v="20147593.43"/>
    <x v="0"/>
    <x v="1"/>
    <x v="0"/>
    <x v="1"/>
    <x v="2"/>
    <x v="0"/>
    <x v="2"/>
    <x v="0"/>
    <x v="0"/>
    <n v="21"/>
    <x v="0"/>
  </r>
  <r>
    <d v="2023-04-21T00:00:00"/>
    <x v="2"/>
    <x v="1"/>
    <x v="2"/>
    <n v="10197.4"/>
    <x v="2"/>
    <x v="1"/>
    <x v="2"/>
    <x v="2"/>
    <x v="2"/>
    <x v="0"/>
    <x v="2"/>
    <x v="0"/>
    <x v="0"/>
    <n v="21"/>
    <x v="0"/>
  </r>
  <r>
    <d v="2023-04-21T00:00:00"/>
    <x v="2"/>
    <x v="1"/>
    <x v="0"/>
    <n v="73834488.670000002"/>
    <x v="2"/>
    <x v="1"/>
    <x v="0"/>
    <x v="6"/>
    <x v="2"/>
    <x v="0"/>
    <x v="2"/>
    <x v="0"/>
    <x v="0"/>
    <n v="21"/>
    <x v="0"/>
  </r>
  <r>
    <d v="2023-04-21T00:00:00"/>
    <x v="2"/>
    <x v="1"/>
    <x v="1"/>
    <n v="996900673.52999997"/>
    <x v="2"/>
    <x v="1"/>
    <x v="1"/>
    <x v="8"/>
    <x v="2"/>
    <x v="0"/>
    <x v="2"/>
    <x v="0"/>
    <x v="0"/>
    <n v="21"/>
    <x v="0"/>
  </r>
  <r>
    <d v="2023-04-21T00:00:00"/>
    <x v="3"/>
    <x v="3"/>
    <x v="1"/>
    <n v="1173603.92"/>
    <x v="3"/>
    <x v="3"/>
    <x v="1"/>
    <x v="3"/>
    <x v="2"/>
    <x v="0"/>
    <x v="2"/>
    <x v="0"/>
    <x v="0"/>
    <n v="21"/>
    <x v="0"/>
  </r>
  <r>
    <d v="2023-04-21T00:00:00"/>
    <x v="0"/>
    <x v="1"/>
    <x v="1"/>
    <n v="4897545.5599999996"/>
    <x v="0"/>
    <x v="1"/>
    <x v="1"/>
    <x v="4"/>
    <x v="2"/>
    <x v="0"/>
    <x v="2"/>
    <x v="0"/>
    <x v="0"/>
    <n v="21"/>
    <x v="0"/>
  </r>
  <r>
    <d v="2023-04-21T00:00:00"/>
    <x v="3"/>
    <x v="2"/>
    <x v="2"/>
    <n v="371097"/>
    <x v="3"/>
    <x v="2"/>
    <x v="2"/>
    <x v="5"/>
    <x v="2"/>
    <x v="0"/>
    <x v="2"/>
    <x v="0"/>
    <x v="0"/>
    <n v="21"/>
    <x v="0"/>
  </r>
  <r>
    <d v="2023-04-21T00:00:00"/>
    <x v="3"/>
    <x v="3"/>
    <x v="0"/>
    <n v="1343946156.21"/>
    <x v="3"/>
    <x v="3"/>
    <x v="0"/>
    <x v="7"/>
    <x v="2"/>
    <x v="0"/>
    <x v="2"/>
    <x v="0"/>
    <x v="0"/>
    <n v="21"/>
    <x v="0"/>
  </r>
  <r>
    <d v="2023-04-21T00:00:00"/>
    <x v="1"/>
    <x v="0"/>
    <x v="0"/>
    <n v="69424113.129999995"/>
    <x v="1"/>
    <x v="0"/>
    <x v="0"/>
    <x v="9"/>
    <x v="2"/>
    <x v="0"/>
    <x v="2"/>
    <x v="0"/>
    <x v="0"/>
    <n v="21"/>
    <x v="0"/>
  </r>
  <r>
    <d v="2023-04-21T00:00:00"/>
    <x v="1"/>
    <x v="0"/>
    <x v="1"/>
    <n v="8859313315.4099998"/>
    <x v="1"/>
    <x v="0"/>
    <x v="1"/>
    <x v="10"/>
    <x v="2"/>
    <x v="0"/>
    <x v="2"/>
    <x v="0"/>
    <x v="0"/>
    <n v="21"/>
    <x v="0"/>
  </r>
  <r>
    <d v="2023-04-21T00:00:00"/>
    <x v="3"/>
    <x v="2"/>
    <x v="0"/>
    <n v="353803361.94999999"/>
    <x v="3"/>
    <x v="2"/>
    <x v="0"/>
    <x v="11"/>
    <x v="2"/>
    <x v="0"/>
    <x v="2"/>
    <x v="0"/>
    <x v="0"/>
    <n v="21"/>
    <x v="0"/>
  </r>
  <r>
    <d v="2023-04-21T00:00:00"/>
    <x v="3"/>
    <x v="1"/>
    <x v="0"/>
    <n v="14262176.24"/>
    <x v="3"/>
    <x v="1"/>
    <x v="0"/>
    <x v="12"/>
    <x v="2"/>
    <x v="0"/>
    <x v="2"/>
    <x v="0"/>
    <x v="0"/>
    <n v="21"/>
    <x v="0"/>
  </r>
  <r>
    <d v="2023-04-21T00:00:00"/>
    <x v="3"/>
    <x v="2"/>
    <x v="1"/>
    <n v="10463652818.34"/>
    <x v="3"/>
    <x v="2"/>
    <x v="1"/>
    <x v="13"/>
    <x v="2"/>
    <x v="0"/>
    <x v="2"/>
    <x v="0"/>
    <x v="0"/>
    <n v="21"/>
    <x v="0"/>
  </r>
  <r>
    <d v="2023-04-20T00:00:00"/>
    <x v="0"/>
    <x v="0"/>
    <x v="0"/>
    <n v="-100"/>
    <x v="0"/>
    <x v="0"/>
    <x v="0"/>
    <x v="0"/>
    <x v="2"/>
    <x v="0"/>
    <x v="2"/>
    <x v="0"/>
    <x v="0"/>
    <n v="20"/>
    <x v="1"/>
  </r>
  <r>
    <d v="2023-04-20T00:00:00"/>
    <x v="1"/>
    <x v="1"/>
    <x v="0"/>
    <n v="109194.03"/>
    <x v="1"/>
    <x v="1"/>
    <x v="0"/>
    <x v="1"/>
    <x v="2"/>
    <x v="0"/>
    <x v="2"/>
    <x v="0"/>
    <x v="0"/>
    <n v="20"/>
    <x v="0"/>
  </r>
  <r>
    <d v="2023-04-20T00:00:00"/>
    <x v="0"/>
    <x v="1"/>
    <x v="0"/>
    <n v="22703201.93"/>
    <x v="0"/>
    <x v="1"/>
    <x v="0"/>
    <x v="2"/>
    <x v="2"/>
    <x v="0"/>
    <x v="2"/>
    <x v="0"/>
    <x v="0"/>
    <n v="20"/>
    <x v="0"/>
  </r>
  <r>
    <d v="2023-04-20T00:00:00"/>
    <x v="2"/>
    <x v="1"/>
    <x v="2"/>
    <n v="363173"/>
    <x v="2"/>
    <x v="1"/>
    <x v="2"/>
    <x v="3"/>
    <x v="2"/>
    <x v="0"/>
    <x v="2"/>
    <x v="0"/>
    <x v="0"/>
    <n v="20"/>
    <x v="0"/>
  </r>
  <r>
    <d v="2023-04-20T00:00:00"/>
    <x v="2"/>
    <x v="1"/>
    <x v="0"/>
    <n v="99035718.700000003"/>
    <x v="2"/>
    <x v="1"/>
    <x v="0"/>
    <x v="7"/>
    <x v="2"/>
    <x v="0"/>
    <x v="2"/>
    <x v="0"/>
    <x v="0"/>
    <n v="20"/>
    <x v="0"/>
  </r>
  <r>
    <d v="2023-04-20T00:00:00"/>
    <x v="1"/>
    <x v="0"/>
    <x v="0"/>
    <n v="88790126.280000001"/>
    <x v="1"/>
    <x v="0"/>
    <x v="0"/>
    <x v="9"/>
    <x v="2"/>
    <x v="0"/>
    <x v="2"/>
    <x v="0"/>
    <x v="0"/>
    <n v="20"/>
    <x v="0"/>
  </r>
  <r>
    <d v="2023-04-20T00:00:00"/>
    <x v="0"/>
    <x v="1"/>
    <x v="1"/>
    <n v="3404136"/>
    <x v="0"/>
    <x v="1"/>
    <x v="1"/>
    <x v="4"/>
    <x v="2"/>
    <x v="0"/>
    <x v="2"/>
    <x v="0"/>
    <x v="0"/>
    <n v="20"/>
    <x v="0"/>
  </r>
  <r>
    <d v="2023-04-20T00:00:00"/>
    <x v="3"/>
    <x v="2"/>
    <x v="2"/>
    <n v="129513.62"/>
    <x v="3"/>
    <x v="2"/>
    <x v="2"/>
    <x v="5"/>
    <x v="2"/>
    <x v="0"/>
    <x v="2"/>
    <x v="0"/>
    <x v="0"/>
    <n v="20"/>
    <x v="0"/>
  </r>
  <r>
    <d v="2023-04-20T00:00:00"/>
    <x v="3"/>
    <x v="3"/>
    <x v="0"/>
    <n v="2461286983.1900001"/>
    <x v="3"/>
    <x v="3"/>
    <x v="0"/>
    <x v="6"/>
    <x v="2"/>
    <x v="0"/>
    <x v="2"/>
    <x v="0"/>
    <x v="0"/>
    <n v="20"/>
    <x v="0"/>
  </r>
  <r>
    <d v="2023-04-20T00:00:00"/>
    <x v="2"/>
    <x v="1"/>
    <x v="1"/>
    <n v="1130593554.6800001"/>
    <x v="2"/>
    <x v="1"/>
    <x v="1"/>
    <x v="8"/>
    <x v="2"/>
    <x v="0"/>
    <x v="2"/>
    <x v="0"/>
    <x v="0"/>
    <n v="20"/>
    <x v="0"/>
  </r>
  <r>
    <d v="2023-04-20T00:00:00"/>
    <x v="1"/>
    <x v="0"/>
    <x v="1"/>
    <n v="9012442972.0900002"/>
    <x v="1"/>
    <x v="0"/>
    <x v="1"/>
    <x v="10"/>
    <x v="2"/>
    <x v="0"/>
    <x v="2"/>
    <x v="0"/>
    <x v="0"/>
    <n v="20"/>
    <x v="0"/>
  </r>
  <r>
    <d v="2023-04-20T00:00:00"/>
    <x v="3"/>
    <x v="2"/>
    <x v="0"/>
    <n v="733517089.52999997"/>
    <x v="3"/>
    <x v="2"/>
    <x v="0"/>
    <x v="11"/>
    <x v="2"/>
    <x v="0"/>
    <x v="2"/>
    <x v="0"/>
    <x v="0"/>
    <n v="20"/>
    <x v="0"/>
  </r>
  <r>
    <d v="2023-04-20T00:00:00"/>
    <x v="3"/>
    <x v="1"/>
    <x v="0"/>
    <n v="14509120.42"/>
    <x v="3"/>
    <x v="1"/>
    <x v="0"/>
    <x v="12"/>
    <x v="2"/>
    <x v="0"/>
    <x v="2"/>
    <x v="0"/>
    <x v="0"/>
    <n v="20"/>
    <x v="0"/>
  </r>
  <r>
    <d v="2023-04-20T00:00:00"/>
    <x v="3"/>
    <x v="2"/>
    <x v="1"/>
    <n v="21142122778.77"/>
    <x v="3"/>
    <x v="2"/>
    <x v="1"/>
    <x v="13"/>
    <x v="2"/>
    <x v="0"/>
    <x v="2"/>
    <x v="0"/>
    <x v="0"/>
    <n v="20"/>
    <x v="0"/>
  </r>
  <r>
    <d v="2023-04-19T00:00:00"/>
    <x v="0"/>
    <x v="0"/>
    <x v="0"/>
    <n v="500"/>
    <x v="0"/>
    <x v="0"/>
    <x v="0"/>
    <x v="0"/>
    <x v="2"/>
    <x v="0"/>
    <x v="2"/>
    <x v="0"/>
    <x v="0"/>
    <n v="19"/>
    <x v="0"/>
  </r>
  <r>
    <d v="2023-04-19T00:00:00"/>
    <x v="1"/>
    <x v="1"/>
    <x v="0"/>
    <n v="51898.58"/>
    <x v="1"/>
    <x v="1"/>
    <x v="0"/>
    <x v="1"/>
    <x v="2"/>
    <x v="0"/>
    <x v="2"/>
    <x v="0"/>
    <x v="0"/>
    <n v="19"/>
    <x v="0"/>
  </r>
  <r>
    <d v="2023-04-19T00:00:00"/>
    <x v="0"/>
    <x v="1"/>
    <x v="0"/>
    <n v="11119690.25"/>
    <x v="0"/>
    <x v="1"/>
    <x v="0"/>
    <x v="2"/>
    <x v="2"/>
    <x v="0"/>
    <x v="2"/>
    <x v="0"/>
    <x v="0"/>
    <n v="19"/>
    <x v="0"/>
  </r>
  <r>
    <d v="2023-04-19T00:00:00"/>
    <x v="3"/>
    <x v="3"/>
    <x v="0"/>
    <n v="1134273018.5599999"/>
    <x v="3"/>
    <x v="3"/>
    <x v="0"/>
    <x v="6"/>
    <x v="2"/>
    <x v="0"/>
    <x v="2"/>
    <x v="0"/>
    <x v="0"/>
    <n v="19"/>
    <x v="0"/>
  </r>
  <r>
    <d v="2023-04-19T00:00:00"/>
    <x v="2"/>
    <x v="1"/>
    <x v="0"/>
    <n v="168415690.13999999"/>
    <x v="2"/>
    <x v="1"/>
    <x v="0"/>
    <x v="7"/>
    <x v="2"/>
    <x v="0"/>
    <x v="2"/>
    <x v="0"/>
    <x v="0"/>
    <n v="19"/>
    <x v="0"/>
  </r>
  <r>
    <d v="2023-04-19T00:00:00"/>
    <x v="3"/>
    <x v="2"/>
    <x v="2"/>
    <n v="271769.46000000002"/>
    <x v="3"/>
    <x v="2"/>
    <x v="2"/>
    <x v="4"/>
    <x v="2"/>
    <x v="0"/>
    <x v="2"/>
    <x v="0"/>
    <x v="0"/>
    <n v="19"/>
    <x v="0"/>
  </r>
  <r>
    <d v="2023-04-19T00:00:00"/>
    <x v="0"/>
    <x v="1"/>
    <x v="1"/>
    <n v="15726007.9"/>
    <x v="0"/>
    <x v="1"/>
    <x v="1"/>
    <x v="3"/>
    <x v="2"/>
    <x v="0"/>
    <x v="2"/>
    <x v="0"/>
    <x v="0"/>
    <n v="19"/>
    <x v="0"/>
  </r>
  <r>
    <d v="2023-04-19T00:00:00"/>
    <x v="2"/>
    <x v="1"/>
    <x v="2"/>
    <n v="22632.68"/>
    <x v="2"/>
    <x v="1"/>
    <x v="2"/>
    <x v="5"/>
    <x v="2"/>
    <x v="0"/>
    <x v="2"/>
    <x v="0"/>
    <x v="0"/>
    <n v="19"/>
    <x v="0"/>
  </r>
  <r>
    <d v="2023-04-19T00:00:00"/>
    <x v="2"/>
    <x v="1"/>
    <x v="1"/>
    <n v="981538845.63999999"/>
    <x v="2"/>
    <x v="1"/>
    <x v="1"/>
    <x v="8"/>
    <x v="2"/>
    <x v="0"/>
    <x v="2"/>
    <x v="0"/>
    <x v="0"/>
    <n v="19"/>
    <x v="0"/>
  </r>
  <r>
    <d v="2023-04-19T00:00:00"/>
    <x v="1"/>
    <x v="0"/>
    <x v="0"/>
    <n v="114258792.94"/>
    <x v="1"/>
    <x v="0"/>
    <x v="0"/>
    <x v="9"/>
    <x v="2"/>
    <x v="0"/>
    <x v="2"/>
    <x v="0"/>
    <x v="0"/>
    <n v="19"/>
    <x v="0"/>
  </r>
  <r>
    <d v="2023-04-19T00:00:00"/>
    <x v="1"/>
    <x v="0"/>
    <x v="1"/>
    <n v="8469646313"/>
    <x v="1"/>
    <x v="0"/>
    <x v="1"/>
    <x v="10"/>
    <x v="2"/>
    <x v="0"/>
    <x v="2"/>
    <x v="0"/>
    <x v="0"/>
    <n v="19"/>
    <x v="0"/>
  </r>
  <r>
    <d v="2023-04-19T00:00:00"/>
    <x v="3"/>
    <x v="2"/>
    <x v="0"/>
    <n v="295572906.69"/>
    <x v="3"/>
    <x v="2"/>
    <x v="0"/>
    <x v="11"/>
    <x v="2"/>
    <x v="0"/>
    <x v="2"/>
    <x v="0"/>
    <x v="0"/>
    <n v="19"/>
    <x v="0"/>
  </r>
  <r>
    <d v="2023-04-19T00:00:00"/>
    <x v="3"/>
    <x v="1"/>
    <x v="0"/>
    <n v="15548930.07"/>
    <x v="3"/>
    <x v="1"/>
    <x v="0"/>
    <x v="12"/>
    <x v="2"/>
    <x v="0"/>
    <x v="2"/>
    <x v="0"/>
    <x v="0"/>
    <n v="19"/>
    <x v="0"/>
  </r>
  <r>
    <d v="2023-04-19T00:00:00"/>
    <x v="3"/>
    <x v="2"/>
    <x v="1"/>
    <n v="46731635782.739998"/>
    <x v="3"/>
    <x v="2"/>
    <x v="1"/>
    <x v="13"/>
    <x v="2"/>
    <x v="0"/>
    <x v="2"/>
    <x v="0"/>
    <x v="0"/>
    <n v="19"/>
    <x v="0"/>
  </r>
  <r>
    <d v="2023-04-18T00:00:00"/>
    <x v="0"/>
    <x v="1"/>
    <x v="0"/>
    <n v="102404676.90000001"/>
    <x v="0"/>
    <x v="1"/>
    <x v="0"/>
    <x v="0"/>
    <x v="2"/>
    <x v="0"/>
    <x v="2"/>
    <x v="0"/>
    <x v="0"/>
    <n v="18"/>
    <x v="0"/>
  </r>
  <r>
    <d v="2023-04-18T00:00:00"/>
    <x v="3"/>
    <x v="3"/>
    <x v="1"/>
    <n v="932128.18"/>
    <x v="3"/>
    <x v="3"/>
    <x v="1"/>
    <x v="1"/>
    <x v="2"/>
    <x v="0"/>
    <x v="2"/>
    <x v="0"/>
    <x v="0"/>
    <n v="18"/>
    <x v="0"/>
  </r>
  <r>
    <d v="2023-04-18T00:00:00"/>
    <x v="2"/>
    <x v="1"/>
    <x v="0"/>
    <n v="87112492.840000004"/>
    <x v="2"/>
    <x v="1"/>
    <x v="0"/>
    <x v="6"/>
    <x v="2"/>
    <x v="0"/>
    <x v="2"/>
    <x v="0"/>
    <x v="0"/>
    <n v="18"/>
    <x v="0"/>
  </r>
  <r>
    <d v="2023-04-18T00:00:00"/>
    <x v="2"/>
    <x v="1"/>
    <x v="2"/>
    <n v="6539.75"/>
    <x v="2"/>
    <x v="1"/>
    <x v="2"/>
    <x v="4"/>
    <x v="2"/>
    <x v="0"/>
    <x v="2"/>
    <x v="0"/>
    <x v="0"/>
    <n v="18"/>
    <x v="0"/>
  </r>
  <r>
    <d v="2023-04-18T00:00:00"/>
    <x v="2"/>
    <x v="1"/>
    <x v="1"/>
    <n v="726109930.60000002"/>
    <x v="2"/>
    <x v="1"/>
    <x v="1"/>
    <x v="8"/>
    <x v="2"/>
    <x v="0"/>
    <x v="2"/>
    <x v="0"/>
    <x v="0"/>
    <n v="18"/>
    <x v="0"/>
  </r>
  <r>
    <d v="2023-04-18T00:00:00"/>
    <x v="0"/>
    <x v="1"/>
    <x v="1"/>
    <n v="4240231.4000000004"/>
    <x v="0"/>
    <x v="1"/>
    <x v="1"/>
    <x v="2"/>
    <x v="2"/>
    <x v="0"/>
    <x v="2"/>
    <x v="0"/>
    <x v="0"/>
    <n v="18"/>
    <x v="0"/>
  </r>
  <r>
    <d v="2023-04-18T00:00:00"/>
    <x v="3"/>
    <x v="2"/>
    <x v="2"/>
    <n v="723931.95"/>
    <x v="3"/>
    <x v="2"/>
    <x v="2"/>
    <x v="5"/>
    <x v="2"/>
    <x v="0"/>
    <x v="2"/>
    <x v="0"/>
    <x v="0"/>
    <n v="18"/>
    <x v="0"/>
  </r>
  <r>
    <d v="2023-04-18T00:00:00"/>
    <x v="3"/>
    <x v="3"/>
    <x v="0"/>
    <n v="1062973047.59"/>
    <x v="3"/>
    <x v="3"/>
    <x v="0"/>
    <x v="7"/>
    <x v="2"/>
    <x v="0"/>
    <x v="2"/>
    <x v="0"/>
    <x v="0"/>
    <n v="18"/>
    <x v="0"/>
  </r>
  <r>
    <d v="2023-04-18T00:00:00"/>
    <x v="1"/>
    <x v="1"/>
    <x v="0"/>
    <n v="96299.15"/>
    <x v="1"/>
    <x v="1"/>
    <x v="0"/>
    <x v="3"/>
    <x v="2"/>
    <x v="0"/>
    <x v="2"/>
    <x v="0"/>
    <x v="0"/>
    <n v="18"/>
    <x v="0"/>
  </r>
  <r>
    <d v="2023-04-18T00:00:00"/>
    <x v="1"/>
    <x v="0"/>
    <x v="0"/>
    <n v="65387849.049999997"/>
    <x v="1"/>
    <x v="0"/>
    <x v="0"/>
    <x v="9"/>
    <x v="2"/>
    <x v="0"/>
    <x v="2"/>
    <x v="0"/>
    <x v="0"/>
    <n v="18"/>
    <x v="0"/>
  </r>
  <r>
    <d v="2023-04-18T00:00:00"/>
    <x v="1"/>
    <x v="0"/>
    <x v="1"/>
    <n v="17435543487.700001"/>
    <x v="1"/>
    <x v="0"/>
    <x v="1"/>
    <x v="10"/>
    <x v="2"/>
    <x v="0"/>
    <x v="2"/>
    <x v="0"/>
    <x v="0"/>
    <n v="18"/>
    <x v="0"/>
  </r>
  <r>
    <d v="2023-04-18T00:00:00"/>
    <x v="3"/>
    <x v="2"/>
    <x v="0"/>
    <n v="680284318.91999996"/>
    <x v="3"/>
    <x v="2"/>
    <x v="0"/>
    <x v="11"/>
    <x v="2"/>
    <x v="0"/>
    <x v="2"/>
    <x v="0"/>
    <x v="0"/>
    <n v="18"/>
    <x v="0"/>
  </r>
  <r>
    <d v="2023-04-18T00:00:00"/>
    <x v="3"/>
    <x v="1"/>
    <x v="0"/>
    <n v="12189267.09"/>
    <x v="3"/>
    <x v="1"/>
    <x v="0"/>
    <x v="12"/>
    <x v="2"/>
    <x v="0"/>
    <x v="2"/>
    <x v="0"/>
    <x v="0"/>
    <n v="18"/>
    <x v="0"/>
  </r>
  <r>
    <d v="2023-04-18T00:00:00"/>
    <x v="3"/>
    <x v="2"/>
    <x v="1"/>
    <n v="111652829516.47"/>
    <x v="3"/>
    <x v="2"/>
    <x v="1"/>
    <x v="13"/>
    <x v="2"/>
    <x v="0"/>
    <x v="2"/>
    <x v="0"/>
    <x v="0"/>
    <n v="18"/>
    <x v="0"/>
  </r>
  <r>
    <d v="2023-04-17T00:00:00"/>
    <x v="0"/>
    <x v="1"/>
    <x v="0"/>
    <n v="11270006.699999999"/>
    <x v="0"/>
    <x v="1"/>
    <x v="0"/>
    <x v="0"/>
    <x v="2"/>
    <x v="0"/>
    <x v="2"/>
    <x v="0"/>
    <x v="0"/>
    <n v="17"/>
    <x v="0"/>
  </r>
  <r>
    <d v="2023-04-17T00:00:00"/>
    <x v="3"/>
    <x v="2"/>
    <x v="2"/>
    <n v="108817.22"/>
    <x v="3"/>
    <x v="2"/>
    <x v="2"/>
    <x v="5"/>
    <x v="2"/>
    <x v="0"/>
    <x v="2"/>
    <x v="0"/>
    <x v="0"/>
    <n v="17"/>
    <x v="0"/>
  </r>
  <r>
    <d v="2023-04-17T00:00:00"/>
    <x v="2"/>
    <x v="1"/>
    <x v="2"/>
    <n v="8268.67"/>
    <x v="2"/>
    <x v="1"/>
    <x v="2"/>
    <x v="1"/>
    <x v="2"/>
    <x v="0"/>
    <x v="2"/>
    <x v="0"/>
    <x v="0"/>
    <n v="17"/>
    <x v="0"/>
  </r>
  <r>
    <d v="2023-04-17T00:00:00"/>
    <x v="1"/>
    <x v="1"/>
    <x v="0"/>
    <n v="13730.66"/>
    <x v="1"/>
    <x v="1"/>
    <x v="0"/>
    <x v="4"/>
    <x v="2"/>
    <x v="0"/>
    <x v="2"/>
    <x v="0"/>
    <x v="0"/>
    <n v="17"/>
    <x v="0"/>
  </r>
  <r>
    <d v="2023-04-17T00:00:00"/>
    <x v="2"/>
    <x v="1"/>
    <x v="0"/>
    <n v="70781367.219999999"/>
    <x v="2"/>
    <x v="1"/>
    <x v="0"/>
    <x v="6"/>
    <x v="2"/>
    <x v="0"/>
    <x v="2"/>
    <x v="0"/>
    <x v="0"/>
    <n v="17"/>
    <x v="0"/>
  </r>
  <r>
    <d v="2023-04-17T00:00:00"/>
    <x v="3"/>
    <x v="3"/>
    <x v="0"/>
    <n v="1724584319.4100001"/>
    <x v="3"/>
    <x v="3"/>
    <x v="0"/>
    <x v="7"/>
    <x v="2"/>
    <x v="0"/>
    <x v="2"/>
    <x v="0"/>
    <x v="0"/>
    <n v="17"/>
    <x v="0"/>
  </r>
  <r>
    <d v="2023-04-17T00:00:00"/>
    <x v="2"/>
    <x v="1"/>
    <x v="1"/>
    <n v="253874582.43000001"/>
    <x v="2"/>
    <x v="1"/>
    <x v="1"/>
    <x v="8"/>
    <x v="2"/>
    <x v="0"/>
    <x v="2"/>
    <x v="0"/>
    <x v="0"/>
    <n v="17"/>
    <x v="0"/>
  </r>
  <r>
    <d v="2023-04-17T00:00:00"/>
    <x v="3"/>
    <x v="3"/>
    <x v="1"/>
    <n v="7797816.71"/>
    <x v="3"/>
    <x v="3"/>
    <x v="1"/>
    <x v="2"/>
    <x v="2"/>
    <x v="0"/>
    <x v="2"/>
    <x v="0"/>
    <x v="0"/>
    <n v="17"/>
    <x v="0"/>
  </r>
  <r>
    <d v="2023-04-17T00:00:00"/>
    <x v="0"/>
    <x v="1"/>
    <x v="1"/>
    <n v="16886614.239999998"/>
    <x v="0"/>
    <x v="1"/>
    <x v="1"/>
    <x v="3"/>
    <x v="2"/>
    <x v="0"/>
    <x v="2"/>
    <x v="0"/>
    <x v="0"/>
    <n v="17"/>
    <x v="0"/>
  </r>
  <r>
    <d v="2023-04-17T00:00:00"/>
    <x v="1"/>
    <x v="0"/>
    <x v="0"/>
    <n v="55879200.979999997"/>
    <x v="1"/>
    <x v="0"/>
    <x v="0"/>
    <x v="9"/>
    <x v="2"/>
    <x v="0"/>
    <x v="2"/>
    <x v="0"/>
    <x v="0"/>
    <n v="17"/>
    <x v="0"/>
  </r>
  <r>
    <d v="2023-04-17T00:00:00"/>
    <x v="1"/>
    <x v="0"/>
    <x v="1"/>
    <n v="3782985775.1599998"/>
    <x v="1"/>
    <x v="0"/>
    <x v="1"/>
    <x v="10"/>
    <x v="2"/>
    <x v="0"/>
    <x v="2"/>
    <x v="0"/>
    <x v="0"/>
    <n v="17"/>
    <x v="0"/>
  </r>
  <r>
    <d v="2023-04-17T00:00:00"/>
    <x v="3"/>
    <x v="2"/>
    <x v="0"/>
    <n v="515053332.70999998"/>
    <x v="3"/>
    <x v="2"/>
    <x v="0"/>
    <x v="11"/>
    <x v="2"/>
    <x v="0"/>
    <x v="2"/>
    <x v="0"/>
    <x v="0"/>
    <n v="17"/>
    <x v="0"/>
  </r>
  <r>
    <d v="2023-04-17T00:00:00"/>
    <x v="3"/>
    <x v="1"/>
    <x v="0"/>
    <n v="50978563.549999997"/>
    <x v="3"/>
    <x v="1"/>
    <x v="0"/>
    <x v="12"/>
    <x v="2"/>
    <x v="0"/>
    <x v="2"/>
    <x v="0"/>
    <x v="0"/>
    <n v="17"/>
    <x v="0"/>
  </r>
  <r>
    <d v="2023-04-17T00:00:00"/>
    <x v="3"/>
    <x v="2"/>
    <x v="1"/>
    <n v="72222966493.339996"/>
    <x v="3"/>
    <x v="2"/>
    <x v="1"/>
    <x v="13"/>
    <x v="2"/>
    <x v="0"/>
    <x v="2"/>
    <x v="0"/>
    <x v="0"/>
    <n v="17"/>
    <x v="0"/>
  </r>
  <r>
    <d v="2023-04-14T00:00:00"/>
    <x v="1"/>
    <x v="1"/>
    <x v="0"/>
    <n v="118250.31"/>
    <x v="1"/>
    <x v="1"/>
    <x v="0"/>
    <x v="0"/>
    <x v="2"/>
    <x v="0"/>
    <x v="2"/>
    <x v="0"/>
    <x v="0"/>
    <n v="14"/>
    <x v="0"/>
  </r>
  <r>
    <d v="2023-04-14T00:00:00"/>
    <x v="0"/>
    <x v="1"/>
    <x v="0"/>
    <n v="10088017.369999999"/>
    <x v="0"/>
    <x v="1"/>
    <x v="0"/>
    <x v="1"/>
    <x v="2"/>
    <x v="0"/>
    <x v="2"/>
    <x v="0"/>
    <x v="0"/>
    <n v="14"/>
    <x v="0"/>
  </r>
  <r>
    <d v="2023-04-14T00:00:00"/>
    <x v="2"/>
    <x v="1"/>
    <x v="2"/>
    <n v="14070.8"/>
    <x v="2"/>
    <x v="1"/>
    <x v="2"/>
    <x v="3"/>
    <x v="2"/>
    <x v="0"/>
    <x v="2"/>
    <x v="0"/>
    <x v="0"/>
    <n v="14"/>
    <x v="0"/>
  </r>
  <r>
    <d v="2023-04-14T00:00:00"/>
    <x v="2"/>
    <x v="1"/>
    <x v="1"/>
    <n v="429283531.51999998"/>
    <x v="2"/>
    <x v="1"/>
    <x v="1"/>
    <x v="7"/>
    <x v="2"/>
    <x v="0"/>
    <x v="2"/>
    <x v="0"/>
    <x v="0"/>
    <n v="14"/>
    <x v="0"/>
  </r>
  <r>
    <d v="2023-04-14T00:00:00"/>
    <x v="0"/>
    <x v="1"/>
    <x v="1"/>
    <n v="14220130.82"/>
    <x v="0"/>
    <x v="1"/>
    <x v="1"/>
    <x v="2"/>
    <x v="2"/>
    <x v="0"/>
    <x v="2"/>
    <x v="0"/>
    <x v="0"/>
    <n v="14"/>
    <x v="0"/>
  </r>
  <r>
    <d v="2023-04-14T00:00:00"/>
    <x v="1"/>
    <x v="0"/>
    <x v="0"/>
    <n v="70047763.239999995"/>
    <x v="1"/>
    <x v="0"/>
    <x v="0"/>
    <x v="8"/>
    <x v="2"/>
    <x v="0"/>
    <x v="2"/>
    <x v="0"/>
    <x v="0"/>
    <n v="14"/>
    <x v="0"/>
  </r>
  <r>
    <d v="2023-04-14T00:00:00"/>
    <x v="3"/>
    <x v="2"/>
    <x v="2"/>
    <n v="394192.31"/>
    <x v="3"/>
    <x v="2"/>
    <x v="2"/>
    <x v="4"/>
    <x v="2"/>
    <x v="0"/>
    <x v="2"/>
    <x v="0"/>
    <x v="0"/>
    <n v="14"/>
    <x v="0"/>
  </r>
  <r>
    <d v="2023-04-14T00:00:00"/>
    <x v="2"/>
    <x v="1"/>
    <x v="0"/>
    <n v="81744530.150000006"/>
    <x v="2"/>
    <x v="1"/>
    <x v="0"/>
    <x v="5"/>
    <x v="2"/>
    <x v="0"/>
    <x v="2"/>
    <x v="0"/>
    <x v="0"/>
    <n v="14"/>
    <x v="0"/>
  </r>
  <r>
    <d v="2023-04-14T00:00:00"/>
    <x v="3"/>
    <x v="3"/>
    <x v="0"/>
    <n v="1358399198.9000001"/>
    <x v="3"/>
    <x v="3"/>
    <x v="0"/>
    <x v="6"/>
    <x v="2"/>
    <x v="0"/>
    <x v="2"/>
    <x v="0"/>
    <x v="0"/>
    <n v="14"/>
    <x v="0"/>
  </r>
  <r>
    <d v="2023-04-14T00:00:00"/>
    <x v="1"/>
    <x v="0"/>
    <x v="1"/>
    <n v="2581663042.46"/>
    <x v="1"/>
    <x v="0"/>
    <x v="1"/>
    <x v="9"/>
    <x v="2"/>
    <x v="0"/>
    <x v="2"/>
    <x v="0"/>
    <x v="0"/>
    <n v="14"/>
    <x v="0"/>
  </r>
  <r>
    <d v="2023-04-14T00:00:00"/>
    <x v="3"/>
    <x v="2"/>
    <x v="0"/>
    <n v="718449530.10000002"/>
    <x v="3"/>
    <x v="2"/>
    <x v="0"/>
    <x v="10"/>
    <x v="2"/>
    <x v="0"/>
    <x v="2"/>
    <x v="0"/>
    <x v="0"/>
    <n v="14"/>
    <x v="0"/>
  </r>
  <r>
    <d v="2023-04-14T00:00:00"/>
    <x v="3"/>
    <x v="1"/>
    <x v="0"/>
    <n v="15134498.82"/>
    <x v="3"/>
    <x v="1"/>
    <x v="0"/>
    <x v="11"/>
    <x v="2"/>
    <x v="0"/>
    <x v="2"/>
    <x v="0"/>
    <x v="0"/>
    <n v="14"/>
    <x v="0"/>
  </r>
  <r>
    <d v="2023-04-14T00:00:00"/>
    <x v="3"/>
    <x v="2"/>
    <x v="1"/>
    <n v="52194487478.150002"/>
    <x v="3"/>
    <x v="2"/>
    <x v="1"/>
    <x v="12"/>
    <x v="2"/>
    <x v="0"/>
    <x v="2"/>
    <x v="0"/>
    <x v="0"/>
    <n v="14"/>
    <x v="0"/>
  </r>
  <r>
    <d v="2023-04-13T00:00:00"/>
    <x v="1"/>
    <x v="1"/>
    <x v="0"/>
    <n v="37104.839999999997"/>
    <x v="1"/>
    <x v="1"/>
    <x v="0"/>
    <x v="0"/>
    <x v="2"/>
    <x v="0"/>
    <x v="2"/>
    <x v="0"/>
    <x v="0"/>
    <n v="13"/>
    <x v="0"/>
  </r>
  <r>
    <d v="2023-04-13T00:00:00"/>
    <x v="0"/>
    <x v="1"/>
    <x v="0"/>
    <n v="21201008.870000001"/>
    <x v="0"/>
    <x v="1"/>
    <x v="0"/>
    <x v="1"/>
    <x v="2"/>
    <x v="0"/>
    <x v="2"/>
    <x v="0"/>
    <x v="0"/>
    <n v="13"/>
    <x v="0"/>
  </r>
  <r>
    <d v="2023-04-13T00:00:00"/>
    <x v="3"/>
    <x v="3"/>
    <x v="2"/>
    <n v="293072.34999999998"/>
    <x v="3"/>
    <x v="3"/>
    <x v="2"/>
    <x v="2"/>
    <x v="2"/>
    <x v="0"/>
    <x v="2"/>
    <x v="0"/>
    <x v="0"/>
    <n v="13"/>
    <x v="0"/>
  </r>
  <r>
    <d v="2023-04-13T00:00:00"/>
    <x v="0"/>
    <x v="1"/>
    <x v="1"/>
    <n v="27773355.82"/>
    <x v="0"/>
    <x v="1"/>
    <x v="1"/>
    <x v="4"/>
    <x v="2"/>
    <x v="0"/>
    <x v="2"/>
    <x v="0"/>
    <x v="0"/>
    <n v="13"/>
    <x v="0"/>
  </r>
  <r>
    <d v="2023-04-13T00:00:00"/>
    <x v="3"/>
    <x v="3"/>
    <x v="0"/>
    <n v="1517259772.3499999"/>
    <x v="3"/>
    <x v="3"/>
    <x v="0"/>
    <x v="7"/>
    <x v="2"/>
    <x v="0"/>
    <x v="2"/>
    <x v="0"/>
    <x v="0"/>
    <n v="13"/>
    <x v="0"/>
  </r>
  <r>
    <d v="2023-04-13T00:00:00"/>
    <x v="2"/>
    <x v="1"/>
    <x v="0"/>
    <n v="72737556.200000003"/>
    <x v="2"/>
    <x v="1"/>
    <x v="0"/>
    <x v="8"/>
    <x v="2"/>
    <x v="0"/>
    <x v="2"/>
    <x v="0"/>
    <x v="0"/>
    <n v="13"/>
    <x v="0"/>
  </r>
  <r>
    <d v="2023-04-13T00:00:00"/>
    <x v="2"/>
    <x v="1"/>
    <x v="2"/>
    <n v="8017.66"/>
    <x v="2"/>
    <x v="1"/>
    <x v="2"/>
    <x v="5"/>
    <x v="2"/>
    <x v="0"/>
    <x v="2"/>
    <x v="0"/>
    <x v="0"/>
    <n v="13"/>
    <x v="0"/>
  </r>
  <r>
    <d v="2023-04-13T00:00:00"/>
    <x v="2"/>
    <x v="1"/>
    <x v="1"/>
    <n v="279728715.01999998"/>
    <x v="2"/>
    <x v="1"/>
    <x v="1"/>
    <x v="9"/>
    <x v="2"/>
    <x v="0"/>
    <x v="2"/>
    <x v="0"/>
    <x v="0"/>
    <n v="13"/>
    <x v="0"/>
  </r>
  <r>
    <d v="2023-04-13T00:00:00"/>
    <x v="3"/>
    <x v="2"/>
    <x v="2"/>
    <n v="163480.85"/>
    <x v="3"/>
    <x v="2"/>
    <x v="2"/>
    <x v="6"/>
    <x v="2"/>
    <x v="0"/>
    <x v="2"/>
    <x v="0"/>
    <x v="0"/>
    <n v="13"/>
    <x v="0"/>
  </r>
  <r>
    <d v="2023-04-13T00:00:00"/>
    <x v="3"/>
    <x v="3"/>
    <x v="1"/>
    <n v="3193069.51"/>
    <x v="3"/>
    <x v="3"/>
    <x v="1"/>
    <x v="3"/>
    <x v="2"/>
    <x v="0"/>
    <x v="2"/>
    <x v="0"/>
    <x v="0"/>
    <n v="13"/>
    <x v="0"/>
  </r>
  <r>
    <d v="2023-04-13T00:00:00"/>
    <x v="1"/>
    <x v="0"/>
    <x v="0"/>
    <n v="70651219.480000004"/>
    <x v="1"/>
    <x v="0"/>
    <x v="0"/>
    <x v="10"/>
    <x v="2"/>
    <x v="0"/>
    <x v="2"/>
    <x v="0"/>
    <x v="0"/>
    <n v="13"/>
    <x v="0"/>
  </r>
  <r>
    <d v="2023-04-13T00:00:00"/>
    <x v="1"/>
    <x v="0"/>
    <x v="1"/>
    <n v="3743073057.6599998"/>
    <x v="1"/>
    <x v="0"/>
    <x v="1"/>
    <x v="11"/>
    <x v="2"/>
    <x v="0"/>
    <x v="2"/>
    <x v="0"/>
    <x v="0"/>
    <n v="13"/>
    <x v="0"/>
  </r>
  <r>
    <d v="2023-04-13T00:00:00"/>
    <x v="3"/>
    <x v="2"/>
    <x v="0"/>
    <n v="369711863.05000001"/>
    <x v="3"/>
    <x v="2"/>
    <x v="0"/>
    <x v="12"/>
    <x v="2"/>
    <x v="0"/>
    <x v="2"/>
    <x v="0"/>
    <x v="0"/>
    <n v="13"/>
    <x v="0"/>
  </r>
  <r>
    <d v="2023-04-13T00:00:00"/>
    <x v="3"/>
    <x v="1"/>
    <x v="0"/>
    <n v="14236275.82"/>
    <x v="3"/>
    <x v="1"/>
    <x v="0"/>
    <x v="13"/>
    <x v="2"/>
    <x v="0"/>
    <x v="2"/>
    <x v="0"/>
    <x v="0"/>
    <n v="13"/>
    <x v="0"/>
  </r>
  <r>
    <d v="2023-04-13T00:00:00"/>
    <x v="3"/>
    <x v="2"/>
    <x v="1"/>
    <n v="19782257006.639999"/>
    <x v="3"/>
    <x v="2"/>
    <x v="1"/>
    <x v="14"/>
    <x v="2"/>
    <x v="0"/>
    <x v="2"/>
    <x v="0"/>
    <x v="0"/>
    <n v="13"/>
    <x v="0"/>
  </r>
  <r>
    <d v="2023-04-12T00:00:00"/>
    <x v="1"/>
    <x v="1"/>
    <x v="0"/>
    <n v="46708.88"/>
    <x v="1"/>
    <x v="1"/>
    <x v="0"/>
    <x v="0"/>
    <x v="2"/>
    <x v="0"/>
    <x v="2"/>
    <x v="0"/>
    <x v="0"/>
    <n v="12"/>
    <x v="0"/>
  </r>
  <r>
    <d v="2023-04-12T00:00:00"/>
    <x v="0"/>
    <x v="1"/>
    <x v="0"/>
    <n v="17035419.09"/>
    <x v="0"/>
    <x v="1"/>
    <x v="0"/>
    <x v="1"/>
    <x v="2"/>
    <x v="0"/>
    <x v="2"/>
    <x v="0"/>
    <x v="0"/>
    <n v="12"/>
    <x v="0"/>
  </r>
  <r>
    <d v="2023-04-12T00:00:00"/>
    <x v="2"/>
    <x v="1"/>
    <x v="2"/>
    <n v="20985.21"/>
    <x v="2"/>
    <x v="1"/>
    <x v="2"/>
    <x v="2"/>
    <x v="2"/>
    <x v="0"/>
    <x v="2"/>
    <x v="0"/>
    <x v="0"/>
    <n v="12"/>
    <x v="0"/>
  </r>
  <r>
    <d v="2023-04-12T00:00:00"/>
    <x v="2"/>
    <x v="1"/>
    <x v="0"/>
    <n v="87970590.939999998"/>
    <x v="2"/>
    <x v="1"/>
    <x v="0"/>
    <x v="6"/>
    <x v="2"/>
    <x v="0"/>
    <x v="2"/>
    <x v="0"/>
    <x v="0"/>
    <n v="12"/>
    <x v="0"/>
  </r>
  <r>
    <d v="2023-04-12T00:00:00"/>
    <x v="3"/>
    <x v="3"/>
    <x v="0"/>
    <n v="1063790967.62"/>
    <x v="3"/>
    <x v="3"/>
    <x v="0"/>
    <x v="7"/>
    <x v="2"/>
    <x v="0"/>
    <x v="2"/>
    <x v="0"/>
    <x v="0"/>
    <n v="12"/>
    <x v="0"/>
  </r>
  <r>
    <d v="2023-04-12T00:00:00"/>
    <x v="3"/>
    <x v="2"/>
    <x v="2"/>
    <n v="147423"/>
    <x v="3"/>
    <x v="2"/>
    <x v="2"/>
    <x v="5"/>
    <x v="2"/>
    <x v="0"/>
    <x v="2"/>
    <x v="0"/>
    <x v="0"/>
    <n v="12"/>
    <x v="0"/>
  </r>
  <r>
    <d v="2023-04-12T00:00:00"/>
    <x v="1"/>
    <x v="0"/>
    <x v="0"/>
    <n v="112058875.45999999"/>
    <x v="1"/>
    <x v="0"/>
    <x v="0"/>
    <x v="9"/>
    <x v="2"/>
    <x v="0"/>
    <x v="2"/>
    <x v="0"/>
    <x v="0"/>
    <n v="12"/>
    <x v="0"/>
  </r>
  <r>
    <d v="2023-04-12T00:00:00"/>
    <x v="3"/>
    <x v="3"/>
    <x v="1"/>
    <n v="110378.87"/>
    <x v="3"/>
    <x v="3"/>
    <x v="1"/>
    <x v="3"/>
    <x v="2"/>
    <x v="0"/>
    <x v="2"/>
    <x v="0"/>
    <x v="0"/>
    <n v="12"/>
    <x v="0"/>
  </r>
  <r>
    <d v="2023-04-12T00:00:00"/>
    <x v="0"/>
    <x v="1"/>
    <x v="1"/>
    <n v="8584914.9600000009"/>
    <x v="0"/>
    <x v="1"/>
    <x v="1"/>
    <x v="4"/>
    <x v="2"/>
    <x v="0"/>
    <x v="2"/>
    <x v="0"/>
    <x v="0"/>
    <n v="12"/>
    <x v="0"/>
  </r>
  <r>
    <d v="2023-04-12T00:00:00"/>
    <x v="2"/>
    <x v="1"/>
    <x v="1"/>
    <n v="586785510.37"/>
    <x v="2"/>
    <x v="1"/>
    <x v="1"/>
    <x v="8"/>
    <x v="2"/>
    <x v="0"/>
    <x v="2"/>
    <x v="0"/>
    <x v="0"/>
    <n v="12"/>
    <x v="0"/>
  </r>
  <r>
    <d v="2023-04-12T00:00:00"/>
    <x v="1"/>
    <x v="0"/>
    <x v="1"/>
    <n v="4318120047.1999998"/>
    <x v="1"/>
    <x v="0"/>
    <x v="1"/>
    <x v="10"/>
    <x v="2"/>
    <x v="0"/>
    <x v="2"/>
    <x v="0"/>
    <x v="0"/>
    <n v="12"/>
    <x v="0"/>
  </r>
  <r>
    <d v="2023-04-12T00:00:00"/>
    <x v="3"/>
    <x v="2"/>
    <x v="0"/>
    <n v="362643391.52999997"/>
    <x v="3"/>
    <x v="2"/>
    <x v="0"/>
    <x v="11"/>
    <x v="2"/>
    <x v="0"/>
    <x v="2"/>
    <x v="0"/>
    <x v="0"/>
    <n v="12"/>
    <x v="0"/>
  </r>
  <r>
    <d v="2023-04-12T00:00:00"/>
    <x v="3"/>
    <x v="1"/>
    <x v="0"/>
    <n v="14711027.5"/>
    <x v="3"/>
    <x v="1"/>
    <x v="0"/>
    <x v="12"/>
    <x v="2"/>
    <x v="0"/>
    <x v="2"/>
    <x v="0"/>
    <x v="0"/>
    <n v="12"/>
    <x v="0"/>
  </r>
  <r>
    <d v="2023-04-12T00:00:00"/>
    <x v="3"/>
    <x v="2"/>
    <x v="1"/>
    <n v="20943265794.919998"/>
    <x v="3"/>
    <x v="2"/>
    <x v="1"/>
    <x v="13"/>
    <x v="2"/>
    <x v="0"/>
    <x v="2"/>
    <x v="0"/>
    <x v="0"/>
    <n v="12"/>
    <x v="0"/>
  </r>
  <r>
    <d v="2023-04-11T00:00:00"/>
    <x v="1"/>
    <x v="1"/>
    <x v="0"/>
    <n v="149789.49"/>
    <x v="1"/>
    <x v="1"/>
    <x v="0"/>
    <x v="0"/>
    <x v="2"/>
    <x v="0"/>
    <x v="2"/>
    <x v="0"/>
    <x v="0"/>
    <n v="11"/>
    <x v="0"/>
  </r>
  <r>
    <d v="2023-04-11T00:00:00"/>
    <x v="0"/>
    <x v="1"/>
    <x v="0"/>
    <n v="9146142.3599999994"/>
    <x v="0"/>
    <x v="1"/>
    <x v="0"/>
    <x v="1"/>
    <x v="2"/>
    <x v="0"/>
    <x v="2"/>
    <x v="0"/>
    <x v="0"/>
    <n v="11"/>
    <x v="0"/>
  </r>
  <r>
    <d v="2023-04-11T00:00:00"/>
    <x v="2"/>
    <x v="1"/>
    <x v="2"/>
    <n v="14006.04"/>
    <x v="2"/>
    <x v="1"/>
    <x v="2"/>
    <x v="2"/>
    <x v="2"/>
    <x v="0"/>
    <x v="2"/>
    <x v="0"/>
    <x v="0"/>
    <n v="11"/>
    <x v="0"/>
  </r>
  <r>
    <d v="2023-04-11T00:00:00"/>
    <x v="3"/>
    <x v="3"/>
    <x v="0"/>
    <n v="902150998.41999996"/>
    <x v="3"/>
    <x v="3"/>
    <x v="0"/>
    <x v="6"/>
    <x v="2"/>
    <x v="0"/>
    <x v="2"/>
    <x v="0"/>
    <x v="0"/>
    <n v="11"/>
    <x v="0"/>
  </r>
  <r>
    <d v="2023-04-11T00:00:00"/>
    <x v="2"/>
    <x v="1"/>
    <x v="0"/>
    <n v="72196523.650000006"/>
    <x v="2"/>
    <x v="1"/>
    <x v="0"/>
    <x v="7"/>
    <x v="2"/>
    <x v="0"/>
    <x v="2"/>
    <x v="0"/>
    <x v="0"/>
    <n v="11"/>
    <x v="0"/>
  </r>
  <r>
    <d v="2023-04-11T00:00:00"/>
    <x v="2"/>
    <x v="1"/>
    <x v="1"/>
    <n v="271677063.23000002"/>
    <x v="2"/>
    <x v="1"/>
    <x v="1"/>
    <x v="8"/>
    <x v="2"/>
    <x v="0"/>
    <x v="2"/>
    <x v="0"/>
    <x v="0"/>
    <n v="11"/>
    <x v="0"/>
  </r>
  <r>
    <d v="2023-04-11T00:00:00"/>
    <x v="1"/>
    <x v="0"/>
    <x v="0"/>
    <n v="60443770.57"/>
    <x v="1"/>
    <x v="0"/>
    <x v="0"/>
    <x v="9"/>
    <x v="2"/>
    <x v="0"/>
    <x v="2"/>
    <x v="0"/>
    <x v="0"/>
    <n v="11"/>
    <x v="0"/>
  </r>
  <r>
    <d v="2023-04-11T00:00:00"/>
    <x v="3"/>
    <x v="3"/>
    <x v="1"/>
    <n v="7285145.1799999997"/>
    <x v="3"/>
    <x v="3"/>
    <x v="1"/>
    <x v="3"/>
    <x v="2"/>
    <x v="0"/>
    <x v="2"/>
    <x v="0"/>
    <x v="0"/>
    <n v="11"/>
    <x v="0"/>
  </r>
  <r>
    <d v="2023-04-11T00:00:00"/>
    <x v="0"/>
    <x v="1"/>
    <x v="1"/>
    <n v="6110172.0499999998"/>
    <x v="0"/>
    <x v="1"/>
    <x v="1"/>
    <x v="4"/>
    <x v="2"/>
    <x v="0"/>
    <x v="2"/>
    <x v="0"/>
    <x v="0"/>
    <n v="11"/>
    <x v="0"/>
  </r>
  <r>
    <d v="2023-04-11T00:00:00"/>
    <x v="3"/>
    <x v="2"/>
    <x v="2"/>
    <n v="113512.67"/>
    <x v="3"/>
    <x v="2"/>
    <x v="2"/>
    <x v="5"/>
    <x v="2"/>
    <x v="0"/>
    <x v="2"/>
    <x v="0"/>
    <x v="0"/>
    <n v="11"/>
    <x v="0"/>
  </r>
  <r>
    <d v="2023-04-11T00:00:00"/>
    <x v="1"/>
    <x v="0"/>
    <x v="1"/>
    <n v="2038559475.8499999"/>
    <x v="1"/>
    <x v="0"/>
    <x v="1"/>
    <x v="10"/>
    <x v="2"/>
    <x v="0"/>
    <x v="2"/>
    <x v="0"/>
    <x v="0"/>
    <n v="11"/>
    <x v="0"/>
  </r>
  <r>
    <d v="2023-04-11T00:00:00"/>
    <x v="3"/>
    <x v="2"/>
    <x v="0"/>
    <n v="481701646.85000002"/>
    <x v="3"/>
    <x v="2"/>
    <x v="0"/>
    <x v="11"/>
    <x v="2"/>
    <x v="0"/>
    <x v="2"/>
    <x v="0"/>
    <x v="0"/>
    <n v="11"/>
    <x v="0"/>
  </r>
  <r>
    <d v="2023-04-11T00:00:00"/>
    <x v="3"/>
    <x v="1"/>
    <x v="0"/>
    <n v="12161185.539999999"/>
    <x v="3"/>
    <x v="1"/>
    <x v="0"/>
    <x v="12"/>
    <x v="2"/>
    <x v="0"/>
    <x v="2"/>
    <x v="0"/>
    <x v="0"/>
    <n v="11"/>
    <x v="0"/>
  </r>
  <r>
    <d v="2023-04-11T00:00:00"/>
    <x v="3"/>
    <x v="2"/>
    <x v="1"/>
    <n v="9723606693.5599995"/>
    <x v="3"/>
    <x v="2"/>
    <x v="1"/>
    <x v="13"/>
    <x v="2"/>
    <x v="0"/>
    <x v="2"/>
    <x v="0"/>
    <x v="0"/>
    <n v="11"/>
    <x v="0"/>
  </r>
  <r>
    <d v="2023-04-10T00:00:00"/>
    <x v="1"/>
    <x v="1"/>
    <x v="0"/>
    <n v="9235.94"/>
    <x v="1"/>
    <x v="1"/>
    <x v="0"/>
    <x v="0"/>
    <x v="2"/>
    <x v="0"/>
    <x v="2"/>
    <x v="0"/>
    <x v="0"/>
    <n v="10"/>
    <x v="0"/>
  </r>
  <r>
    <d v="2023-04-10T00:00:00"/>
    <x v="0"/>
    <x v="1"/>
    <x v="0"/>
    <n v="9598204.4600000009"/>
    <x v="0"/>
    <x v="1"/>
    <x v="0"/>
    <x v="1"/>
    <x v="2"/>
    <x v="0"/>
    <x v="2"/>
    <x v="0"/>
    <x v="0"/>
    <n v="10"/>
    <x v="0"/>
  </r>
  <r>
    <d v="2023-04-10T00:00:00"/>
    <x v="3"/>
    <x v="2"/>
    <x v="2"/>
    <n v="90952.1"/>
    <x v="3"/>
    <x v="2"/>
    <x v="2"/>
    <x v="4"/>
    <x v="2"/>
    <x v="0"/>
    <x v="2"/>
    <x v="0"/>
    <x v="0"/>
    <n v="10"/>
    <x v="0"/>
  </r>
  <r>
    <d v="2023-04-10T00:00:00"/>
    <x v="2"/>
    <x v="1"/>
    <x v="0"/>
    <n v="100589702.52"/>
    <x v="2"/>
    <x v="1"/>
    <x v="0"/>
    <x v="5"/>
    <x v="2"/>
    <x v="0"/>
    <x v="2"/>
    <x v="0"/>
    <x v="0"/>
    <n v="10"/>
    <x v="0"/>
  </r>
  <r>
    <d v="2023-04-10T00:00:00"/>
    <x v="2"/>
    <x v="1"/>
    <x v="1"/>
    <n v="191420411.66"/>
    <x v="2"/>
    <x v="1"/>
    <x v="1"/>
    <x v="6"/>
    <x v="2"/>
    <x v="0"/>
    <x v="2"/>
    <x v="0"/>
    <x v="0"/>
    <n v="10"/>
    <x v="0"/>
  </r>
  <r>
    <d v="2023-04-10T00:00:00"/>
    <x v="2"/>
    <x v="1"/>
    <x v="2"/>
    <n v="8519.61"/>
    <x v="2"/>
    <x v="1"/>
    <x v="2"/>
    <x v="3"/>
    <x v="2"/>
    <x v="0"/>
    <x v="2"/>
    <x v="0"/>
    <x v="0"/>
    <n v="10"/>
    <x v="0"/>
  </r>
  <r>
    <d v="2023-04-10T00:00:00"/>
    <x v="0"/>
    <x v="1"/>
    <x v="1"/>
    <n v="1851655.29"/>
    <x v="0"/>
    <x v="1"/>
    <x v="1"/>
    <x v="2"/>
    <x v="2"/>
    <x v="0"/>
    <x v="2"/>
    <x v="0"/>
    <x v="0"/>
    <n v="10"/>
    <x v="0"/>
  </r>
  <r>
    <d v="2023-04-10T00:00:00"/>
    <x v="1"/>
    <x v="0"/>
    <x v="0"/>
    <n v="40046397.159999996"/>
    <x v="1"/>
    <x v="0"/>
    <x v="0"/>
    <x v="8"/>
    <x v="2"/>
    <x v="0"/>
    <x v="2"/>
    <x v="0"/>
    <x v="0"/>
    <n v="10"/>
    <x v="0"/>
  </r>
  <r>
    <d v="2023-04-10T00:00:00"/>
    <x v="1"/>
    <x v="0"/>
    <x v="1"/>
    <n v="1613792979.7"/>
    <x v="1"/>
    <x v="0"/>
    <x v="1"/>
    <x v="9"/>
    <x v="2"/>
    <x v="0"/>
    <x v="2"/>
    <x v="0"/>
    <x v="0"/>
    <n v="10"/>
    <x v="0"/>
  </r>
  <r>
    <d v="2023-04-10T00:00:00"/>
    <x v="3"/>
    <x v="3"/>
    <x v="0"/>
    <n v="1057703216"/>
    <x v="3"/>
    <x v="3"/>
    <x v="0"/>
    <x v="7"/>
    <x v="2"/>
    <x v="0"/>
    <x v="2"/>
    <x v="0"/>
    <x v="0"/>
    <n v="10"/>
    <x v="0"/>
  </r>
  <r>
    <d v="2023-04-10T00:00:00"/>
    <x v="3"/>
    <x v="2"/>
    <x v="0"/>
    <n v="393987456.27999997"/>
    <x v="3"/>
    <x v="2"/>
    <x v="0"/>
    <x v="10"/>
    <x v="2"/>
    <x v="0"/>
    <x v="2"/>
    <x v="0"/>
    <x v="0"/>
    <n v="10"/>
    <x v="0"/>
  </r>
  <r>
    <d v="2023-04-10T00:00:00"/>
    <x v="3"/>
    <x v="2"/>
    <x v="1"/>
    <n v="26604756282.23"/>
    <x v="3"/>
    <x v="2"/>
    <x v="1"/>
    <x v="11"/>
    <x v="2"/>
    <x v="0"/>
    <x v="2"/>
    <x v="0"/>
    <x v="0"/>
    <n v="10"/>
    <x v="0"/>
  </r>
  <r>
    <d v="2023-04-10T00:00:00"/>
    <x v="3"/>
    <x v="1"/>
    <x v="0"/>
    <n v="45606214.310000002"/>
    <x v="3"/>
    <x v="1"/>
    <x v="0"/>
    <x v="12"/>
    <x v="2"/>
    <x v="0"/>
    <x v="2"/>
    <x v="0"/>
    <x v="0"/>
    <n v="10"/>
    <x v="0"/>
  </r>
  <r>
    <d v="2023-04-07T00:00:00"/>
    <x v="0"/>
    <x v="0"/>
    <x v="0"/>
    <n v="100"/>
    <x v="0"/>
    <x v="0"/>
    <x v="0"/>
    <x v="0"/>
    <x v="2"/>
    <x v="0"/>
    <x v="2"/>
    <x v="0"/>
    <x v="0"/>
    <n v="7"/>
    <x v="0"/>
  </r>
  <r>
    <d v="2023-04-07T00:00:00"/>
    <x v="1"/>
    <x v="1"/>
    <x v="0"/>
    <n v="85017.7"/>
    <x v="1"/>
    <x v="1"/>
    <x v="0"/>
    <x v="1"/>
    <x v="2"/>
    <x v="0"/>
    <x v="2"/>
    <x v="0"/>
    <x v="0"/>
    <n v="7"/>
    <x v="0"/>
  </r>
  <r>
    <d v="2023-04-07T00:00:00"/>
    <x v="0"/>
    <x v="1"/>
    <x v="0"/>
    <n v="16876441.93"/>
    <x v="0"/>
    <x v="1"/>
    <x v="0"/>
    <x v="2"/>
    <x v="2"/>
    <x v="0"/>
    <x v="2"/>
    <x v="0"/>
    <x v="0"/>
    <n v="7"/>
    <x v="0"/>
  </r>
  <r>
    <d v="2023-04-07T00:00:00"/>
    <x v="2"/>
    <x v="1"/>
    <x v="0"/>
    <n v="93485167.980000004"/>
    <x v="2"/>
    <x v="1"/>
    <x v="0"/>
    <x v="7"/>
    <x v="2"/>
    <x v="0"/>
    <x v="2"/>
    <x v="0"/>
    <x v="0"/>
    <n v="7"/>
    <x v="0"/>
  </r>
  <r>
    <d v="2023-04-07T00:00:00"/>
    <x v="2"/>
    <x v="1"/>
    <x v="1"/>
    <n v="163958540.81999999"/>
    <x v="2"/>
    <x v="1"/>
    <x v="1"/>
    <x v="8"/>
    <x v="2"/>
    <x v="0"/>
    <x v="2"/>
    <x v="0"/>
    <x v="0"/>
    <n v="7"/>
    <x v="0"/>
  </r>
  <r>
    <d v="2023-04-07T00:00:00"/>
    <x v="0"/>
    <x v="1"/>
    <x v="1"/>
    <n v="12253207.48"/>
    <x v="0"/>
    <x v="1"/>
    <x v="1"/>
    <x v="3"/>
    <x v="2"/>
    <x v="0"/>
    <x v="2"/>
    <x v="0"/>
    <x v="0"/>
    <n v="7"/>
    <x v="0"/>
  </r>
  <r>
    <d v="2023-04-07T00:00:00"/>
    <x v="2"/>
    <x v="1"/>
    <x v="2"/>
    <n v="7714.1"/>
    <x v="2"/>
    <x v="1"/>
    <x v="2"/>
    <x v="4"/>
    <x v="2"/>
    <x v="0"/>
    <x v="2"/>
    <x v="0"/>
    <x v="0"/>
    <n v="7"/>
    <x v="0"/>
  </r>
  <r>
    <d v="2023-04-07T00:00:00"/>
    <x v="3"/>
    <x v="2"/>
    <x v="2"/>
    <n v="160017.51999999999"/>
    <x v="3"/>
    <x v="2"/>
    <x v="2"/>
    <x v="5"/>
    <x v="2"/>
    <x v="0"/>
    <x v="2"/>
    <x v="0"/>
    <x v="0"/>
    <n v="7"/>
    <x v="0"/>
  </r>
  <r>
    <d v="2023-04-07T00:00:00"/>
    <x v="3"/>
    <x v="3"/>
    <x v="0"/>
    <n v="958423618.12"/>
    <x v="3"/>
    <x v="3"/>
    <x v="0"/>
    <x v="6"/>
    <x v="2"/>
    <x v="0"/>
    <x v="2"/>
    <x v="0"/>
    <x v="0"/>
    <n v="7"/>
    <x v="0"/>
  </r>
  <r>
    <d v="2023-04-07T00:00:00"/>
    <x v="1"/>
    <x v="0"/>
    <x v="0"/>
    <n v="42142175.5"/>
    <x v="1"/>
    <x v="0"/>
    <x v="0"/>
    <x v="9"/>
    <x v="2"/>
    <x v="0"/>
    <x v="2"/>
    <x v="0"/>
    <x v="0"/>
    <n v="7"/>
    <x v="0"/>
  </r>
  <r>
    <d v="2023-04-07T00:00:00"/>
    <x v="1"/>
    <x v="0"/>
    <x v="1"/>
    <n v="626441017.21000004"/>
    <x v="1"/>
    <x v="0"/>
    <x v="1"/>
    <x v="10"/>
    <x v="2"/>
    <x v="0"/>
    <x v="2"/>
    <x v="0"/>
    <x v="0"/>
    <n v="7"/>
    <x v="0"/>
  </r>
  <r>
    <d v="2023-04-07T00:00:00"/>
    <x v="3"/>
    <x v="2"/>
    <x v="0"/>
    <n v="973460280.30999994"/>
    <x v="3"/>
    <x v="2"/>
    <x v="0"/>
    <x v="11"/>
    <x v="2"/>
    <x v="0"/>
    <x v="2"/>
    <x v="0"/>
    <x v="0"/>
    <n v="7"/>
    <x v="0"/>
  </r>
  <r>
    <d v="2023-04-07T00:00:00"/>
    <x v="3"/>
    <x v="1"/>
    <x v="0"/>
    <n v="16080792.42"/>
    <x v="3"/>
    <x v="1"/>
    <x v="0"/>
    <x v="12"/>
    <x v="2"/>
    <x v="0"/>
    <x v="2"/>
    <x v="0"/>
    <x v="0"/>
    <n v="7"/>
    <x v="0"/>
  </r>
  <r>
    <d v="2023-04-07T00:00:00"/>
    <x v="3"/>
    <x v="2"/>
    <x v="1"/>
    <n v="10995024645.059999"/>
    <x v="3"/>
    <x v="2"/>
    <x v="1"/>
    <x v="13"/>
    <x v="2"/>
    <x v="0"/>
    <x v="2"/>
    <x v="0"/>
    <x v="0"/>
    <n v="7"/>
    <x v="0"/>
  </r>
  <r>
    <d v="2023-04-06T00:00:00"/>
    <x v="0"/>
    <x v="0"/>
    <x v="0"/>
    <n v="0"/>
    <x v="0"/>
    <x v="0"/>
    <x v="0"/>
    <x v="0"/>
    <x v="2"/>
    <x v="0"/>
    <x v="2"/>
    <x v="0"/>
    <x v="0"/>
    <n v="6"/>
    <x v="0"/>
  </r>
  <r>
    <d v="2023-04-06T00:00:00"/>
    <x v="1"/>
    <x v="1"/>
    <x v="0"/>
    <n v="29037.119999999999"/>
    <x v="1"/>
    <x v="1"/>
    <x v="0"/>
    <x v="1"/>
    <x v="2"/>
    <x v="0"/>
    <x v="2"/>
    <x v="0"/>
    <x v="0"/>
    <n v="6"/>
    <x v="0"/>
  </r>
  <r>
    <d v="2023-04-06T00:00:00"/>
    <x v="0"/>
    <x v="1"/>
    <x v="0"/>
    <n v="18513605.870000001"/>
    <x v="0"/>
    <x v="1"/>
    <x v="0"/>
    <x v="2"/>
    <x v="2"/>
    <x v="0"/>
    <x v="2"/>
    <x v="0"/>
    <x v="0"/>
    <n v="6"/>
    <x v="0"/>
  </r>
  <r>
    <d v="2023-04-06T00:00:00"/>
    <x v="2"/>
    <x v="1"/>
    <x v="2"/>
    <n v="67932.22"/>
    <x v="2"/>
    <x v="1"/>
    <x v="2"/>
    <x v="4"/>
    <x v="2"/>
    <x v="0"/>
    <x v="2"/>
    <x v="0"/>
    <x v="0"/>
    <n v="6"/>
    <x v="0"/>
  </r>
  <r>
    <d v="2023-04-06T00:00:00"/>
    <x v="3"/>
    <x v="3"/>
    <x v="0"/>
    <n v="1163540106.1500001"/>
    <x v="3"/>
    <x v="3"/>
    <x v="0"/>
    <x v="7"/>
    <x v="2"/>
    <x v="0"/>
    <x v="2"/>
    <x v="0"/>
    <x v="0"/>
    <n v="6"/>
    <x v="0"/>
  </r>
  <r>
    <d v="2023-04-06T00:00:00"/>
    <x v="3"/>
    <x v="2"/>
    <x v="2"/>
    <n v="347998.59"/>
    <x v="3"/>
    <x v="2"/>
    <x v="2"/>
    <x v="5"/>
    <x v="2"/>
    <x v="0"/>
    <x v="2"/>
    <x v="0"/>
    <x v="0"/>
    <n v="6"/>
    <x v="0"/>
  </r>
  <r>
    <d v="2023-04-06T00:00:00"/>
    <x v="0"/>
    <x v="1"/>
    <x v="1"/>
    <n v="437137.52"/>
    <x v="0"/>
    <x v="1"/>
    <x v="1"/>
    <x v="3"/>
    <x v="2"/>
    <x v="0"/>
    <x v="2"/>
    <x v="0"/>
    <x v="0"/>
    <n v="6"/>
    <x v="0"/>
  </r>
  <r>
    <d v="2023-04-06T00:00:00"/>
    <x v="1"/>
    <x v="0"/>
    <x v="1"/>
    <n v="1343334277.47"/>
    <x v="1"/>
    <x v="0"/>
    <x v="1"/>
    <x v="10"/>
    <x v="2"/>
    <x v="0"/>
    <x v="2"/>
    <x v="0"/>
    <x v="0"/>
    <n v="6"/>
    <x v="0"/>
  </r>
  <r>
    <d v="2023-04-06T00:00:00"/>
    <x v="2"/>
    <x v="1"/>
    <x v="0"/>
    <n v="98605214.969999999"/>
    <x v="2"/>
    <x v="1"/>
    <x v="0"/>
    <x v="6"/>
    <x v="2"/>
    <x v="0"/>
    <x v="2"/>
    <x v="0"/>
    <x v="0"/>
    <n v="6"/>
    <x v="0"/>
  </r>
  <r>
    <d v="2023-04-06T00:00:00"/>
    <x v="2"/>
    <x v="1"/>
    <x v="1"/>
    <n v="214610926.49000001"/>
    <x v="2"/>
    <x v="1"/>
    <x v="1"/>
    <x v="8"/>
    <x v="2"/>
    <x v="0"/>
    <x v="2"/>
    <x v="0"/>
    <x v="0"/>
    <n v="6"/>
    <x v="0"/>
  </r>
  <r>
    <d v="2023-04-06T00:00:00"/>
    <x v="1"/>
    <x v="0"/>
    <x v="0"/>
    <n v="65371859.850000001"/>
    <x v="1"/>
    <x v="0"/>
    <x v="0"/>
    <x v="9"/>
    <x v="2"/>
    <x v="0"/>
    <x v="2"/>
    <x v="0"/>
    <x v="0"/>
    <n v="6"/>
    <x v="0"/>
  </r>
  <r>
    <d v="2023-04-06T00:00:00"/>
    <x v="3"/>
    <x v="2"/>
    <x v="0"/>
    <n v="511918851.33999997"/>
    <x v="3"/>
    <x v="2"/>
    <x v="0"/>
    <x v="11"/>
    <x v="2"/>
    <x v="0"/>
    <x v="2"/>
    <x v="0"/>
    <x v="0"/>
    <n v="6"/>
    <x v="0"/>
  </r>
  <r>
    <d v="2023-04-06T00:00:00"/>
    <x v="3"/>
    <x v="1"/>
    <x v="0"/>
    <n v="15987660.68"/>
    <x v="3"/>
    <x v="1"/>
    <x v="0"/>
    <x v="12"/>
    <x v="2"/>
    <x v="0"/>
    <x v="2"/>
    <x v="0"/>
    <x v="0"/>
    <n v="6"/>
    <x v="0"/>
  </r>
  <r>
    <d v="2023-04-06T00:00:00"/>
    <x v="3"/>
    <x v="2"/>
    <x v="1"/>
    <n v="8259038950.75"/>
    <x v="3"/>
    <x v="2"/>
    <x v="1"/>
    <x v="13"/>
    <x v="2"/>
    <x v="0"/>
    <x v="2"/>
    <x v="0"/>
    <x v="0"/>
    <n v="6"/>
    <x v="0"/>
  </r>
  <r>
    <d v="2023-04-05T00:00:00"/>
    <x v="1"/>
    <x v="1"/>
    <x v="0"/>
    <n v="51732.52"/>
    <x v="1"/>
    <x v="1"/>
    <x v="0"/>
    <x v="0"/>
    <x v="2"/>
    <x v="0"/>
    <x v="2"/>
    <x v="0"/>
    <x v="0"/>
    <n v="5"/>
    <x v="0"/>
  </r>
  <r>
    <d v="2023-04-05T00:00:00"/>
    <x v="0"/>
    <x v="1"/>
    <x v="0"/>
    <n v="8607820.9100000001"/>
    <x v="0"/>
    <x v="1"/>
    <x v="0"/>
    <x v="1"/>
    <x v="2"/>
    <x v="0"/>
    <x v="2"/>
    <x v="0"/>
    <x v="0"/>
    <n v="5"/>
    <x v="0"/>
  </r>
  <r>
    <d v="2023-04-05T00:00:00"/>
    <x v="3"/>
    <x v="2"/>
    <x v="2"/>
    <n v="319987.3"/>
    <x v="3"/>
    <x v="2"/>
    <x v="2"/>
    <x v="5"/>
    <x v="2"/>
    <x v="0"/>
    <x v="2"/>
    <x v="0"/>
    <x v="0"/>
    <n v="5"/>
    <x v="0"/>
  </r>
  <r>
    <d v="2023-04-05T00:00:00"/>
    <x v="2"/>
    <x v="1"/>
    <x v="2"/>
    <n v="27750.09"/>
    <x v="2"/>
    <x v="1"/>
    <x v="2"/>
    <x v="2"/>
    <x v="2"/>
    <x v="0"/>
    <x v="2"/>
    <x v="0"/>
    <x v="0"/>
    <n v="5"/>
    <x v="0"/>
  </r>
  <r>
    <d v="2023-04-05T00:00:00"/>
    <x v="2"/>
    <x v="1"/>
    <x v="0"/>
    <n v="108584462.43000001"/>
    <x v="2"/>
    <x v="1"/>
    <x v="0"/>
    <x v="6"/>
    <x v="2"/>
    <x v="0"/>
    <x v="2"/>
    <x v="0"/>
    <x v="0"/>
    <n v="5"/>
    <x v="0"/>
  </r>
  <r>
    <d v="2023-04-05T00:00:00"/>
    <x v="3"/>
    <x v="3"/>
    <x v="0"/>
    <n v="1352684126.1199999"/>
    <x v="3"/>
    <x v="3"/>
    <x v="0"/>
    <x v="7"/>
    <x v="2"/>
    <x v="0"/>
    <x v="2"/>
    <x v="0"/>
    <x v="0"/>
    <n v="5"/>
    <x v="0"/>
  </r>
  <r>
    <d v="2023-04-05T00:00:00"/>
    <x v="2"/>
    <x v="1"/>
    <x v="1"/>
    <n v="220697491.88"/>
    <x v="2"/>
    <x v="1"/>
    <x v="1"/>
    <x v="8"/>
    <x v="2"/>
    <x v="0"/>
    <x v="2"/>
    <x v="0"/>
    <x v="0"/>
    <n v="5"/>
    <x v="0"/>
  </r>
  <r>
    <d v="2023-04-05T00:00:00"/>
    <x v="1"/>
    <x v="0"/>
    <x v="0"/>
    <n v="89893823.709999993"/>
    <x v="1"/>
    <x v="0"/>
    <x v="0"/>
    <x v="9"/>
    <x v="2"/>
    <x v="0"/>
    <x v="2"/>
    <x v="0"/>
    <x v="0"/>
    <n v="5"/>
    <x v="0"/>
  </r>
  <r>
    <d v="2023-04-05T00:00:00"/>
    <x v="3"/>
    <x v="3"/>
    <x v="1"/>
    <n v="92010.04"/>
    <x v="3"/>
    <x v="3"/>
    <x v="1"/>
    <x v="3"/>
    <x v="2"/>
    <x v="0"/>
    <x v="2"/>
    <x v="0"/>
    <x v="0"/>
    <n v="5"/>
    <x v="0"/>
  </r>
  <r>
    <d v="2023-04-05T00:00:00"/>
    <x v="0"/>
    <x v="1"/>
    <x v="1"/>
    <n v="5305533.49"/>
    <x v="0"/>
    <x v="1"/>
    <x v="1"/>
    <x v="4"/>
    <x v="2"/>
    <x v="0"/>
    <x v="2"/>
    <x v="0"/>
    <x v="0"/>
    <n v="5"/>
    <x v="0"/>
  </r>
  <r>
    <d v="2023-04-05T00:00:00"/>
    <x v="1"/>
    <x v="0"/>
    <x v="1"/>
    <n v="2534950495.0599999"/>
    <x v="1"/>
    <x v="0"/>
    <x v="1"/>
    <x v="10"/>
    <x v="2"/>
    <x v="0"/>
    <x v="2"/>
    <x v="0"/>
    <x v="0"/>
    <n v="5"/>
    <x v="0"/>
  </r>
  <r>
    <d v="2023-04-05T00:00:00"/>
    <x v="3"/>
    <x v="2"/>
    <x v="0"/>
    <n v="417063562.17000002"/>
    <x v="3"/>
    <x v="2"/>
    <x v="0"/>
    <x v="11"/>
    <x v="2"/>
    <x v="0"/>
    <x v="2"/>
    <x v="0"/>
    <x v="0"/>
    <n v="5"/>
    <x v="0"/>
  </r>
  <r>
    <d v="2023-04-05T00:00:00"/>
    <x v="3"/>
    <x v="1"/>
    <x v="0"/>
    <n v="16004789.109999999"/>
    <x v="3"/>
    <x v="1"/>
    <x v="0"/>
    <x v="12"/>
    <x v="2"/>
    <x v="0"/>
    <x v="2"/>
    <x v="0"/>
    <x v="0"/>
    <n v="5"/>
    <x v="0"/>
  </r>
  <r>
    <d v="2023-04-05T00:00:00"/>
    <x v="3"/>
    <x v="2"/>
    <x v="1"/>
    <n v="15058696806.6"/>
    <x v="3"/>
    <x v="2"/>
    <x v="1"/>
    <x v="13"/>
    <x v="2"/>
    <x v="0"/>
    <x v="2"/>
    <x v="0"/>
    <x v="0"/>
    <n v="5"/>
    <x v="0"/>
  </r>
  <r>
    <d v="2023-04-04T00:00:00"/>
    <x v="0"/>
    <x v="0"/>
    <x v="0"/>
    <n v="400"/>
    <x v="0"/>
    <x v="0"/>
    <x v="0"/>
    <x v="0"/>
    <x v="2"/>
    <x v="0"/>
    <x v="2"/>
    <x v="0"/>
    <x v="0"/>
    <n v="4"/>
    <x v="0"/>
  </r>
  <r>
    <d v="2023-04-04T00:00:00"/>
    <x v="1"/>
    <x v="1"/>
    <x v="0"/>
    <n v="20601.78"/>
    <x v="1"/>
    <x v="1"/>
    <x v="0"/>
    <x v="1"/>
    <x v="2"/>
    <x v="0"/>
    <x v="2"/>
    <x v="0"/>
    <x v="0"/>
    <n v="4"/>
    <x v="0"/>
  </r>
  <r>
    <d v="2023-04-04T00:00:00"/>
    <x v="0"/>
    <x v="1"/>
    <x v="0"/>
    <n v="16541188.859999999"/>
    <x v="0"/>
    <x v="1"/>
    <x v="0"/>
    <x v="2"/>
    <x v="2"/>
    <x v="0"/>
    <x v="2"/>
    <x v="0"/>
    <x v="0"/>
    <n v="4"/>
    <x v="0"/>
  </r>
  <r>
    <d v="2023-04-04T00:00:00"/>
    <x v="2"/>
    <x v="1"/>
    <x v="2"/>
    <n v="8526.83"/>
    <x v="2"/>
    <x v="1"/>
    <x v="2"/>
    <x v="3"/>
    <x v="2"/>
    <x v="0"/>
    <x v="2"/>
    <x v="0"/>
    <x v="0"/>
    <n v="4"/>
    <x v="0"/>
  </r>
  <r>
    <d v="2023-04-04T00:00:00"/>
    <x v="3"/>
    <x v="2"/>
    <x v="2"/>
    <n v="268678.63"/>
    <x v="3"/>
    <x v="2"/>
    <x v="2"/>
    <x v="6"/>
    <x v="2"/>
    <x v="0"/>
    <x v="2"/>
    <x v="0"/>
    <x v="0"/>
    <n v="4"/>
    <x v="0"/>
  </r>
  <r>
    <d v="2023-04-04T00:00:00"/>
    <x v="1"/>
    <x v="0"/>
    <x v="1"/>
    <n v="833882610.63999999"/>
    <x v="1"/>
    <x v="0"/>
    <x v="1"/>
    <x v="10"/>
    <x v="2"/>
    <x v="0"/>
    <x v="2"/>
    <x v="0"/>
    <x v="0"/>
    <n v="4"/>
    <x v="0"/>
  </r>
  <r>
    <d v="2023-04-04T00:00:00"/>
    <x v="1"/>
    <x v="0"/>
    <x v="0"/>
    <n v="57161307.890000001"/>
    <x v="1"/>
    <x v="0"/>
    <x v="0"/>
    <x v="11"/>
    <x v="2"/>
    <x v="0"/>
    <x v="2"/>
    <x v="0"/>
    <x v="0"/>
    <n v="4"/>
    <x v="0"/>
  </r>
  <r>
    <d v="2023-04-04T00:00:00"/>
    <x v="0"/>
    <x v="0"/>
    <x v="1"/>
    <n v="-6540.85"/>
    <x v="0"/>
    <x v="0"/>
    <x v="1"/>
    <x v="4"/>
    <x v="2"/>
    <x v="0"/>
    <x v="2"/>
    <x v="0"/>
    <x v="0"/>
    <n v="4"/>
    <x v="1"/>
  </r>
  <r>
    <d v="2023-04-04T00:00:00"/>
    <x v="0"/>
    <x v="1"/>
    <x v="1"/>
    <n v="9829207.8599999994"/>
    <x v="0"/>
    <x v="1"/>
    <x v="1"/>
    <x v="5"/>
    <x v="2"/>
    <x v="0"/>
    <x v="2"/>
    <x v="0"/>
    <x v="0"/>
    <n v="4"/>
    <x v="0"/>
  </r>
  <r>
    <d v="2023-04-04T00:00:00"/>
    <x v="2"/>
    <x v="1"/>
    <x v="0"/>
    <n v="91838281.170000002"/>
    <x v="2"/>
    <x v="1"/>
    <x v="0"/>
    <x v="7"/>
    <x v="2"/>
    <x v="0"/>
    <x v="2"/>
    <x v="0"/>
    <x v="0"/>
    <n v="4"/>
    <x v="0"/>
  </r>
  <r>
    <d v="2023-04-04T00:00:00"/>
    <x v="2"/>
    <x v="1"/>
    <x v="1"/>
    <n v="145908221.12"/>
    <x v="2"/>
    <x v="1"/>
    <x v="1"/>
    <x v="8"/>
    <x v="2"/>
    <x v="0"/>
    <x v="2"/>
    <x v="0"/>
    <x v="0"/>
    <n v="4"/>
    <x v="0"/>
  </r>
  <r>
    <d v="2023-04-04T00:00:00"/>
    <x v="3"/>
    <x v="3"/>
    <x v="0"/>
    <n v="1771331025.8599999"/>
    <x v="3"/>
    <x v="3"/>
    <x v="0"/>
    <x v="9"/>
    <x v="2"/>
    <x v="0"/>
    <x v="2"/>
    <x v="0"/>
    <x v="0"/>
    <n v="4"/>
    <x v="0"/>
  </r>
  <r>
    <d v="2023-04-04T00:00:00"/>
    <x v="3"/>
    <x v="2"/>
    <x v="0"/>
    <n v="479830547.39999998"/>
    <x v="3"/>
    <x v="2"/>
    <x v="0"/>
    <x v="12"/>
    <x v="2"/>
    <x v="0"/>
    <x v="2"/>
    <x v="0"/>
    <x v="0"/>
    <n v="4"/>
    <x v="0"/>
  </r>
  <r>
    <d v="2023-04-04T00:00:00"/>
    <x v="3"/>
    <x v="1"/>
    <x v="0"/>
    <n v="13667232.039999999"/>
    <x v="3"/>
    <x v="1"/>
    <x v="0"/>
    <x v="13"/>
    <x v="2"/>
    <x v="0"/>
    <x v="2"/>
    <x v="0"/>
    <x v="0"/>
    <n v="4"/>
    <x v="0"/>
  </r>
  <r>
    <d v="2023-04-04T00:00:00"/>
    <x v="3"/>
    <x v="2"/>
    <x v="1"/>
    <n v="6983318475.5"/>
    <x v="3"/>
    <x v="2"/>
    <x v="1"/>
    <x v="14"/>
    <x v="2"/>
    <x v="0"/>
    <x v="2"/>
    <x v="0"/>
    <x v="0"/>
    <n v="4"/>
    <x v="0"/>
  </r>
  <r>
    <d v="2023-04-03T00:00:00"/>
    <x v="1"/>
    <x v="1"/>
    <x v="0"/>
    <n v="23920.62"/>
    <x v="1"/>
    <x v="1"/>
    <x v="0"/>
    <x v="0"/>
    <x v="2"/>
    <x v="0"/>
    <x v="2"/>
    <x v="0"/>
    <x v="0"/>
    <n v="3"/>
    <x v="0"/>
  </r>
  <r>
    <d v="2023-04-03T00:00:00"/>
    <x v="0"/>
    <x v="1"/>
    <x v="0"/>
    <n v="11619884.75"/>
    <x v="0"/>
    <x v="1"/>
    <x v="0"/>
    <x v="1"/>
    <x v="2"/>
    <x v="0"/>
    <x v="2"/>
    <x v="0"/>
    <x v="0"/>
    <n v="3"/>
    <x v="0"/>
  </r>
  <r>
    <d v="2023-04-03T00:00:00"/>
    <x v="2"/>
    <x v="1"/>
    <x v="2"/>
    <n v="70379.06"/>
    <x v="2"/>
    <x v="1"/>
    <x v="2"/>
    <x v="2"/>
    <x v="2"/>
    <x v="0"/>
    <x v="2"/>
    <x v="0"/>
    <x v="0"/>
    <n v="3"/>
    <x v="0"/>
  </r>
  <r>
    <d v="2023-04-03T00:00:00"/>
    <x v="3"/>
    <x v="3"/>
    <x v="0"/>
    <n v="4099085221.8000002"/>
    <x v="3"/>
    <x v="3"/>
    <x v="0"/>
    <x v="6"/>
    <x v="2"/>
    <x v="0"/>
    <x v="2"/>
    <x v="0"/>
    <x v="0"/>
    <n v="3"/>
    <x v="0"/>
  </r>
  <r>
    <d v="2023-04-03T00:00:00"/>
    <x v="0"/>
    <x v="1"/>
    <x v="1"/>
    <n v="11293352.98"/>
    <x v="0"/>
    <x v="1"/>
    <x v="1"/>
    <x v="4"/>
    <x v="2"/>
    <x v="0"/>
    <x v="2"/>
    <x v="0"/>
    <x v="0"/>
    <n v="3"/>
    <x v="0"/>
  </r>
  <r>
    <d v="2023-04-03T00:00:00"/>
    <x v="1"/>
    <x v="0"/>
    <x v="0"/>
    <n v="36775255.079999998"/>
    <x v="1"/>
    <x v="0"/>
    <x v="0"/>
    <x v="9"/>
    <x v="2"/>
    <x v="0"/>
    <x v="2"/>
    <x v="0"/>
    <x v="0"/>
    <n v="3"/>
    <x v="0"/>
  </r>
  <r>
    <d v="2023-04-03T00:00:00"/>
    <x v="3"/>
    <x v="2"/>
    <x v="2"/>
    <n v="178225.01"/>
    <x v="3"/>
    <x v="2"/>
    <x v="2"/>
    <x v="5"/>
    <x v="2"/>
    <x v="0"/>
    <x v="2"/>
    <x v="0"/>
    <x v="0"/>
    <n v="3"/>
    <x v="0"/>
  </r>
  <r>
    <d v="2023-04-03T00:00:00"/>
    <x v="2"/>
    <x v="1"/>
    <x v="0"/>
    <n v="88301771.819999993"/>
    <x v="2"/>
    <x v="1"/>
    <x v="0"/>
    <x v="7"/>
    <x v="2"/>
    <x v="0"/>
    <x v="2"/>
    <x v="0"/>
    <x v="0"/>
    <n v="3"/>
    <x v="0"/>
  </r>
  <r>
    <d v="2023-04-03T00:00:00"/>
    <x v="0"/>
    <x v="0"/>
    <x v="1"/>
    <n v="-21576.63"/>
    <x v="0"/>
    <x v="0"/>
    <x v="1"/>
    <x v="3"/>
    <x v="2"/>
    <x v="0"/>
    <x v="2"/>
    <x v="0"/>
    <x v="0"/>
    <n v="3"/>
    <x v="1"/>
  </r>
  <r>
    <d v="2023-04-03T00:00:00"/>
    <x v="2"/>
    <x v="1"/>
    <x v="1"/>
    <n v="113446357.01000001"/>
    <x v="2"/>
    <x v="1"/>
    <x v="1"/>
    <x v="8"/>
    <x v="2"/>
    <x v="0"/>
    <x v="2"/>
    <x v="0"/>
    <x v="0"/>
    <n v="3"/>
    <x v="0"/>
  </r>
  <r>
    <d v="2023-04-03T00:00:00"/>
    <x v="1"/>
    <x v="0"/>
    <x v="1"/>
    <n v="732858233.54999995"/>
    <x v="1"/>
    <x v="0"/>
    <x v="1"/>
    <x v="10"/>
    <x v="2"/>
    <x v="0"/>
    <x v="2"/>
    <x v="0"/>
    <x v="0"/>
    <n v="3"/>
    <x v="0"/>
  </r>
  <r>
    <d v="2023-04-03T00:00:00"/>
    <x v="3"/>
    <x v="2"/>
    <x v="0"/>
    <n v="1046957501.03"/>
    <x v="3"/>
    <x v="2"/>
    <x v="0"/>
    <x v="11"/>
    <x v="2"/>
    <x v="0"/>
    <x v="2"/>
    <x v="0"/>
    <x v="0"/>
    <n v="3"/>
    <x v="0"/>
  </r>
  <r>
    <d v="2023-04-03T00:00:00"/>
    <x v="3"/>
    <x v="2"/>
    <x v="1"/>
    <n v="51141810554.349998"/>
    <x v="3"/>
    <x v="2"/>
    <x v="1"/>
    <x v="12"/>
    <x v="2"/>
    <x v="0"/>
    <x v="2"/>
    <x v="0"/>
    <x v="0"/>
    <n v="3"/>
    <x v="0"/>
  </r>
  <r>
    <d v="2023-04-03T00:00:00"/>
    <x v="3"/>
    <x v="1"/>
    <x v="0"/>
    <n v="53129956.670000002"/>
    <x v="3"/>
    <x v="1"/>
    <x v="0"/>
    <x v="13"/>
    <x v="2"/>
    <x v="0"/>
    <x v="2"/>
    <x v="0"/>
    <x v="0"/>
    <n v="3"/>
    <x v="0"/>
  </r>
  <r>
    <d v="2023-03-31T00:00:00"/>
    <x v="1"/>
    <x v="1"/>
    <x v="0"/>
    <n v="16260.4"/>
    <x v="1"/>
    <x v="1"/>
    <x v="0"/>
    <x v="0"/>
    <x v="2"/>
    <x v="1"/>
    <x v="2"/>
    <x v="1"/>
    <x v="1"/>
    <n v="31"/>
    <x v="0"/>
  </r>
  <r>
    <d v="2023-03-31T00:00:00"/>
    <x v="0"/>
    <x v="1"/>
    <x v="0"/>
    <n v="10286730.220000001"/>
    <x v="0"/>
    <x v="1"/>
    <x v="0"/>
    <x v="1"/>
    <x v="2"/>
    <x v="1"/>
    <x v="2"/>
    <x v="1"/>
    <x v="1"/>
    <n v="31"/>
    <x v="0"/>
  </r>
  <r>
    <d v="2023-03-31T00:00:00"/>
    <x v="3"/>
    <x v="2"/>
    <x v="2"/>
    <n v="325904.5"/>
    <x v="3"/>
    <x v="2"/>
    <x v="2"/>
    <x v="5"/>
    <x v="2"/>
    <x v="1"/>
    <x v="2"/>
    <x v="1"/>
    <x v="1"/>
    <n v="31"/>
    <x v="0"/>
  </r>
  <r>
    <d v="2023-03-31T00:00:00"/>
    <x v="2"/>
    <x v="1"/>
    <x v="0"/>
    <n v="82792803.450000003"/>
    <x v="2"/>
    <x v="1"/>
    <x v="0"/>
    <x v="6"/>
    <x v="2"/>
    <x v="1"/>
    <x v="2"/>
    <x v="1"/>
    <x v="1"/>
    <n v="31"/>
    <x v="0"/>
  </r>
  <r>
    <d v="2023-03-31T00:00:00"/>
    <x v="2"/>
    <x v="1"/>
    <x v="2"/>
    <n v="5416.84"/>
    <x v="2"/>
    <x v="1"/>
    <x v="2"/>
    <x v="4"/>
    <x v="2"/>
    <x v="1"/>
    <x v="2"/>
    <x v="1"/>
    <x v="1"/>
    <n v="31"/>
    <x v="0"/>
  </r>
  <r>
    <d v="2023-03-31T00:00:00"/>
    <x v="3"/>
    <x v="3"/>
    <x v="0"/>
    <n v="4619380537.4300003"/>
    <x v="3"/>
    <x v="3"/>
    <x v="0"/>
    <x v="7"/>
    <x v="2"/>
    <x v="1"/>
    <x v="2"/>
    <x v="1"/>
    <x v="1"/>
    <n v="31"/>
    <x v="0"/>
  </r>
  <r>
    <d v="2023-03-31T00:00:00"/>
    <x v="2"/>
    <x v="1"/>
    <x v="1"/>
    <n v="246745136.18000001"/>
    <x v="2"/>
    <x v="1"/>
    <x v="1"/>
    <x v="8"/>
    <x v="2"/>
    <x v="1"/>
    <x v="2"/>
    <x v="1"/>
    <x v="1"/>
    <n v="31"/>
    <x v="0"/>
  </r>
  <r>
    <d v="2023-03-31T00:00:00"/>
    <x v="3"/>
    <x v="3"/>
    <x v="1"/>
    <n v="640612.67000000004"/>
    <x v="3"/>
    <x v="3"/>
    <x v="1"/>
    <x v="2"/>
    <x v="2"/>
    <x v="1"/>
    <x v="2"/>
    <x v="1"/>
    <x v="1"/>
    <n v="31"/>
    <x v="0"/>
  </r>
  <r>
    <d v="2023-03-31T00:00:00"/>
    <x v="0"/>
    <x v="1"/>
    <x v="1"/>
    <n v="10013482.689999999"/>
    <x v="0"/>
    <x v="1"/>
    <x v="1"/>
    <x v="3"/>
    <x v="2"/>
    <x v="1"/>
    <x v="2"/>
    <x v="1"/>
    <x v="1"/>
    <n v="31"/>
    <x v="0"/>
  </r>
  <r>
    <d v="2023-03-31T00:00:00"/>
    <x v="1"/>
    <x v="0"/>
    <x v="0"/>
    <n v="54248447.869999997"/>
    <x v="1"/>
    <x v="0"/>
    <x v="0"/>
    <x v="9"/>
    <x v="2"/>
    <x v="1"/>
    <x v="2"/>
    <x v="1"/>
    <x v="1"/>
    <n v="31"/>
    <x v="0"/>
  </r>
  <r>
    <d v="2023-03-31T00:00:00"/>
    <x v="1"/>
    <x v="0"/>
    <x v="1"/>
    <n v="448030264.80000001"/>
    <x v="1"/>
    <x v="0"/>
    <x v="1"/>
    <x v="10"/>
    <x v="2"/>
    <x v="1"/>
    <x v="2"/>
    <x v="1"/>
    <x v="1"/>
    <n v="31"/>
    <x v="0"/>
  </r>
  <r>
    <d v="2023-03-31T00:00:00"/>
    <x v="3"/>
    <x v="2"/>
    <x v="0"/>
    <n v="1701373984.1500001"/>
    <x v="3"/>
    <x v="2"/>
    <x v="0"/>
    <x v="11"/>
    <x v="2"/>
    <x v="1"/>
    <x v="2"/>
    <x v="1"/>
    <x v="1"/>
    <n v="31"/>
    <x v="0"/>
  </r>
  <r>
    <d v="2023-03-31T00:00:00"/>
    <x v="3"/>
    <x v="1"/>
    <x v="0"/>
    <n v="15715019.4"/>
    <x v="3"/>
    <x v="1"/>
    <x v="0"/>
    <x v="12"/>
    <x v="2"/>
    <x v="1"/>
    <x v="2"/>
    <x v="1"/>
    <x v="1"/>
    <n v="31"/>
    <x v="0"/>
  </r>
  <r>
    <d v="2023-03-31T00:00:00"/>
    <x v="3"/>
    <x v="2"/>
    <x v="1"/>
    <n v="15165026177.049999"/>
    <x v="3"/>
    <x v="2"/>
    <x v="1"/>
    <x v="13"/>
    <x v="2"/>
    <x v="1"/>
    <x v="2"/>
    <x v="1"/>
    <x v="1"/>
    <n v="31"/>
    <x v="0"/>
  </r>
  <r>
    <d v="2023-03-30T00:00:00"/>
    <x v="1"/>
    <x v="1"/>
    <x v="0"/>
    <n v="11399.31"/>
    <x v="1"/>
    <x v="1"/>
    <x v="0"/>
    <x v="0"/>
    <x v="2"/>
    <x v="1"/>
    <x v="2"/>
    <x v="1"/>
    <x v="1"/>
    <n v="30"/>
    <x v="0"/>
  </r>
  <r>
    <d v="2023-03-30T00:00:00"/>
    <x v="0"/>
    <x v="1"/>
    <x v="0"/>
    <n v="12034755.23"/>
    <x v="0"/>
    <x v="1"/>
    <x v="0"/>
    <x v="1"/>
    <x v="2"/>
    <x v="1"/>
    <x v="2"/>
    <x v="1"/>
    <x v="1"/>
    <n v="30"/>
    <x v="0"/>
  </r>
  <r>
    <d v="2023-03-30T00:00:00"/>
    <x v="2"/>
    <x v="1"/>
    <x v="2"/>
    <n v="55002"/>
    <x v="2"/>
    <x v="1"/>
    <x v="2"/>
    <x v="2"/>
    <x v="2"/>
    <x v="1"/>
    <x v="2"/>
    <x v="1"/>
    <x v="1"/>
    <n v="30"/>
    <x v="0"/>
  </r>
  <r>
    <d v="2023-03-30T00:00:00"/>
    <x v="2"/>
    <x v="1"/>
    <x v="0"/>
    <n v="79119673.959999993"/>
    <x v="2"/>
    <x v="1"/>
    <x v="0"/>
    <x v="6"/>
    <x v="2"/>
    <x v="1"/>
    <x v="2"/>
    <x v="1"/>
    <x v="1"/>
    <n v="30"/>
    <x v="0"/>
  </r>
  <r>
    <d v="2023-03-30T00:00:00"/>
    <x v="2"/>
    <x v="1"/>
    <x v="1"/>
    <n v="226669243.16999999"/>
    <x v="2"/>
    <x v="1"/>
    <x v="1"/>
    <x v="7"/>
    <x v="2"/>
    <x v="1"/>
    <x v="2"/>
    <x v="1"/>
    <x v="1"/>
    <n v="30"/>
    <x v="0"/>
  </r>
  <r>
    <d v="2023-03-30T00:00:00"/>
    <x v="0"/>
    <x v="1"/>
    <x v="1"/>
    <n v="5154364.99"/>
    <x v="0"/>
    <x v="1"/>
    <x v="1"/>
    <x v="3"/>
    <x v="2"/>
    <x v="1"/>
    <x v="2"/>
    <x v="1"/>
    <x v="1"/>
    <n v="30"/>
    <x v="0"/>
  </r>
  <r>
    <d v="2023-03-30T00:00:00"/>
    <x v="1"/>
    <x v="0"/>
    <x v="0"/>
    <n v="56719464.780000001"/>
    <x v="1"/>
    <x v="0"/>
    <x v="0"/>
    <x v="8"/>
    <x v="2"/>
    <x v="1"/>
    <x v="2"/>
    <x v="1"/>
    <x v="1"/>
    <n v="30"/>
    <x v="0"/>
  </r>
  <r>
    <d v="2023-03-30T00:00:00"/>
    <x v="3"/>
    <x v="2"/>
    <x v="2"/>
    <n v="377088"/>
    <x v="3"/>
    <x v="2"/>
    <x v="2"/>
    <x v="4"/>
    <x v="2"/>
    <x v="1"/>
    <x v="2"/>
    <x v="1"/>
    <x v="1"/>
    <n v="30"/>
    <x v="0"/>
  </r>
  <r>
    <d v="2023-03-30T00:00:00"/>
    <x v="3"/>
    <x v="3"/>
    <x v="0"/>
    <n v="2517782878.1500001"/>
    <x v="3"/>
    <x v="3"/>
    <x v="0"/>
    <x v="5"/>
    <x v="2"/>
    <x v="1"/>
    <x v="2"/>
    <x v="1"/>
    <x v="1"/>
    <n v="30"/>
    <x v="0"/>
  </r>
  <r>
    <d v="2023-03-30T00:00:00"/>
    <x v="1"/>
    <x v="0"/>
    <x v="1"/>
    <n v="613088639.15999997"/>
    <x v="1"/>
    <x v="0"/>
    <x v="1"/>
    <x v="9"/>
    <x v="2"/>
    <x v="1"/>
    <x v="2"/>
    <x v="1"/>
    <x v="1"/>
    <n v="30"/>
    <x v="0"/>
  </r>
  <r>
    <d v="2023-03-30T00:00:00"/>
    <x v="3"/>
    <x v="2"/>
    <x v="0"/>
    <n v="354408594.35000002"/>
    <x v="3"/>
    <x v="2"/>
    <x v="0"/>
    <x v="10"/>
    <x v="2"/>
    <x v="1"/>
    <x v="2"/>
    <x v="1"/>
    <x v="1"/>
    <n v="30"/>
    <x v="0"/>
  </r>
  <r>
    <d v="2023-03-30T00:00:00"/>
    <x v="3"/>
    <x v="1"/>
    <x v="0"/>
    <n v="15197163.800000001"/>
    <x v="3"/>
    <x v="1"/>
    <x v="0"/>
    <x v="11"/>
    <x v="2"/>
    <x v="1"/>
    <x v="2"/>
    <x v="1"/>
    <x v="1"/>
    <n v="30"/>
    <x v="0"/>
  </r>
  <r>
    <d v="2023-03-30T00:00:00"/>
    <x v="3"/>
    <x v="2"/>
    <x v="1"/>
    <n v="5423231593.4700003"/>
    <x v="3"/>
    <x v="2"/>
    <x v="1"/>
    <x v="12"/>
    <x v="2"/>
    <x v="1"/>
    <x v="2"/>
    <x v="1"/>
    <x v="1"/>
    <n v="30"/>
    <x v="0"/>
  </r>
  <r>
    <d v="2023-03-29T00:00:00"/>
    <x v="2"/>
    <x v="3"/>
    <x v="0"/>
    <n v="28.85"/>
    <x v="2"/>
    <x v="3"/>
    <x v="0"/>
    <x v="0"/>
    <x v="2"/>
    <x v="1"/>
    <x v="2"/>
    <x v="1"/>
    <x v="1"/>
    <n v="29"/>
    <x v="0"/>
  </r>
  <r>
    <d v="2023-03-29T00:00:00"/>
    <x v="1"/>
    <x v="1"/>
    <x v="0"/>
    <n v="42674.3"/>
    <x v="1"/>
    <x v="1"/>
    <x v="0"/>
    <x v="1"/>
    <x v="2"/>
    <x v="1"/>
    <x v="2"/>
    <x v="1"/>
    <x v="1"/>
    <n v="29"/>
    <x v="0"/>
  </r>
  <r>
    <d v="2023-03-29T00:00:00"/>
    <x v="0"/>
    <x v="1"/>
    <x v="0"/>
    <n v="6267767.8099999996"/>
    <x v="0"/>
    <x v="1"/>
    <x v="0"/>
    <x v="2"/>
    <x v="2"/>
    <x v="1"/>
    <x v="2"/>
    <x v="1"/>
    <x v="1"/>
    <n v="29"/>
    <x v="0"/>
  </r>
  <r>
    <d v="2023-03-29T00:00:00"/>
    <x v="2"/>
    <x v="1"/>
    <x v="2"/>
    <n v="58684.94"/>
    <x v="2"/>
    <x v="1"/>
    <x v="2"/>
    <x v="3"/>
    <x v="2"/>
    <x v="1"/>
    <x v="2"/>
    <x v="1"/>
    <x v="1"/>
    <n v="29"/>
    <x v="0"/>
  </r>
  <r>
    <d v="2023-03-29T00:00:00"/>
    <x v="2"/>
    <x v="1"/>
    <x v="0"/>
    <n v="123487294.13"/>
    <x v="2"/>
    <x v="1"/>
    <x v="0"/>
    <x v="6"/>
    <x v="2"/>
    <x v="1"/>
    <x v="2"/>
    <x v="1"/>
    <x v="1"/>
    <n v="29"/>
    <x v="0"/>
  </r>
  <r>
    <d v="2023-03-29T00:00:00"/>
    <x v="2"/>
    <x v="1"/>
    <x v="1"/>
    <n v="208847360.47"/>
    <x v="2"/>
    <x v="1"/>
    <x v="1"/>
    <x v="8"/>
    <x v="2"/>
    <x v="1"/>
    <x v="2"/>
    <x v="1"/>
    <x v="1"/>
    <n v="29"/>
    <x v="0"/>
  </r>
  <r>
    <d v="2023-03-29T00:00:00"/>
    <x v="0"/>
    <x v="1"/>
    <x v="1"/>
    <n v="2499146.23"/>
    <x v="0"/>
    <x v="1"/>
    <x v="1"/>
    <x v="4"/>
    <x v="2"/>
    <x v="1"/>
    <x v="2"/>
    <x v="1"/>
    <x v="1"/>
    <n v="29"/>
    <x v="0"/>
  </r>
  <r>
    <d v="2023-03-29T00:00:00"/>
    <x v="1"/>
    <x v="0"/>
    <x v="1"/>
    <n v="1466669708.71"/>
    <x v="1"/>
    <x v="0"/>
    <x v="1"/>
    <x v="10"/>
    <x v="2"/>
    <x v="1"/>
    <x v="2"/>
    <x v="1"/>
    <x v="1"/>
    <n v="29"/>
    <x v="0"/>
  </r>
  <r>
    <d v="2023-03-29T00:00:00"/>
    <x v="3"/>
    <x v="2"/>
    <x v="2"/>
    <n v="137765"/>
    <x v="3"/>
    <x v="2"/>
    <x v="2"/>
    <x v="5"/>
    <x v="2"/>
    <x v="1"/>
    <x v="2"/>
    <x v="1"/>
    <x v="1"/>
    <n v="29"/>
    <x v="0"/>
  </r>
  <r>
    <d v="2023-03-29T00:00:00"/>
    <x v="3"/>
    <x v="3"/>
    <x v="0"/>
    <n v="1714265328.8299999"/>
    <x v="3"/>
    <x v="3"/>
    <x v="0"/>
    <x v="7"/>
    <x v="2"/>
    <x v="1"/>
    <x v="2"/>
    <x v="1"/>
    <x v="1"/>
    <n v="29"/>
    <x v="0"/>
  </r>
  <r>
    <d v="2023-03-29T00:00:00"/>
    <x v="1"/>
    <x v="0"/>
    <x v="0"/>
    <n v="82250546.349999994"/>
    <x v="1"/>
    <x v="0"/>
    <x v="0"/>
    <x v="9"/>
    <x v="2"/>
    <x v="1"/>
    <x v="2"/>
    <x v="1"/>
    <x v="1"/>
    <n v="29"/>
    <x v="0"/>
  </r>
  <r>
    <d v="2023-03-29T00:00:00"/>
    <x v="3"/>
    <x v="2"/>
    <x v="0"/>
    <n v="509648992.95999998"/>
    <x v="3"/>
    <x v="2"/>
    <x v="0"/>
    <x v="11"/>
    <x v="2"/>
    <x v="1"/>
    <x v="2"/>
    <x v="1"/>
    <x v="1"/>
    <n v="29"/>
    <x v="0"/>
  </r>
  <r>
    <d v="2023-03-29T00:00:00"/>
    <x v="3"/>
    <x v="1"/>
    <x v="0"/>
    <n v="14529822.439999999"/>
    <x v="3"/>
    <x v="1"/>
    <x v="0"/>
    <x v="12"/>
    <x v="2"/>
    <x v="1"/>
    <x v="2"/>
    <x v="1"/>
    <x v="1"/>
    <n v="29"/>
    <x v="0"/>
  </r>
  <r>
    <d v="2023-03-29T00:00:00"/>
    <x v="3"/>
    <x v="2"/>
    <x v="1"/>
    <n v="13199754759.08"/>
    <x v="3"/>
    <x v="2"/>
    <x v="1"/>
    <x v="13"/>
    <x v="2"/>
    <x v="1"/>
    <x v="2"/>
    <x v="1"/>
    <x v="1"/>
    <n v="29"/>
    <x v="0"/>
  </r>
  <r>
    <d v="2023-03-28T00:00:00"/>
    <x v="1"/>
    <x v="1"/>
    <x v="0"/>
    <n v="336563.02"/>
    <x v="1"/>
    <x v="1"/>
    <x v="0"/>
    <x v="0"/>
    <x v="2"/>
    <x v="1"/>
    <x v="2"/>
    <x v="1"/>
    <x v="1"/>
    <n v="28"/>
    <x v="0"/>
  </r>
  <r>
    <d v="2023-03-28T00:00:00"/>
    <x v="0"/>
    <x v="1"/>
    <x v="0"/>
    <n v="15431998.66"/>
    <x v="0"/>
    <x v="1"/>
    <x v="0"/>
    <x v="1"/>
    <x v="2"/>
    <x v="1"/>
    <x v="2"/>
    <x v="1"/>
    <x v="1"/>
    <n v="28"/>
    <x v="0"/>
  </r>
  <r>
    <d v="2023-03-28T00:00:00"/>
    <x v="2"/>
    <x v="1"/>
    <x v="2"/>
    <n v="8523.2900000000009"/>
    <x v="2"/>
    <x v="1"/>
    <x v="2"/>
    <x v="2"/>
    <x v="2"/>
    <x v="1"/>
    <x v="2"/>
    <x v="1"/>
    <x v="1"/>
    <n v="28"/>
    <x v="0"/>
  </r>
  <r>
    <d v="2023-03-28T00:00:00"/>
    <x v="2"/>
    <x v="1"/>
    <x v="0"/>
    <n v="82681925.489999995"/>
    <x v="2"/>
    <x v="1"/>
    <x v="0"/>
    <x v="7"/>
    <x v="2"/>
    <x v="1"/>
    <x v="2"/>
    <x v="1"/>
    <x v="1"/>
    <n v="28"/>
    <x v="0"/>
  </r>
  <r>
    <d v="2023-03-28T00:00:00"/>
    <x v="2"/>
    <x v="1"/>
    <x v="1"/>
    <n v="146042182.83000001"/>
    <x v="2"/>
    <x v="1"/>
    <x v="1"/>
    <x v="8"/>
    <x v="2"/>
    <x v="1"/>
    <x v="2"/>
    <x v="1"/>
    <x v="1"/>
    <n v="28"/>
    <x v="0"/>
  </r>
  <r>
    <d v="2023-03-28T00:00:00"/>
    <x v="1"/>
    <x v="0"/>
    <x v="1"/>
    <n v="552748704.77999997"/>
    <x v="1"/>
    <x v="0"/>
    <x v="1"/>
    <x v="9"/>
    <x v="2"/>
    <x v="1"/>
    <x v="2"/>
    <x v="1"/>
    <x v="1"/>
    <n v="28"/>
    <x v="0"/>
  </r>
  <r>
    <d v="2023-03-28T00:00:00"/>
    <x v="3"/>
    <x v="3"/>
    <x v="1"/>
    <n v="24414.7"/>
    <x v="3"/>
    <x v="3"/>
    <x v="1"/>
    <x v="3"/>
    <x v="2"/>
    <x v="1"/>
    <x v="2"/>
    <x v="1"/>
    <x v="1"/>
    <n v="28"/>
    <x v="0"/>
  </r>
  <r>
    <d v="2023-03-28T00:00:00"/>
    <x v="0"/>
    <x v="1"/>
    <x v="1"/>
    <n v="10271724.57"/>
    <x v="0"/>
    <x v="1"/>
    <x v="1"/>
    <x v="4"/>
    <x v="2"/>
    <x v="1"/>
    <x v="2"/>
    <x v="1"/>
    <x v="1"/>
    <n v="28"/>
    <x v="0"/>
  </r>
  <r>
    <d v="2023-03-28T00:00:00"/>
    <x v="3"/>
    <x v="2"/>
    <x v="2"/>
    <n v="316991.90999999997"/>
    <x v="3"/>
    <x v="2"/>
    <x v="2"/>
    <x v="5"/>
    <x v="2"/>
    <x v="1"/>
    <x v="2"/>
    <x v="1"/>
    <x v="1"/>
    <n v="28"/>
    <x v="0"/>
  </r>
  <r>
    <d v="2023-03-28T00:00:00"/>
    <x v="3"/>
    <x v="3"/>
    <x v="0"/>
    <n v="1355113246.5699999"/>
    <x v="3"/>
    <x v="3"/>
    <x v="0"/>
    <x v="6"/>
    <x v="2"/>
    <x v="1"/>
    <x v="2"/>
    <x v="1"/>
    <x v="1"/>
    <n v="28"/>
    <x v="0"/>
  </r>
  <r>
    <d v="2023-03-28T00:00:00"/>
    <x v="1"/>
    <x v="0"/>
    <x v="0"/>
    <n v="71755789.400000006"/>
    <x v="1"/>
    <x v="0"/>
    <x v="0"/>
    <x v="10"/>
    <x v="2"/>
    <x v="1"/>
    <x v="2"/>
    <x v="1"/>
    <x v="1"/>
    <n v="28"/>
    <x v="0"/>
  </r>
  <r>
    <d v="2023-03-28T00:00:00"/>
    <x v="3"/>
    <x v="2"/>
    <x v="0"/>
    <n v="582835669.73000002"/>
    <x v="3"/>
    <x v="2"/>
    <x v="0"/>
    <x v="11"/>
    <x v="2"/>
    <x v="1"/>
    <x v="2"/>
    <x v="1"/>
    <x v="1"/>
    <n v="28"/>
    <x v="0"/>
  </r>
  <r>
    <d v="2023-03-28T00:00:00"/>
    <x v="3"/>
    <x v="1"/>
    <x v="0"/>
    <n v="11281563.58"/>
    <x v="3"/>
    <x v="1"/>
    <x v="0"/>
    <x v="12"/>
    <x v="2"/>
    <x v="1"/>
    <x v="2"/>
    <x v="1"/>
    <x v="1"/>
    <n v="28"/>
    <x v="0"/>
  </r>
  <r>
    <d v="2023-03-28T00:00:00"/>
    <x v="3"/>
    <x v="2"/>
    <x v="1"/>
    <n v="3791039009.9699998"/>
    <x v="3"/>
    <x v="2"/>
    <x v="1"/>
    <x v="13"/>
    <x v="2"/>
    <x v="1"/>
    <x v="2"/>
    <x v="1"/>
    <x v="1"/>
    <n v="28"/>
    <x v="0"/>
  </r>
  <r>
    <d v="2023-03-27T00:00:00"/>
    <x v="1"/>
    <x v="1"/>
    <x v="0"/>
    <n v="78506.22"/>
    <x v="1"/>
    <x v="1"/>
    <x v="0"/>
    <x v="0"/>
    <x v="2"/>
    <x v="1"/>
    <x v="2"/>
    <x v="1"/>
    <x v="1"/>
    <n v="27"/>
    <x v="0"/>
  </r>
  <r>
    <d v="2023-03-27T00:00:00"/>
    <x v="0"/>
    <x v="1"/>
    <x v="0"/>
    <n v="10547210.67"/>
    <x v="0"/>
    <x v="1"/>
    <x v="0"/>
    <x v="1"/>
    <x v="2"/>
    <x v="1"/>
    <x v="2"/>
    <x v="1"/>
    <x v="1"/>
    <n v="27"/>
    <x v="0"/>
  </r>
  <r>
    <d v="2023-03-27T00:00:00"/>
    <x v="2"/>
    <x v="1"/>
    <x v="2"/>
    <n v="11642.41"/>
    <x v="2"/>
    <x v="1"/>
    <x v="2"/>
    <x v="2"/>
    <x v="2"/>
    <x v="1"/>
    <x v="2"/>
    <x v="1"/>
    <x v="1"/>
    <n v="27"/>
    <x v="0"/>
  </r>
  <r>
    <d v="2023-03-27T00:00:00"/>
    <x v="2"/>
    <x v="1"/>
    <x v="0"/>
    <n v="86126456.079999998"/>
    <x v="2"/>
    <x v="1"/>
    <x v="0"/>
    <x v="5"/>
    <x v="2"/>
    <x v="1"/>
    <x v="2"/>
    <x v="1"/>
    <x v="1"/>
    <n v="27"/>
    <x v="0"/>
  </r>
  <r>
    <d v="2023-03-27T00:00:00"/>
    <x v="0"/>
    <x v="1"/>
    <x v="1"/>
    <n v="8273206.0499999998"/>
    <x v="0"/>
    <x v="1"/>
    <x v="1"/>
    <x v="3"/>
    <x v="2"/>
    <x v="1"/>
    <x v="2"/>
    <x v="1"/>
    <x v="1"/>
    <n v="27"/>
    <x v="0"/>
  </r>
  <r>
    <d v="2023-03-27T00:00:00"/>
    <x v="1"/>
    <x v="0"/>
    <x v="0"/>
    <n v="48100179.649999999"/>
    <x v="1"/>
    <x v="0"/>
    <x v="0"/>
    <x v="9"/>
    <x v="2"/>
    <x v="1"/>
    <x v="2"/>
    <x v="1"/>
    <x v="1"/>
    <n v="27"/>
    <x v="0"/>
  </r>
  <r>
    <d v="2023-03-27T00:00:00"/>
    <x v="3"/>
    <x v="2"/>
    <x v="2"/>
    <n v="193350.82"/>
    <x v="3"/>
    <x v="2"/>
    <x v="2"/>
    <x v="4"/>
    <x v="2"/>
    <x v="1"/>
    <x v="2"/>
    <x v="1"/>
    <x v="1"/>
    <n v="27"/>
    <x v="0"/>
  </r>
  <r>
    <d v="2023-03-27T00:00:00"/>
    <x v="3"/>
    <x v="3"/>
    <x v="0"/>
    <n v="1622418098.8299999"/>
    <x v="3"/>
    <x v="3"/>
    <x v="0"/>
    <x v="6"/>
    <x v="2"/>
    <x v="1"/>
    <x v="2"/>
    <x v="1"/>
    <x v="1"/>
    <n v="27"/>
    <x v="0"/>
  </r>
  <r>
    <d v="2023-03-27T00:00:00"/>
    <x v="2"/>
    <x v="1"/>
    <x v="1"/>
    <n v="214501228.94"/>
    <x v="2"/>
    <x v="1"/>
    <x v="1"/>
    <x v="7"/>
    <x v="2"/>
    <x v="1"/>
    <x v="2"/>
    <x v="1"/>
    <x v="1"/>
    <n v="27"/>
    <x v="0"/>
  </r>
  <r>
    <d v="2023-03-27T00:00:00"/>
    <x v="1"/>
    <x v="0"/>
    <x v="1"/>
    <n v="519810734.69999999"/>
    <x v="1"/>
    <x v="0"/>
    <x v="1"/>
    <x v="8"/>
    <x v="2"/>
    <x v="1"/>
    <x v="2"/>
    <x v="1"/>
    <x v="1"/>
    <n v="27"/>
    <x v="0"/>
  </r>
  <r>
    <d v="2023-03-27T00:00:00"/>
    <x v="3"/>
    <x v="2"/>
    <x v="0"/>
    <n v="421061010.57999998"/>
    <x v="3"/>
    <x v="2"/>
    <x v="0"/>
    <x v="10"/>
    <x v="2"/>
    <x v="1"/>
    <x v="2"/>
    <x v="1"/>
    <x v="1"/>
    <n v="27"/>
    <x v="0"/>
  </r>
  <r>
    <d v="2023-03-27T00:00:00"/>
    <x v="3"/>
    <x v="2"/>
    <x v="1"/>
    <n v="25066557136.240002"/>
    <x v="3"/>
    <x v="2"/>
    <x v="1"/>
    <x v="11"/>
    <x v="2"/>
    <x v="1"/>
    <x v="2"/>
    <x v="1"/>
    <x v="1"/>
    <n v="27"/>
    <x v="0"/>
  </r>
  <r>
    <d v="2023-03-27T00:00:00"/>
    <x v="3"/>
    <x v="1"/>
    <x v="0"/>
    <n v="44117722.119999997"/>
    <x v="3"/>
    <x v="1"/>
    <x v="0"/>
    <x v="12"/>
    <x v="2"/>
    <x v="1"/>
    <x v="2"/>
    <x v="1"/>
    <x v="1"/>
    <n v="27"/>
    <x v="0"/>
  </r>
  <r>
    <d v="2023-03-24T00:00:00"/>
    <x v="0"/>
    <x v="1"/>
    <x v="0"/>
    <n v="12197496.51"/>
    <x v="0"/>
    <x v="1"/>
    <x v="0"/>
    <x v="2"/>
    <x v="2"/>
    <x v="1"/>
    <x v="2"/>
    <x v="1"/>
    <x v="1"/>
    <n v="24"/>
    <x v="0"/>
  </r>
  <r>
    <d v="2023-03-24T00:00:00"/>
    <x v="0"/>
    <x v="0"/>
    <x v="0"/>
    <n v="450"/>
    <x v="0"/>
    <x v="0"/>
    <x v="0"/>
    <x v="0"/>
    <x v="2"/>
    <x v="1"/>
    <x v="2"/>
    <x v="1"/>
    <x v="1"/>
    <n v="24"/>
    <x v="0"/>
  </r>
  <r>
    <d v="2023-03-24T00:00:00"/>
    <x v="1"/>
    <x v="1"/>
    <x v="0"/>
    <n v="172645.58"/>
    <x v="1"/>
    <x v="1"/>
    <x v="0"/>
    <x v="1"/>
    <x v="2"/>
    <x v="1"/>
    <x v="2"/>
    <x v="1"/>
    <x v="1"/>
    <n v="24"/>
    <x v="0"/>
  </r>
  <r>
    <d v="2023-03-24T00:00:00"/>
    <x v="3"/>
    <x v="2"/>
    <x v="2"/>
    <n v="197239.47"/>
    <x v="3"/>
    <x v="2"/>
    <x v="2"/>
    <x v="5"/>
    <x v="2"/>
    <x v="1"/>
    <x v="2"/>
    <x v="1"/>
    <x v="1"/>
    <n v="24"/>
    <x v="0"/>
  </r>
  <r>
    <d v="2023-03-24T00:00:00"/>
    <x v="2"/>
    <x v="1"/>
    <x v="2"/>
    <n v="6034.39"/>
    <x v="2"/>
    <x v="1"/>
    <x v="2"/>
    <x v="4"/>
    <x v="2"/>
    <x v="1"/>
    <x v="2"/>
    <x v="1"/>
    <x v="1"/>
    <n v="24"/>
    <x v="0"/>
  </r>
  <r>
    <d v="2023-03-24T00:00:00"/>
    <x v="2"/>
    <x v="1"/>
    <x v="1"/>
    <n v="171367201.88999999"/>
    <x v="2"/>
    <x v="1"/>
    <x v="1"/>
    <x v="8"/>
    <x v="2"/>
    <x v="1"/>
    <x v="2"/>
    <x v="1"/>
    <x v="1"/>
    <n v="24"/>
    <x v="0"/>
  </r>
  <r>
    <d v="2023-03-24T00:00:00"/>
    <x v="0"/>
    <x v="1"/>
    <x v="1"/>
    <n v="5494312.1699999999"/>
    <x v="0"/>
    <x v="1"/>
    <x v="1"/>
    <x v="3"/>
    <x v="2"/>
    <x v="1"/>
    <x v="2"/>
    <x v="1"/>
    <x v="1"/>
    <n v="24"/>
    <x v="0"/>
  </r>
  <r>
    <d v="2023-03-24T00:00:00"/>
    <x v="1"/>
    <x v="0"/>
    <x v="1"/>
    <n v="285682216.16000003"/>
    <x v="1"/>
    <x v="0"/>
    <x v="1"/>
    <x v="9"/>
    <x v="2"/>
    <x v="1"/>
    <x v="2"/>
    <x v="1"/>
    <x v="1"/>
    <n v="24"/>
    <x v="0"/>
  </r>
  <r>
    <d v="2023-03-24T00:00:00"/>
    <x v="1"/>
    <x v="0"/>
    <x v="0"/>
    <n v="57126169.039999999"/>
    <x v="1"/>
    <x v="0"/>
    <x v="0"/>
    <x v="10"/>
    <x v="2"/>
    <x v="1"/>
    <x v="2"/>
    <x v="1"/>
    <x v="1"/>
    <n v="24"/>
    <x v="0"/>
  </r>
  <r>
    <d v="2023-03-24T00:00:00"/>
    <x v="3"/>
    <x v="3"/>
    <x v="0"/>
    <n v="968885030.96000004"/>
    <x v="3"/>
    <x v="3"/>
    <x v="0"/>
    <x v="7"/>
    <x v="2"/>
    <x v="1"/>
    <x v="2"/>
    <x v="1"/>
    <x v="1"/>
    <n v="24"/>
    <x v="0"/>
  </r>
  <r>
    <d v="2023-03-24T00:00:00"/>
    <x v="2"/>
    <x v="1"/>
    <x v="0"/>
    <n v="97054192.989999995"/>
    <x v="2"/>
    <x v="1"/>
    <x v="0"/>
    <x v="6"/>
    <x v="2"/>
    <x v="1"/>
    <x v="2"/>
    <x v="1"/>
    <x v="1"/>
    <n v="24"/>
    <x v="0"/>
  </r>
  <r>
    <d v="2023-03-24T00:00:00"/>
    <x v="3"/>
    <x v="2"/>
    <x v="0"/>
    <n v="304900236.64999998"/>
    <x v="3"/>
    <x v="2"/>
    <x v="0"/>
    <x v="11"/>
    <x v="2"/>
    <x v="1"/>
    <x v="2"/>
    <x v="1"/>
    <x v="1"/>
    <n v="24"/>
    <x v="0"/>
  </r>
  <r>
    <d v="2023-03-24T00:00:00"/>
    <x v="3"/>
    <x v="1"/>
    <x v="0"/>
    <n v="13897636.92"/>
    <x v="3"/>
    <x v="1"/>
    <x v="0"/>
    <x v="12"/>
    <x v="2"/>
    <x v="1"/>
    <x v="2"/>
    <x v="1"/>
    <x v="1"/>
    <n v="24"/>
    <x v="0"/>
  </r>
  <r>
    <d v="2023-03-24T00:00:00"/>
    <x v="3"/>
    <x v="2"/>
    <x v="1"/>
    <n v="8894092213.0400009"/>
    <x v="3"/>
    <x v="2"/>
    <x v="1"/>
    <x v="13"/>
    <x v="2"/>
    <x v="1"/>
    <x v="2"/>
    <x v="1"/>
    <x v="1"/>
    <n v="24"/>
    <x v="0"/>
  </r>
  <r>
    <d v="2023-03-23T00:00:00"/>
    <x v="0"/>
    <x v="0"/>
    <x v="0"/>
    <n v="4000"/>
    <x v="0"/>
    <x v="0"/>
    <x v="0"/>
    <x v="0"/>
    <x v="2"/>
    <x v="1"/>
    <x v="2"/>
    <x v="1"/>
    <x v="1"/>
    <n v="23"/>
    <x v="0"/>
  </r>
  <r>
    <d v="2023-03-23T00:00:00"/>
    <x v="0"/>
    <x v="1"/>
    <x v="0"/>
    <n v="10584128.119999999"/>
    <x v="0"/>
    <x v="1"/>
    <x v="0"/>
    <x v="1"/>
    <x v="2"/>
    <x v="1"/>
    <x v="2"/>
    <x v="1"/>
    <x v="1"/>
    <n v="23"/>
    <x v="0"/>
  </r>
  <r>
    <d v="2023-03-23T00:00:00"/>
    <x v="2"/>
    <x v="1"/>
    <x v="2"/>
    <n v="17729.580000000002"/>
    <x v="2"/>
    <x v="1"/>
    <x v="2"/>
    <x v="2"/>
    <x v="2"/>
    <x v="1"/>
    <x v="2"/>
    <x v="1"/>
    <x v="1"/>
    <n v="23"/>
    <x v="0"/>
  </r>
  <r>
    <d v="2023-03-23T00:00:00"/>
    <x v="3"/>
    <x v="3"/>
    <x v="1"/>
    <n v="820358.4"/>
    <x v="3"/>
    <x v="3"/>
    <x v="1"/>
    <x v="3"/>
    <x v="2"/>
    <x v="1"/>
    <x v="2"/>
    <x v="1"/>
    <x v="1"/>
    <n v="23"/>
    <x v="0"/>
  </r>
  <r>
    <d v="2023-03-23T00:00:00"/>
    <x v="2"/>
    <x v="1"/>
    <x v="0"/>
    <n v="75597350.019999996"/>
    <x v="2"/>
    <x v="1"/>
    <x v="0"/>
    <x v="7"/>
    <x v="2"/>
    <x v="1"/>
    <x v="2"/>
    <x v="1"/>
    <x v="1"/>
    <n v="23"/>
    <x v="0"/>
  </r>
  <r>
    <d v="2023-03-23T00:00:00"/>
    <x v="1"/>
    <x v="1"/>
    <x v="0"/>
    <n v="44945.99"/>
    <x v="1"/>
    <x v="1"/>
    <x v="0"/>
    <x v="5"/>
    <x v="2"/>
    <x v="1"/>
    <x v="2"/>
    <x v="1"/>
    <x v="1"/>
    <n v="23"/>
    <x v="0"/>
  </r>
  <r>
    <d v="2023-03-23T00:00:00"/>
    <x v="2"/>
    <x v="1"/>
    <x v="1"/>
    <n v="277342256.81999999"/>
    <x v="2"/>
    <x v="1"/>
    <x v="1"/>
    <x v="9"/>
    <x v="2"/>
    <x v="1"/>
    <x v="2"/>
    <x v="1"/>
    <x v="1"/>
    <n v="23"/>
    <x v="0"/>
  </r>
  <r>
    <d v="2023-03-23T00:00:00"/>
    <x v="0"/>
    <x v="1"/>
    <x v="1"/>
    <n v="20682783.870000001"/>
    <x v="0"/>
    <x v="1"/>
    <x v="1"/>
    <x v="4"/>
    <x v="2"/>
    <x v="1"/>
    <x v="2"/>
    <x v="1"/>
    <x v="1"/>
    <n v="23"/>
    <x v="0"/>
  </r>
  <r>
    <d v="2023-03-23T00:00:00"/>
    <x v="3"/>
    <x v="2"/>
    <x v="2"/>
    <n v="432198"/>
    <x v="3"/>
    <x v="2"/>
    <x v="2"/>
    <x v="6"/>
    <x v="2"/>
    <x v="1"/>
    <x v="2"/>
    <x v="1"/>
    <x v="1"/>
    <n v="23"/>
    <x v="0"/>
  </r>
  <r>
    <d v="2023-03-23T00:00:00"/>
    <x v="3"/>
    <x v="3"/>
    <x v="0"/>
    <n v="2059636686.5799999"/>
    <x v="3"/>
    <x v="3"/>
    <x v="0"/>
    <x v="8"/>
    <x v="2"/>
    <x v="1"/>
    <x v="2"/>
    <x v="1"/>
    <x v="1"/>
    <n v="23"/>
    <x v="0"/>
  </r>
  <r>
    <d v="2023-03-23T00:00:00"/>
    <x v="1"/>
    <x v="0"/>
    <x v="1"/>
    <n v="662507684.92999995"/>
    <x v="1"/>
    <x v="0"/>
    <x v="1"/>
    <x v="10"/>
    <x v="2"/>
    <x v="1"/>
    <x v="2"/>
    <x v="1"/>
    <x v="1"/>
    <n v="23"/>
    <x v="0"/>
  </r>
  <r>
    <d v="2023-03-23T00:00:00"/>
    <x v="1"/>
    <x v="0"/>
    <x v="0"/>
    <n v="84812454.079999998"/>
    <x v="1"/>
    <x v="0"/>
    <x v="0"/>
    <x v="11"/>
    <x v="2"/>
    <x v="1"/>
    <x v="2"/>
    <x v="1"/>
    <x v="1"/>
    <n v="23"/>
    <x v="0"/>
  </r>
  <r>
    <d v="2023-03-23T00:00:00"/>
    <x v="3"/>
    <x v="2"/>
    <x v="0"/>
    <n v="305845604.83999997"/>
    <x v="3"/>
    <x v="2"/>
    <x v="0"/>
    <x v="12"/>
    <x v="2"/>
    <x v="1"/>
    <x v="2"/>
    <x v="1"/>
    <x v="1"/>
    <n v="23"/>
    <x v="0"/>
  </r>
  <r>
    <d v="2023-03-23T00:00:00"/>
    <x v="3"/>
    <x v="1"/>
    <x v="0"/>
    <n v="13754683.5"/>
    <x v="3"/>
    <x v="1"/>
    <x v="0"/>
    <x v="13"/>
    <x v="2"/>
    <x v="1"/>
    <x v="2"/>
    <x v="1"/>
    <x v="1"/>
    <n v="23"/>
    <x v="0"/>
  </r>
  <r>
    <d v="2023-03-23T00:00:00"/>
    <x v="3"/>
    <x v="2"/>
    <x v="1"/>
    <n v="4429528596.1099997"/>
    <x v="3"/>
    <x v="2"/>
    <x v="1"/>
    <x v="14"/>
    <x v="2"/>
    <x v="1"/>
    <x v="2"/>
    <x v="1"/>
    <x v="1"/>
    <n v="23"/>
    <x v="0"/>
  </r>
  <r>
    <d v="2023-03-22T00:00:00"/>
    <x v="0"/>
    <x v="0"/>
    <x v="0"/>
    <n v="100"/>
    <x v="0"/>
    <x v="0"/>
    <x v="0"/>
    <x v="0"/>
    <x v="2"/>
    <x v="1"/>
    <x v="2"/>
    <x v="1"/>
    <x v="1"/>
    <n v="22"/>
    <x v="0"/>
  </r>
  <r>
    <d v="2023-03-22T00:00:00"/>
    <x v="0"/>
    <x v="1"/>
    <x v="0"/>
    <n v="15665988.539999999"/>
    <x v="0"/>
    <x v="1"/>
    <x v="0"/>
    <x v="1"/>
    <x v="2"/>
    <x v="1"/>
    <x v="2"/>
    <x v="1"/>
    <x v="1"/>
    <n v="22"/>
    <x v="0"/>
  </r>
  <r>
    <d v="2023-03-22T00:00:00"/>
    <x v="2"/>
    <x v="1"/>
    <x v="2"/>
    <n v="21737.03"/>
    <x v="2"/>
    <x v="1"/>
    <x v="2"/>
    <x v="2"/>
    <x v="2"/>
    <x v="1"/>
    <x v="2"/>
    <x v="1"/>
    <x v="1"/>
    <n v="22"/>
    <x v="0"/>
  </r>
  <r>
    <d v="2023-03-22T00:00:00"/>
    <x v="3"/>
    <x v="3"/>
    <x v="0"/>
    <n v="1491936825.26"/>
    <x v="3"/>
    <x v="3"/>
    <x v="0"/>
    <x v="7"/>
    <x v="2"/>
    <x v="1"/>
    <x v="2"/>
    <x v="1"/>
    <x v="1"/>
    <n v="22"/>
    <x v="0"/>
  </r>
  <r>
    <d v="2023-03-22T00:00:00"/>
    <x v="2"/>
    <x v="1"/>
    <x v="0"/>
    <n v="96738231.810000002"/>
    <x v="2"/>
    <x v="1"/>
    <x v="0"/>
    <x v="9"/>
    <x v="2"/>
    <x v="1"/>
    <x v="2"/>
    <x v="1"/>
    <x v="1"/>
    <n v="22"/>
    <x v="0"/>
  </r>
  <r>
    <d v="2023-03-22T00:00:00"/>
    <x v="0"/>
    <x v="0"/>
    <x v="1"/>
    <n v="640269.81000000006"/>
    <x v="0"/>
    <x v="0"/>
    <x v="1"/>
    <x v="3"/>
    <x v="2"/>
    <x v="1"/>
    <x v="2"/>
    <x v="1"/>
    <x v="1"/>
    <n v="22"/>
    <x v="0"/>
  </r>
  <r>
    <d v="2023-03-22T00:00:00"/>
    <x v="0"/>
    <x v="1"/>
    <x v="1"/>
    <n v="7630767.6200000001"/>
    <x v="0"/>
    <x v="1"/>
    <x v="1"/>
    <x v="4"/>
    <x v="2"/>
    <x v="1"/>
    <x v="2"/>
    <x v="1"/>
    <x v="1"/>
    <n v="22"/>
    <x v="0"/>
  </r>
  <r>
    <d v="2023-03-22T00:00:00"/>
    <x v="1"/>
    <x v="0"/>
    <x v="1"/>
    <n v="1496214741.8599999"/>
    <x v="1"/>
    <x v="0"/>
    <x v="1"/>
    <x v="11"/>
    <x v="2"/>
    <x v="1"/>
    <x v="2"/>
    <x v="1"/>
    <x v="1"/>
    <n v="22"/>
    <x v="0"/>
  </r>
  <r>
    <d v="2023-03-22T00:00:00"/>
    <x v="1"/>
    <x v="1"/>
    <x v="0"/>
    <n v="6762.34"/>
    <x v="1"/>
    <x v="1"/>
    <x v="0"/>
    <x v="5"/>
    <x v="2"/>
    <x v="1"/>
    <x v="2"/>
    <x v="1"/>
    <x v="1"/>
    <n v="22"/>
    <x v="0"/>
  </r>
  <r>
    <d v="2023-03-22T00:00:00"/>
    <x v="3"/>
    <x v="2"/>
    <x v="2"/>
    <n v="159153.92000000001"/>
    <x v="3"/>
    <x v="2"/>
    <x v="2"/>
    <x v="6"/>
    <x v="2"/>
    <x v="1"/>
    <x v="2"/>
    <x v="1"/>
    <x v="1"/>
    <n v="22"/>
    <x v="0"/>
  </r>
  <r>
    <d v="2023-03-22T00:00:00"/>
    <x v="2"/>
    <x v="1"/>
    <x v="1"/>
    <n v="239986862.15000001"/>
    <x v="2"/>
    <x v="1"/>
    <x v="1"/>
    <x v="8"/>
    <x v="2"/>
    <x v="1"/>
    <x v="2"/>
    <x v="1"/>
    <x v="1"/>
    <n v="22"/>
    <x v="0"/>
  </r>
  <r>
    <d v="2023-03-22T00:00:00"/>
    <x v="1"/>
    <x v="0"/>
    <x v="0"/>
    <n v="83319520.629999995"/>
    <x v="1"/>
    <x v="0"/>
    <x v="0"/>
    <x v="10"/>
    <x v="2"/>
    <x v="1"/>
    <x v="2"/>
    <x v="1"/>
    <x v="1"/>
    <n v="22"/>
    <x v="0"/>
  </r>
  <r>
    <d v="2023-03-22T00:00:00"/>
    <x v="3"/>
    <x v="2"/>
    <x v="0"/>
    <n v="5001445853.6099997"/>
    <x v="3"/>
    <x v="2"/>
    <x v="0"/>
    <x v="12"/>
    <x v="2"/>
    <x v="1"/>
    <x v="2"/>
    <x v="1"/>
    <x v="1"/>
    <n v="22"/>
    <x v="0"/>
  </r>
  <r>
    <d v="2023-03-22T00:00:00"/>
    <x v="3"/>
    <x v="1"/>
    <x v="0"/>
    <n v="14494945.32"/>
    <x v="3"/>
    <x v="1"/>
    <x v="0"/>
    <x v="13"/>
    <x v="2"/>
    <x v="1"/>
    <x v="2"/>
    <x v="1"/>
    <x v="1"/>
    <n v="22"/>
    <x v="0"/>
  </r>
  <r>
    <d v="2023-03-22T00:00:00"/>
    <x v="3"/>
    <x v="2"/>
    <x v="1"/>
    <n v="12636476518.620001"/>
    <x v="3"/>
    <x v="2"/>
    <x v="1"/>
    <x v="14"/>
    <x v="2"/>
    <x v="1"/>
    <x v="2"/>
    <x v="1"/>
    <x v="1"/>
    <n v="22"/>
    <x v="0"/>
  </r>
  <r>
    <d v="2023-03-21T00:00:00"/>
    <x v="0"/>
    <x v="0"/>
    <x v="0"/>
    <n v="446"/>
    <x v="0"/>
    <x v="0"/>
    <x v="0"/>
    <x v="0"/>
    <x v="2"/>
    <x v="1"/>
    <x v="2"/>
    <x v="1"/>
    <x v="1"/>
    <n v="21"/>
    <x v="0"/>
  </r>
  <r>
    <d v="2023-03-21T00:00:00"/>
    <x v="1"/>
    <x v="1"/>
    <x v="0"/>
    <n v="33450.35"/>
    <x v="1"/>
    <x v="1"/>
    <x v="0"/>
    <x v="1"/>
    <x v="2"/>
    <x v="1"/>
    <x v="2"/>
    <x v="1"/>
    <x v="1"/>
    <n v="21"/>
    <x v="0"/>
  </r>
  <r>
    <d v="2023-03-21T00:00:00"/>
    <x v="0"/>
    <x v="1"/>
    <x v="0"/>
    <n v="11345255.300000001"/>
    <x v="0"/>
    <x v="1"/>
    <x v="0"/>
    <x v="2"/>
    <x v="2"/>
    <x v="1"/>
    <x v="2"/>
    <x v="1"/>
    <x v="1"/>
    <n v="21"/>
    <x v="0"/>
  </r>
  <r>
    <d v="2023-03-21T00:00:00"/>
    <x v="2"/>
    <x v="1"/>
    <x v="0"/>
    <n v="82117670.530000001"/>
    <x v="2"/>
    <x v="1"/>
    <x v="0"/>
    <x v="7"/>
    <x v="2"/>
    <x v="1"/>
    <x v="2"/>
    <x v="1"/>
    <x v="1"/>
    <n v="21"/>
    <x v="0"/>
  </r>
  <r>
    <d v="2023-03-21T00:00:00"/>
    <x v="3"/>
    <x v="3"/>
    <x v="0"/>
    <n v="1049673996.4400001"/>
    <x v="3"/>
    <x v="3"/>
    <x v="0"/>
    <x v="8"/>
    <x v="2"/>
    <x v="1"/>
    <x v="2"/>
    <x v="1"/>
    <x v="1"/>
    <n v="21"/>
    <x v="0"/>
  </r>
  <r>
    <d v="2023-03-21T00:00:00"/>
    <x v="2"/>
    <x v="1"/>
    <x v="1"/>
    <n v="148567636.40000001"/>
    <x v="2"/>
    <x v="1"/>
    <x v="1"/>
    <x v="9"/>
    <x v="2"/>
    <x v="1"/>
    <x v="2"/>
    <x v="1"/>
    <x v="1"/>
    <n v="21"/>
    <x v="0"/>
  </r>
  <r>
    <d v="2023-03-21T00:00:00"/>
    <x v="1"/>
    <x v="0"/>
    <x v="1"/>
    <n v="519327590.81"/>
    <x v="1"/>
    <x v="0"/>
    <x v="1"/>
    <x v="10"/>
    <x v="2"/>
    <x v="1"/>
    <x v="2"/>
    <x v="1"/>
    <x v="1"/>
    <n v="21"/>
    <x v="0"/>
  </r>
  <r>
    <d v="2023-03-21T00:00:00"/>
    <x v="0"/>
    <x v="0"/>
    <x v="1"/>
    <n v="19208506.920000002"/>
    <x v="0"/>
    <x v="0"/>
    <x v="1"/>
    <x v="3"/>
    <x v="2"/>
    <x v="1"/>
    <x v="2"/>
    <x v="1"/>
    <x v="1"/>
    <n v="21"/>
    <x v="0"/>
  </r>
  <r>
    <d v="2023-03-21T00:00:00"/>
    <x v="0"/>
    <x v="1"/>
    <x v="1"/>
    <n v="6516919.9000000004"/>
    <x v="0"/>
    <x v="1"/>
    <x v="1"/>
    <x v="4"/>
    <x v="2"/>
    <x v="1"/>
    <x v="2"/>
    <x v="1"/>
    <x v="1"/>
    <n v="21"/>
    <x v="0"/>
  </r>
  <r>
    <d v="2023-03-21T00:00:00"/>
    <x v="2"/>
    <x v="1"/>
    <x v="2"/>
    <n v="9154.2800000000007"/>
    <x v="2"/>
    <x v="1"/>
    <x v="2"/>
    <x v="5"/>
    <x v="2"/>
    <x v="1"/>
    <x v="2"/>
    <x v="1"/>
    <x v="1"/>
    <n v="21"/>
    <x v="0"/>
  </r>
  <r>
    <d v="2023-03-21T00:00:00"/>
    <x v="3"/>
    <x v="2"/>
    <x v="2"/>
    <n v="335121.27"/>
    <x v="3"/>
    <x v="2"/>
    <x v="2"/>
    <x v="6"/>
    <x v="2"/>
    <x v="1"/>
    <x v="2"/>
    <x v="1"/>
    <x v="1"/>
    <n v="21"/>
    <x v="0"/>
  </r>
  <r>
    <d v="2023-03-21T00:00:00"/>
    <x v="1"/>
    <x v="0"/>
    <x v="0"/>
    <n v="107604771.66"/>
    <x v="1"/>
    <x v="0"/>
    <x v="0"/>
    <x v="11"/>
    <x v="2"/>
    <x v="1"/>
    <x v="2"/>
    <x v="1"/>
    <x v="1"/>
    <n v="21"/>
    <x v="0"/>
  </r>
  <r>
    <d v="2023-03-21T00:00:00"/>
    <x v="3"/>
    <x v="2"/>
    <x v="0"/>
    <n v="558653400.08000004"/>
    <x v="3"/>
    <x v="2"/>
    <x v="0"/>
    <x v="12"/>
    <x v="2"/>
    <x v="1"/>
    <x v="2"/>
    <x v="1"/>
    <x v="1"/>
    <n v="21"/>
    <x v="0"/>
  </r>
  <r>
    <d v="2023-03-21T00:00:00"/>
    <x v="3"/>
    <x v="1"/>
    <x v="0"/>
    <n v="12084697.58"/>
    <x v="3"/>
    <x v="1"/>
    <x v="0"/>
    <x v="13"/>
    <x v="2"/>
    <x v="1"/>
    <x v="2"/>
    <x v="1"/>
    <x v="1"/>
    <n v="21"/>
    <x v="0"/>
  </r>
  <r>
    <d v="2023-03-21T00:00:00"/>
    <x v="3"/>
    <x v="2"/>
    <x v="1"/>
    <n v="4258225468.4400001"/>
    <x v="3"/>
    <x v="2"/>
    <x v="1"/>
    <x v="14"/>
    <x v="2"/>
    <x v="1"/>
    <x v="2"/>
    <x v="1"/>
    <x v="1"/>
    <n v="21"/>
    <x v="0"/>
  </r>
  <r>
    <d v="2023-03-20T00:00:00"/>
    <x v="1"/>
    <x v="1"/>
    <x v="0"/>
    <n v="36815.440000000002"/>
    <x v="1"/>
    <x v="1"/>
    <x v="0"/>
    <x v="0"/>
    <x v="2"/>
    <x v="1"/>
    <x v="2"/>
    <x v="1"/>
    <x v="1"/>
    <n v="20"/>
    <x v="0"/>
  </r>
  <r>
    <d v="2023-03-20T00:00:00"/>
    <x v="0"/>
    <x v="1"/>
    <x v="0"/>
    <n v="18317697.52"/>
    <x v="0"/>
    <x v="1"/>
    <x v="0"/>
    <x v="1"/>
    <x v="2"/>
    <x v="1"/>
    <x v="2"/>
    <x v="1"/>
    <x v="1"/>
    <n v="20"/>
    <x v="0"/>
  </r>
  <r>
    <d v="2023-03-20T00:00:00"/>
    <x v="3"/>
    <x v="3"/>
    <x v="2"/>
    <n v="220.24"/>
    <x v="3"/>
    <x v="3"/>
    <x v="2"/>
    <x v="2"/>
    <x v="2"/>
    <x v="1"/>
    <x v="2"/>
    <x v="1"/>
    <x v="1"/>
    <n v="20"/>
    <x v="0"/>
  </r>
  <r>
    <d v="2023-03-20T00:00:00"/>
    <x v="2"/>
    <x v="1"/>
    <x v="2"/>
    <n v="17908.490000000002"/>
    <x v="2"/>
    <x v="1"/>
    <x v="2"/>
    <x v="3"/>
    <x v="2"/>
    <x v="1"/>
    <x v="2"/>
    <x v="1"/>
    <x v="1"/>
    <n v="20"/>
    <x v="0"/>
  </r>
  <r>
    <d v="2023-03-20T00:00:00"/>
    <x v="2"/>
    <x v="1"/>
    <x v="0"/>
    <n v="101726299.72"/>
    <x v="2"/>
    <x v="1"/>
    <x v="0"/>
    <x v="7"/>
    <x v="2"/>
    <x v="1"/>
    <x v="2"/>
    <x v="1"/>
    <x v="1"/>
    <n v="20"/>
    <x v="0"/>
  </r>
  <r>
    <d v="2023-03-20T00:00:00"/>
    <x v="2"/>
    <x v="1"/>
    <x v="1"/>
    <n v="180779303.53"/>
    <x v="2"/>
    <x v="1"/>
    <x v="1"/>
    <x v="9"/>
    <x v="2"/>
    <x v="1"/>
    <x v="2"/>
    <x v="1"/>
    <x v="1"/>
    <n v="20"/>
    <x v="0"/>
  </r>
  <r>
    <d v="2023-03-20T00:00:00"/>
    <x v="1"/>
    <x v="0"/>
    <x v="1"/>
    <n v="375885064.75999999"/>
    <x v="1"/>
    <x v="0"/>
    <x v="1"/>
    <x v="10"/>
    <x v="2"/>
    <x v="1"/>
    <x v="2"/>
    <x v="1"/>
    <x v="1"/>
    <n v="20"/>
    <x v="0"/>
  </r>
  <r>
    <d v="2023-03-20T00:00:00"/>
    <x v="3"/>
    <x v="3"/>
    <x v="1"/>
    <n v="10001.040000000001"/>
    <x v="3"/>
    <x v="3"/>
    <x v="1"/>
    <x v="4"/>
    <x v="2"/>
    <x v="1"/>
    <x v="2"/>
    <x v="1"/>
    <x v="1"/>
    <n v="20"/>
    <x v="0"/>
  </r>
  <r>
    <d v="2023-03-20T00:00:00"/>
    <x v="0"/>
    <x v="1"/>
    <x v="1"/>
    <n v="7958383.8300000001"/>
    <x v="0"/>
    <x v="1"/>
    <x v="1"/>
    <x v="5"/>
    <x v="2"/>
    <x v="1"/>
    <x v="2"/>
    <x v="1"/>
    <x v="1"/>
    <n v="20"/>
    <x v="0"/>
  </r>
  <r>
    <d v="2023-03-20T00:00:00"/>
    <x v="3"/>
    <x v="2"/>
    <x v="2"/>
    <n v="229051.41"/>
    <x v="3"/>
    <x v="2"/>
    <x v="2"/>
    <x v="6"/>
    <x v="2"/>
    <x v="1"/>
    <x v="2"/>
    <x v="1"/>
    <x v="1"/>
    <n v="20"/>
    <x v="0"/>
  </r>
  <r>
    <d v="2023-03-20T00:00:00"/>
    <x v="3"/>
    <x v="3"/>
    <x v="0"/>
    <n v="1235140962.6600001"/>
    <x v="3"/>
    <x v="3"/>
    <x v="0"/>
    <x v="8"/>
    <x v="2"/>
    <x v="1"/>
    <x v="2"/>
    <x v="1"/>
    <x v="1"/>
    <n v="20"/>
    <x v="0"/>
  </r>
  <r>
    <d v="2023-03-20T00:00:00"/>
    <x v="1"/>
    <x v="0"/>
    <x v="0"/>
    <n v="49601820.710000001"/>
    <x v="1"/>
    <x v="0"/>
    <x v="0"/>
    <x v="11"/>
    <x v="2"/>
    <x v="1"/>
    <x v="2"/>
    <x v="1"/>
    <x v="1"/>
    <n v="20"/>
    <x v="0"/>
  </r>
  <r>
    <d v="2023-03-20T00:00:00"/>
    <x v="3"/>
    <x v="2"/>
    <x v="0"/>
    <n v="604523199.61000001"/>
    <x v="3"/>
    <x v="2"/>
    <x v="0"/>
    <x v="12"/>
    <x v="2"/>
    <x v="1"/>
    <x v="2"/>
    <x v="1"/>
    <x v="1"/>
    <n v="20"/>
    <x v="0"/>
  </r>
  <r>
    <d v="2023-03-20T00:00:00"/>
    <x v="3"/>
    <x v="2"/>
    <x v="1"/>
    <n v="25778183006.759998"/>
    <x v="3"/>
    <x v="2"/>
    <x v="1"/>
    <x v="13"/>
    <x v="2"/>
    <x v="1"/>
    <x v="2"/>
    <x v="1"/>
    <x v="1"/>
    <n v="20"/>
    <x v="0"/>
  </r>
  <r>
    <d v="2023-03-20T00:00:00"/>
    <x v="3"/>
    <x v="1"/>
    <x v="0"/>
    <n v="46617416.159999996"/>
    <x v="3"/>
    <x v="1"/>
    <x v="0"/>
    <x v="14"/>
    <x v="2"/>
    <x v="1"/>
    <x v="2"/>
    <x v="1"/>
    <x v="1"/>
    <n v="20"/>
    <x v="0"/>
  </r>
  <r>
    <d v="2023-03-17T00:00:00"/>
    <x v="0"/>
    <x v="1"/>
    <x v="0"/>
    <n v="17489919.260000002"/>
    <x v="0"/>
    <x v="1"/>
    <x v="0"/>
    <x v="0"/>
    <x v="2"/>
    <x v="1"/>
    <x v="2"/>
    <x v="1"/>
    <x v="1"/>
    <n v="17"/>
    <x v="0"/>
  </r>
  <r>
    <d v="2023-03-17T00:00:00"/>
    <x v="3"/>
    <x v="2"/>
    <x v="2"/>
    <n v="179481.02"/>
    <x v="3"/>
    <x v="2"/>
    <x v="2"/>
    <x v="1"/>
    <x v="2"/>
    <x v="1"/>
    <x v="2"/>
    <x v="1"/>
    <x v="1"/>
    <n v="17"/>
    <x v="0"/>
  </r>
  <r>
    <d v="2023-03-17T00:00:00"/>
    <x v="1"/>
    <x v="1"/>
    <x v="0"/>
    <n v="65487.53"/>
    <x v="1"/>
    <x v="1"/>
    <x v="0"/>
    <x v="3"/>
    <x v="2"/>
    <x v="1"/>
    <x v="2"/>
    <x v="1"/>
    <x v="1"/>
    <n v="17"/>
    <x v="0"/>
  </r>
  <r>
    <d v="2023-03-17T00:00:00"/>
    <x v="2"/>
    <x v="1"/>
    <x v="0"/>
    <n v="103631848.15000001"/>
    <x v="2"/>
    <x v="1"/>
    <x v="0"/>
    <x v="5"/>
    <x v="2"/>
    <x v="1"/>
    <x v="2"/>
    <x v="1"/>
    <x v="1"/>
    <n v="17"/>
    <x v="0"/>
  </r>
  <r>
    <d v="2023-03-17T00:00:00"/>
    <x v="3"/>
    <x v="3"/>
    <x v="0"/>
    <n v="1616915940.27"/>
    <x v="3"/>
    <x v="3"/>
    <x v="0"/>
    <x v="6"/>
    <x v="2"/>
    <x v="1"/>
    <x v="2"/>
    <x v="1"/>
    <x v="1"/>
    <n v="17"/>
    <x v="0"/>
  </r>
  <r>
    <d v="2023-03-17T00:00:00"/>
    <x v="1"/>
    <x v="0"/>
    <x v="1"/>
    <n v="230289520.84"/>
    <x v="1"/>
    <x v="0"/>
    <x v="1"/>
    <x v="8"/>
    <x v="2"/>
    <x v="1"/>
    <x v="2"/>
    <x v="1"/>
    <x v="1"/>
    <n v="17"/>
    <x v="0"/>
  </r>
  <r>
    <d v="2023-03-17T00:00:00"/>
    <x v="0"/>
    <x v="1"/>
    <x v="1"/>
    <n v="13919243.93"/>
    <x v="0"/>
    <x v="1"/>
    <x v="1"/>
    <x v="2"/>
    <x v="2"/>
    <x v="1"/>
    <x v="2"/>
    <x v="1"/>
    <x v="1"/>
    <n v="17"/>
    <x v="0"/>
  </r>
  <r>
    <d v="2023-03-17T00:00:00"/>
    <x v="1"/>
    <x v="0"/>
    <x v="0"/>
    <n v="60348233.710000001"/>
    <x v="1"/>
    <x v="0"/>
    <x v="0"/>
    <x v="9"/>
    <x v="2"/>
    <x v="1"/>
    <x v="2"/>
    <x v="1"/>
    <x v="1"/>
    <n v="17"/>
    <x v="0"/>
  </r>
  <r>
    <d v="2023-03-17T00:00:00"/>
    <x v="2"/>
    <x v="1"/>
    <x v="2"/>
    <n v="3014"/>
    <x v="2"/>
    <x v="1"/>
    <x v="2"/>
    <x v="4"/>
    <x v="2"/>
    <x v="1"/>
    <x v="2"/>
    <x v="1"/>
    <x v="1"/>
    <n v="17"/>
    <x v="0"/>
  </r>
  <r>
    <d v="2023-03-17T00:00:00"/>
    <x v="2"/>
    <x v="1"/>
    <x v="1"/>
    <n v="239006243.19"/>
    <x v="2"/>
    <x v="1"/>
    <x v="1"/>
    <x v="7"/>
    <x v="2"/>
    <x v="1"/>
    <x v="2"/>
    <x v="1"/>
    <x v="1"/>
    <n v="17"/>
    <x v="0"/>
  </r>
  <r>
    <d v="2023-03-17T00:00:00"/>
    <x v="3"/>
    <x v="2"/>
    <x v="0"/>
    <n v="412106430.25999999"/>
    <x v="3"/>
    <x v="2"/>
    <x v="0"/>
    <x v="10"/>
    <x v="2"/>
    <x v="1"/>
    <x v="2"/>
    <x v="1"/>
    <x v="1"/>
    <n v="17"/>
    <x v="0"/>
  </r>
  <r>
    <d v="2023-03-17T00:00:00"/>
    <x v="3"/>
    <x v="1"/>
    <x v="0"/>
    <n v="15261937.060000001"/>
    <x v="3"/>
    <x v="1"/>
    <x v="0"/>
    <x v="11"/>
    <x v="2"/>
    <x v="1"/>
    <x v="2"/>
    <x v="1"/>
    <x v="1"/>
    <n v="17"/>
    <x v="0"/>
  </r>
  <r>
    <d v="2023-03-17T00:00:00"/>
    <x v="3"/>
    <x v="2"/>
    <x v="1"/>
    <n v="12650224458.09"/>
    <x v="3"/>
    <x v="2"/>
    <x v="1"/>
    <x v="12"/>
    <x v="2"/>
    <x v="1"/>
    <x v="2"/>
    <x v="1"/>
    <x v="1"/>
    <n v="17"/>
    <x v="0"/>
  </r>
  <r>
    <d v="2023-03-16T00:00:00"/>
    <x v="2"/>
    <x v="3"/>
    <x v="0"/>
    <n v="2418.7800000000002"/>
    <x v="2"/>
    <x v="3"/>
    <x v="0"/>
    <x v="0"/>
    <x v="2"/>
    <x v="1"/>
    <x v="2"/>
    <x v="1"/>
    <x v="1"/>
    <n v="16"/>
    <x v="0"/>
  </r>
  <r>
    <d v="2023-03-16T00:00:00"/>
    <x v="1"/>
    <x v="1"/>
    <x v="0"/>
    <n v="46975.18"/>
    <x v="1"/>
    <x v="1"/>
    <x v="0"/>
    <x v="1"/>
    <x v="2"/>
    <x v="1"/>
    <x v="2"/>
    <x v="1"/>
    <x v="1"/>
    <n v="16"/>
    <x v="0"/>
  </r>
  <r>
    <d v="2023-03-16T00:00:00"/>
    <x v="0"/>
    <x v="1"/>
    <x v="0"/>
    <n v="18839574.75"/>
    <x v="0"/>
    <x v="1"/>
    <x v="0"/>
    <x v="2"/>
    <x v="2"/>
    <x v="1"/>
    <x v="2"/>
    <x v="1"/>
    <x v="1"/>
    <n v="16"/>
    <x v="0"/>
  </r>
  <r>
    <d v="2023-03-16T00:00:00"/>
    <x v="2"/>
    <x v="1"/>
    <x v="2"/>
    <n v="15811"/>
    <x v="2"/>
    <x v="1"/>
    <x v="2"/>
    <x v="3"/>
    <x v="2"/>
    <x v="1"/>
    <x v="2"/>
    <x v="1"/>
    <x v="1"/>
    <n v="16"/>
    <x v="0"/>
  </r>
  <r>
    <d v="2023-03-16T00:00:00"/>
    <x v="3"/>
    <x v="3"/>
    <x v="0"/>
    <n v="1618872543.3900001"/>
    <x v="3"/>
    <x v="3"/>
    <x v="0"/>
    <x v="6"/>
    <x v="2"/>
    <x v="1"/>
    <x v="2"/>
    <x v="1"/>
    <x v="1"/>
    <n v="16"/>
    <x v="0"/>
  </r>
  <r>
    <d v="2023-03-16T00:00:00"/>
    <x v="2"/>
    <x v="1"/>
    <x v="0"/>
    <n v="75163269.170000002"/>
    <x v="2"/>
    <x v="1"/>
    <x v="0"/>
    <x v="7"/>
    <x v="2"/>
    <x v="1"/>
    <x v="2"/>
    <x v="1"/>
    <x v="1"/>
    <n v="16"/>
    <x v="0"/>
  </r>
  <r>
    <d v="2023-03-16T00:00:00"/>
    <x v="2"/>
    <x v="1"/>
    <x v="1"/>
    <n v="278414307.45999998"/>
    <x v="2"/>
    <x v="1"/>
    <x v="1"/>
    <x v="8"/>
    <x v="2"/>
    <x v="1"/>
    <x v="2"/>
    <x v="1"/>
    <x v="1"/>
    <n v="16"/>
    <x v="0"/>
  </r>
  <r>
    <d v="2023-03-16T00:00:00"/>
    <x v="1"/>
    <x v="0"/>
    <x v="1"/>
    <n v="361149171.80000001"/>
    <x v="1"/>
    <x v="0"/>
    <x v="1"/>
    <x v="9"/>
    <x v="2"/>
    <x v="1"/>
    <x v="2"/>
    <x v="1"/>
    <x v="1"/>
    <n v="16"/>
    <x v="0"/>
  </r>
  <r>
    <d v="2023-03-16T00:00:00"/>
    <x v="0"/>
    <x v="1"/>
    <x v="1"/>
    <n v="4564261.6500000004"/>
    <x v="0"/>
    <x v="1"/>
    <x v="1"/>
    <x v="4"/>
    <x v="2"/>
    <x v="1"/>
    <x v="2"/>
    <x v="1"/>
    <x v="1"/>
    <n v="16"/>
    <x v="0"/>
  </r>
  <r>
    <d v="2023-03-16T00:00:00"/>
    <x v="1"/>
    <x v="0"/>
    <x v="0"/>
    <n v="67037162.899999999"/>
    <x v="1"/>
    <x v="0"/>
    <x v="0"/>
    <x v="10"/>
    <x v="2"/>
    <x v="1"/>
    <x v="2"/>
    <x v="1"/>
    <x v="1"/>
    <n v="16"/>
    <x v="0"/>
  </r>
  <r>
    <d v="2023-03-16T00:00:00"/>
    <x v="3"/>
    <x v="2"/>
    <x v="2"/>
    <n v="191161.5"/>
    <x v="3"/>
    <x v="2"/>
    <x v="2"/>
    <x v="5"/>
    <x v="2"/>
    <x v="1"/>
    <x v="2"/>
    <x v="1"/>
    <x v="1"/>
    <n v="16"/>
    <x v="0"/>
  </r>
  <r>
    <d v="2023-03-16T00:00:00"/>
    <x v="3"/>
    <x v="2"/>
    <x v="0"/>
    <n v="317013776.35000002"/>
    <x v="3"/>
    <x v="2"/>
    <x v="0"/>
    <x v="11"/>
    <x v="2"/>
    <x v="1"/>
    <x v="2"/>
    <x v="1"/>
    <x v="1"/>
    <n v="16"/>
    <x v="0"/>
  </r>
  <r>
    <d v="2023-03-16T00:00:00"/>
    <x v="3"/>
    <x v="1"/>
    <x v="0"/>
    <n v="15929869.4"/>
    <x v="3"/>
    <x v="1"/>
    <x v="0"/>
    <x v="12"/>
    <x v="2"/>
    <x v="1"/>
    <x v="2"/>
    <x v="1"/>
    <x v="1"/>
    <n v="16"/>
    <x v="0"/>
  </r>
  <r>
    <d v="2023-03-16T00:00:00"/>
    <x v="3"/>
    <x v="2"/>
    <x v="1"/>
    <n v="28341956096.970001"/>
    <x v="3"/>
    <x v="2"/>
    <x v="1"/>
    <x v="13"/>
    <x v="2"/>
    <x v="1"/>
    <x v="2"/>
    <x v="1"/>
    <x v="1"/>
    <n v="16"/>
    <x v="0"/>
  </r>
  <r>
    <d v="2023-03-15T00:00:00"/>
    <x v="1"/>
    <x v="1"/>
    <x v="0"/>
    <n v="27730.33"/>
    <x v="1"/>
    <x v="1"/>
    <x v="0"/>
    <x v="0"/>
    <x v="2"/>
    <x v="1"/>
    <x v="2"/>
    <x v="1"/>
    <x v="1"/>
    <n v="15"/>
    <x v="0"/>
  </r>
  <r>
    <d v="2023-03-15T00:00:00"/>
    <x v="0"/>
    <x v="1"/>
    <x v="0"/>
    <n v="12030048.199999999"/>
    <x v="0"/>
    <x v="1"/>
    <x v="0"/>
    <x v="1"/>
    <x v="2"/>
    <x v="1"/>
    <x v="2"/>
    <x v="1"/>
    <x v="1"/>
    <n v="15"/>
    <x v="0"/>
  </r>
  <r>
    <d v="2023-03-15T00:00:00"/>
    <x v="0"/>
    <x v="1"/>
    <x v="1"/>
    <n v="5917388.46"/>
    <x v="0"/>
    <x v="1"/>
    <x v="1"/>
    <x v="4"/>
    <x v="2"/>
    <x v="1"/>
    <x v="2"/>
    <x v="1"/>
    <x v="1"/>
    <n v="15"/>
    <x v="0"/>
  </r>
  <r>
    <d v="2023-03-15T00:00:00"/>
    <x v="3"/>
    <x v="3"/>
    <x v="0"/>
    <n v="2412418957.98"/>
    <x v="3"/>
    <x v="3"/>
    <x v="0"/>
    <x v="7"/>
    <x v="2"/>
    <x v="1"/>
    <x v="2"/>
    <x v="1"/>
    <x v="1"/>
    <n v="15"/>
    <x v="0"/>
  </r>
  <r>
    <d v="2023-03-15T00:00:00"/>
    <x v="2"/>
    <x v="1"/>
    <x v="1"/>
    <n v="128580193.36"/>
    <x v="2"/>
    <x v="1"/>
    <x v="1"/>
    <x v="8"/>
    <x v="2"/>
    <x v="1"/>
    <x v="2"/>
    <x v="1"/>
    <x v="1"/>
    <n v="15"/>
    <x v="0"/>
  </r>
  <r>
    <d v="2023-03-15T00:00:00"/>
    <x v="1"/>
    <x v="0"/>
    <x v="1"/>
    <n v="946557872.63"/>
    <x v="1"/>
    <x v="0"/>
    <x v="1"/>
    <x v="9"/>
    <x v="2"/>
    <x v="1"/>
    <x v="2"/>
    <x v="1"/>
    <x v="1"/>
    <n v="15"/>
    <x v="0"/>
  </r>
  <r>
    <d v="2023-03-15T00:00:00"/>
    <x v="1"/>
    <x v="0"/>
    <x v="0"/>
    <n v="107295092.69"/>
    <x v="1"/>
    <x v="0"/>
    <x v="0"/>
    <x v="10"/>
    <x v="2"/>
    <x v="1"/>
    <x v="2"/>
    <x v="1"/>
    <x v="1"/>
    <n v="15"/>
    <x v="0"/>
  </r>
  <r>
    <d v="2023-03-15T00:00:00"/>
    <x v="3"/>
    <x v="3"/>
    <x v="1"/>
    <n v="33991.120000000003"/>
    <x v="3"/>
    <x v="3"/>
    <x v="1"/>
    <x v="3"/>
    <x v="2"/>
    <x v="1"/>
    <x v="2"/>
    <x v="1"/>
    <x v="1"/>
    <n v="15"/>
    <x v="0"/>
  </r>
  <r>
    <d v="2023-03-15T00:00:00"/>
    <x v="3"/>
    <x v="2"/>
    <x v="2"/>
    <n v="177170.45"/>
    <x v="3"/>
    <x v="2"/>
    <x v="2"/>
    <x v="5"/>
    <x v="2"/>
    <x v="1"/>
    <x v="2"/>
    <x v="1"/>
    <x v="1"/>
    <n v="15"/>
    <x v="0"/>
  </r>
  <r>
    <d v="2023-03-15T00:00:00"/>
    <x v="2"/>
    <x v="1"/>
    <x v="2"/>
    <n v="27888"/>
    <x v="2"/>
    <x v="1"/>
    <x v="2"/>
    <x v="2"/>
    <x v="2"/>
    <x v="1"/>
    <x v="2"/>
    <x v="1"/>
    <x v="1"/>
    <n v="15"/>
    <x v="0"/>
  </r>
  <r>
    <d v="2023-03-15T00:00:00"/>
    <x v="2"/>
    <x v="1"/>
    <x v="0"/>
    <n v="87401369.549999997"/>
    <x v="2"/>
    <x v="1"/>
    <x v="0"/>
    <x v="6"/>
    <x v="2"/>
    <x v="1"/>
    <x v="2"/>
    <x v="1"/>
    <x v="1"/>
    <n v="15"/>
    <x v="0"/>
  </r>
  <r>
    <d v="2023-03-15T00:00:00"/>
    <x v="3"/>
    <x v="2"/>
    <x v="0"/>
    <n v="565315482.65999997"/>
    <x v="3"/>
    <x v="2"/>
    <x v="0"/>
    <x v="11"/>
    <x v="2"/>
    <x v="1"/>
    <x v="2"/>
    <x v="1"/>
    <x v="1"/>
    <n v="15"/>
    <x v="0"/>
  </r>
  <r>
    <d v="2023-03-15T00:00:00"/>
    <x v="3"/>
    <x v="1"/>
    <x v="0"/>
    <n v="16374047.710000001"/>
    <x v="3"/>
    <x v="1"/>
    <x v="0"/>
    <x v="12"/>
    <x v="2"/>
    <x v="1"/>
    <x v="2"/>
    <x v="1"/>
    <x v="1"/>
    <n v="15"/>
    <x v="0"/>
  </r>
  <r>
    <d v="2023-03-15T00:00:00"/>
    <x v="3"/>
    <x v="2"/>
    <x v="1"/>
    <n v="26068821267.889999"/>
    <x v="3"/>
    <x v="2"/>
    <x v="1"/>
    <x v="13"/>
    <x v="2"/>
    <x v="1"/>
    <x v="2"/>
    <x v="1"/>
    <x v="1"/>
    <n v="15"/>
    <x v="0"/>
  </r>
  <r>
    <d v="2023-03-14T00:00:00"/>
    <x v="1"/>
    <x v="1"/>
    <x v="0"/>
    <n v="123053.42"/>
    <x v="1"/>
    <x v="1"/>
    <x v="0"/>
    <x v="0"/>
    <x v="2"/>
    <x v="1"/>
    <x v="2"/>
    <x v="1"/>
    <x v="1"/>
    <n v="14"/>
    <x v="0"/>
  </r>
  <r>
    <d v="2023-03-14T00:00:00"/>
    <x v="0"/>
    <x v="1"/>
    <x v="0"/>
    <n v="56113578.210000001"/>
    <x v="0"/>
    <x v="1"/>
    <x v="0"/>
    <x v="1"/>
    <x v="2"/>
    <x v="1"/>
    <x v="2"/>
    <x v="1"/>
    <x v="1"/>
    <n v="14"/>
    <x v="0"/>
  </r>
  <r>
    <d v="2023-03-14T00:00:00"/>
    <x v="2"/>
    <x v="1"/>
    <x v="2"/>
    <n v="9411.82"/>
    <x v="2"/>
    <x v="1"/>
    <x v="2"/>
    <x v="4"/>
    <x v="2"/>
    <x v="1"/>
    <x v="2"/>
    <x v="1"/>
    <x v="1"/>
    <n v="14"/>
    <x v="0"/>
  </r>
  <r>
    <d v="2023-03-14T00:00:00"/>
    <x v="2"/>
    <x v="1"/>
    <x v="0"/>
    <n v="74744508.370000005"/>
    <x v="2"/>
    <x v="1"/>
    <x v="0"/>
    <x v="6"/>
    <x v="2"/>
    <x v="1"/>
    <x v="2"/>
    <x v="1"/>
    <x v="1"/>
    <n v="14"/>
    <x v="0"/>
  </r>
  <r>
    <d v="2023-03-14T00:00:00"/>
    <x v="1"/>
    <x v="0"/>
    <x v="1"/>
    <n v="289658987.24000001"/>
    <x v="1"/>
    <x v="0"/>
    <x v="1"/>
    <x v="9"/>
    <x v="2"/>
    <x v="1"/>
    <x v="2"/>
    <x v="1"/>
    <x v="1"/>
    <n v="14"/>
    <x v="0"/>
  </r>
  <r>
    <d v="2023-03-14T00:00:00"/>
    <x v="1"/>
    <x v="0"/>
    <x v="0"/>
    <n v="60211416.969999999"/>
    <x v="1"/>
    <x v="0"/>
    <x v="0"/>
    <x v="10"/>
    <x v="2"/>
    <x v="1"/>
    <x v="2"/>
    <x v="1"/>
    <x v="1"/>
    <n v="14"/>
    <x v="0"/>
  </r>
  <r>
    <d v="2023-03-14T00:00:00"/>
    <x v="3"/>
    <x v="3"/>
    <x v="1"/>
    <n v="655018.4"/>
    <x v="3"/>
    <x v="3"/>
    <x v="1"/>
    <x v="2"/>
    <x v="2"/>
    <x v="1"/>
    <x v="2"/>
    <x v="1"/>
    <x v="1"/>
    <n v="14"/>
    <x v="0"/>
  </r>
  <r>
    <d v="2023-03-14T00:00:00"/>
    <x v="0"/>
    <x v="1"/>
    <x v="1"/>
    <n v="9211777.0199999996"/>
    <x v="0"/>
    <x v="1"/>
    <x v="1"/>
    <x v="3"/>
    <x v="2"/>
    <x v="1"/>
    <x v="2"/>
    <x v="1"/>
    <x v="1"/>
    <n v="14"/>
    <x v="0"/>
  </r>
  <r>
    <d v="2023-03-14T00:00:00"/>
    <x v="3"/>
    <x v="2"/>
    <x v="2"/>
    <n v="188760.99"/>
    <x v="3"/>
    <x v="2"/>
    <x v="2"/>
    <x v="5"/>
    <x v="2"/>
    <x v="1"/>
    <x v="2"/>
    <x v="1"/>
    <x v="1"/>
    <n v="14"/>
    <x v="0"/>
  </r>
  <r>
    <d v="2023-03-14T00:00:00"/>
    <x v="2"/>
    <x v="1"/>
    <x v="1"/>
    <n v="110662034.56"/>
    <x v="2"/>
    <x v="1"/>
    <x v="1"/>
    <x v="7"/>
    <x v="2"/>
    <x v="1"/>
    <x v="2"/>
    <x v="1"/>
    <x v="1"/>
    <n v="14"/>
    <x v="0"/>
  </r>
  <r>
    <d v="2023-03-14T00:00:00"/>
    <x v="3"/>
    <x v="3"/>
    <x v="0"/>
    <n v="41854306131.699997"/>
    <x v="3"/>
    <x v="3"/>
    <x v="0"/>
    <x v="8"/>
    <x v="2"/>
    <x v="1"/>
    <x v="2"/>
    <x v="1"/>
    <x v="1"/>
    <n v="14"/>
    <x v="0"/>
  </r>
  <r>
    <d v="2023-03-14T00:00:00"/>
    <x v="3"/>
    <x v="2"/>
    <x v="0"/>
    <n v="561497859.13999999"/>
    <x v="3"/>
    <x v="2"/>
    <x v="0"/>
    <x v="11"/>
    <x v="2"/>
    <x v="1"/>
    <x v="2"/>
    <x v="1"/>
    <x v="1"/>
    <n v="14"/>
    <x v="0"/>
  </r>
  <r>
    <d v="2023-03-14T00:00:00"/>
    <x v="3"/>
    <x v="1"/>
    <x v="0"/>
    <n v="11818860.91"/>
    <x v="3"/>
    <x v="1"/>
    <x v="0"/>
    <x v="12"/>
    <x v="2"/>
    <x v="1"/>
    <x v="2"/>
    <x v="1"/>
    <x v="1"/>
    <n v="14"/>
    <x v="0"/>
  </r>
  <r>
    <d v="2023-03-14T00:00:00"/>
    <x v="3"/>
    <x v="2"/>
    <x v="1"/>
    <n v="9070414751.1200008"/>
    <x v="3"/>
    <x v="2"/>
    <x v="1"/>
    <x v="13"/>
    <x v="2"/>
    <x v="1"/>
    <x v="2"/>
    <x v="1"/>
    <x v="1"/>
    <n v="14"/>
    <x v="0"/>
  </r>
  <r>
    <d v="2023-03-13T00:00:00"/>
    <x v="0"/>
    <x v="1"/>
    <x v="0"/>
    <n v="18525855.079999998"/>
    <x v="0"/>
    <x v="1"/>
    <x v="0"/>
    <x v="0"/>
    <x v="2"/>
    <x v="1"/>
    <x v="2"/>
    <x v="1"/>
    <x v="1"/>
    <n v="13"/>
    <x v="0"/>
  </r>
  <r>
    <d v="2023-03-13T00:00:00"/>
    <x v="2"/>
    <x v="1"/>
    <x v="2"/>
    <n v="12390"/>
    <x v="2"/>
    <x v="1"/>
    <x v="2"/>
    <x v="1"/>
    <x v="2"/>
    <x v="1"/>
    <x v="2"/>
    <x v="1"/>
    <x v="1"/>
    <n v="13"/>
    <x v="0"/>
  </r>
  <r>
    <d v="2023-03-13T00:00:00"/>
    <x v="3"/>
    <x v="3"/>
    <x v="0"/>
    <n v="1091940156.8800001"/>
    <x v="3"/>
    <x v="3"/>
    <x v="0"/>
    <x v="6"/>
    <x v="2"/>
    <x v="1"/>
    <x v="2"/>
    <x v="1"/>
    <x v="1"/>
    <n v="13"/>
    <x v="0"/>
  </r>
  <r>
    <d v="2023-03-13T00:00:00"/>
    <x v="2"/>
    <x v="1"/>
    <x v="0"/>
    <n v="74102287.510000005"/>
    <x v="2"/>
    <x v="1"/>
    <x v="0"/>
    <x v="7"/>
    <x v="2"/>
    <x v="1"/>
    <x v="2"/>
    <x v="1"/>
    <x v="1"/>
    <n v="13"/>
    <x v="0"/>
  </r>
  <r>
    <d v="2023-03-13T00:00:00"/>
    <x v="1"/>
    <x v="0"/>
    <x v="1"/>
    <n v="316551184.19999999"/>
    <x v="1"/>
    <x v="0"/>
    <x v="1"/>
    <x v="9"/>
    <x v="2"/>
    <x v="1"/>
    <x v="2"/>
    <x v="1"/>
    <x v="1"/>
    <n v="13"/>
    <x v="0"/>
  </r>
  <r>
    <d v="2023-03-13T00:00:00"/>
    <x v="3"/>
    <x v="3"/>
    <x v="1"/>
    <n v="824500.29"/>
    <x v="3"/>
    <x v="3"/>
    <x v="1"/>
    <x v="2"/>
    <x v="2"/>
    <x v="1"/>
    <x v="2"/>
    <x v="1"/>
    <x v="1"/>
    <n v="13"/>
    <x v="0"/>
  </r>
  <r>
    <d v="2023-03-13T00:00:00"/>
    <x v="0"/>
    <x v="1"/>
    <x v="1"/>
    <n v="12048443.449999999"/>
    <x v="0"/>
    <x v="1"/>
    <x v="1"/>
    <x v="3"/>
    <x v="2"/>
    <x v="1"/>
    <x v="2"/>
    <x v="1"/>
    <x v="1"/>
    <n v="13"/>
    <x v="0"/>
  </r>
  <r>
    <d v="2023-03-13T00:00:00"/>
    <x v="1"/>
    <x v="0"/>
    <x v="0"/>
    <n v="52698568.399999999"/>
    <x v="1"/>
    <x v="0"/>
    <x v="0"/>
    <x v="10"/>
    <x v="2"/>
    <x v="1"/>
    <x v="2"/>
    <x v="1"/>
    <x v="1"/>
    <n v="13"/>
    <x v="0"/>
  </r>
  <r>
    <d v="2023-03-13T00:00:00"/>
    <x v="1"/>
    <x v="1"/>
    <x v="0"/>
    <n v="101533.69"/>
    <x v="1"/>
    <x v="1"/>
    <x v="0"/>
    <x v="4"/>
    <x v="2"/>
    <x v="1"/>
    <x v="2"/>
    <x v="1"/>
    <x v="1"/>
    <n v="13"/>
    <x v="0"/>
  </r>
  <r>
    <d v="2023-03-13T00:00:00"/>
    <x v="3"/>
    <x v="2"/>
    <x v="2"/>
    <n v="200021.65"/>
    <x v="3"/>
    <x v="2"/>
    <x v="2"/>
    <x v="5"/>
    <x v="2"/>
    <x v="1"/>
    <x v="2"/>
    <x v="1"/>
    <x v="1"/>
    <n v="13"/>
    <x v="0"/>
  </r>
  <r>
    <d v="2023-03-13T00:00:00"/>
    <x v="2"/>
    <x v="1"/>
    <x v="1"/>
    <n v="374764408.75999999"/>
    <x v="2"/>
    <x v="1"/>
    <x v="1"/>
    <x v="8"/>
    <x v="2"/>
    <x v="1"/>
    <x v="2"/>
    <x v="1"/>
    <x v="1"/>
    <n v="13"/>
    <x v="0"/>
  </r>
  <r>
    <d v="2023-03-13T00:00:00"/>
    <x v="3"/>
    <x v="2"/>
    <x v="0"/>
    <n v="498514312.06"/>
    <x v="3"/>
    <x v="2"/>
    <x v="0"/>
    <x v="11"/>
    <x v="2"/>
    <x v="1"/>
    <x v="2"/>
    <x v="1"/>
    <x v="1"/>
    <n v="13"/>
    <x v="0"/>
  </r>
  <r>
    <d v="2023-03-13T00:00:00"/>
    <x v="3"/>
    <x v="2"/>
    <x v="1"/>
    <n v="36269036403.519997"/>
    <x v="3"/>
    <x v="2"/>
    <x v="1"/>
    <x v="12"/>
    <x v="2"/>
    <x v="1"/>
    <x v="2"/>
    <x v="1"/>
    <x v="1"/>
    <n v="13"/>
    <x v="0"/>
  </r>
  <r>
    <d v="2023-03-13T00:00:00"/>
    <x v="3"/>
    <x v="1"/>
    <x v="0"/>
    <n v="45676809.100000001"/>
    <x v="3"/>
    <x v="1"/>
    <x v="0"/>
    <x v="13"/>
    <x v="2"/>
    <x v="1"/>
    <x v="2"/>
    <x v="1"/>
    <x v="1"/>
    <n v="13"/>
    <x v="0"/>
  </r>
  <r>
    <d v="2023-03-10T00:00:00"/>
    <x v="2"/>
    <x v="1"/>
    <x v="2"/>
    <n v="65301.03"/>
    <x v="2"/>
    <x v="1"/>
    <x v="2"/>
    <x v="3"/>
    <x v="2"/>
    <x v="1"/>
    <x v="2"/>
    <x v="1"/>
    <x v="1"/>
    <n v="10"/>
    <x v="0"/>
  </r>
  <r>
    <d v="2023-03-10T00:00:00"/>
    <x v="1"/>
    <x v="1"/>
    <x v="0"/>
    <n v="75917.42"/>
    <x v="1"/>
    <x v="1"/>
    <x v="0"/>
    <x v="0"/>
    <x v="2"/>
    <x v="1"/>
    <x v="2"/>
    <x v="1"/>
    <x v="1"/>
    <n v="10"/>
    <x v="0"/>
  </r>
  <r>
    <d v="2023-03-10T00:00:00"/>
    <x v="0"/>
    <x v="1"/>
    <x v="0"/>
    <n v="45282152.899999999"/>
    <x v="0"/>
    <x v="1"/>
    <x v="0"/>
    <x v="1"/>
    <x v="2"/>
    <x v="1"/>
    <x v="2"/>
    <x v="1"/>
    <x v="1"/>
    <n v="10"/>
    <x v="0"/>
  </r>
  <r>
    <d v="2023-03-10T00:00:00"/>
    <x v="3"/>
    <x v="3"/>
    <x v="0"/>
    <n v="1084728122.9000001"/>
    <x v="3"/>
    <x v="3"/>
    <x v="0"/>
    <x v="5"/>
    <x v="2"/>
    <x v="1"/>
    <x v="2"/>
    <x v="1"/>
    <x v="1"/>
    <n v="10"/>
    <x v="0"/>
  </r>
  <r>
    <d v="2023-03-10T00:00:00"/>
    <x v="2"/>
    <x v="1"/>
    <x v="0"/>
    <n v="85549482.140000001"/>
    <x v="2"/>
    <x v="1"/>
    <x v="0"/>
    <x v="6"/>
    <x v="2"/>
    <x v="1"/>
    <x v="2"/>
    <x v="1"/>
    <x v="1"/>
    <n v="10"/>
    <x v="0"/>
  </r>
  <r>
    <d v="2023-03-10T00:00:00"/>
    <x v="2"/>
    <x v="1"/>
    <x v="1"/>
    <n v="124302569.44"/>
    <x v="2"/>
    <x v="1"/>
    <x v="1"/>
    <x v="7"/>
    <x v="2"/>
    <x v="1"/>
    <x v="2"/>
    <x v="1"/>
    <x v="1"/>
    <n v="10"/>
    <x v="0"/>
  </r>
  <r>
    <d v="2023-03-10T00:00:00"/>
    <x v="0"/>
    <x v="1"/>
    <x v="1"/>
    <n v="19641337.829999998"/>
    <x v="0"/>
    <x v="1"/>
    <x v="1"/>
    <x v="2"/>
    <x v="2"/>
    <x v="1"/>
    <x v="2"/>
    <x v="1"/>
    <x v="1"/>
    <n v="10"/>
    <x v="0"/>
  </r>
  <r>
    <d v="2023-03-10T00:00:00"/>
    <x v="1"/>
    <x v="0"/>
    <x v="0"/>
    <n v="48456081.659999996"/>
    <x v="1"/>
    <x v="0"/>
    <x v="0"/>
    <x v="8"/>
    <x v="2"/>
    <x v="1"/>
    <x v="2"/>
    <x v="1"/>
    <x v="1"/>
    <n v="10"/>
    <x v="0"/>
  </r>
  <r>
    <d v="2023-03-10T00:00:00"/>
    <x v="3"/>
    <x v="2"/>
    <x v="2"/>
    <n v="111279.6"/>
    <x v="3"/>
    <x v="2"/>
    <x v="2"/>
    <x v="4"/>
    <x v="2"/>
    <x v="1"/>
    <x v="2"/>
    <x v="1"/>
    <x v="1"/>
    <n v="10"/>
    <x v="0"/>
  </r>
  <r>
    <d v="2023-03-10T00:00:00"/>
    <x v="1"/>
    <x v="0"/>
    <x v="1"/>
    <n v="241556200.31"/>
    <x v="1"/>
    <x v="0"/>
    <x v="1"/>
    <x v="9"/>
    <x v="2"/>
    <x v="1"/>
    <x v="2"/>
    <x v="1"/>
    <x v="1"/>
    <n v="10"/>
    <x v="0"/>
  </r>
  <r>
    <d v="2023-03-10T00:00:00"/>
    <x v="3"/>
    <x v="2"/>
    <x v="0"/>
    <n v="478565315.01999998"/>
    <x v="3"/>
    <x v="2"/>
    <x v="0"/>
    <x v="10"/>
    <x v="2"/>
    <x v="1"/>
    <x v="2"/>
    <x v="1"/>
    <x v="1"/>
    <n v="10"/>
    <x v="0"/>
  </r>
  <r>
    <d v="2023-03-10T00:00:00"/>
    <x v="3"/>
    <x v="1"/>
    <x v="0"/>
    <n v="14178672.84"/>
    <x v="3"/>
    <x v="1"/>
    <x v="0"/>
    <x v="11"/>
    <x v="2"/>
    <x v="1"/>
    <x v="2"/>
    <x v="1"/>
    <x v="1"/>
    <n v="10"/>
    <x v="0"/>
  </r>
  <r>
    <d v="2023-03-10T00:00:00"/>
    <x v="3"/>
    <x v="2"/>
    <x v="1"/>
    <n v="12163239275.67"/>
    <x v="3"/>
    <x v="2"/>
    <x v="1"/>
    <x v="12"/>
    <x v="2"/>
    <x v="1"/>
    <x v="2"/>
    <x v="1"/>
    <x v="1"/>
    <n v="10"/>
    <x v="0"/>
  </r>
  <r>
    <d v="2023-03-09T00:00:00"/>
    <x v="1"/>
    <x v="1"/>
    <x v="0"/>
    <n v="30642.639999999999"/>
    <x v="1"/>
    <x v="1"/>
    <x v="0"/>
    <x v="0"/>
    <x v="2"/>
    <x v="1"/>
    <x v="2"/>
    <x v="1"/>
    <x v="1"/>
    <n v="9"/>
    <x v="0"/>
  </r>
  <r>
    <d v="2023-03-09T00:00:00"/>
    <x v="0"/>
    <x v="1"/>
    <x v="0"/>
    <n v="5814177.0800000001"/>
    <x v="0"/>
    <x v="1"/>
    <x v="0"/>
    <x v="1"/>
    <x v="2"/>
    <x v="1"/>
    <x v="2"/>
    <x v="1"/>
    <x v="1"/>
    <n v="9"/>
    <x v="0"/>
  </r>
  <r>
    <d v="2023-03-09T00:00:00"/>
    <x v="2"/>
    <x v="1"/>
    <x v="2"/>
    <n v="25937.13"/>
    <x v="2"/>
    <x v="1"/>
    <x v="2"/>
    <x v="4"/>
    <x v="2"/>
    <x v="1"/>
    <x v="2"/>
    <x v="1"/>
    <x v="1"/>
    <n v="9"/>
    <x v="0"/>
  </r>
  <r>
    <d v="2023-03-09T00:00:00"/>
    <x v="2"/>
    <x v="1"/>
    <x v="0"/>
    <n v="85412138.659999996"/>
    <x v="2"/>
    <x v="1"/>
    <x v="0"/>
    <x v="7"/>
    <x v="2"/>
    <x v="1"/>
    <x v="2"/>
    <x v="1"/>
    <x v="1"/>
    <n v="9"/>
    <x v="0"/>
  </r>
  <r>
    <d v="2023-03-09T00:00:00"/>
    <x v="1"/>
    <x v="0"/>
    <x v="1"/>
    <n v="390104463.77999997"/>
    <x v="1"/>
    <x v="0"/>
    <x v="1"/>
    <x v="9"/>
    <x v="2"/>
    <x v="1"/>
    <x v="2"/>
    <x v="1"/>
    <x v="1"/>
    <n v="9"/>
    <x v="0"/>
  </r>
  <r>
    <d v="2023-03-09T00:00:00"/>
    <x v="1"/>
    <x v="0"/>
    <x v="0"/>
    <n v="61010406.579999998"/>
    <x v="1"/>
    <x v="0"/>
    <x v="0"/>
    <x v="10"/>
    <x v="2"/>
    <x v="1"/>
    <x v="2"/>
    <x v="1"/>
    <x v="1"/>
    <n v="9"/>
    <x v="0"/>
  </r>
  <r>
    <d v="2023-03-09T00:00:00"/>
    <x v="3"/>
    <x v="3"/>
    <x v="1"/>
    <n v="11692031.210000001"/>
    <x v="3"/>
    <x v="3"/>
    <x v="1"/>
    <x v="2"/>
    <x v="2"/>
    <x v="1"/>
    <x v="2"/>
    <x v="1"/>
    <x v="1"/>
    <n v="9"/>
    <x v="0"/>
  </r>
  <r>
    <d v="2023-03-09T00:00:00"/>
    <x v="0"/>
    <x v="1"/>
    <x v="1"/>
    <n v="1865206.21"/>
    <x v="0"/>
    <x v="1"/>
    <x v="1"/>
    <x v="3"/>
    <x v="2"/>
    <x v="1"/>
    <x v="2"/>
    <x v="1"/>
    <x v="1"/>
    <n v="9"/>
    <x v="0"/>
  </r>
  <r>
    <d v="2023-03-09T00:00:00"/>
    <x v="3"/>
    <x v="2"/>
    <x v="2"/>
    <n v="317989.45"/>
    <x v="3"/>
    <x v="2"/>
    <x v="2"/>
    <x v="5"/>
    <x v="2"/>
    <x v="1"/>
    <x v="2"/>
    <x v="1"/>
    <x v="1"/>
    <n v="9"/>
    <x v="0"/>
  </r>
  <r>
    <d v="2023-03-09T00:00:00"/>
    <x v="3"/>
    <x v="3"/>
    <x v="0"/>
    <n v="961838257.40999997"/>
    <x v="3"/>
    <x v="3"/>
    <x v="0"/>
    <x v="6"/>
    <x v="2"/>
    <x v="1"/>
    <x v="2"/>
    <x v="1"/>
    <x v="1"/>
    <n v="9"/>
    <x v="0"/>
  </r>
  <r>
    <d v="2023-03-09T00:00:00"/>
    <x v="2"/>
    <x v="1"/>
    <x v="1"/>
    <n v="176046736.65000001"/>
    <x v="2"/>
    <x v="1"/>
    <x v="1"/>
    <x v="8"/>
    <x v="2"/>
    <x v="1"/>
    <x v="2"/>
    <x v="1"/>
    <x v="1"/>
    <n v="9"/>
    <x v="0"/>
  </r>
  <r>
    <d v="2023-03-09T00:00:00"/>
    <x v="3"/>
    <x v="2"/>
    <x v="0"/>
    <n v="400372039.62"/>
    <x v="3"/>
    <x v="2"/>
    <x v="0"/>
    <x v="11"/>
    <x v="2"/>
    <x v="1"/>
    <x v="2"/>
    <x v="1"/>
    <x v="1"/>
    <n v="9"/>
    <x v="0"/>
  </r>
  <r>
    <d v="2023-03-09T00:00:00"/>
    <x v="3"/>
    <x v="1"/>
    <x v="0"/>
    <n v="14618429.539999999"/>
    <x v="3"/>
    <x v="1"/>
    <x v="0"/>
    <x v="12"/>
    <x v="2"/>
    <x v="1"/>
    <x v="2"/>
    <x v="1"/>
    <x v="1"/>
    <n v="9"/>
    <x v="0"/>
  </r>
  <r>
    <d v="2023-03-09T00:00:00"/>
    <x v="3"/>
    <x v="2"/>
    <x v="1"/>
    <n v="4954482599.3100004"/>
    <x v="3"/>
    <x v="2"/>
    <x v="1"/>
    <x v="13"/>
    <x v="2"/>
    <x v="1"/>
    <x v="2"/>
    <x v="1"/>
    <x v="1"/>
    <n v="9"/>
    <x v="0"/>
  </r>
  <r>
    <d v="2023-03-08T00:00:00"/>
    <x v="0"/>
    <x v="0"/>
    <x v="0"/>
    <n v="20"/>
    <x v="0"/>
    <x v="0"/>
    <x v="0"/>
    <x v="0"/>
    <x v="2"/>
    <x v="1"/>
    <x v="2"/>
    <x v="1"/>
    <x v="1"/>
    <n v="8"/>
    <x v="0"/>
  </r>
  <r>
    <d v="2023-03-08T00:00:00"/>
    <x v="1"/>
    <x v="1"/>
    <x v="0"/>
    <n v="139445.85999999999"/>
    <x v="1"/>
    <x v="1"/>
    <x v="0"/>
    <x v="1"/>
    <x v="2"/>
    <x v="1"/>
    <x v="2"/>
    <x v="1"/>
    <x v="1"/>
    <n v="8"/>
    <x v="0"/>
  </r>
  <r>
    <d v="2023-03-08T00:00:00"/>
    <x v="0"/>
    <x v="1"/>
    <x v="0"/>
    <n v="10799454.16"/>
    <x v="0"/>
    <x v="1"/>
    <x v="0"/>
    <x v="2"/>
    <x v="2"/>
    <x v="1"/>
    <x v="2"/>
    <x v="1"/>
    <x v="1"/>
    <n v="8"/>
    <x v="0"/>
  </r>
  <r>
    <d v="2023-03-08T00:00:00"/>
    <x v="2"/>
    <x v="1"/>
    <x v="2"/>
    <n v="33159.4"/>
    <x v="2"/>
    <x v="1"/>
    <x v="2"/>
    <x v="3"/>
    <x v="2"/>
    <x v="1"/>
    <x v="2"/>
    <x v="1"/>
    <x v="1"/>
    <n v="8"/>
    <x v="0"/>
  </r>
  <r>
    <d v="2023-03-08T00:00:00"/>
    <x v="3"/>
    <x v="2"/>
    <x v="2"/>
    <n v="277082"/>
    <x v="3"/>
    <x v="2"/>
    <x v="2"/>
    <x v="4"/>
    <x v="2"/>
    <x v="1"/>
    <x v="2"/>
    <x v="1"/>
    <x v="1"/>
    <n v="8"/>
    <x v="0"/>
  </r>
  <r>
    <d v="2023-03-08T00:00:00"/>
    <x v="3"/>
    <x v="3"/>
    <x v="0"/>
    <n v="2381879951.8899999"/>
    <x v="3"/>
    <x v="3"/>
    <x v="0"/>
    <x v="7"/>
    <x v="2"/>
    <x v="1"/>
    <x v="2"/>
    <x v="1"/>
    <x v="1"/>
    <n v="8"/>
    <x v="0"/>
  </r>
  <r>
    <d v="2023-03-08T00:00:00"/>
    <x v="1"/>
    <x v="0"/>
    <x v="1"/>
    <n v="1375535727.97"/>
    <x v="1"/>
    <x v="0"/>
    <x v="1"/>
    <x v="10"/>
    <x v="2"/>
    <x v="1"/>
    <x v="2"/>
    <x v="1"/>
    <x v="1"/>
    <n v="8"/>
    <x v="0"/>
  </r>
  <r>
    <d v="2023-03-08T00:00:00"/>
    <x v="1"/>
    <x v="0"/>
    <x v="0"/>
    <n v="66076844.509999998"/>
    <x v="1"/>
    <x v="0"/>
    <x v="0"/>
    <x v="11"/>
    <x v="2"/>
    <x v="1"/>
    <x v="2"/>
    <x v="1"/>
    <x v="1"/>
    <n v="8"/>
    <x v="0"/>
  </r>
  <r>
    <d v="2023-03-08T00:00:00"/>
    <x v="3"/>
    <x v="3"/>
    <x v="1"/>
    <n v="107263.83"/>
    <x v="3"/>
    <x v="3"/>
    <x v="1"/>
    <x v="5"/>
    <x v="2"/>
    <x v="1"/>
    <x v="2"/>
    <x v="1"/>
    <x v="1"/>
    <n v="8"/>
    <x v="0"/>
  </r>
  <r>
    <d v="2023-03-08T00:00:00"/>
    <x v="0"/>
    <x v="1"/>
    <x v="1"/>
    <n v="28699807.149999999"/>
    <x v="0"/>
    <x v="1"/>
    <x v="1"/>
    <x v="6"/>
    <x v="2"/>
    <x v="1"/>
    <x v="2"/>
    <x v="1"/>
    <x v="1"/>
    <n v="8"/>
    <x v="0"/>
  </r>
  <r>
    <d v="2023-03-08T00:00:00"/>
    <x v="2"/>
    <x v="1"/>
    <x v="0"/>
    <n v="109948236.11"/>
    <x v="2"/>
    <x v="1"/>
    <x v="0"/>
    <x v="8"/>
    <x v="2"/>
    <x v="1"/>
    <x v="2"/>
    <x v="1"/>
    <x v="1"/>
    <n v="8"/>
    <x v="0"/>
  </r>
  <r>
    <d v="2023-03-08T00:00:00"/>
    <x v="2"/>
    <x v="1"/>
    <x v="1"/>
    <n v="210942539.06999999"/>
    <x v="2"/>
    <x v="1"/>
    <x v="1"/>
    <x v="9"/>
    <x v="2"/>
    <x v="1"/>
    <x v="2"/>
    <x v="1"/>
    <x v="1"/>
    <n v="8"/>
    <x v="0"/>
  </r>
  <r>
    <d v="2023-03-08T00:00:00"/>
    <x v="3"/>
    <x v="2"/>
    <x v="0"/>
    <n v="389329289.47000003"/>
    <x v="3"/>
    <x v="2"/>
    <x v="0"/>
    <x v="12"/>
    <x v="2"/>
    <x v="1"/>
    <x v="2"/>
    <x v="1"/>
    <x v="1"/>
    <n v="8"/>
    <x v="0"/>
  </r>
  <r>
    <d v="2023-03-08T00:00:00"/>
    <x v="3"/>
    <x v="1"/>
    <x v="0"/>
    <n v="15385412.050000001"/>
    <x v="3"/>
    <x v="1"/>
    <x v="0"/>
    <x v="13"/>
    <x v="2"/>
    <x v="1"/>
    <x v="2"/>
    <x v="1"/>
    <x v="1"/>
    <n v="8"/>
    <x v="0"/>
  </r>
  <r>
    <d v="2023-03-08T00:00:00"/>
    <x v="3"/>
    <x v="2"/>
    <x v="1"/>
    <n v="12488993416.52"/>
    <x v="3"/>
    <x v="2"/>
    <x v="1"/>
    <x v="14"/>
    <x v="2"/>
    <x v="1"/>
    <x v="2"/>
    <x v="1"/>
    <x v="1"/>
    <n v="8"/>
    <x v="0"/>
  </r>
  <r>
    <d v="2023-03-07T00:00:00"/>
    <x v="3"/>
    <x v="2"/>
    <x v="2"/>
    <n v="134295.43"/>
    <x v="3"/>
    <x v="2"/>
    <x v="2"/>
    <x v="4"/>
    <x v="2"/>
    <x v="1"/>
    <x v="2"/>
    <x v="1"/>
    <x v="1"/>
    <n v="7"/>
    <x v="0"/>
  </r>
  <r>
    <d v="2023-03-07T00:00:00"/>
    <x v="1"/>
    <x v="1"/>
    <x v="0"/>
    <n v="52088.6"/>
    <x v="1"/>
    <x v="1"/>
    <x v="0"/>
    <x v="0"/>
    <x v="2"/>
    <x v="1"/>
    <x v="2"/>
    <x v="1"/>
    <x v="1"/>
    <n v="7"/>
    <x v="0"/>
  </r>
  <r>
    <d v="2023-03-07T00:00:00"/>
    <x v="0"/>
    <x v="1"/>
    <x v="0"/>
    <n v="15660885.26"/>
    <x v="0"/>
    <x v="1"/>
    <x v="0"/>
    <x v="1"/>
    <x v="2"/>
    <x v="1"/>
    <x v="2"/>
    <x v="1"/>
    <x v="1"/>
    <n v="7"/>
    <x v="0"/>
  </r>
  <r>
    <d v="2023-03-07T00:00:00"/>
    <x v="2"/>
    <x v="1"/>
    <x v="0"/>
    <n v="118410773.22"/>
    <x v="2"/>
    <x v="1"/>
    <x v="0"/>
    <x v="5"/>
    <x v="2"/>
    <x v="1"/>
    <x v="2"/>
    <x v="1"/>
    <x v="1"/>
    <n v="7"/>
    <x v="0"/>
  </r>
  <r>
    <d v="2023-03-07T00:00:00"/>
    <x v="2"/>
    <x v="1"/>
    <x v="1"/>
    <n v="124430755.81"/>
    <x v="2"/>
    <x v="1"/>
    <x v="1"/>
    <x v="6"/>
    <x v="2"/>
    <x v="1"/>
    <x v="2"/>
    <x v="1"/>
    <x v="1"/>
    <n v="7"/>
    <x v="0"/>
  </r>
  <r>
    <d v="2023-03-07T00:00:00"/>
    <x v="3"/>
    <x v="3"/>
    <x v="0"/>
    <n v="1618819354.8599999"/>
    <x v="3"/>
    <x v="3"/>
    <x v="0"/>
    <x v="7"/>
    <x v="2"/>
    <x v="1"/>
    <x v="2"/>
    <x v="1"/>
    <x v="1"/>
    <n v="7"/>
    <x v="0"/>
  </r>
  <r>
    <d v="2023-03-07T00:00:00"/>
    <x v="1"/>
    <x v="0"/>
    <x v="1"/>
    <n v="754433856.76999998"/>
    <x v="1"/>
    <x v="0"/>
    <x v="1"/>
    <x v="8"/>
    <x v="2"/>
    <x v="1"/>
    <x v="2"/>
    <x v="1"/>
    <x v="1"/>
    <n v="7"/>
    <x v="0"/>
  </r>
  <r>
    <d v="2023-03-07T00:00:00"/>
    <x v="0"/>
    <x v="1"/>
    <x v="1"/>
    <n v="2344892.64"/>
    <x v="0"/>
    <x v="1"/>
    <x v="1"/>
    <x v="3"/>
    <x v="2"/>
    <x v="1"/>
    <x v="2"/>
    <x v="1"/>
    <x v="1"/>
    <n v="7"/>
    <x v="0"/>
  </r>
  <r>
    <d v="2023-03-07T00:00:00"/>
    <x v="2"/>
    <x v="1"/>
    <x v="2"/>
    <n v="20021.89"/>
    <x v="2"/>
    <x v="1"/>
    <x v="2"/>
    <x v="2"/>
    <x v="2"/>
    <x v="1"/>
    <x v="2"/>
    <x v="1"/>
    <x v="1"/>
    <n v="7"/>
    <x v="0"/>
  </r>
  <r>
    <d v="2023-03-07T00:00:00"/>
    <x v="1"/>
    <x v="0"/>
    <x v="0"/>
    <n v="58239104.539999999"/>
    <x v="1"/>
    <x v="0"/>
    <x v="0"/>
    <x v="9"/>
    <x v="2"/>
    <x v="1"/>
    <x v="2"/>
    <x v="1"/>
    <x v="1"/>
    <n v="7"/>
    <x v="0"/>
  </r>
  <r>
    <d v="2023-03-07T00:00:00"/>
    <x v="3"/>
    <x v="2"/>
    <x v="0"/>
    <n v="908328274.45000005"/>
    <x v="3"/>
    <x v="2"/>
    <x v="0"/>
    <x v="10"/>
    <x v="2"/>
    <x v="1"/>
    <x v="2"/>
    <x v="1"/>
    <x v="1"/>
    <n v="7"/>
    <x v="0"/>
  </r>
  <r>
    <d v="2023-03-07T00:00:00"/>
    <x v="3"/>
    <x v="1"/>
    <x v="0"/>
    <n v="12166231.75"/>
    <x v="3"/>
    <x v="1"/>
    <x v="0"/>
    <x v="11"/>
    <x v="2"/>
    <x v="1"/>
    <x v="2"/>
    <x v="1"/>
    <x v="1"/>
    <n v="7"/>
    <x v="0"/>
  </r>
  <r>
    <d v="2023-03-07T00:00:00"/>
    <x v="3"/>
    <x v="2"/>
    <x v="1"/>
    <n v="4985114683.29"/>
    <x v="3"/>
    <x v="2"/>
    <x v="1"/>
    <x v="12"/>
    <x v="2"/>
    <x v="1"/>
    <x v="2"/>
    <x v="1"/>
    <x v="1"/>
    <n v="7"/>
    <x v="0"/>
  </r>
  <r>
    <d v="2023-03-06T00:00:00"/>
    <x v="0"/>
    <x v="1"/>
    <x v="0"/>
    <n v="20952778.559999999"/>
    <x v="0"/>
    <x v="1"/>
    <x v="0"/>
    <x v="0"/>
    <x v="2"/>
    <x v="1"/>
    <x v="2"/>
    <x v="1"/>
    <x v="1"/>
    <n v="6"/>
    <x v="0"/>
  </r>
  <r>
    <d v="2023-03-06T00:00:00"/>
    <x v="2"/>
    <x v="1"/>
    <x v="2"/>
    <n v="12425.46"/>
    <x v="2"/>
    <x v="1"/>
    <x v="2"/>
    <x v="1"/>
    <x v="2"/>
    <x v="1"/>
    <x v="2"/>
    <x v="1"/>
    <x v="1"/>
    <n v="6"/>
    <x v="0"/>
  </r>
  <r>
    <d v="2023-03-06T00:00:00"/>
    <x v="2"/>
    <x v="1"/>
    <x v="0"/>
    <n v="76633284.859999999"/>
    <x v="2"/>
    <x v="1"/>
    <x v="0"/>
    <x v="5"/>
    <x v="2"/>
    <x v="1"/>
    <x v="2"/>
    <x v="1"/>
    <x v="1"/>
    <n v="6"/>
    <x v="0"/>
  </r>
  <r>
    <d v="2023-03-06T00:00:00"/>
    <x v="3"/>
    <x v="3"/>
    <x v="0"/>
    <n v="873138293.82000005"/>
    <x v="3"/>
    <x v="3"/>
    <x v="0"/>
    <x v="7"/>
    <x v="2"/>
    <x v="1"/>
    <x v="2"/>
    <x v="1"/>
    <x v="1"/>
    <n v="6"/>
    <x v="0"/>
  </r>
  <r>
    <d v="2023-03-06T00:00:00"/>
    <x v="0"/>
    <x v="1"/>
    <x v="1"/>
    <n v="6245397.6500000004"/>
    <x v="0"/>
    <x v="1"/>
    <x v="1"/>
    <x v="2"/>
    <x v="2"/>
    <x v="1"/>
    <x v="2"/>
    <x v="1"/>
    <x v="1"/>
    <n v="6"/>
    <x v="0"/>
  </r>
  <r>
    <d v="2023-03-06T00:00:00"/>
    <x v="1"/>
    <x v="1"/>
    <x v="0"/>
    <n v="15684.85"/>
    <x v="1"/>
    <x v="1"/>
    <x v="0"/>
    <x v="3"/>
    <x v="2"/>
    <x v="1"/>
    <x v="2"/>
    <x v="1"/>
    <x v="1"/>
    <n v="6"/>
    <x v="0"/>
  </r>
  <r>
    <d v="2023-03-06T00:00:00"/>
    <x v="3"/>
    <x v="2"/>
    <x v="2"/>
    <n v="153023.51"/>
    <x v="3"/>
    <x v="2"/>
    <x v="2"/>
    <x v="4"/>
    <x v="2"/>
    <x v="1"/>
    <x v="2"/>
    <x v="1"/>
    <x v="1"/>
    <n v="6"/>
    <x v="0"/>
  </r>
  <r>
    <d v="2023-03-06T00:00:00"/>
    <x v="2"/>
    <x v="1"/>
    <x v="1"/>
    <n v="82343950.069999993"/>
    <x v="2"/>
    <x v="1"/>
    <x v="1"/>
    <x v="6"/>
    <x v="2"/>
    <x v="1"/>
    <x v="2"/>
    <x v="1"/>
    <x v="1"/>
    <n v="6"/>
    <x v="0"/>
  </r>
  <r>
    <d v="2023-03-06T00:00:00"/>
    <x v="1"/>
    <x v="0"/>
    <x v="1"/>
    <n v="510998434.64999998"/>
    <x v="1"/>
    <x v="0"/>
    <x v="1"/>
    <x v="8"/>
    <x v="2"/>
    <x v="1"/>
    <x v="2"/>
    <x v="1"/>
    <x v="1"/>
    <n v="6"/>
    <x v="0"/>
  </r>
  <r>
    <d v="2023-03-06T00:00:00"/>
    <x v="1"/>
    <x v="0"/>
    <x v="0"/>
    <n v="40840745.659999996"/>
    <x v="1"/>
    <x v="0"/>
    <x v="0"/>
    <x v="9"/>
    <x v="2"/>
    <x v="1"/>
    <x v="2"/>
    <x v="1"/>
    <x v="1"/>
    <n v="6"/>
    <x v="0"/>
  </r>
  <r>
    <d v="2023-03-06T00:00:00"/>
    <x v="3"/>
    <x v="2"/>
    <x v="0"/>
    <n v="1125809121.47"/>
    <x v="3"/>
    <x v="2"/>
    <x v="0"/>
    <x v="10"/>
    <x v="2"/>
    <x v="1"/>
    <x v="2"/>
    <x v="1"/>
    <x v="1"/>
    <n v="6"/>
    <x v="0"/>
  </r>
  <r>
    <d v="2023-03-06T00:00:00"/>
    <x v="3"/>
    <x v="2"/>
    <x v="1"/>
    <n v="30929733751.080002"/>
    <x v="3"/>
    <x v="2"/>
    <x v="1"/>
    <x v="11"/>
    <x v="2"/>
    <x v="1"/>
    <x v="2"/>
    <x v="1"/>
    <x v="1"/>
    <n v="6"/>
    <x v="0"/>
  </r>
  <r>
    <d v="2023-03-06T00:00:00"/>
    <x v="3"/>
    <x v="1"/>
    <x v="0"/>
    <n v="50149208.460000001"/>
    <x v="3"/>
    <x v="1"/>
    <x v="0"/>
    <x v="12"/>
    <x v="2"/>
    <x v="1"/>
    <x v="2"/>
    <x v="1"/>
    <x v="1"/>
    <n v="6"/>
    <x v="0"/>
  </r>
  <r>
    <d v="2023-03-03T00:00:00"/>
    <x v="0"/>
    <x v="1"/>
    <x v="0"/>
    <n v="12574964.720000001"/>
    <x v="0"/>
    <x v="1"/>
    <x v="0"/>
    <x v="0"/>
    <x v="2"/>
    <x v="1"/>
    <x v="2"/>
    <x v="1"/>
    <x v="1"/>
    <n v="3"/>
    <x v="0"/>
  </r>
  <r>
    <d v="2023-03-03T00:00:00"/>
    <x v="3"/>
    <x v="3"/>
    <x v="0"/>
    <n v="964263521.00999999"/>
    <x v="3"/>
    <x v="3"/>
    <x v="0"/>
    <x v="5"/>
    <x v="2"/>
    <x v="1"/>
    <x v="2"/>
    <x v="1"/>
    <x v="1"/>
    <n v="3"/>
    <x v="0"/>
  </r>
  <r>
    <d v="2023-03-03T00:00:00"/>
    <x v="2"/>
    <x v="1"/>
    <x v="1"/>
    <n v="135192456.96000001"/>
    <x v="2"/>
    <x v="1"/>
    <x v="1"/>
    <x v="7"/>
    <x v="2"/>
    <x v="1"/>
    <x v="2"/>
    <x v="1"/>
    <x v="1"/>
    <n v="3"/>
    <x v="0"/>
  </r>
  <r>
    <d v="2023-03-03T00:00:00"/>
    <x v="2"/>
    <x v="1"/>
    <x v="2"/>
    <n v="8808.19"/>
    <x v="2"/>
    <x v="1"/>
    <x v="2"/>
    <x v="3"/>
    <x v="2"/>
    <x v="1"/>
    <x v="2"/>
    <x v="1"/>
    <x v="1"/>
    <n v="3"/>
    <x v="0"/>
  </r>
  <r>
    <d v="2023-03-03T00:00:00"/>
    <x v="1"/>
    <x v="0"/>
    <x v="1"/>
    <n v="201233277.36000001"/>
    <x v="1"/>
    <x v="0"/>
    <x v="1"/>
    <x v="8"/>
    <x v="2"/>
    <x v="1"/>
    <x v="2"/>
    <x v="1"/>
    <x v="1"/>
    <n v="3"/>
    <x v="0"/>
  </r>
  <r>
    <d v="2023-03-03T00:00:00"/>
    <x v="0"/>
    <x v="1"/>
    <x v="1"/>
    <n v="21018323.640000001"/>
    <x v="0"/>
    <x v="1"/>
    <x v="1"/>
    <x v="1"/>
    <x v="2"/>
    <x v="1"/>
    <x v="2"/>
    <x v="1"/>
    <x v="1"/>
    <n v="3"/>
    <x v="0"/>
  </r>
  <r>
    <d v="2023-03-03T00:00:00"/>
    <x v="1"/>
    <x v="1"/>
    <x v="0"/>
    <n v="136267.74"/>
    <x v="1"/>
    <x v="1"/>
    <x v="0"/>
    <x v="2"/>
    <x v="2"/>
    <x v="1"/>
    <x v="2"/>
    <x v="1"/>
    <x v="1"/>
    <n v="3"/>
    <x v="0"/>
  </r>
  <r>
    <d v="2023-03-03T00:00:00"/>
    <x v="3"/>
    <x v="2"/>
    <x v="2"/>
    <n v="324254.36"/>
    <x v="3"/>
    <x v="2"/>
    <x v="2"/>
    <x v="4"/>
    <x v="2"/>
    <x v="1"/>
    <x v="2"/>
    <x v="1"/>
    <x v="1"/>
    <n v="3"/>
    <x v="0"/>
  </r>
  <r>
    <d v="2023-03-03T00:00:00"/>
    <x v="2"/>
    <x v="1"/>
    <x v="0"/>
    <n v="61848162.670000002"/>
    <x v="2"/>
    <x v="1"/>
    <x v="0"/>
    <x v="6"/>
    <x v="2"/>
    <x v="1"/>
    <x v="2"/>
    <x v="1"/>
    <x v="1"/>
    <n v="3"/>
    <x v="0"/>
  </r>
  <r>
    <d v="2023-03-03T00:00:00"/>
    <x v="1"/>
    <x v="0"/>
    <x v="0"/>
    <n v="58135856.469999999"/>
    <x v="1"/>
    <x v="0"/>
    <x v="0"/>
    <x v="9"/>
    <x v="2"/>
    <x v="1"/>
    <x v="2"/>
    <x v="1"/>
    <x v="1"/>
    <n v="3"/>
    <x v="0"/>
  </r>
  <r>
    <d v="2023-03-03T00:00:00"/>
    <x v="3"/>
    <x v="2"/>
    <x v="0"/>
    <n v="431564407.07999998"/>
    <x v="3"/>
    <x v="2"/>
    <x v="0"/>
    <x v="10"/>
    <x v="2"/>
    <x v="1"/>
    <x v="2"/>
    <x v="1"/>
    <x v="1"/>
    <n v="3"/>
    <x v="0"/>
  </r>
  <r>
    <d v="2023-03-03T00:00:00"/>
    <x v="3"/>
    <x v="1"/>
    <x v="0"/>
    <n v="15541123.369999999"/>
    <x v="3"/>
    <x v="1"/>
    <x v="0"/>
    <x v="11"/>
    <x v="2"/>
    <x v="1"/>
    <x v="2"/>
    <x v="1"/>
    <x v="1"/>
    <n v="3"/>
    <x v="0"/>
  </r>
  <r>
    <d v="2023-03-03T00:00:00"/>
    <x v="3"/>
    <x v="2"/>
    <x v="1"/>
    <n v="16084426625.34"/>
    <x v="3"/>
    <x v="2"/>
    <x v="1"/>
    <x v="12"/>
    <x v="2"/>
    <x v="1"/>
    <x v="2"/>
    <x v="1"/>
    <x v="1"/>
    <n v="3"/>
    <x v="0"/>
  </r>
  <r>
    <d v="2023-03-02T00:00:00"/>
    <x v="0"/>
    <x v="1"/>
    <x v="0"/>
    <n v="10913504.710000001"/>
    <x v="0"/>
    <x v="1"/>
    <x v="0"/>
    <x v="0"/>
    <x v="2"/>
    <x v="1"/>
    <x v="2"/>
    <x v="1"/>
    <x v="1"/>
    <n v="2"/>
    <x v="0"/>
  </r>
  <r>
    <d v="2023-03-02T00:00:00"/>
    <x v="2"/>
    <x v="1"/>
    <x v="2"/>
    <n v="35994.519999999997"/>
    <x v="2"/>
    <x v="1"/>
    <x v="2"/>
    <x v="1"/>
    <x v="2"/>
    <x v="1"/>
    <x v="2"/>
    <x v="1"/>
    <x v="1"/>
    <n v="2"/>
    <x v="0"/>
  </r>
  <r>
    <d v="2023-03-02T00:00:00"/>
    <x v="2"/>
    <x v="1"/>
    <x v="0"/>
    <n v="121572411.59999999"/>
    <x v="2"/>
    <x v="1"/>
    <x v="0"/>
    <x v="6"/>
    <x v="2"/>
    <x v="1"/>
    <x v="2"/>
    <x v="1"/>
    <x v="1"/>
    <n v="2"/>
    <x v="0"/>
  </r>
  <r>
    <d v="2023-03-02T00:00:00"/>
    <x v="2"/>
    <x v="1"/>
    <x v="1"/>
    <n v="220518809.81"/>
    <x v="2"/>
    <x v="1"/>
    <x v="1"/>
    <x v="7"/>
    <x v="2"/>
    <x v="1"/>
    <x v="2"/>
    <x v="1"/>
    <x v="1"/>
    <n v="2"/>
    <x v="0"/>
  </r>
  <r>
    <d v="2023-03-02T00:00:00"/>
    <x v="1"/>
    <x v="0"/>
    <x v="1"/>
    <n v="393707151.41000003"/>
    <x v="1"/>
    <x v="0"/>
    <x v="1"/>
    <x v="8"/>
    <x v="2"/>
    <x v="1"/>
    <x v="2"/>
    <x v="1"/>
    <x v="1"/>
    <n v="2"/>
    <x v="0"/>
  </r>
  <r>
    <d v="2023-03-02T00:00:00"/>
    <x v="1"/>
    <x v="1"/>
    <x v="0"/>
    <n v="263235.71000000002"/>
    <x v="1"/>
    <x v="1"/>
    <x v="0"/>
    <x v="3"/>
    <x v="2"/>
    <x v="1"/>
    <x v="2"/>
    <x v="1"/>
    <x v="1"/>
    <n v="2"/>
    <x v="0"/>
  </r>
  <r>
    <d v="2023-03-02T00:00:00"/>
    <x v="0"/>
    <x v="1"/>
    <x v="1"/>
    <n v="1110044.44"/>
    <x v="0"/>
    <x v="1"/>
    <x v="1"/>
    <x v="2"/>
    <x v="2"/>
    <x v="1"/>
    <x v="2"/>
    <x v="1"/>
    <x v="1"/>
    <n v="2"/>
    <x v="0"/>
  </r>
  <r>
    <d v="2023-03-02T00:00:00"/>
    <x v="3"/>
    <x v="2"/>
    <x v="2"/>
    <n v="210267"/>
    <x v="3"/>
    <x v="2"/>
    <x v="2"/>
    <x v="4"/>
    <x v="2"/>
    <x v="1"/>
    <x v="2"/>
    <x v="1"/>
    <x v="1"/>
    <n v="2"/>
    <x v="0"/>
  </r>
  <r>
    <d v="2023-03-02T00:00:00"/>
    <x v="3"/>
    <x v="3"/>
    <x v="0"/>
    <n v="814909219.70000005"/>
    <x v="3"/>
    <x v="3"/>
    <x v="0"/>
    <x v="5"/>
    <x v="2"/>
    <x v="1"/>
    <x v="2"/>
    <x v="1"/>
    <x v="1"/>
    <n v="2"/>
    <x v="0"/>
  </r>
  <r>
    <d v="2023-03-02T00:00:00"/>
    <x v="1"/>
    <x v="0"/>
    <x v="0"/>
    <n v="76757500.689999998"/>
    <x v="1"/>
    <x v="0"/>
    <x v="0"/>
    <x v="9"/>
    <x v="2"/>
    <x v="1"/>
    <x v="2"/>
    <x v="1"/>
    <x v="1"/>
    <n v="2"/>
    <x v="0"/>
  </r>
  <r>
    <d v="2023-03-02T00:00:00"/>
    <x v="3"/>
    <x v="2"/>
    <x v="0"/>
    <n v="350459089"/>
    <x v="3"/>
    <x v="2"/>
    <x v="0"/>
    <x v="10"/>
    <x v="2"/>
    <x v="1"/>
    <x v="2"/>
    <x v="1"/>
    <x v="1"/>
    <n v="2"/>
    <x v="0"/>
  </r>
  <r>
    <d v="2023-03-02T00:00:00"/>
    <x v="3"/>
    <x v="1"/>
    <x v="0"/>
    <n v="17132057.620000001"/>
    <x v="3"/>
    <x v="1"/>
    <x v="0"/>
    <x v="11"/>
    <x v="2"/>
    <x v="1"/>
    <x v="2"/>
    <x v="1"/>
    <x v="1"/>
    <n v="2"/>
    <x v="0"/>
  </r>
  <r>
    <d v="2023-03-02T00:00:00"/>
    <x v="3"/>
    <x v="2"/>
    <x v="1"/>
    <n v="9719317689.8899994"/>
    <x v="3"/>
    <x v="2"/>
    <x v="1"/>
    <x v="12"/>
    <x v="2"/>
    <x v="1"/>
    <x v="2"/>
    <x v="1"/>
    <x v="1"/>
    <n v="2"/>
    <x v="0"/>
  </r>
  <r>
    <d v="2023-03-01T00:00:00"/>
    <x v="0"/>
    <x v="1"/>
    <x v="0"/>
    <n v="7570380.2300000004"/>
    <x v="0"/>
    <x v="1"/>
    <x v="0"/>
    <x v="0"/>
    <x v="2"/>
    <x v="1"/>
    <x v="2"/>
    <x v="1"/>
    <x v="1"/>
    <n v="1"/>
    <x v="0"/>
  </r>
  <r>
    <d v="2023-03-01T00:00:00"/>
    <x v="2"/>
    <x v="1"/>
    <x v="2"/>
    <n v="276875"/>
    <x v="2"/>
    <x v="1"/>
    <x v="2"/>
    <x v="1"/>
    <x v="2"/>
    <x v="1"/>
    <x v="2"/>
    <x v="1"/>
    <x v="1"/>
    <n v="1"/>
    <x v="0"/>
  </r>
  <r>
    <d v="2023-03-01T00:00:00"/>
    <x v="2"/>
    <x v="1"/>
    <x v="0"/>
    <n v="86489445.709999993"/>
    <x v="2"/>
    <x v="1"/>
    <x v="0"/>
    <x v="7"/>
    <x v="2"/>
    <x v="1"/>
    <x v="2"/>
    <x v="1"/>
    <x v="1"/>
    <n v="1"/>
    <x v="0"/>
  </r>
  <r>
    <d v="2023-03-01T00:00:00"/>
    <x v="2"/>
    <x v="1"/>
    <x v="1"/>
    <n v="508296321.08999997"/>
    <x v="2"/>
    <x v="1"/>
    <x v="1"/>
    <x v="8"/>
    <x v="2"/>
    <x v="1"/>
    <x v="2"/>
    <x v="1"/>
    <x v="1"/>
    <n v="1"/>
    <x v="0"/>
  </r>
  <r>
    <d v="2023-03-01T00:00:00"/>
    <x v="1"/>
    <x v="1"/>
    <x v="0"/>
    <n v="110412.88"/>
    <x v="1"/>
    <x v="1"/>
    <x v="0"/>
    <x v="4"/>
    <x v="2"/>
    <x v="1"/>
    <x v="2"/>
    <x v="1"/>
    <x v="1"/>
    <n v="1"/>
    <x v="0"/>
  </r>
  <r>
    <d v="2023-03-01T00:00:00"/>
    <x v="1"/>
    <x v="0"/>
    <x v="0"/>
    <n v="92100151.209999993"/>
    <x v="1"/>
    <x v="0"/>
    <x v="0"/>
    <x v="10"/>
    <x v="2"/>
    <x v="1"/>
    <x v="2"/>
    <x v="1"/>
    <x v="1"/>
    <n v="1"/>
    <x v="0"/>
  </r>
  <r>
    <d v="2023-03-01T00:00:00"/>
    <x v="3"/>
    <x v="3"/>
    <x v="1"/>
    <n v="736125.99"/>
    <x v="3"/>
    <x v="3"/>
    <x v="1"/>
    <x v="2"/>
    <x v="2"/>
    <x v="1"/>
    <x v="2"/>
    <x v="1"/>
    <x v="1"/>
    <n v="1"/>
    <x v="0"/>
  </r>
  <r>
    <d v="2023-03-01T00:00:00"/>
    <x v="0"/>
    <x v="1"/>
    <x v="1"/>
    <n v="5607115.1299999999"/>
    <x v="0"/>
    <x v="1"/>
    <x v="1"/>
    <x v="3"/>
    <x v="2"/>
    <x v="1"/>
    <x v="2"/>
    <x v="1"/>
    <x v="1"/>
    <n v="1"/>
    <x v="0"/>
  </r>
  <r>
    <d v="2023-03-01T00:00:00"/>
    <x v="3"/>
    <x v="2"/>
    <x v="2"/>
    <n v="178670.79"/>
    <x v="3"/>
    <x v="2"/>
    <x v="2"/>
    <x v="5"/>
    <x v="2"/>
    <x v="1"/>
    <x v="2"/>
    <x v="1"/>
    <x v="1"/>
    <n v="1"/>
    <x v="0"/>
  </r>
  <r>
    <d v="2023-03-01T00:00:00"/>
    <x v="3"/>
    <x v="3"/>
    <x v="0"/>
    <n v="3088889673.4699998"/>
    <x v="3"/>
    <x v="3"/>
    <x v="0"/>
    <x v="6"/>
    <x v="2"/>
    <x v="1"/>
    <x v="2"/>
    <x v="1"/>
    <x v="1"/>
    <n v="1"/>
    <x v="0"/>
  </r>
  <r>
    <d v="2023-03-01T00:00:00"/>
    <x v="1"/>
    <x v="0"/>
    <x v="1"/>
    <n v="702098319.63"/>
    <x v="1"/>
    <x v="0"/>
    <x v="1"/>
    <x v="9"/>
    <x v="2"/>
    <x v="1"/>
    <x v="2"/>
    <x v="1"/>
    <x v="1"/>
    <n v="1"/>
    <x v="0"/>
  </r>
  <r>
    <d v="2023-03-01T00:00:00"/>
    <x v="3"/>
    <x v="2"/>
    <x v="0"/>
    <n v="715471089.42999995"/>
    <x v="3"/>
    <x v="2"/>
    <x v="0"/>
    <x v="11"/>
    <x v="2"/>
    <x v="1"/>
    <x v="2"/>
    <x v="1"/>
    <x v="1"/>
    <n v="1"/>
    <x v="0"/>
  </r>
  <r>
    <d v="2023-03-01T00:00:00"/>
    <x v="3"/>
    <x v="1"/>
    <x v="0"/>
    <n v="16513063.869999999"/>
    <x v="3"/>
    <x v="1"/>
    <x v="0"/>
    <x v="12"/>
    <x v="2"/>
    <x v="1"/>
    <x v="2"/>
    <x v="1"/>
    <x v="1"/>
    <n v="1"/>
    <x v="0"/>
  </r>
  <r>
    <d v="2023-03-01T00:00:00"/>
    <x v="3"/>
    <x v="2"/>
    <x v="1"/>
    <n v="38805965877.400002"/>
    <x v="3"/>
    <x v="2"/>
    <x v="1"/>
    <x v="13"/>
    <x v="2"/>
    <x v="1"/>
    <x v="2"/>
    <x v="1"/>
    <x v="1"/>
    <n v="1"/>
    <x v="0"/>
  </r>
  <r>
    <d v="2023-02-28T00:00:00"/>
    <x v="1"/>
    <x v="1"/>
    <x v="0"/>
    <n v="21390.31"/>
    <x v="1"/>
    <x v="1"/>
    <x v="0"/>
    <x v="0"/>
    <x v="2"/>
    <x v="1"/>
    <x v="2"/>
    <x v="1"/>
    <x v="2"/>
    <n v="28"/>
    <x v="0"/>
  </r>
  <r>
    <d v="2023-02-28T00:00:00"/>
    <x v="0"/>
    <x v="1"/>
    <x v="0"/>
    <n v="7726102.3899999997"/>
    <x v="0"/>
    <x v="1"/>
    <x v="0"/>
    <x v="1"/>
    <x v="2"/>
    <x v="1"/>
    <x v="2"/>
    <x v="1"/>
    <x v="2"/>
    <n v="28"/>
    <x v="0"/>
  </r>
  <r>
    <d v="2023-02-28T00:00:00"/>
    <x v="3"/>
    <x v="2"/>
    <x v="2"/>
    <n v="267953"/>
    <x v="3"/>
    <x v="2"/>
    <x v="2"/>
    <x v="5"/>
    <x v="2"/>
    <x v="1"/>
    <x v="2"/>
    <x v="1"/>
    <x v="2"/>
    <n v="28"/>
    <x v="0"/>
  </r>
  <r>
    <d v="2023-02-28T00:00:00"/>
    <x v="2"/>
    <x v="1"/>
    <x v="2"/>
    <n v="20839.16"/>
    <x v="2"/>
    <x v="1"/>
    <x v="2"/>
    <x v="2"/>
    <x v="2"/>
    <x v="1"/>
    <x v="2"/>
    <x v="1"/>
    <x v="2"/>
    <n v="28"/>
    <x v="0"/>
  </r>
  <r>
    <d v="2023-02-28T00:00:00"/>
    <x v="2"/>
    <x v="1"/>
    <x v="1"/>
    <n v="107974285.72"/>
    <x v="2"/>
    <x v="1"/>
    <x v="1"/>
    <x v="7"/>
    <x v="2"/>
    <x v="1"/>
    <x v="2"/>
    <x v="1"/>
    <x v="2"/>
    <n v="28"/>
    <x v="0"/>
  </r>
  <r>
    <d v="2023-02-28T00:00:00"/>
    <x v="3"/>
    <x v="3"/>
    <x v="0"/>
    <n v="3210062599.4699998"/>
    <x v="3"/>
    <x v="3"/>
    <x v="0"/>
    <x v="8"/>
    <x v="2"/>
    <x v="1"/>
    <x v="2"/>
    <x v="1"/>
    <x v="2"/>
    <n v="28"/>
    <x v="0"/>
  </r>
  <r>
    <d v="2023-02-28T00:00:00"/>
    <x v="1"/>
    <x v="0"/>
    <x v="1"/>
    <n v="250983656.78"/>
    <x v="1"/>
    <x v="0"/>
    <x v="1"/>
    <x v="9"/>
    <x v="2"/>
    <x v="1"/>
    <x v="2"/>
    <x v="1"/>
    <x v="2"/>
    <n v="28"/>
    <x v="0"/>
  </r>
  <r>
    <d v="2023-02-28T00:00:00"/>
    <x v="3"/>
    <x v="3"/>
    <x v="1"/>
    <n v="954841.96"/>
    <x v="3"/>
    <x v="3"/>
    <x v="1"/>
    <x v="3"/>
    <x v="2"/>
    <x v="1"/>
    <x v="2"/>
    <x v="1"/>
    <x v="2"/>
    <n v="28"/>
    <x v="0"/>
  </r>
  <r>
    <d v="2023-02-28T00:00:00"/>
    <x v="0"/>
    <x v="1"/>
    <x v="1"/>
    <n v="3015626.3"/>
    <x v="0"/>
    <x v="1"/>
    <x v="1"/>
    <x v="4"/>
    <x v="2"/>
    <x v="1"/>
    <x v="2"/>
    <x v="1"/>
    <x v="2"/>
    <n v="28"/>
    <x v="0"/>
  </r>
  <r>
    <d v="2023-02-28T00:00:00"/>
    <x v="2"/>
    <x v="1"/>
    <x v="0"/>
    <n v="94627858.310000002"/>
    <x v="2"/>
    <x v="1"/>
    <x v="0"/>
    <x v="6"/>
    <x v="2"/>
    <x v="1"/>
    <x v="2"/>
    <x v="1"/>
    <x v="2"/>
    <n v="28"/>
    <x v="0"/>
  </r>
  <r>
    <d v="2023-02-28T00:00:00"/>
    <x v="1"/>
    <x v="0"/>
    <x v="0"/>
    <n v="70561499.569999993"/>
    <x v="1"/>
    <x v="0"/>
    <x v="0"/>
    <x v="10"/>
    <x v="2"/>
    <x v="1"/>
    <x v="2"/>
    <x v="1"/>
    <x v="2"/>
    <n v="28"/>
    <x v="0"/>
  </r>
  <r>
    <d v="2023-02-28T00:00:00"/>
    <x v="3"/>
    <x v="2"/>
    <x v="0"/>
    <n v="1151958821.8900001"/>
    <x v="3"/>
    <x v="2"/>
    <x v="0"/>
    <x v="11"/>
    <x v="2"/>
    <x v="1"/>
    <x v="2"/>
    <x v="1"/>
    <x v="2"/>
    <n v="28"/>
    <x v="0"/>
  </r>
  <r>
    <d v="2023-02-28T00:00:00"/>
    <x v="3"/>
    <x v="1"/>
    <x v="0"/>
    <n v="12251551.74"/>
    <x v="3"/>
    <x v="1"/>
    <x v="0"/>
    <x v="12"/>
    <x v="2"/>
    <x v="1"/>
    <x v="2"/>
    <x v="1"/>
    <x v="2"/>
    <n v="28"/>
    <x v="0"/>
  </r>
  <r>
    <d v="2023-02-28T00:00:00"/>
    <x v="3"/>
    <x v="2"/>
    <x v="1"/>
    <n v="15002080416.41"/>
    <x v="3"/>
    <x v="2"/>
    <x v="1"/>
    <x v="13"/>
    <x v="2"/>
    <x v="1"/>
    <x v="2"/>
    <x v="1"/>
    <x v="2"/>
    <n v="28"/>
    <x v="0"/>
  </r>
  <r>
    <d v="2023-02-27T00:00:00"/>
    <x v="1"/>
    <x v="1"/>
    <x v="0"/>
    <n v="196591.64"/>
    <x v="1"/>
    <x v="1"/>
    <x v="0"/>
    <x v="1"/>
    <x v="2"/>
    <x v="1"/>
    <x v="2"/>
    <x v="1"/>
    <x v="2"/>
    <n v="27"/>
    <x v="0"/>
  </r>
  <r>
    <d v="2023-02-27T00:00:00"/>
    <x v="0"/>
    <x v="0"/>
    <x v="0"/>
    <n v="148"/>
    <x v="0"/>
    <x v="0"/>
    <x v="0"/>
    <x v="0"/>
    <x v="2"/>
    <x v="1"/>
    <x v="2"/>
    <x v="1"/>
    <x v="2"/>
    <n v="27"/>
    <x v="0"/>
  </r>
  <r>
    <d v="2023-02-27T00:00:00"/>
    <x v="0"/>
    <x v="1"/>
    <x v="0"/>
    <n v="13177377.220000001"/>
    <x v="0"/>
    <x v="1"/>
    <x v="0"/>
    <x v="2"/>
    <x v="2"/>
    <x v="1"/>
    <x v="2"/>
    <x v="1"/>
    <x v="2"/>
    <n v="27"/>
    <x v="0"/>
  </r>
  <r>
    <d v="2023-02-27T00:00:00"/>
    <x v="3"/>
    <x v="2"/>
    <x v="2"/>
    <n v="232944.19"/>
    <x v="3"/>
    <x v="2"/>
    <x v="2"/>
    <x v="6"/>
    <x v="2"/>
    <x v="1"/>
    <x v="2"/>
    <x v="1"/>
    <x v="2"/>
    <n v="27"/>
    <x v="0"/>
  </r>
  <r>
    <d v="2023-02-27T00:00:00"/>
    <x v="2"/>
    <x v="1"/>
    <x v="0"/>
    <n v="81894378.090000004"/>
    <x v="2"/>
    <x v="1"/>
    <x v="0"/>
    <x v="7"/>
    <x v="2"/>
    <x v="1"/>
    <x v="2"/>
    <x v="1"/>
    <x v="2"/>
    <n v="27"/>
    <x v="0"/>
  </r>
  <r>
    <d v="2023-02-27T00:00:00"/>
    <x v="3"/>
    <x v="3"/>
    <x v="0"/>
    <n v="1408321942.5799999"/>
    <x v="3"/>
    <x v="3"/>
    <x v="0"/>
    <x v="8"/>
    <x v="2"/>
    <x v="1"/>
    <x v="2"/>
    <x v="1"/>
    <x v="2"/>
    <n v="27"/>
    <x v="0"/>
  </r>
  <r>
    <d v="2023-02-27T00:00:00"/>
    <x v="2"/>
    <x v="1"/>
    <x v="1"/>
    <n v="315184409.98000002"/>
    <x v="2"/>
    <x v="1"/>
    <x v="1"/>
    <x v="9"/>
    <x v="2"/>
    <x v="1"/>
    <x v="2"/>
    <x v="1"/>
    <x v="2"/>
    <n v="27"/>
    <x v="0"/>
  </r>
  <r>
    <d v="2023-02-27T00:00:00"/>
    <x v="1"/>
    <x v="0"/>
    <x v="1"/>
    <n v="155334044.28"/>
    <x v="1"/>
    <x v="0"/>
    <x v="1"/>
    <x v="10"/>
    <x v="2"/>
    <x v="1"/>
    <x v="2"/>
    <x v="1"/>
    <x v="2"/>
    <n v="27"/>
    <x v="0"/>
  </r>
  <r>
    <d v="2023-02-27T00:00:00"/>
    <x v="0"/>
    <x v="1"/>
    <x v="1"/>
    <n v="1842051.81"/>
    <x v="0"/>
    <x v="1"/>
    <x v="1"/>
    <x v="4"/>
    <x v="2"/>
    <x v="1"/>
    <x v="2"/>
    <x v="1"/>
    <x v="2"/>
    <n v="27"/>
    <x v="0"/>
  </r>
  <r>
    <d v="2023-02-27T00:00:00"/>
    <x v="2"/>
    <x v="1"/>
    <x v="2"/>
    <n v="10297.969999999999"/>
    <x v="2"/>
    <x v="1"/>
    <x v="2"/>
    <x v="5"/>
    <x v="2"/>
    <x v="1"/>
    <x v="2"/>
    <x v="1"/>
    <x v="2"/>
    <n v="27"/>
    <x v="0"/>
  </r>
  <r>
    <d v="2023-02-27T00:00:00"/>
    <x v="3"/>
    <x v="3"/>
    <x v="1"/>
    <n v="30229"/>
    <x v="3"/>
    <x v="3"/>
    <x v="1"/>
    <x v="3"/>
    <x v="2"/>
    <x v="1"/>
    <x v="2"/>
    <x v="1"/>
    <x v="2"/>
    <n v="27"/>
    <x v="0"/>
  </r>
  <r>
    <d v="2023-02-27T00:00:00"/>
    <x v="1"/>
    <x v="0"/>
    <x v="0"/>
    <n v="57033532.009999998"/>
    <x v="1"/>
    <x v="0"/>
    <x v="0"/>
    <x v="11"/>
    <x v="2"/>
    <x v="1"/>
    <x v="2"/>
    <x v="1"/>
    <x v="2"/>
    <n v="27"/>
    <x v="0"/>
  </r>
  <r>
    <d v="2023-02-27T00:00:00"/>
    <x v="3"/>
    <x v="2"/>
    <x v="0"/>
    <n v="527510798.04000002"/>
    <x v="3"/>
    <x v="2"/>
    <x v="0"/>
    <x v="12"/>
    <x v="2"/>
    <x v="1"/>
    <x v="2"/>
    <x v="1"/>
    <x v="2"/>
    <n v="27"/>
    <x v="0"/>
  </r>
  <r>
    <d v="2023-02-27T00:00:00"/>
    <x v="3"/>
    <x v="2"/>
    <x v="1"/>
    <n v="27985306127.439999"/>
    <x v="3"/>
    <x v="2"/>
    <x v="1"/>
    <x v="13"/>
    <x v="2"/>
    <x v="1"/>
    <x v="2"/>
    <x v="1"/>
    <x v="2"/>
    <n v="27"/>
    <x v="0"/>
  </r>
  <r>
    <d v="2023-02-27T00:00:00"/>
    <x v="3"/>
    <x v="1"/>
    <x v="0"/>
    <n v="46104989.640000001"/>
    <x v="3"/>
    <x v="1"/>
    <x v="0"/>
    <x v="14"/>
    <x v="2"/>
    <x v="1"/>
    <x v="2"/>
    <x v="1"/>
    <x v="2"/>
    <n v="27"/>
    <x v="0"/>
  </r>
  <r>
    <d v="2023-02-24T00:00:00"/>
    <x v="1"/>
    <x v="1"/>
    <x v="0"/>
    <n v="10888.55"/>
    <x v="1"/>
    <x v="1"/>
    <x v="0"/>
    <x v="0"/>
    <x v="2"/>
    <x v="1"/>
    <x v="2"/>
    <x v="1"/>
    <x v="2"/>
    <n v="24"/>
    <x v="0"/>
  </r>
  <r>
    <d v="2023-02-24T00:00:00"/>
    <x v="0"/>
    <x v="1"/>
    <x v="0"/>
    <n v="11610375.460000001"/>
    <x v="0"/>
    <x v="1"/>
    <x v="0"/>
    <x v="1"/>
    <x v="2"/>
    <x v="1"/>
    <x v="2"/>
    <x v="1"/>
    <x v="2"/>
    <n v="24"/>
    <x v="0"/>
  </r>
  <r>
    <d v="2023-02-24T00:00:00"/>
    <x v="3"/>
    <x v="2"/>
    <x v="2"/>
    <n v="183603"/>
    <x v="3"/>
    <x v="2"/>
    <x v="2"/>
    <x v="4"/>
    <x v="2"/>
    <x v="1"/>
    <x v="2"/>
    <x v="1"/>
    <x v="2"/>
    <n v="24"/>
    <x v="0"/>
  </r>
  <r>
    <d v="2023-02-24T00:00:00"/>
    <x v="2"/>
    <x v="1"/>
    <x v="0"/>
    <n v="125190614.90000001"/>
    <x v="2"/>
    <x v="1"/>
    <x v="0"/>
    <x v="5"/>
    <x v="2"/>
    <x v="1"/>
    <x v="2"/>
    <x v="1"/>
    <x v="2"/>
    <n v="24"/>
    <x v="0"/>
  </r>
  <r>
    <d v="2023-02-24T00:00:00"/>
    <x v="3"/>
    <x v="3"/>
    <x v="0"/>
    <n v="1111876358.0799999"/>
    <x v="3"/>
    <x v="3"/>
    <x v="0"/>
    <x v="6"/>
    <x v="2"/>
    <x v="1"/>
    <x v="2"/>
    <x v="1"/>
    <x v="2"/>
    <n v="24"/>
    <x v="0"/>
  </r>
  <r>
    <d v="2023-02-24T00:00:00"/>
    <x v="1"/>
    <x v="0"/>
    <x v="1"/>
    <n v="256478559.13999999"/>
    <x v="1"/>
    <x v="0"/>
    <x v="1"/>
    <x v="8"/>
    <x v="2"/>
    <x v="1"/>
    <x v="2"/>
    <x v="1"/>
    <x v="2"/>
    <n v="24"/>
    <x v="0"/>
  </r>
  <r>
    <d v="2023-02-24T00:00:00"/>
    <x v="0"/>
    <x v="1"/>
    <x v="1"/>
    <n v="8437337.6500000004"/>
    <x v="0"/>
    <x v="1"/>
    <x v="1"/>
    <x v="2"/>
    <x v="2"/>
    <x v="1"/>
    <x v="2"/>
    <x v="1"/>
    <x v="2"/>
    <n v="24"/>
    <x v="0"/>
  </r>
  <r>
    <d v="2023-02-24T00:00:00"/>
    <x v="1"/>
    <x v="0"/>
    <x v="0"/>
    <n v="64079833.799999997"/>
    <x v="1"/>
    <x v="0"/>
    <x v="0"/>
    <x v="9"/>
    <x v="2"/>
    <x v="1"/>
    <x v="2"/>
    <x v="1"/>
    <x v="2"/>
    <n v="24"/>
    <x v="0"/>
  </r>
  <r>
    <d v="2023-02-24T00:00:00"/>
    <x v="2"/>
    <x v="1"/>
    <x v="2"/>
    <n v="9794.5"/>
    <x v="2"/>
    <x v="1"/>
    <x v="2"/>
    <x v="3"/>
    <x v="2"/>
    <x v="1"/>
    <x v="2"/>
    <x v="1"/>
    <x v="2"/>
    <n v="24"/>
    <x v="0"/>
  </r>
  <r>
    <d v="2023-02-24T00:00:00"/>
    <x v="2"/>
    <x v="1"/>
    <x v="1"/>
    <n v="264977448.31"/>
    <x v="2"/>
    <x v="1"/>
    <x v="1"/>
    <x v="7"/>
    <x v="2"/>
    <x v="1"/>
    <x v="2"/>
    <x v="1"/>
    <x v="2"/>
    <n v="24"/>
    <x v="0"/>
  </r>
  <r>
    <d v="2023-02-24T00:00:00"/>
    <x v="3"/>
    <x v="2"/>
    <x v="0"/>
    <n v="294432071.76999998"/>
    <x v="3"/>
    <x v="2"/>
    <x v="0"/>
    <x v="10"/>
    <x v="2"/>
    <x v="1"/>
    <x v="2"/>
    <x v="1"/>
    <x v="2"/>
    <n v="24"/>
    <x v="0"/>
  </r>
  <r>
    <d v="2023-02-24T00:00:00"/>
    <x v="3"/>
    <x v="1"/>
    <x v="0"/>
    <n v="14124180.25"/>
    <x v="3"/>
    <x v="1"/>
    <x v="0"/>
    <x v="11"/>
    <x v="2"/>
    <x v="1"/>
    <x v="2"/>
    <x v="1"/>
    <x v="2"/>
    <n v="24"/>
    <x v="0"/>
  </r>
  <r>
    <d v="2023-02-24T00:00:00"/>
    <x v="3"/>
    <x v="2"/>
    <x v="1"/>
    <n v="9724776946.3500004"/>
    <x v="3"/>
    <x v="2"/>
    <x v="1"/>
    <x v="12"/>
    <x v="2"/>
    <x v="1"/>
    <x v="2"/>
    <x v="1"/>
    <x v="2"/>
    <n v="24"/>
    <x v="0"/>
  </r>
  <r>
    <d v="2023-02-23T00:00:00"/>
    <x v="1"/>
    <x v="1"/>
    <x v="0"/>
    <n v="115075.2"/>
    <x v="1"/>
    <x v="1"/>
    <x v="0"/>
    <x v="0"/>
    <x v="2"/>
    <x v="1"/>
    <x v="2"/>
    <x v="1"/>
    <x v="2"/>
    <n v="23"/>
    <x v="0"/>
  </r>
  <r>
    <d v="2023-02-23T00:00:00"/>
    <x v="0"/>
    <x v="1"/>
    <x v="0"/>
    <n v="17112568.809999999"/>
    <x v="0"/>
    <x v="1"/>
    <x v="0"/>
    <x v="1"/>
    <x v="2"/>
    <x v="1"/>
    <x v="2"/>
    <x v="1"/>
    <x v="2"/>
    <n v="23"/>
    <x v="0"/>
  </r>
  <r>
    <d v="2023-02-23T00:00:00"/>
    <x v="2"/>
    <x v="1"/>
    <x v="2"/>
    <n v="40295.4"/>
    <x v="2"/>
    <x v="1"/>
    <x v="2"/>
    <x v="2"/>
    <x v="2"/>
    <x v="1"/>
    <x v="2"/>
    <x v="1"/>
    <x v="2"/>
    <n v="23"/>
    <x v="0"/>
  </r>
  <r>
    <d v="2023-02-23T00:00:00"/>
    <x v="2"/>
    <x v="1"/>
    <x v="0"/>
    <n v="86860996.890000001"/>
    <x v="2"/>
    <x v="1"/>
    <x v="0"/>
    <x v="6"/>
    <x v="2"/>
    <x v="1"/>
    <x v="2"/>
    <x v="1"/>
    <x v="2"/>
    <n v="23"/>
    <x v="0"/>
  </r>
  <r>
    <d v="2023-02-23T00:00:00"/>
    <x v="1"/>
    <x v="0"/>
    <x v="1"/>
    <n v="1138120950.5699999"/>
    <x v="1"/>
    <x v="0"/>
    <x v="1"/>
    <x v="9"/>
    <x v="2"/>
    <x v="1"/>
    <x v="2"/>
    <x v="1"/>
    <x v="2"/>
    <n v="23"/>
    <x v="0"/>
  </r>
  <r>
    <d v="2023-02-23T00:00:00"/>
    <x v="0"/>
    <x v="1"/>
    <x v="1"/>
    <n v="6392086.2000000002"/>
    <x v="0"/>
    <x v="1"/>
    <x v="1"/>
    <x v="4"/>
    <x v="2"/>
    <x v="1"/>
    <x v="2"/>
    <x v="1"/>
    <x v="2"/>
    <n v="23"/>
    <x v="0"/>
  </r>
  <r>
    <d v="2023-02-23T00:00:00"/>
    <x v="1"/>
    <x v="0"/>
    <x v="0"/>
    <n v="90774369.219999999"/>
    <x v="1"/>
    <x v="0"/>
    <x v="0"/>
    <x v="10"/>
    <x v="2"/>
    <x v="1"/>
    <x v="2"/>
    <x v="1"/>
    <x v="2"/>
    <n v="23"/>
    <x v="0"/>
  </r>
  <r>
    <d v="2023-02-23T00:00:00"/>
    <x v="3"/>
    <x v="2"/>
    <x v="2"/>
    <n v="218016"/>
    <x v="3"/>
    <x v="2"/>
    <x v="2"/>
    <x v="5"/>
    <x v="2"/>
    <x v="1"/>
    <x v="2"/>
    <x v="1"/>
    <x v="2"/>
    <n v="23"/>
    <x v="0"/>
  </r>
  <r>
    <d v="2023-02-23T00:00:00"/>
    <x v="3"/>
    <x v="3"/>
    <x v="0"/>
    <n v="915181449.11000001"/>
    <x v="3"/>
    <x v="3"/>
    <x v="0"/>
    <x v="7"/>
    <x v="2"/>
    <x v="1"/>
    <x v="2"/>
    <x v="1"/>
    <x v="2"/>
    <n v="23"/>
    <x v="0"/>
  </r>
  <r>
    <d v="2023-02-23T00:00:00"/>
    <x v="3"/>
    <x v="3"/>
    <x v="1"/>
    <n v="66185917.590000004"/>
    <x v="3"/>
    <x v="3"/>
    <x v="1"/>
    <x v="3"/>
    <x v="2"/>
    <x v="1"/>
    <x v="2"/>
    <x v="1"/>
    <x v="2"/>
    <n v="23"/>
    <x v="0"/>
  </r>
  <r>
    <d v="2023-02-23T00:00:00"/>
    <x v="2"/>
    <x v="1"/>
    <x v="1"/>
    <n v="258417915.90000001"/>
    <x v="2"/>
    <x v="1"/>
    <x v="1"/>
    <x v="8"/>
    <x v="2"/>
    <x v="1"/>
    <x v="2"/>
    <x v="1"/>
    <x v="2"/>
    <n v="23"/>
    <x v="0"/>
  </r>
  <r>
    <d v="2023-02-23T00:00:00"/>
    <x v="3"/>
    <x v="1"/>
    <x v="0"/>
    <n v="14177152.880000001"/>
    <x v="3"/>
    <x v="1"/>
    <x v="0"/>
    <x v="11"/>
    <x v="2"/>
    <x v="1"/>
    <x v="2"/>
    <x v="1"/>
    <x v="2"/>
    <n v="23"/>
    <x v="0"/>
  </r>
  <r>
    <d v="2023-02-23T00:00:00"/>
    <x v="3"/>
    <x v="2"/>
    <x v="0"/>
    <n v="5903528880.9300003"/>
    <x v="3"/>
    <x v="2"/>
    <x v="0"/>
    <x v="12"/>
    <x v="2"/>
    <x v="1"/>
    <x v="2"/>
    <x v="1"/>
    <x v="2"/>
    <n v="23"/>
    <x v="0"/>
  </r>
  <r>
    <d v="2023-02-23T00:00:00"/>
    <x v="3"/>
    <x v="2"/>
    <x v="1"/>
    <n v="12924851328.73"/>
    <x v="3"/>
    <x v="2"/>
    <x v="1"/>
    <x v="13"/>
    <x v="2"/>
    <x v="1"/>
    <x v="2"/>
    <x v="1"/>
    <x v="2"/>
    <n v="23"/>
    <x v="0"/>
  </r>
  <r>
    <d v="2023-02-22T00:00:00"/>
    <x v="1"/>
    <x v="1"/>
    <x v="0"/>
    <n v="572525.24"/>
    <x v="1"/>
    <x v="1"/>
    <x v="0"/>
    <x v="0"/>
    <x v="2"/>
    <x v="1"/>
    <x v="2"/>
    <x v="1"/>
    <x v="2"/>
    <n v="22"/>
    <x v="0"/>
  </r>
  <r>
    <d v="2023-02-22T00:00:00"/>
    <x v="0"/>
    <x v="1"/>
    <x v="0"/>
    <n v="22367823.789999999"/>
    <x v="0"/>
    <x v="1"/>
    <x v="0"/>
    <x v="1"/>
    <x v="2"/>
    <x v="1"/>
    <x v="2"/>
    <x v="1"/>
    <x v="2"/>
    <n v="22"/>
    <x v="0"/>
  </r>
  <r>
    <d v="2023-02-22T00:00:00"/>
    <x v="2"/>
    <x v="1"/>
    <x v="2"/>
    <n v="23042.61"/>
    <x v="2"/>
    <x v="1"/>
    <x v="2"/>
    <x v="2"/>
    <x v="2"/>
    <x v="1"/>
    <x v="2"/>
    <x v="1"/>
    <x v="2"/>
    <n v="22"/>
    <x v="0"/>
  </r>
  <r>
    <d v="2023-02-22T00:00:00"/>
    <x v="3"/>
    <x v="2"/>
    <x v="2"/>
    <n v="232022.42"/>
    <x v="3"/>
    <x v="2"/>
    <x v="2"/>
    <x v="3"/>
    <x v="2"/>
    <x v="1"/>
    <x v="2"/>
    <x v="1"/>
    <x v="2"/>
    <n v="22"/>
    <x v="0"/>
  </r>
  <r>
    <d v="2023-02-22T00:00:00"/>
    <x v="2"/>
    <x v="1"/>
    <x v="1"/>
    <n v="187131229.44"/>
    <x v="2"/>
    <x v="1"/>
    <x v="1"/>
    <x v="5"/>
    <x v="2"/>
    <x v="1"/>
    <x v="2"/>
    <x v="1"/>
    <x v="2"/>
    <n v="22"/>
    <x v="0"/>
  </r>
  <r>
    <d v="2023-02-22T00:00:00"/>
    <x v="3"/>
    <x v="3"/>
    <x v="0"/>
    <n v="3099918152.54"/>
    <x v="3"/>
    <x v="3"/>
    <x v="0"/>
    <x v="8"/>
    <x v="2"/>
    <x v="1"/>
    <x v="2"/>
    <x v="1"/>
    <x v="2"/>
    <n v="22"/>
    <x v="0"/>
  </r>
  <r>
    <d v="2023-02-22T00:00:00"/>
    <x v="0"/>
    <x v="1"/>
    <x v="1"/>
    <n v="7948251.9500000002"/>
    <x v="0"/>
    <x v="1"/>
    <x v="1"/>
    <x v="4"/>
    <x v="2"/>
    <x v="1"/>
    <x v="2"/>
    <x v="1"/>
    <x v="2"/>
    <n v="22"/>
    <x v="0"/>
  </r>
  <r>
    <d v="2023-02-22T00:00:00"/>
    <x v="2"/>
    <x v="1"/>
    <x v="0"/>
    <n v="99303943.719999999"/>
    <x v="2"/>
    <x v="1"/>
    <x v="0"/>
    <x v="6"/>
    <x v="2"/>
    <x v="1"/>
    <x v="2"/>
    <x v="1"/>
    <x v="2"/>
    <n v="22"/>
    <x v="0"/>
  </r>
  <r>
    <d v="2023-02-22T00:00:00"/>
    <x v="1"/>
    <x v="0"/>
    <x v="1"/>
    <n v="384895672.75999999"/>
    <x v="1"/>
    <x v="0"/>
    <x v="1"/>
    <x v="7"/>
    <x v="2"/>
    <x v="1"/>
    <x v="2"/>
    <x v="1"/>
    <x v="2"/>
    <n v="22"/>
    <x v="0"/>
  </r>
  <r>
    <d v="2023-02-22T00:00:00"/>
    <x v="1"/>
    <x v="0"/>
    <x v="0"/>
    <n v="67555454.840000004"/>
    <x v="1"/>
    <x v="0"/>
    <x v="0"/>
    <x v="9"/>
    <x v="2"/>
    <x v="1"/>
    <x v="2"/>
    <x v="1"/>
    <x v="2"/>
    <n v="22"/>
    <x v="0"/>
  </r>
  <r>
    <d v="2023-02-22T00:00:00"/>
    <x v="3"/>
    <x v="2"/>
    <x v="0"/>
    <n v="496359468.81"/>
    <x v="3"/>
    <x v="2"/>
    <x v="0"/>
    <x v="10"/>
    <x v="2"/>
    <x v="1"/>
    <x v="2"/>
    <x v="1"/>
    <x v="2"/>
    <n v="22"/>
    <x v="0"/>
  </r>
  <r>
    <d v="2023-02-22T00:00:00"/>
    <x v="3"/>
    <x v="1"/>
    <x v="0"/>
    <n v="15448863.390000001"/>
    <x v="3"/>
    <x v="1"/>
    <x v="0"/>
    <x v="11"/>
    <x v="2"/>
    <x v="1"/>
    <x v="2"/>
    <x v="1"/>
    <x v="2"/>
    <n v="22"/>
    <x v="0"/>
  </r>
  <r>
    <d v="2023-02-22T00:00:00"/>
    <x v="3"/>
    <x v="2"/>
    <x v="1"/>
    <n v="6687534180.5500002"/>
    <x v="3"/>
    <x v="2"/>
    <x v="1"/>
    <x v="12"/>
    <x v="2"/>
    <x v="1"/>
    <x v="2"/>
    <x v="1"/>
    <x v="2"/>
    <n v="22"/>
    <x v="0"/>
  </r>
  <r>
    <d v="2023-02-21T00:00:00"/>
    <x v="0"/>
    <x v="0"/>
    <x v="0"/>
    <n v="810"/>
    <x v="0"/>
    <x v="0"/>
    <x v="0"/>
    <x v="0"/>
    <x v="2"/>
    <x v="1"/>
    <x v="2"/>
    <x v="1"/>
    <x v="2"/>
    <n v="21"/>
    <x v="0"/>
  </r>
  <r>
    <d v="2023-02-21T00:00:00"/>
    <x v="1"/>
    <x v="1"/>
    <x v="0"/>
    <n v="16579.509999999998"/>
    <x v="1"/>
    <x v="1"/>
    <x v="0"/>
    <x v="1"/>
    <x v="2"/>
    <x v="1"/>
    <x v="2"/>
    <x v="1"/>
    <x v="2"/>
    <n v="21"/>
    <x v="0"/>
  </r>
  <r>
    <d v="2023-02-21T00:00:00"/>
    <x v="0"/>
    <x v="1"/>
    <x v="0"/>
    <n v="14058445.300000001"/>
    <x v="0"/>
    <x v="1"/>
    <x v="0"/>
    <x v="2"/>
    <x v="2"/>
    <x v="1"/>
    <x v="2"/>
    <x v="1"/>
    <x v="2"/>
    <n v="21"/>
    <x v="0"/>
  </r>
  <r>
    <d v="2023-02-21T00:00:00"/>
    <x v="2"/>
    <x v="1"/>
    <x v="2"/>
    <n v="21188.41"/>
    <x v="2"/>
    <x v="1"/>
    <x v="2"/>
    <x v="3"/>
    <x v="2"/>
    <x v="1"/>
    <x v="2"/>
    <x v="1"/>
    <x v="2"/>
    <n v="21"/>
    <x v="0"/>
  </r>
  <r>
    <d v="2023-02-21T00:00:00"/>
    <x v="2"/>
    <x v="1"/>
    <x v="0"/>
    <n v="83423297.260000005"/>
    <x v="2"/>
    <x v="1"/>
    <x v="0"/>
    <x v="7"/>
    <x v="2"/>
    <x v="1"/>
    <x v="2"/>
    <x v="1"/>
    <x v="2"/>
    <n v="21"/>
    <x v="0"/>
  </r>
  <r>
    <d v="2023-02-21T00:00:00"/>
    <x v="2"/>
    <x v="1"/>
    <x v="1"/>
    <n v="254319661.74000001"/>
    <x v="2"/>
    <x v="1"/>
    <x v="1"/>
    <x v="8"/>
    <x v="2"/>
    <x v="1"/>
    <x v="2"/>
    <x v="1"/>
    <x v="2"/>
    <n v="21"/>
    <x v="0"/>
  </r>
  <r>
    <d v="2023-02-21T00:00:00"/>
    <x v="1"/>
    <x v="0"/>
    <x v="1"/>
    <n v="295746353.64999998"/>
    <x v="1"/>
    <x v="0"/>
    <x v="1"/>
    <x v="10"/>
    <x v="2"/>
    <x v="1"/>
    <x v="2"/>
    <x v="1"/>
    <x v="2"/>
    <n v="21"/>
    <x v="0"/>
  </r>
  <r>
    <d v="2023-02-21T00:00:00"/>
    <x v="1"/>
    <x v="0"/>
    <x v="0"/>
    <n v="57675977.369999997"/>
    <x v="1"/>
    <x v="0"/>
    <x v="0"/>
    <x v="11"/>
    <x v="2"/>
    <x v="1"/>
    <x v="2"/>
    <x v="1"/>
    <x v="2"/>
    <n v="21"/>
    <x v="0"/>
  </r>
  <r>
    <d v="2023-02-21T00:00:00"/>
    <x v="3"/>
    <x v="3"/>
    <x v="1"/>
    <n v="164274.68"/>
    <x v="3"/>
    <x v="3"/>
    <x v="1"/>
    <x v="4"/>
    <x v="2"/>
    <x v="1"/>
    <x v="2"/>
    <x v="1"/>
    <x v="2"/>
    <n v="21"/>
    <x v="0"/>
  </r>
  <r>
    <d v="2023-02-21T00:00:00"/>
    <x v="0"/>
    <x v="1"/>
    <x v="1"/>
    <n v="9050726.8399999999"/>
    <x v="0"/>
    <x v="1"/>
    <x v="1"/>
    <x v="5"/>
    <x v="2"/>
    <x v="1"/>
    <x v="2"/>
    <x v="1"/>
    <x v="2"/>
    <n v="21"/>
    <x v="0"/>
  </r>
  <r>
    <d v="2023-02-21T00:00:00"/>
    <x v="3"/>
    <x v="2"/>
    <x v="2"/>
    <n v="192888.17"/>
    <x v="3"/>
    <x v="2"/>
    <x v="2"/>
    <x v="6"/>
    <x v="2"/>
    <x v="1"/>
    <x v="2"/>
    <x v="1"/>
    <x v="2"/>
    <n v="21"/>
    <x v="0"/>
  </r>
  <r>
    <d v="2023-02-21T00:00:00"/>
    <x v="3"/>
    <x v="3"/>
    <x v="0"/>
    <n v="2856680733.0300002"/>
    <x v="3"/>
    <x v="3"/>
    <x v="0"/>
    <x v="9"/>
    <x v="2"/>
    <x v="1"/>
    <x v="2"/>
    <x v="1"/>
    <x v="2"/>
    <n v="21"/>
    <x v="0"/>
  </r>
  <r>
    <d v="2023-02-21T00:00:00"/>
    <x v="3"/>
    <x v="2"/>
    <x v="0"/>
    <n v="763915145.58000004"/>
    <x v="3"/>
    <x v="2"/>
    <x v="0"/>
    <x v="12"/>
    <x v="2"/>
    <x v="1"/>
    <x v="2"/>
    <x v="1"/>
    <x v="2"/>
    <n v="21"/>
    <x v="0"/>
  </r>
  <r>
    <d v="2023-02-21T00:00:00"/>
    <x v="3"/>
    <x v="2"/>
    <x v="1"/>
    <n v="30417077937.23"/>
    <x v="3"/>
    <x v="2"/>
    <x v="1"/>
    <x v="13"/>
    <x v="2"/>
    <x v="1"/>
    <x v="2"/>
    <x v="1"/>
    <x v="2"/>
    <n v="21"/>
    <x v="0"/>
  </r>
  <r>
    <d v="2023-02-21T00:00:00"/>
    <x v="3"/>
    <x v="1"/>
    <x v="0"/>
    <n v="55007993.079999998"/>
    <x v="3"/>
    <x v="1"/>
    <x v="0"/>
    <x v="14"/>
    <x v="2"/>
    <x v="1"/>
    <x v="2"/>
    <x v="1"/>
    <x v="2"/>
    <n v="21"/>
    <x v="0"/>
  </r>
  <r>
    <d v="2023-02-17T00:00:00"/>
    <x v="1"/>
    <x v="1"/>
    <x v="0"/>
    <n v="38870.44"/>
    <x v="1"/>
    <x v="1"/>
    <x v="0"/>
    <x v="0"/>
    <x v="2"/>
    <x v="1"/>
    <x v="2"/>
    <x v="1"/>
    <x v="2"/>
    <n v="17"/>
    <x v="0"/>
  </r>
  <r>
    <d v="2023-02-17T00:00:00"/>
    <x v="0"/>
    <x v="1"/>
    <x v="0"/>
    <n v="6004154.7000000002"/>
    <x v="0"/>
    <x v="1"/>
    <x v="0"/>
    <x v="1"/>
    <x v="2"/>
    <x v="1"/>
    <x v="2"/>
    <x v="1"/>
    <x v="2"/>
    <n v="17"/>
    <x v="0"/>
  </r>
  <r>
    <d v="2023-02-17T00:00:00"/>
    <x v="2"/>
    <x v="1"/>
    <x v="2"/>
    <n v="9116"/>
    <x v="2"/>
    <x v="1"/>
    <x v="2"/>
    <x v="2"/>
    <x v="2"/>
    <x v="1"/>
    <x v="2"/>
    <x v="1"/>
    <x v="2"/>
    <n v="17"/>
    <x v="0"/>
  </r>
  <r>
    <d v="2023-02-17T00:00:00"/>
    <x v="2"/>
    <x v="1"/>
    <x v="1"/>
    <n v="197663682.05000001"/>
    <x v="2"/>
    <x v="1"/>
    <x v="1"/>
    <x v="7"/>
    <x v="2"/>
    <x v="1"/>
    <x v="2"/>
    <x v="1"/>
    <x v="2"/>
    <n v="17"/>
    <x v="0"/>
  </r>
  <r>
    <d v="2023-02-17T00:00:00"/>
    <x v="1"/>
    <x v="0"/>
    <x v="1"/>
    <n v="144218813.34"/>
    <x v="1"/>
    <x v="0"/>
    <x v="1"/>
    <x v="8"/>
    <x v="2"/>
    <x v="1"/>
    <x v="2"/>
    <x v="1"/>
    <x v="2"/>
    <n v="17"/>
    <x v="0"/>
  </r>
  <r>
    <d v="2023-02-17T00:00:00"/>
    <x v="0"/>
    <x v="1"/>
    <x v="1"/>
    <n v="5771980.0300000003"/>
    <x v="0"/>
    <x v="1"/>
    <x v="1"/>
    <x v="3"/>
    <x v="2"/>
    <x v="1"/>
    <x v="2"/>
    <x v="1"/>
    <x v="2"/>
    <n v="17"/>
    <x v="0"/>
  </r>
  <r>
    <d v="2023-02-17T00:00:00"/>
    <x v="1"/>
    <x v="0"/>
    <x v="0"/>
    <n v="61633745.119999997"/>
    <x v="1"/>
    <x v="0"/>
    <x v="0"/>
    <x v="9"/>
    <x v="2"/>
    <x v="1"/>
    <x v="2"/>
    <x v="1"/>
    <x v="2"/>
    <n v="17"/>
    <x v="0"/>
  </r>
  <r>
    <d v="2023-02-17T00:00:00"/>
    <x v="3"/>
    <x v="2"/>
    <x v="2"/>
    <n v="416021"/>
    <x v="3"/>
    <x v="2"/>
    <x v="2"/>
    <x v="4"/>
    <x v="2"/>
    <x v="1"/>
    <x v="2"/>
    <x v="1"/>
    <x v="2"/>
    <n v="17"/>
    <x v="0"/>
  </r>
  <r>
    <d v="2023-02-17T00:00:00"/>
    <x v="2"/>
    <x v="1"/>
    <x v="0"/>
    <n v="62773173.829999998"/>
    <x v="2"/>
    <x v="1"/>
    <x v="0"/>
    <x v="5"/>
    <x v="2"/>
    <x v="1"/>
    <x v="2"/>
    <x v="1"/>
    <x v="2"/>
    <n v="17"/>
    <x v="0"/>
  </r>
  <r>
    <d v="2023-02-17T00:00:00"/>
    <x v="3"/>
    <x v="3"/>
    <x v="0"/>
    <n v="1263631056.73"/>
    <x v="3"/>
    <x v="3"/>
    <x v="0"/>
    <x v="6"/>
    <x v="2"/>
    <x v="1"/>
    <x v="2"/>
    <x v="1"/>
    <x v="2"/>
    <n v="17"/>
    <x v="0"/>
  </r>
  <r>
    <d v="2023-02-17T00:00:00"/>
    <x v="3"/>
    <x v="2"/>
    <x v="0"/>
    <n v="423540113.88"/>
    <x v="3"/>
    <x v="2"/>
    <x v="0"/>
    <x v="10"/>
    <x v="2"/>
    <x v="1"/>
    <x v="2"/>
    <x v="1"/>
    <x v="2"/>
    <n v="17"/>
    <x v="0"/>
  </r>
  <r>
    <d v="2023-02-17T00:00:00"/>
    <x v="3"/>
    <x v="1"/>
    <x v="0"/>
    <n v="13810695.73"/>
    <x v="3"/>
    <x v="1"/>
    <x v="0"/>
    <x v="11"/>
    <x v="2"/>
    <x v="1"/>
    <x v="2"/>
    <x v="1"/>
    <x v="2"/>
    <n v="17"/>
    <x v="0"/>
  </r>
  <r>
    <d v="2023-02-17T00:00:00"/>
    <x v="3"/>
    <x v="2"/>
    <x v="1"/>
    <n v="12259365235.58"/>
    <x v="3"/>
    <x v="2"/>
    <x v="1"/>
    <x v="12"/>
    <x v="2"/>
    <x v="1"/>
    <x v="2"/>
    <x v="1"/>
    <x v="2"/>
    <n v="17"/>
    <x v="0"/>
  </r>
  <r>
    <d v="2023-02-16T00:00:00"/>
    <x v="0"/>
    <x v="0"/>
    <x v="0"/>
    <n v="200"/>
    <x v="0"/>
    <x v="0"/>
    <x v="0"/>
    <x v="0"/>
    <x v="2"/>
    <x v="1"/>
    <x v="2"/>
    <x v="1"/>
    <x v="2"/>
    <n v="16"/>
    <x v="0"/>
  </r>
  <r>
    <d v="2023-02-16T00:00:00"/>
    <x v="0"/>
    <x v="1"/>
    <x v="0"/>
    <n v="18373401.530000001"/>
    <x v="0"/>
    <x v="1"/>
    <x v="0"/>
    <x v="1"/>
    <x v="2"/>
    <x v="1"/>
    <x v="2"/>
    <x v="1"/>
    <x v="2"/>
    <n v="16"/>
    <x v="0"/>
  </r>
  <r>
    <d v="2023-02-16T00:00:00"/>
    <x v="2"/>
    <x v="1"/>
    <x v="2"/>
    <n v="38355.33"/>
    <x v="2"/>
    <x v="1"/>
    <x v="2"/>
    <x v="5"/>
    <x v="2"/>
    <x v="1"/>
    <x v="2"/>
    <x v="1"/>
    <x v="2"/>
    <n v="16"/>
    <x v="0"/>
  </r>
  <r>
    <d v="2023-02-16T00:00:00"/>
    <x v="2"/>
    <x v="1"/>
    <x v="0"/>
    <n v="80667300.469999999"/>
    <x v="2"/>
    <x v="1"/>
    <x v="0"/>
    <x v="7"/>
    <x v="2"/>
    <x v="1"/>
    <x v="2"/>
    <x v="1"/>
    <x v="2"/>
    <n v="16"/>
    <x v="0"/>
  </r>
  <r>
    <d v="2023-02-16T00:00:00"/>
    <x v="2"/>
    <x v="1"/>
    <x v="1"/>
    <n v="85377025.739999995"/>
    <x v="2"/>
    <x v="1"/>
    <x v="1"/>
    <x v="8"/>
    <x v="2"/>
    <x v="1"/>
    <x v="2"/>
    <x v="1"/>
    <x v="2"/>
    <n v="16"/>
    <x v="0"/>
  </r>
  <r>
    <d v="2023-02-16T00:00:00"/>
    <x v="1"/>
    <x v="1"/>
    <x v="0"/>
    <n v="18245.53"/>
    <x v="1"/>
    <x v="1"/>
    <x v="0"/>
    <x v="4"/>
    <x v="2"/>
    <x v="1"/>
    <x v="2"/>
    <x v="1"/>
    <x v="2"/>
    <n v="16"/>
    <x v="0"/>
  </r>
  <r>
    <d v="2023-02-16T00:00:00"/>
    <x v="3"/>
    <x v="3"/>
    <x v="1"/>
    <n v="67182.61"/>
    <x v="3"/>
    <x v="3"/>
    <x v="1"/>
    <x v="2"/>
    <x v="2"/>
    <x v="1"/>
    <x v="2"/>
    <x v="1"/>
    <x v="2"/>
    <n v="16"/>
    <x v="0"/>
  </r>
  <r>
    <d v="2023-02-16T00:00:00"/>
    <x v="0"/>
    <x v="1"/>
    <x v="1"/>
    <n v="1426254.43"/>
    <x v="0"/>
    <x v="1"/>
    <x v="1"/>
    <x v="3"/>
    <x v="2"/>
    <x v="1"/>
    <x v="2"/>
    <x v="1"/>
    <x v="2"/>
    <n v="16"/>
    <x v="0"/>
  </r>
  <r>
    <d v="2023-02-16T00:00:00"/>
    <x v="1"/>
    <x v="0"/>
    <x v="1"/>
    <n v="198549479.87"/>
    <x v="1"/>
    <x v="0"/>
    <x v="1"/>
    <x v="10"/>
    <x v="2"/>
    <x v="1"/>
    <x v="2"/>
    <x v="1"/>
    <x v="2"/>
    <n v="16"/>
    <x v="0"/>
  </r>
  <r>
    <d v="2023-02-16T00:00:00"/>
    <x v="3"/>
    <x v="2"/>
    <x v="2"/>
    <n v="183263.01"/>
    <x v="3"/>
    <x v="2"/>
    <x v="2"/>
    <x v="6"/>
    <x v="2"/>
    <x v="1"/>
    <x v="2"/>
    <x v="1"/>
    <x v="2"/>
    <n v="16"/>
    <x v="0"/>
  </r>
  <r>
    <d v="2023-02-16T00:00:00"/>
    <x v="3"/>
    <x v="3"/>
    <x v="0"/>
    <n v="999210758.19000006"/>
    <x v="3"/>
    <x v="3"/>
    <x v="0"/>
    <x v="9"/>
    <x v="2"/>
    <x v="1"/>
    <x v="2"/>
    <x v="1"/>
    <x v="2"/>
    <n v="16"/>
    <x v="0"/>
  </r>
  <r>
    <d v="2023-02-16T00:00:00"/>
    <x v="1"/>
    <x v="0"/>
    <x v="0"/>
    <n v="74304210.680000007"/>
    <x v="1"/>
    <x v="0"/>
    <x v="0"/>
    <x v="11"/>
    <x v="2"/>
    <x v="1"/>
    <x v="2"/>
    <x v="1"/>
    <x v="2"/>
    <n v="16"/>
    <x v="0"/>
  </r>
  <r>
    <d v="2023-02-16T00:00:00"/>
    <x v="3"/>
    <x v="2"/>
    <x v="0"/>
    <n v="348054874.06999999"/>
    <x v="3"/>
    <x v="2"/>
    <x v="0"/>
    <x v="12"/>
    <x v="2"/>
    <x v="1"/>
    <x v="2"/>
    <x v="1"/>
    <x v="2"/>
    <n v="16"/>
    <x v="0"/>
  </r>
  <r>
    <d v="2023-02-16T00:00:00"/>
    <x v="3"/>
    <x v="1"/>
    <x v="0"/>
    <n v="15108431.51"/>
    <x v="3"/>
    <x v="1"/>
    <x v="0"/>
    <x v="13"/>
    <x v="2"/>
    <x v="1"/>
    <x v="2"/>
    <x v="1"/>
    <x v="2"/>
    <n v="16"/>
    <x v="0"/>
  </r>
  <r>
    <d v="2023-02-16T00:00:00"/>
    <x v="3"/>
    <x v="2"/>
    <x v="1"/>
    <n v="20678362577.27"/>
    <x v="3"/>
    <x v="2"/>
    <x v="1"/>
    <x v="14"/>
    <x v="2"/>
    <x v="1"/>
    <x v="2"/>
    <x v="1"/>
    <x v="2"/>
    <n v="16"/>
    <x v="0"/>
  </r>
  <r>
    <d v="2023-02-15T00:00:00"/>
    <x v="1"/>
    <x v="1"/>
    <x v="0"/>
    <n v="23978.37"/>
    <x v="1"/>
    <x v="1"/>
    <x v="0"/>
    <x v="0"/>
    <x v="2"/>
    <x v="1"/>
    <x v="2"/>
    <x v="1"/>
    <x v="2"/>
    <n v="15"/>
    <x v="0"/>
  </r>
  <r>
    <d v="2023-02-15T00:00:00"/>
    <x v="0"/>
    <x v="1"/>
    <x v="0"/>
    <n v="40444333.020000003"/>
    <x v="0"/>
    <x v="1"/>
    <x v="0"/>
    <x v="1"/>
    <x v="2"/>
    <x v="1"/>
    <x v="2"/>
    <x v="1"/>
    <x v="2"/>
    <n v="15"/>
    <x v="0"/>
  </r>
  <r>
    <d v="2023-02-15T00:00:00"/>
    <x v="3"/>
    <x v="2"/>
    <x v="2"/>
    <n v="243080.06"/>
    <x v="3"/>
    <x v="2"/>
    <x v="2"/>
    <x v="5"/>
    <x v="2"/>
    <x v="1"/>
    <x v="2"/>
    <x v="1"/>
    <x v="2"/>
    <n v="15"/>
    <x v="0"/>
  </r>
  <r>
    <d v="2023-02-15T00:00:00"/>
    <x v="2"/>
    <x v="1"/>
    <x v="2"/>
    <n v="18884.04"/>
    <x v="2"/>
    <x v="1"/>
    <x v="2"/>
    <x v="2"/>
    <x v="2"/>
    <x v="1"/>
    <x v="2"/>
    <x v="1"/>
    <x v="2"/>
    <n v="15"/>
    <x v="0"/>
  </r>
  <r>
    <d v="2023-02-15T00:00:00"/>
    <x v="3"/>
    <x v="3"/>
    <x v="0"/>
    <n v="2149509219.7800002"/>
    <x v="3"/>
    <x v="3"/>
    <x v="0"/>
    <x v="7"/>
    <x v="2"/>
    <x v="1"/>
    <x v="2"/>
    <x v="1"/>
    <x v="2"/>
    <n v="15"/>
    <x v="0"/>
  </r>
  <r>
    <d v="2023-02-15T00:00:00"/>
    <x v="2"/>
    <x v="1"/>
    <x v="1"/>
    <n v="115242513.36"/>
    <x v="2"/>
    <x v="1"/>
    <x v="1"/>
    <x v="8"/>
    <x v="2"/>
    <x v="1"/>
    <x v="2"/>
    <x v="1"/>
    <x v="2"/>
    <n v="15"/>
    <x v="0"/>
  </r>
  <r>
    <d v="2023-02-15T00:00:00"/>
    <x v="3"/>
    <x v="3"/>
    <x v="1"/>
    <n v="13043.33"/>
    <x v="3"/>
    <x v="3"/>
    <x v="1"/>
    <x v="3"/>
    <x v="2"/>
    <x v="1"/>
    <x v="2"/>
    <x v="1"/>
    <x v="2"/>
    <n v="15"/>
    <x v="0"/>
  </r>
  <r>
    <d v="2023-02-15T00:00:00"/>
    <x v="0"/>
    <x v="1"/>
    <x v="1"/>
    <n v="11356226.65"/>
    <x v="0"/>
    <x v="1"/>
    <x v="1"/>
    <x v="4"/>
    <x v="2"/>
    <x v="1"/>
    <x v="2"/>
    <x v="1"/>
    <x v="2"/>
    <n v="15"/>
    <x v="0"/>
  </r>
  <r>
    <d v="2023-02-15T00:00:00"/>
    <x v="2"/>
    <x v="1"/>
    <x v="0"/>
    <n v="132716732.28"/>
    <x v="2"/>
    <x v="1"/>
    <x v="0"/>
    <x v="6"/>
    <x v="2"/>
    <x v="1"/>
    <x v="2"/>
    <x v="1"/>
    <x v="2"/>
    <n v="15"/>
    <x v="0"/>
  </r>
  <r>
    <d v="2023-02-15T00:00:00"/>
    <x v="1"/>
    <x v="0"/>
    <x v="0"/>
    <n v="89544087.370000005"/>
    <x v="1"/>
    <x v="0"/>
    <x v="0"/>
    <x v="9"/>
    <x v="2"/>
    <x v="1"/>
    <x v="2"/>
    <x v="1"/>
    <x v="2"/>
    <n v="15"/>
    <x v="0"/>
  </r>
  <r>
    <d v="2023-02-15T00:00:00"/>
    <x v="1"/>
    <x v="0"/>
    <x v="1"/>
    <n v="518124284.38999999"/>
    <x v="1"/>
    <x v="0"/>
    <x v="1"/>
    <x v="10"/>
    <x v="2"/>
    <x v="1"/>
    <x v="2"/>
    <x v="1"/>
    <x v="2"/>
    <n v="15"/>
    <x v="0"/>
  </r>
  <r>
    <d v="2023-02-15T00:00:00"/>
    <x v="3"/>
    <x v="2"/>
    <x v="0"/>
    <n v="553317833.76999998"/>
    <x v="3"/>
    <x v="2"/>
    <x v="0"/>
    <x v="11"/>
    <x v="2"/>
    <x v="1"/>
    <x v="2"/>
    <x v="1"/>
    <x v="2"/>
    <n v="15"/>
    <x v="0"/>
  </r>
  <r>
    <d v="2023-02-15T00:00:00"/>
    <x v="3"/>
    <x v="1"/>
    <x v="0"/>
    <n v="15067159.310000001"/>
    <x v="3"/>
    <x v="1"/>
    <x v="0"/>
    <x v="12"/>
    <x v="2"/>
    <x v="1"/>
    <x v="2"/>
    <x v="1"/>
    <x v="2"/>
    <n v="15"/>
    <x v="0"/>
  </r>
  <r>
    <d v="2023-02-15T00:00:00"/>
    <x v="3"/>
    <x v="2"/>
    <x v="1"/>
    <n v="18120020203.830002"/>
    <x v="3"/>
    <x v="2"/>
    <x v="1"/>
    <x v="13"/>
    <x v="2"/>
    <x v="1"/>
    <x v="2"/>
    <x v="1"/>
    <x v="2"/>
    <n v="15"/>
    <x v="0"/>
  </r>
  <r>
    <d v="2023-02-14T00:00:00"/>
    <x v="0"/>
    <x v="1"/>
    <x v="0"/>
    <n v="20350948.120000001"/>
    <x v="0"/>
    <x v="1"/>
    <x v="0"/>
    <x v="0"/>
    <x v="2"/>
    <x v="1"/>
    <x v="2"/>
    <x v="1"/>
    <x v="2"/>
    <n v="14"/>
    <x v="0"/>
  </r>
  <r>
    <d v="2023-02-14T00:00:00"/>
    <x v="2"/>
    <x v="1"/>
    <x v="2"/>
    <n v="24437.759999999998"/>
    <x v="2"/>
    <x v="1"/>
    <x v="2"/>
    <x v="1"/>
    <x v="2"/>
    <x v="1"/>
    <x v="2"/>
    <x v="1"/>
    <x v="2"/>
    <n v="14"/>
    <x v="0"/>
  </r>
  <r>
    <d v="2023-02-14T00:00:00"/>
    <x v="2"/>
    <x v="1"/>
    <x v="0"/>
    <n v="86169483.75"/>
    <x v="2"/>
    <x v="1"/>
    <x v="0"/>
    <x v="6"/>
    <x v="2"/>
    <x v="1"/>
    <x v="2"/>
    <x v="1"/>
    <x v="2"/>
    <n v="14"/>
    <x v="0"/>
  </r>
  <r>
    <d v="2023-02-14T00:00:00"/>
    <x v="2"/>
    <x v="1"/>
    <x v="1"/>
    <n v="135285499.72"/>
    <x v="2"/>
    <x v="1"/>
    <x v="1"/>
    <x v="7"/>
    <x v="2"/>
    <x v="1"/>
    <x v="2"/>
    <x v="1"/>
    <x v="2"/>
    <n v="14"/>
    <x v="0"/>
  </r>
  <r>
    <d v="2023-02-14T00:00:00"/>
    <x v="1"/>
    <x v="1"/>
    <x v="0"/>
    <n v="24361.19"/>
    <x v="1"/>
    <x v="1"/>
    <x v="0"/>
    <x v="3"/>
    <x v="2"/>
    <x v="1"/>
    <x v="2"/>
    <x v="1"/>
    <x v="2"/>
    <n v="14"/>
    <x v="0"/>
  </r>
  <r>
    <d v="2023-02-14T00:00:00"/>
    <x v="1"/>
    <x v="0"/>
    <x v="1"/>
    <n v="244945037.03"/>
    <x v="1"/>
    <x v="0"/>
    <x v="1"/>
    <x v="8"/>
    <x v="2"/>
    <x v="1"/>
    <x v="2"/>
    <x v="1"/>
    <x v="2"/>
    <n v="14"/>
    <x v="0"/>
  </r>
  <r>
    <d v="2023-02-14T00:00:00"/>
    <x v="0"/>
    <x v="1"/>
    <x v="1"/>
    <n v="6490891.7000000002"/>
    <x v="0"/>
    <x v="1"/>
    <x v="1"/>
    <x v="2"/>
    <x v="2"/>
    <x v="1"/>
    <x v="2"/>
    <x v="1"/>
    <x v="2"/>
    <n v="14"/>
    <x v="0"/>
  </r>
  <r>
    <d v="2023-02-14T00:00:00"/>
    <x v="3"/>
    <x v="2"/>
    <x v="2"/>
    <n v="439669.26"/>
    <x v="3"/>
    <x v="2"/>
    <x v="2"/>
    <x v="4"/>
    <x v="2"/>
    <x v="1"/>
    <x v="2"/>
    <x v="1"/>
    <x v="2"/>
    <n v="14"/>
    <x v="0"/>
  </r>
  <r>
    <d v="2023-02-14T00:00:00"/>
    <x v="3"/>
    <x v="3"/>
    <x v="0"/>
    <n v="1264371688.2"/>
    <x v="3"/>
    <x v="3"/>
    <x v="0"/>
    <x v="5"/>
    <x v="2"/>
    <x v="1"/>
    <x v="2"/>
    <x v="1"/>
    <x v="2"/>
    <n v="14"/>
    <x v="0"/>
  </r>
  <r>
    <d v="2023-02-14T00:00:00"/>
    <x v="1"/>
    <x v="0"/>
    <x v="0"/>
    <n v="62261801.539999999"/>
    <x v="1"/>
    <x v="0"/>
    <x v="0"/>
    <x v="9"/>
    <x v="2"/>
    <x v="1"/>
    <x v="2"/>
    <x v="1"/>
    <x v="2"/>
    <n v="14"/>
    <x v="0"/>
  </r>
  <r>
    <d v="2023-02-14T00:00:00"/>
    <x v="3"/>
    <x v="2"/>
    <x v="0"/>
    <n v="647580901.97000003"/>
    <x v="3"/>
    <x v="2"/>
    <x v="0"/>
    <x v="10"/>
    <x v="2"/>
    <x v="1"/>
    <x v="2"/>
    <x v="1"/>
    <x v="2"/>
    <n v="14"/>
    <x v="0"/>
  </r>
  <r>
    <d v="2023-02-14T00:00:00"/>
    <x v="3"/>
    <x v="1"/>
    <x v="0"/>
    <n v="11246956.9"/>
    <x v="3"/>
    <x v="1"/>
    <x v="0"/>
    <x v="11"/>
    <x v="2"/>
    <x v="1"/>
    <x v="2"/>
    <x v="1"/>
    <x v="2"/>
    <n v="14"/>
    <x v="0"/>
  </r>
  <r>
    <d v="2023-02-14T00:00:00"/>
    <x v="3"/>
    <x v="2"/>
    <x v="1"/>
    <n v="5858197046.3100004"/>
    <x v="3"/>
    <x v="2"/>
    <x v="1"/>
    <x v="12"/>
    <x v="2"/>
    <x v="1"/>
    <x v="2"/>
    <x v="1"/>
    <x v="2"/>
    <n v="14"/>
    <x v="0"/>
  </r>
  <r>
    <d v="2023-02-13T00:00:00"/>
    <x v="1"/>
    <x v="1"/>
    <x v="0"/>
    <n v="10692.71"/>
    <x v="1"/>
    <x v="1"/>
    <x v="0"/>
    <x v="0"/>
    <x v="2"/>
    <x v="1"/>
    <x v="2"/>
    <x v="1"/>
    <x v="2"/>
    <n v="13"/>
    <x v="0"/>
  </r>
  <r>
    <d v="2023-02-13T00:00:00"/>
    <x v="0"/>
    <x v="1"/>
    <x v="0"/>
    <n v="8626097.25"/>
    <x v="0"/>
    <x v="1"/>
    <x v="0"/>
    <x v="1"/>
    <x v="2"/>
    <x v="1"/>
    <x v="2"/>
    <x v="1"/>
    <x v="2"/>
    <n v="13"/>
    <x v="0"/>
  </r>
  <r>
    <d v="2023-02-13T00:00:00"/>
    <x v="2"/>
    <x v="1"/>
    <x v="2"/>
    <n v="27320.84"/>
    <x v="2"/>
    <x v="1"/>
    <x v="2"/>
    <x v="2"/>
    <x v="2"/>
    <x v="1"/>
    <x v="2"/>
    <x v="1"/>
    <x v="2"/>
    <n v="13"/>
    <x v="0"/>
  </r>
  <r>
    <d v="2023-02-13T00:00:00"/>
    <x v="2"/>
    <x v="1"/>
    <x v="0"/>
    <n v="78639642.900000006"/>
    <x v="2"/>
    <x v="1"/>
    <x v="0"/>
    <x v="6"/>
    <x v="2"/>
    <x v="1"/>
    <x v="2"/>
    <x v="1"/>
    <x v="2"/>
    <n v="13"/>
    <x v="0"/>
  </r>
  <r>
    <d v="2023-02-13T00:00:00"/>
    <x v="3"/>
    <x v="3"/>
    <x v="0"/>
    <n v="1211950014.27"/>
    <x v="3"/>
    <x v="3"/>
    <x v="0"/>
    <x v="7"/>
    <x v="2"/>
    <x v="1"/>
    <x v="2"/>
    <x v="1"/>
    <x v="2"/>
    <n v="13"/>
    <x v="0"/>
  </r>
  <r>
    <d v="2023-02-13T00:00:00"/>
    <x v="2"/>
    <x v="1"/>
    <x v="1"/>
    <n v="131203122.15000001"/>
    <x v="2"/>
    <x v="1"/>
    <x v="1"/>
    <x v="8"/>
    <x v="2"/>
    <x v="1"/>
    <x v="2"/>
    <x v="1"/>
    <x v="2"/>
    <n v="13"/>
    <x v="0"/>
  </r>
  <r>
    <d v="2023-02-13T00:00:00"/>
    <x v="3"/>
    <x v="3"/>
    <x v="1"/>
    <n v="15453.47"/>
    <x v="3"/>
    <x v="3"/>
    <x v="1"/>
    <x v="3"/>
    <x v="2"/>
    <x v="1"/>
    <x v="2"/>
    <x v="1"/>
    <x v="2"/>
    <n v="13"/>
    <x v="0"/>
  </r>
  <r>
    <d v="2023-02-13T00:00:00"/>
    <x v="0"/>
    <x v="1"/>
    <x v="1"/>
    <n v="6492033.7400000002"/>
    <x v="0"/>
    <x v="1"/>
    <x v="1"/>
    <x v="4"/>
    <x v="2"/>
    <x v="1"/>
    <x v="2"/>
    <x v="1"/>
    <x v="2"/>
    <n v="13"/>
    <x v="0"/>
  </r>
  <r>
    <d v="2023-02-13T00:00:00"/>
    <x v="1"/>
    <x v="0"/>
    <x v="1"/>
    <n v="240170422.18000001"/>
    <x v="1"/>
    <x v="0"/>
    <x v="1"/>
    <x v="9"/>
    <x v="2"/>
    <x v="1"/>
    <x v="2"/>
    <x v="1"/>
    <x v="2"/>
    <n v="13"/>
    <x v="0"/>
  </r>
  <r>
    <d v="2023-02-13T00:00:00"/>
    <x v="3"/>
    <x v="2"/>
    <x v="2"/>
    <n v="187739.08"/>
    <x v="3"/>
    <x v="2"/>
    <x v="2"/>
    <x v="5"/>
    <x v="2"/>
    <x v="1"/>
    <x v="2"/>
    <x v="1"/>
    <x v="2"/>
    <n v="13"/>
    <x v="0"/>
  </r>
  <r>
    <d v="2023-02-13T00:00:00"/>
    <x v="1"/>
    <x v="0"/>
    <x v="0"/>
    <n v="50712364.240000002"/>
    <x v="1"/>
    <x v="0"/>
    <x v="0"/>
    <x v="10"/>
    <x v="2"/>
    <x v="1"/>
    <x v="2"/>
    <x v="1"/>
    <x v="2"/>
    <n v="13"/>
    <x v="0"/>
  </r>
  <r>
    <d v="2023-02-13T00:00:00"/>
    <x v="3"/>
    <x v="2"/>
    <x v="0"/>
    <n v="480530063.48000002"/>
    <x v="3"/>
    <x v="2"/>
    <x v="0"/>
    <x v="11"/>
    <x v="2"/>
    <x v="1"/>
    <x v="2"/>
    <x v="1"/>
    <x v="2"/>
    <n v="13"/>
    <x v="0"/>
  </r>
  <r>
    <d v="2023-02-13T00:00:00"/>
    <x v="3"/>
    <x v="2"/>
    <x v="1"/>
    <n v="24582123688.619999"/>
    <x v="3"/>
    <x v="2"/>
    <x v="1"/>
    <x v="12"/>
    <x v="2"/>
    <x v="1"/>
    <x v="2"/>
    <x v="1"/>
    <x v="2"/>
    <n v="13"/>
    <x v="0"/>
  </r>
  <r>
    <d v="2023-02-13T00:00:00"/>
    <x v="3"/>
    <x v="1"/>
    <x v="0"/>
    <n v="48346253.969999999"/>
    <x v="3"/>
    <x v="1"/>
    <x v="0"/>
    <x v="13"/>
    <x v="2"/>
    <x v="1"/>
    <x v="2"/>
    <x v="1"/>
    <x v="2"/>
    <n v="13"/>
    <x v="0"/>
  </r>
  <r>
    <d v="2023-02-10T00:00:00"/>
    <x v="1"/>
    <x v="1"/>
    <x v="0"/>
    <n v="105039.62"/>
    <x v="1"/>
    <x v="1"/>
    <x v="0"/>
    <x v="0"/>
    <x v="2"/>
    <x v="1"/>
    <x v="2"/>
    <x v="1"/>
    <x v="2"/>
    <n v="10"/>
    <x v="0"/>
  </r>
  <r>
    <d v="2023-02-10T00:00:00"/>
    <x v="0"/>
    <x v="1"/>
    <x v="0"/>
    <n v="21877226.140000001"/>
    <x v="0"/>
    <x v="1"/>
    <x v="0"/>
    <x v="1"/>
    <x v="2"/>
    <x v="1"/>
    <x v="2"/>
    <x v="1"/>
    <x v="2"/>
    <n v="10"/>
    <x v="0"/>
  </r>
  <r>
    <d v="2023-02-10T00:00:00"/>
    <x v="2"/>
    <x v="1"/>
    <x v="2"/>
    <n v="19192.25"/>
    <x v="2"/>
    <x v="1"/>
    <x v="2"/>
    <x v="2"/>
    <x v="2"/>
    <x v="1"/>
    <x v="2"/>
    <x v="1"/>
    <x v="2"/>
    <n v="10"/>
    <x v="0"/>
  </r>
  <r>
    <d v="2023-02-10T00:00:00"/>
    <x v="2"/>
    <x v="1"/>
    <x v="1"/>
    <n v="318487165.54000002"/>
    <x v="2"/>
    <x v="1"/>
    <x v="1"/>
    <x v="8"/>
    <x v="2"/>
    <x v="1"/>
    <x v="2"/>
    <x v="1"/>
    <x v="2"/>
    <n v="10"/>
    <x v="0"/>
  </r>
  <r>
    <d v="2023-02-10T00:00:00"/>
    <x v="1"/>
    <x v="0"/>
    <x v="0"/>
    <n v="48129417.159999996"/>
    <x v="1"/>
    <x v="0"/>
    <x v="0"/>
    <x v="9"/>
    <x v="2"/>
    <x v="1"/>
    <x v="2"/>
    <x v="1"/>
    <x v="2"/>
    <n v="10"/>
    <x v="0"/>
  </r>
  <r>
    <d v="2023-02-10T00:00:00"/>
    <x v="3"/>
    <x v="3"/>
    <x v="1"/>
    <n v="4444507.9400000004"/>
    <x v="3"/>
    <x v="3"/>
    <x v="1"/>
    <x v="3"/>
    <x v="2"/>
    <x v="1"/>
    <x v="2"/>
    <x v="1"/>
    <x v="2"/>
    <n v="10"/>
    <x v="0"/>
  </r>
  <r>
    <d v="2023-02-10T00:00:00"/>
    <x v="0"/>
    <x v="1"/>
    <x v="1"/>
    <n v="3369449.7"/>
    <x v="0"/>
    <x v="1"/>
    <x v="1"/>
    <x v="4"/>
    <x v="2"/>
    <x v="1"/>
    <x v="2"/>
    <x v="1"/>
    <x v="2"/>
    <n v="10"/>
    <x v="0"/>
  </r>
  <r>
    <d v="2023-02-10T00:00:00"/>
    <x v="3"/>
    <x v="2"/>
    <x v="2"/>
    <n v="200191"/>
    <x v="3"/>
    <x v="2"/>
    <x v="2"/>
    <x v="5"/>
    <x v="2"/>
    <x v="1"/>
    <x v="2"/>
    <x v="1"/>
    <x v="2"/>
    <n v="10"/>
    <x v="0"/>
  </r>
  <r>
    <d v="2023-02-10T00:00:00"/>
    <x v="3"/>
    <x v="3"/>
    <x v="0"/>
    <n v="747768402.57000005"/>
    <x v="3"/>
    <x v="3"/>
    <x v="0"/>
    <x v="6"/>
    <x v="2"/>
    <x v="1"/>
    <x v="2"/>
    <x v="1"/>
    <x v="2"/>
    <n v="10"/>
    <x v="0"/>
  </r>
  <r>
    <d v="2023-02-10T00:00:00"/>
    <x v="2"/>
    <x v="1"/>
    <x v="0"/>
    <n v="116994055.61"/>
    <x v="2"/>
    <x v="1"/>
    <x v="0"/>
    <x v="7"/>
    <x v="2"/>
    <x v="1"/>
    <x v="2"/>
    <x v="1"/>
    <x v="2"/>
    <n v="10"/>
    <x v="0"/>
  </r>
  <r>
    <d v="2023-02-10T00:00:00"/>
    <x v="1"/>
    <x v="0"/>
    <x v="1"/>
    <n v="154521429.75999999"/>
    <x v="1"/>
    <x v="0"/>
    <x v="1"/>
    <x v="10"/>
    <x v="2"/>
    <x v="1"/>
    <x v="2"/>
    <x v="1"/>
    <x v="2"/>
    <n v="10"/>
    <x v="0"/>
  </r>
  <r>
    <d v="2023-02-10T00:00:00"/>
    <x v="3"/>
    <x v="2"/>
    <x v="0"/>
    <n v="414751378.02999997"/>
    <x v="3"/>
    <x v="2"/>
    <x v="0"/>
    <x v="11"/>
    <x v="2"/>
    <x v="1"/>
    <x v="2"/>
    <x v="1"/>
    <x v="2"/>
    <n v="10"/>
    <x v="0"/>
  </r>
  <r>
    <d v="2023-02-10T00:00:00"/>
    <x v="3"/>
    <x v="1"/>
    <x v="0"/>
    <n v="14392466.73"/>
    <x v="3"/>
    <x v="1"/>
    <x v="0"/>
    <x v="12"/>
    <x v="2"/>
    <x v="1"/>
    <x v="2"/>
    <x v="1"/>
    <x v="2"/>
    <n v="10"/>
    <x v="0"/>
  </r>
  <r>
    <d v="2023-02-10T00:00:00"/>
    <x v="3"/>
    <x v="2"/>
    <x v="1"/>
    <n v="9476135476.6000004"/>
    <x v="3"/>
    <x v="2"/>
    <x v="1"/>
    <x v="13"/>
    <x v="2"/>
    <x v="1"/>
    <x v="2"/>
    <x v="1"/>
    <x v="2"/>
    <n v="10"/>
    <x v="0"/>
  </r>
  <r>
    <d v="2023-02-09T00:00:00"/>
    <x v="0"/>
    <x v="0"/>
    <x v="0"/>
    <n v="-2692.76"/>
    <x v="0"/>
    <x v="0"/>
    <x v="0"/>
    <x v="0"/>
    <x v="2"/>
    <x v="1"/>
    <x v="2"/>
    <x v="1"/>
    <x v="2"/>
    <n v="9"/>
    <x v="1"/>
  </r>
  <r>
    <d v="2023-02-09T00:00:00"/>
    <x v="1"/>
    <x v="1"/>
    <x v="0"/>
    <n v="96096.93"/>
    <x v="1"/>
    <x v="1"/>
    <x v="0"/>
    <x v="1"/>
    <x v="2"/>
    <x v="1"/>
    <x v="2"/>
    <x v="1"/>
    <x v="2"/>
    <n v="9"/>
    <x v="0"/>
  </r>
  <r>
    <d v="2023-02-09T00:00:00"/>
    <x v="0"/>
    <x v="1"/>
    <x v="0"/>
    <n v="16965356.420000002"/>
    <x v="0"/>
    <x v="1"/>
    <x v="0"/>
    <x v="2"/>
    <x v="2"/>
    <x v="1"/>
    <x v="2"/>
    <x v="1"/>
    <x v="2"/>
    <n v="9"/>
    <x v="0"/>
  </r>
  <r>
    <d v="2023-02-09T00:00:00"/>
    <x v="2"/>
    <x v="1"/>
    <x v="2"/>
    <n v="33610"/>
    <x v="2"/>
    <x v="1"/>
    <x v="2"/>
    <x v="3"/>
    <x v="2"/>
    <x v="1"/>
    <x v="2"/>
    <x v="1"/>
    <x v="2"/>
    <n v="9"/>
    <x v="0"/>
  </r>
  <r>
    <d v="2023-02-09T00:00:00"/>
    <x v="2"/>
    <x v="1"/>
    <x v="0"/>
    <n v="71119798.950000003"/>
    <x v="2"/>
    <x v="1"/>
    <x v="0"/>
    <x v="7"/>
    <x v="2"/>
    <x v="1"/>
    <x v="2"/>
    <x v="1"/>
    <x v="2"/>
    <n v="9"/>
    <x v="0"/>
  </r>
  <r>
    <d v="2023-02-09T00:00:00"/>
    <x v="0"/>
    <x v="1"/>
    <x v="1"/>
    <n v="2464603.25"/>
    <x v="0"/>
    <x v="1"/>
    <x v="1"/>
    <x v="5"/>
    <x v="2"/>
    <x v="1"/>
    <x v="2"/>
    <x v="1"/>
    <x v="2"/>
    <n v="9"/>
    <x v="0"/>
  </r>
  <r>
    <d v="2023-02-09T00:00:00"/>
    <x v="3"/>
    <x v="3"/>
    <x v="1"/>
    <n v="5373996.0599999996"/>
    <x v="3"/>
    <x v="3"/>
    <x v="1"/>
    <x v="4"/>
    <x v="2"/>
    <x v="1"/>
    <x v="2"/>
    <x v="1"/>
    <x v="2"/>
    <n v="9"/>
    <x v="0"/>
  </r>
  <r>
    <d v="2023-02-09T00:00:00"/>
    <x v="3"/>
    <x v="2"/>
    <x v="2"/>
    <n v="245774"/>
    <x v="3"/>
    <x v="2"/>
    <x v="2"/>
    <x v="6"/>
    <x v="2"/>
    <x v="1"/>
    <x v="2"/>
    <x v="1"/>
    <x v="2"/>
    <n v="9"/>
    <x v="0"/>
  </r>
  <r>
    <d v="2023-02-09T00:00:00"/>
    <x v="3"/>
    <x v="3"/>
    <x v="0"/>
    <n v="1378098167.1500001"/>
    <x v="3"/>
    <x v="3"/>
    <x v="0"/>
    <x v="8"/>
    <x v="2"/>
    <x v="1"/>
    <x v="2"/>
    <x v="1"/>
    <x v="2"/>
    <n v="9"/>
    <x v="0"/>
  </r>
  <r>
    <d v="2023-02-09T00:00:00"/>
    <x v="2"/>
    <x v="1"/>
    <x v="1"/>
    <n v="170062575.75999999"/>
    <x v="2"/>
    <x v="1"/>
    <x v="1"/>
    <x v="9"/>
    <x v="2"/>
    <x v="1"/>
    <x v="2"/>
    <x v="1"/>
    <x v="2"/>
    <n v="9"/>
    <x v="0"/>
  </r>
  <r>
    <d v="2023-02-09T00:00:00"/>
    <x v="1"/>
    <x v="0"/>
    <x v="0"/>
    <n v="68529570.75"/>
    <x v="1"/>
    <x v="0"/>
    <x v="0"/>
    <x v="10"/>
    <x v="2"/>
    <x v="1"/>
    <x v="2"/>
    <x v="1"/>
    <x v="2"/>
    <n v="9"/>
    <x v="0"/>
  </r>
  <r>
    <d v="2023-02-09T00:00:00"/>
    <x v="1"/>
    <x v="0"/>
    <x v="1"/>
    <n v="210092048.77000001"/>
    <x v="1"/>
    <x v="0"/>
    <x v="1"/>
    <x v="11"/>
    <x v="2"/>
    <x v="1"/>
    <x v="2"/>
    <x v="1"/>
    <x v="2"/>
    <n v="9"/>
    <x v="0"/>
  </r>
  <r>
    <d v="2023-02-09T00:00:00"/>
    <x v="3"/>
    <x v="2"/>
    <x v="0"/>
    <n v="356705529.10000002"/>
    <x v="3"/>
    <x v="2"/>
    <x v="0"/>
    <x v="12"/>
    <x v="2"/>
    <x v="1"/>
    <x v="2"/>
    <x v="1"/>
    <x v="2"/>
    <n v="9"/>
    <x v="0"/>
  </r>
  <r>
    <d v="2023-02-09T00:00:00"/>
    <x v="3"/>
    <x v="1"/>
    <x v="0"/>
    <n v="14551642.529999999"/>
    <x v="3"/>
    <x v="1"/>
    <x v="0"/>
    <x v="13"/>
    <x v="2"/>
    <x v="1"/>
    <x v="2"/>
    <x v="1"/>
    <x v="2"/>
    <n v="9"/>
    <x v="0"/>
  </r>
  <r>
    <d v="2023-02-09T00:00:00"/>
    <x v="3"/>
    <x v="2"/>
    <x v="1"/>
    <n v="4590299287.8199997"/>
    <x v="3"/>
    <x v="2"/>
    <x v="1"/>
    <x v="14"/>
    <x v="2"/>
    <x v="1"/>
    <x v="2"/>
    <x v="1"/>
    <x v="2"/>
    <n v="9"/>
    <x v="0"/>
  </r>
  <r>
    <d v="2023-02-08T00:00:00"/>
    <x v="1"/>
    <x v="1"/>
    <x v="0"/>
    <n v="11820.27"/>
    <x v="1"/>
    <x v="1"/>
    <x v="0"/>
    <x v="0"/>
    <x v="2"/>
    <x v="1"/>
    <x v="2"/>
    <x v="1"/>
    <x v="2"/>
    <n v="8"/>
    <x v="0"/>
  </r>
  <r>
    <d v="2023-02-08T00:00:00"/>
    <x v="0"/>
    <x v="1"/>
    <x v="0"/>
    <n v="29968322.25"/>
    <x v="0"/>
    <x v="1"/>
    <x v="0"/>
    <x v="1"/>
    <x v="2"/>
    <x v="1"/>
    <x v="2"/>
    <x v="1"/>
    <x v="2"/>
    <n v="8"/>
    <x v="0"/>
  </r>
  <r>
    <d v="2023-02-08T00:00:00"/>
    <x v="2"/>
    <x v="1"/>
    <x v="2"/>
    <n v="33677.949999999997"/>
    <x v="2"/>
    <x v="1"/>
    <x v="2"/>
    <x v="2"/>
    <x v="2"/>
    <x v="1"/>
    <x v="2"/>
    <x v="1"/>
    <x v="2"/>
    <n v="8"/>
    <x v="0"/>
  </r>
  <r>
    <d v="2023-02-08T00:00:00"/>
    <x v="2"/>
    <x v="1"/>
    <x v="0"/>
    <n v="163863157.12"/>
    <x v="2"/>
    <x v="1"/>
    <x v="0"/>
    <x v="5"/>
    <x v="2"/>
    <x v="1"/>
    <x v="2"/>
    <x v="1"/>
    <x v="2"/>
    <n v="8"/>
    <x v="0"/>
  </r>
  <r>
    <d v="2023-02-08T00:00:00"/>
    <x v="3"/>
    <x v="3"/>
    <x v="0"/>
    <n v="1607773004.6099999"/>
    <x v="3"/>
    <x v="3"/>
    <x v="0"/>
    <x v="6"/>
    <x v="2"/>
    <x v="1"/>
    <x v="2"/>
    <x v="1"/>
    <x v="2"/>
    <n v="8"/>
    <x v="0"/>
  </r>
  <r>
    <d v="2023-02-08T00:00:00"/>
    <x v="2"/>
    <x v="1"/>
    <x v="1"/>
    <n v="382360240.38999999"/>
    <x v="2"/>
    <x v="1"/>
    <x v="1"/>
    <x v="7"/>
    <x v="2"/>
    <x v="1"/>
    <x v="2"/>
    <x v="1"/>
    <x v="2"/>
    <n v="8"/>
    <x v="0"/>
  </r>
  <r>
    <d v="2023-02-08T00:00:00"/>
    <x v="0"/>
    <x v="1"/>
    <x v="1"/>
    <n v="5801855.46"/>
    <x v="0"/>
    <x v="1"/>
    <x v="1"/>
    <x v="3"/>
    <x v="2"/>
    <x v="1"/>
    <x v="2"/>
    <x v="1"/>
    <x v="2"/>
    <n v="8"/>
    <x v="0"/>
  </r>
  <r>
    <d v="2023-02-08T00:00:00"/>
    <x v="3"/>
    <x v="2"/>
    <x v="2"/>
    <n v="249504.89"/>
    <x v="3"/>
    <x v="2"/>
    <x v="2"/>
    <x v="4"/>
    <x v="2"/>
    <x v="1"/>
    <x v="2"/>
    <x v="1"/>
    <x v="2"/>
    <n v="8"/>
    <x v="0"/>
  </r>
  <r>
    <d v="2023-02-08T00:00:00"/>
    <x v="1"/>
    <x v="0"/>
    <x v="0"/>
    <n v="94710434.420000002"/>
    <x v="1"/>
    <x v="0"/>
    <x v="0"/>
    <x v="8"/>
    <x v="2"/>
    <x v="1"/>
    <x v="2"/>
    <x v="1"/>
    <x v="2"/>
    <n v="8"/>
    <x v="0"/>
  </r>
  <r>
    <d v="2023-02-08T00:00:00"/>
    <x v="1"/>
    <x v="0"/>
    <x v="1"/>
    <n v="701138062.59000003"/>
    <x v="1"/>
    <x v="0"/>
    <x v="1"/>
    <x v="9"/>
    <x v="2"/>
    <x v="1"/>
    <x v="2"/>
    <x v="1"/>
    <x v="2"/>
    <n v="8"/>
    <x v="0"/>
  </r>
  <r>
    <d v="2023-02-08T00:00:00"/>
    <x v="3"/>
    <x v="1"/>
    <x v="0"/>
    <n v="14974899.75"/>
    <x v="3"/>
    <x v="1"/>
    <x v="0"/>
    <x v="10"/>
    <x v="2"/>
    <x v="1"/>
    <x v="2"/>
    <x v="1"/>
    <x v="2"/>
    <n v="8"/>
    <x v="0"/>
  </r>
  <r>
    <d v="2023-02-08T00:00:00"/>
    <x v="3"/>
    <x v="2"/>
    <x v="0"/>
    <n v="505514082.75999999"/>
    <x v="3"/>
    <x v="2"/>
    <x v="0"/>
    <x v="11"/>
    <x v="2"/>
    <x v="1"/>
    <x v="2"/>
    <x v="1"/>
    <x v="2"/>
    <n v="8"/>
    <x v="0"/>
  </r>
  <r>
    <d v="2023-02-08T00:00:00"/>
    <x v="3"/>
    <x v="2"/>
    <x v="1"/>
    <n v="11245707192.059999"/>
    <x v="3"/>
    <x v="2"/>
    <x v="1"/>
    <x v="12"/>
    <x v="2"/>
    <x v="1"/>
    <x v="2"/>
    <x v="1"/>
    <x v="2"/>
    <n v="8"/>
    <x v="0"/>
  </r>
  <r>
    <d v="2023-02-07T00:00:00"/>
    <x v="0"/>
    <x v="0"/>
    <x v="0"/>
    <n v="300"/>
    <x v="0"/>
    <x v="0"/>
    <x v="0"/>
    <x v="0"/>
    <x v="2"/>
    <x v="1"/>
    <x v="2"/>
    <x v="1"/>
    <x v="2"/>
    <n v="7"/>
    <x v="0"/>
  </r>
  <r>
    <d v="2023-02-07T00:00:00"/>
    <x v="0"/>
    <x v="1"/>
    <x v="0"/>
    <n v="17637884.920000002"/>
    <x v="0"/>
    <x v="1"/>
    <x v="0"/>
    <x v="1"/>
    <x v="2"/>
    <x v="1"/>
    <x v="2"/>
    <x v="1"/>
    <x v="2"/>
    <n v="7"/>
    <x v="0"/>
  </r>
  <r>
    <d v="2023-02-07T00:00:00"/>
    <x v="3"/>
    <x v="2"/>
    <x v="2"/>
    <n v="482468"/>
    <x v="3"/>
    <x v="2"/>
    <x v="2"/>
    <x v="5"/>
    <x v="2"/>
    <x v="1"/>
    <x v="2"/>
    <x v="1"/>
    <x v="2"/>
    <n v="7"/>
    <x v="0"/>
  </r>
  <r>
    <d v="2023-02-07T00:00:00"/>
    <x v="3"/>
    <x v="3"/>
    <x v="0"/>
    <n v="931890792.63"/>
    <x v="3"/>
    <x v="3"/>
    <x v="0"/>
    <x v="7"/>
    <x v="2"/>
    <x v="1"/>
    <x v="2"/>
    <x v="1"/>
    <x v="2"/>
    <n v="7"/>
    <x v="0"/>
  </r>
  <r>
    <d v="2023-02-07T00:00:00"/>
    <x v="1"/>
    <x v="1"/>
    <x v="0"/>
    <n v="707950.21"/>
    <x v="1"/>
    <x v="1"/>
    <x v="0"/>
    <x v="3"/>
    <x v="2"/>
    <x v="1"/>
    <x v="2"/>
    <x v="1"/>
    <x v="2"/>
    <n v="7"/>
    <x v="0"/>
  </r>
  <r>
    <d v="2023-02-07T00:00:00"/>
    <x v="1"/>
    <x v="0"/>
    <x v="0"/>
    <n v="62841109.619999997"/>
    <x v="1"/>
    <x v="0"/>
    <x v="0"/>
    <x v="9"/>
    <x v="2"/>
    <x v="1"/>
    <x v="2"/>
    <x v="1"/>
    <x v="2"/>
    <n v="7"/>
    <x v="0"/>
  </r>
  <r>
    <d v="2023-02-07T00:00:00"/>
    <x v="0"/>
    <x v="1"/>
    <x v="1"/>
    <n v="3871301.17"/>
    <x v="0"/>
    <x v="1"/>
    <x v="1"/>
    <x v="2"/>
    <x v="2"/>
    <x v="1"/>
    <x v="2"/>
    <x v="1"/>
    <x v="2"/>
    <n v="7"/>
    <x v="0"/>
  </r>
  <r>
    <d v="2023-02-07T00:00:00"/>
    <x v="1"/>
    <x v="0"/>
    <x v="1"/>
    <n v="320822900.31"/>
    <x v="1"/>
    <x v="0"/>
    <x v="1"/>
    <x v="10"/>
    <x v="2"/>
    <x v="1"/>
    <x v="2"/>
    <x v="1"/>
    <x v="2"/>
    <n v="7"/>
    <x v="0"/>
  </r>
  <r>
    <d v="2023-02-07T00:00:00"/>
    <x v="2"/>
    <x v="1"/>
    <x v="2"/>
    <n v="15350.94"/>
    <x v="2"/>
    <x v="1"/>
    <x v="2"/>
    <x v="4"/>
    <x v="2"/>
    <x v="1"/>
    <x v="2"/>
    <x v="1"/>
    <x v="2"/>
    <n v="7"/>
    <x v="0"/>
  </r>
  <r>
    <d v="2023-02-07T00:00:00"/>
    <x v="2"/>
    <x v="1"/>
    <x v="0"/>
    <n v="72608157.829999998"/>
    <x v="2"/>
    <x v="1"/>
    <x v="0"/>
    <x v="6"/>
    <x v="2"/>
    <x v="1"/>
    <x v="2"/>
    <x v="1"/>
    <x v="2"/>
    <n v="7"/>
    <x v="0"/>
  </r>
  <r>
    <d v="2023-02-07T00:00:00"/>
    <x v="2"/>
    <x v="1"/>
    <x v="1"/>
    <n v="285667969.33999997"/>
    <x v="2"/>
    <x v="1"/>
    <x v="1"/>
    <x v="8"/>
    <x v="2"/>
    <x v="1"/>
    <x v="2"/>
    <x v="1"/>
    <x v="2"/>
    <n v="7"/>
    <x v="0"/>
  </r>
  <r>
    <d v="2023-02-07T00:00:00"/>
    <x v="3"/>
    <x v="2"/>
    <x v="0"/>
    <n v="623467558.34000003"/>
    <x v="3"/>
    <x v="2"/>
    <x v="0"/>
    <x v="11"/>
    <x v="2"/>
    <x v="1"/>
    <x v="2"/>
    <x v="1"/>
    <x v="2"/>
    <n v="7"/>
    <x v="0"/>
  </r>
  <r>
    <d v="2023-02-07T00:00:00"/>
    <x v="3"/>
    <x v="1"/>
    <x v="0"/>
    <n v="12665404.42"/>
    <x v="3"/>
    <x v="1"/>
    <x v="0"/>
    <x v="12"/>
    <x v="2"/>
    <x v="1"/>
    <x v="2"/>
    <x v="1"/>
    <x v="2"/>
    <n v="7"/>
    <x v="0"/>
  </r>
  <r>
    <d v="2023-02-07T00:00:00"/>
    <x v="3"/>
    <x v="2"/>
    <x v="1"/>
    <n v="3410744874.3099999"/>
    <x v="3"/>
    <x v="2"/>
    <x v="1"/>
    <x v="13"/>
    <x v="2"/>
    <x v="1"/>
    <x v="2"/>
    <x v="1"/>
    <x v="2"/>
    <n v="7"/>
    <x v="0"/>
  </r>
  <r>
    <d v="2023-02-06T00:00:00"/>
    <x v="0"/>
    <x v="1"/>
    <x v="0"/>
    <n v="40402845.689999998"/>
    <x v="0"/>
    <x v="1"/>
    <x v="0"/>
    <x v="0"/>
    <x v="2"/>
    <x v="1"/>
    <x v="2"/>
    <x v="1"/>
    <x v="2"/>
    <n v="6"/>
    <x v="0"/>
  </r>
  <r>
    <d v="2023-02-06T00:00:00"/>
    <x v="2"/>
    <x v="1"/>
    <x v="2"/>
    <n v="36000.339999999997"/>
    <x v="2"/>
    <x v="1"/>
    <x v="2"/>
    <x v="1"/>
    <x v="2"/>
    <x v="1"/>
    <x v="2"/>
    <x v="1"/>
    <x v="2"/>
    <n v="6"/>
    <x v="0"/>
  </r>
  <r>
    <d v="2023-02-06T00:00:00"/>
    <x v="3"/>
    <x v="3"/>
    <x v="0"/>
    <n v="1041379858.77"/>
    <x v="3"/>
    <x v="3"/>
    <x v="0"/>
    <x v="7"/>
    <x v="2"/>
    <x v="1"/>
    <x v="2"/>
    <x v="1"/>
    <x v="2"/>
    <n v="6"/>
    <x v="0"/>
  </r>
  <r>
    <d v="2023-02-06T00:00:00"/>
    <x v="2"/>
    <x v="1"/>
    <x v="1"/>
    <n v="70737262.790000007"/>
    <x v="2"/>
    <x v="1"/>
    <x v="1"/>
    <x v="8"/>
    <x v="2"/>
    <x v="1"/>
    <x v="2"/>
    <x v="1"/>
    <x v="2"/>
    <n v="6"/>
    <x v="0"/>
  </r>
  <r>
    <d v="2023-02-06T00:00:00"/>
    <x v="1"/>
    <x v="1"/>
    <x v="0"/>
    <n v="7975.54"/>
    <x v="1"/>
    <x v="1"/>
    <x v="0"/>
    <x v="4"/>
    <x v="2"/>
    <x v="1"/>
    <x v="2"/>
    <x v="1"/>
    <x v="2"/>
    <n v="6"/>
    <x v="0"/>
  </r>
  <r>
    <d v="2023-02-06T00:00:00"/>
    <x v="3"/>
    <x v="3"/>
    <x v="1"/>
    <n v="16977.560000000001"/>
    <x v="3"/>
    <x v="3"/>
    <x v="1"/>
    <x v="2"/>
    <x v="2"/>
    <x v="1"/>
    <x v="2"/>
    <x v="1"/>
    <x v="2"/>
    <n v="6"/>
    <x v="0"/>
  </r>
  <r>
    <d v="2023-02-06T00:00:00"/>
    <x v="0"/>
    <x v="1"/>
    <x v="1"/>
    <n v="6576138.29"/>
    <x v="0"/>
    <x v="1"/>
    <x v="1"/>
    <x v="3"/>
    <x v="2"/>
    <x v="1"/>
    <x v="2"/>
    <x v="1"/>
    <x v="2"/>
    <n v="6"/>
    <x v="0"/>
  </r>
  <r>
    <d v="2023-02-06T00:00:00"/>
    <x v="3"/>
    <x v="2"/>
    <x v="2"/>
    <n v="263526.40999999997"/>
    <x v="3"/>
    <x v="2"/>
    <x v="2"/>
    <x v="5"/>
    <x v="2"/>
    <x v="1"/>
    <x v="2"/>
    <x v="1"/>
    <x v="2"/>
    <n v="6"/>
    <x v="0"/>
  </r>
  <r>
    <d v="2023-02-06T00:00:00"/>
    <x v="2"/>
    <x v="1"/>
    <x v="0"/>
    <n v="68273540.849999994"/>
    <x v="2"/>
    <x v="1"/>
    <x v="0"/>
    <x v="6"/>
    <x v="2"/>
    <x v="1"/>
    <x v="2"/>
    <x v="1"/>
    <x v="2"/>
    <n v="6"/>
    <x v="0"/>
  </r>
  <r>
    <d v="2023-02-06T00:00:00"/>
    <x v="1"/>
    <x v="0"/>
    <x v="0"/>
    <n v="51672752.619999997"/>
    <x v="1"/>
    <x v="0"/>
    <x v="0"/>
    <x v="9"/>
    <x v="2"/>
    <x v="1"/>
    <x v="2"/>
    <x v="1"/>
    <x v="2"/>
    <n v="6"/>
    <x v="0"/>
  </r>
  <r>
    <d v="2023-02-06T00:00:00"/>
    <x v="1"/>
    <x v="0"/>
    <x v="1"/>
    <n v="231279721.66999999"/>
    <x v="1"/>
    <x v="0"/>
    <x v="1"/>
    <x v="10"/>
    <x v="2"/>
    <x v="1"/>
    <x v="2"/>
    <x v="1"/>
    <x v="2"/>
    <n v="6"/>
    <x v="0"/>
  </r>
  <r>
    <d v="2023-02-06T00:00:00"/>
    <x v="3"/>
    <x v="2"/>
    <x v="0"/>
    <n v="569776156.85000002"/>
    <x v="3"/>
    <x v="2"/>
    <x v="0"/>
    <x v="11"/>
    <x v="2"/>
    <x v="1"/>
    <x v="2"/>
    <x v="1"/>
    <x v="2"/>
    <n v="6"/>
    <x v="0"/>
  </r>
  <r>
    <d v="2023-02-06T00:00:00"/>
    <x v="3"/>
    <x v="2"/>
    <x v="1"/>
    <n v="26878760649.209999"/>
    <x v="3"/>
    <x v="2"/>
    <x v="1"/>
    <x v="12"/>
    <x v="2"/>
    <x v="1"/>
    <x v="2"/>
    <x v="1"/>
    <x v="2"/>
    <n v="6"/>
    <x v="0"/>
  </r>
  <r>
    <d v="2023-02-06T00:00:00"/>
    <x v="3"/>
    <x v="1"/>
    <x v="0"/>
    <n v="49732630.43"/>
    <x v="3"/>
    <x v="1"/>
    <x v="0"/>
    <x v="13"/>
    <x v="2"/>
    <x v="1"/>
    <x v="2"/>
    <x v="1"/>
    <x v="2"/>
    <n v="6"/>
    <x v="0"/>
  </r>
  <r>
    <d v="2023-02-03T00:00:00"/>
    <x v="1"/>
    <x v="1"/>
    <x v="0"/>
    <n v="20481.79"/>
    <x v="1"/>
    <x v="1"/>
    <x v="0"/>
    <x v="0"/>
    <x v="2"/>
    <x v="1"/>
    <x v="2"/>
    <x v="1"/>
    <x v="2"/>
    <n v="3"/>
    <x v="0"/>
  </r>
  <r>
    <d v="2023-02-03T00:00:00"/>
    <x v="0"/>
    <x v="1"/>
    <x v="0"/>
    <n v="6067932.6799999997"/>
    <x v="0"/>
    <x v="1"/>
    <x v="0"/>
    <x v="1"/>
    <x v="2"/>
    <x v="1"/>
    <x v="2"/>
    <x v="1"/>
    <x v="2"/>
    <n v="3"/>
    <x v="0"/>
  </r>
  <r>
    <d v="2023-02-03T00:00:00"/>
    <x v="2"/>
    <x v="1"/>
    <x v="2"/>
    <n v="-16864.990000000002"/>
    <x v="2"/>
    <x v="1"/>
    <x v="2"/>
    <x v="4"/>
    <x v="2"/>
    <x v="1"/>
    <x v="2"/>
    <x v="1"/>
    <x v="2"/>
    <n v="3"/>
    <x v="1"/>
  </r>
  <r>
    <d v="2023-02-03T00:00:00"/>
    <x v="3"/>
    <x v="2"/>
    <x v="2"/>
    <n v="266152.89"/>
    <x v="3"/>
    <x v="2"/>
    <x v="2"/>
    <x v="5"/>
    <x v="2"/>
    <x v="1"/>
    <x v="2"/>
    <x v="1"/>
    <x v="2"/>
    <n v="3"/>
    <x v="0"/>
  </r>
  <r>
    <d v="2023-02-03T00:00:00"/>
    <x v="3"/>
    <x v="3"/>
    <x v="0"/>
    <n v="1884948162.49"/>
    <x v="3"/>
    <x v="3"/>
    <x v="0"/>
    <x v="7"/>
    <x v="2"/>
    <x v="1"/>
    <x v="2"/>
    <x v="1"/>
    <x v="2"/>
    <n v="3"/>
    <x v="0"/>
  </r>
  <r>
    <d v="2023-02-03T00:00:00"/>
    <x v="2"/>
    <x v="1"/>
    <x v="1"/>
    <n v="167304773.09999999"/>
    <x v="2"/>
    <x v="1"/>
    <x v="1"/>
    <x v="8"/>
    <x v="2"/>
    <x v="1"/>
    <x v="2"/>
    <x v="1"/>
    <x v="2"/>
    <n v="3"/>
    <x v="0"/>
  </r>
  <r>
    <d v="2023-02-03T00:00:00"/>
    <x v="3"/>
    <x v="3"/>
    <x v="1"/>
    <n v="20470.419999999998"/>
    <x v="3"/>
    <x v="3"/>
    <x v="1"/>
    <x v="2"/>
    <x v="2"/>
    <x v="1"/>
    <x v="2"/>
    <x v="1"/>
    <x v="2"/>
    <n v="3"/>
    <x v="0"/>
  </r>
  <r>
    <d v="2023-02-03T00:00:00"/>
    <x v="0"/>
    <x v="1"/>
    <x v="1"/>
    <n v="356502.78"/>
    <x v="0"/>
    <x v="1"/>
    <x v="1"/>
    <x v="3"/>
    <x v="2"/>
    <x v="1"/>
    <x v="2"/>
    <x v="1"/>
    <x v="2"/>
    <n v="3"/>
    <x v="0"/>
  </r>
  <r>
    <d v="2023-02-03T00:00:00"/>
    <x v="1"/>
    <x v="0"/>
    <x v="0"/>
    <n v="61965279.210000001"/>
    <x v="1"/>
    <x v="0"/>
    <x v="0"/>
    <x v="9"/>
    <x v="2"/>
    <x v="1"/>
    <x v="2"/>
    <x v="1"/>
    <x v="2"/>
    <n v="3"/>
    <x v="0"/>
  </r>
  <r>
    <d v="2023-02-03T00:00:00"/>
    <x v="1"/>
    <x v="0"/>
    <x v="1"/>
    <n v="172645646.52000001"/>
    <x v="1"/>
    <x v="0"/>
    <x v="1"/>
    <x v="10"/>
    <x v="2"/>
    <x v="1"/>
    <x v="2"/>
    <x v="1"/>
    <x v="2"/>
    <n v="3"/>
    <x v="0"/>
  </r>
  <r>
    <d v="2023-02-03T00:00:00"/>
    <x v="2"/>
    <x v="1"/>
    <x v="0"/>
    <n v="75671489.859999999"/>
    <x v="2"/>
    <x v="1"/>
    <x v="0"/>
    <x v="6"/>
    <x v="2"/>
    <x v="1"/>
    <x v="2"/>
    <x v="1"/>
    <x v="2"/>
    <n v="3"/>
    <x v="0"/>
  </r>
  <r>
    <d v="2023-02-03T00:00:00"/>
    <x v="3"/>
    <x v="2"/>
    <x v="0"/>
    <n v="458431984.91000003"/>
    <x v="3"/>
    <x v="2"/>
    <x v="0"/>
    <x v="11"/>
    <x v="2"/>
    <x v="1"/>
    <x v="2"/>
    <x v="1"/>
    <x v="2"/>
    <n v="3"/>
    <x v="0"/>
  </r>
  <r>
    <d v="2023-02-03T00:00:00"/>
    <x v="3"/>
    <x v="1"/>
    <x v="0"/>
    <n v="15248772.300000001"/>
    <x v="3"/>
    <x v="1"/>
    <x v="0"/>
    <x v="12"/>
    <x v="2"/>
    <x v="1"/>
    <x v="2"/>
    <x v="1"/>
    <x v="2"/>
    <n v="3"/>
    <x v="0"/>
  </r>
  <r>
    <d v="2023-02-03T00:00:00"/>
    <x v="3"/>
    <x v="2"/>
    <x v="1"/>
    <n v="15046378601.940001"/>
    <x v="3"/>
    <x v="2"/>
    <x v="1"/>
    <x v="13"/>
    <x v="2"/>
    <x v="1"/>
    <x v="2"/>
    <x v="1"/>
    <x v="2"/>
    <n v="3"/>
    <x v="0"/>
  </r>
  <r>
    <d v="2023-02-02T00:00:00"/>
    <x v="0"/>
    <x v="0"/>
    <x v="0"/>
    <n v="2936.76"/>
    <x v="0"/>
    <x v="0"/>
    <x v="0"/>
    <x v="0"/>
    <x v="2"/>
    <x v="1"/>
    <x v="2"/>
    <x v="1"/>
    <x v="2"/>
    <n v="2"/>
    <x v="0"/>
  </r>
  <r>
    <d v="2023-02-02T00:00:00"/>
    <x v="1"/>
    <x v="1"/>
    <x v="0"/>
    <n v="6253.95"/>
    <x v="1"/>
    <x v="1"/>
    <x v="0"/>
    <x v="1"/>
    <x v="2"/>
    <x v="1"/>
    <x v="2"/>
    <x v="1"/>
    <x v="2"/>
    <n v="2"/>
    <x v="0"/>
  </r>
  <r>
    <d v="2023-02-02T00:00:00"/>
    <x v="0"/>
    <x v="1"/>
    <x v="0"/>
    <n v="9850731.7799999993"/>
    <x v="0"/>
    <x v="1"/>
    <x v="0"/>
    <x v="2"/>
    <x v="2"/>
    <x v="1"/>
    <x v="2"/>
    <x v="1"/>
    <x v="2"/>
    <n v="2"/>
    <x v="0"/>
  </r>
  <r>
    <d v="2023-02-02T00:00:00"/>
    <x v="3"/>
    <x v="3"/>
    <x v="0"/>
    <n v="1456647565.6500001"/>
    <x v="3"/>
    <x v="3"/>
    <x v="0"/>
    <x v="6"/>
    <x v="2"/>
    <x v="1"/>
    <x v="2"/>
    <x v="1"/>
    <x v="2"/>
    <n v="2"/>
    <x v="0"/>
  </r>
  <r>
    <d v="2023-02-02T00:00:00"/>
    <x v="2"/>
    <x v="1"/>
    <x v="0"/>
    <n v="81380174.439999998"/>
    <x v="2"/>
    <x v="1"/>
    <x v="0"/>
    <x v="7"/>
    <x v="2"/>
    <x v="1"/>
    <x v="2"/>
    <x v="1"/>
    <x v="2"/>
    <n v="2"/>
    <x v="0"/>
  </r>
  <r>
    <d v="2023-02-02T00:00:00"/>
    <x v="2"/>
    <x v="1"/>
    <x v="1"/>
    <n v="495411414.00999999"/>
    <x v="2"/>
    <x v="1"/>
    <x v="1"/>
    <x v="8"/>
    <x v="2"/>
    <x v="1"/>
    <x v="2"/>
    <x v="1"/>
    <x v="2"/>
    <n v="2"/>
    <x v="0"/>
  </r>
  <r>
    <d v="2023-02-02T00:00:00"/>
    <x v="0"/>
    <x v="1"/>
    <x v="1"/>
    <n v="3496074.6"/>
    <x v="0"/>
    <x v="1"/>
    <x v="1"/>
    <x v="3"/>
    <x v="2"/>
    <x v="1"/>
    <x v="2"/>
    <x v="1"/>
    <x v="2"/>
    <n v="2"/>
    <x v="0"/>
  </r>
  <r>
    <d v="2023-02-02T00:00:00"/>
    <x v="2"/>
    <x v="1"/>
    <x v="2"/>
    <n v="244947.55"/>
    <x v="2"/>
    <x v="1"/>
    <x v="2"/>
    <x v="4"/>
    <x v="2"/>
    <x v="1"/>
    <x v="2"/>
    <x v="1"/>
    <x v="2"/>
    <n v="2"/>
    <x v="0"/>
  </r>
  <r>
    <d v="2023-02-02T00:00:00"/>
    <x v="1"/>
    <x v="0"/>
    <x v="0"/>
    <n v="81669905.849999994"/>
    <x v="1"/>
    <x v="0"/>
    <x v="0"/>
    <x v="9"/>
    <x v="2"/>
    <x v="1"/>
    <x v="2"/>
    <x v="1"/>
    <x v="2"/>
    <n v="2"/>
    <x v="0"/>
  </r>
  <r>
    <d v="2023-02-02T00:00:00"/>
    <x v="3"/>
    <x v="2"/>
    <x v="2"/>
    <n v="145549"/>
    <x v="3"/>
    <x v="2"/>
    <x v="2"/>
    <x v="5"/>
    <x v="2"/>
    <x v="1"/>
    <x v="2"/>
    <x v="1"/>
    <x v="2"/>
    <n v="2"/>
    <x v="0"/>
  </r>
  <r>
    <d v="2023-02-02T00:00:00"/>
    <x v="1"/>
    <x v="0"/>
    <x v="1"/>
    <n v="300625958.27999997"/>
    <x v="1"/>
    <x v="0"/>
    <x v="1"/>
    <x v="10"/>
    <x v="2"/>
    <x v="1"/>
    <x v="2"/>
    <x v="1"/>
    <x v="2"/>
    <n v="2"/>
    <x v="0"/>
  </r>
  <r>
    <d v="2023-02-02T00:00:00"/>
    <x v="3"/>
    <x v="1"/>
    <x v="0"/>
    <n v="16211727.93"/>
    <x v="3"/>
    <x v="1"/>
    <x v="0"/>
    <x v="11"/>
    <x v="2"/>
    <x v="1"/>
    <x v="2"/>
    <x v="1"/>
    <x v="2"/>
    <n v="2"/>
    <x v="0"/>
  </r>
  <r>
    <d v="2023-02-02T00:00:00"/>
    <x v="3"/>
    <x v="2"/>
    <x v="0"/>
    <n v="883248478.5"/>
    <x v="3"/>
    <x v="2"/>
    <x v="0"/>
    <x v="12"/>
    <x v="2"/>
    <x v="1"/>
    <x v="2"/>
    <x v="1"/>
    <x v="2"/>
    <n v="2"/>
    <x v="0"/>
  </r>
  <r>
    <d v="2023-02-02T00:00:00"/>
    <x v="3"/>
    <x v="2"/>
    <x v="1"/>
    <n v="8363296485.1899996"/>
    <x v="3"/>
    <x v="2"/>
    <x v="1"/>
    <x v="13"/>
    <x v="2"/>
    <x v="1"/>
    <x v="2"/>
    <x v="1"/>
    <x v="2"/>
    <n v="2"/>
    <x v="0"/>
  </r>
  <r>
    <d v="2023-02-01T00:00:00"/>
    <x v="1"/>
    <x v="1"/>
    <x v="0"/>
    <n v="5059.12"/>
    <x v="1"/>
    <x v="1"/>
    <x v="0"/>
    <x v="0"/>
    <x v="2"/>
    <x v="1"/>
    <x v="2"/>
    <x v="1"/>
    <x v="2"/>
    <n v="1"/>
    <x v="0"/>
  </r>
  <r>
    <d v="2023-02-01T00:00:00"/>
    <x v="0"/>
    <x v="1"/>
    <x v="0"/>
    <n v="8575437.8200000003"/>
    <x v="0"/>
    <x v="1"/>
    <x v="0"/>
    <x v="1"/>
    <x v="2"/>
    <x v="1"/>
    <x v="2"/>
    <x v="1"/>
    <x v="2"/>
    <n v="1"/>
    <x v="0"/>
  </r>
  <r>
    <d v="2023-02-01T00:00:00"/>
    <x v="2"/>
    <x v="1"/>
    <x v="2"/>
    <n v="94106.59"/>
    <x v="2"/>
    <x v="1"/>
    <x v="2"/>
    <x v="2"/>
    <x v="2"/>
    <x v="1"/>
    <x v="2"/>
    <x v="1"/>
    <x v="2"/>
    <n v="1"/>
    <x v="0"/>
  </r>
  <r>
    <d v="2023-02-01T00:00:00"/>
    <x v="0"/>
    <x v="1"/>
    <x v="1"/>
    <n v="106607.6"/>
    <x v="0"/>
    <x v="1"/>
    <x v="1"/>
    <x v="3"/>
    <x v="2"/>
    <x v="1"/>
    <x v="2"/>
    <x v="1"/>
    <x v="2"/>
    <n v="1"/>
    <x v="0"/>
  </r>
  <r>
    <d v="2023-02-01T00:00:00"/>
    <x v="3"/>
    <x v="2"/>
    <x v="2"/>
    <n v="275493.93"/>
    <x v="3"/>
    <x v="2"/>
    <x v="2"/>
    <x v="4"/>
    <x v="2"/>
    <x v="1"/>
    <x v="2"/>
    <x v="1"/>
    <x v="2"/>
    <n v="1"/>
    <x v="0"/>
  </r>
  <r>
    <d v="2023-02-01T00:00:00"/>
    <x v="2"/>
    <x v="1"/>
    <x v="0"/>
    <n v="104509468.19"/>
    <x v="2"/>
    <x v="1"/>
    <x v="0"/>
    <x v="6"/>
    <x v="2"/>
    <x v="1"/>
    <x v="2"/>
    <x v="1"/>
    <x v="2"/>
    <n v="1"/>
    <x v="0"/>
  </r>
  <r>
    <d v="2023-02-01T00:00:00"/>
    <x v="2"/>
    <x v="1"/>
    <x v="1"/>
    <n v="185816512.44"/>
    <x v="2"/>
    <x v="1"/>
    <x v="1"/>
    <x v="7"/>
    <x v="2"/>
    <x v="1"/>
    <x v="2"/>
    <x v="1"/>
    <x v="2"/>
    <n v="1"/>
    <x v="0"/>
  </r>
  <r>
    <d v="2023-02-01T00:00:00"/>
    <x v="3"/>
    <x v="3"/>
    <x v="0"/>
    <n v="2615303550.4099998"/>
    <x v="3"/>
    <x v="3"/>
    <x v="0"/>
    <x v="5"/>
    <x v="2"/>
    <x v="1"/>
    <x v="2"/>
    <x v="1"/>
    <x v="2"/>
    <n v="1"/>
    <x v="0"/>
  </r>
  <r>
    <d v="2023-02-01T00:00:00"/>
    <x v="1"/>
    <x v="0"/>
    <x v="0"/>
    <n v="57264373.210000001"/>
    <x v="1"/>
    <x v="0"/>
    <x v="0"/>
    <x v="8"/>
    <x v="2"/>
    <x v="1"/>
    <x v="2"/>
    <x v="1"/>
    <x v="2"/>
    <n v="1"/>
    <x v="0"/>
  </r>
  <r>
    <d v="2023-02-01T00:00:00"/>
    <x v="1"/>
    <x v="0"/>
    <x v="1"/>
    <n v="928649417.79999995"/>
    <x v="1"/>
    <x v="0"/>
    <x v="1"/>
    <x v="9"/>
    <x v="2"/>
    <x v="1"/>
    <x v="2"/>
    <x v="1"/>
    <x v="2"/>
    <n v="1"/>
    <x v="0"/>
  </r>
  <r>
    <d v="2023-02-01T00:00:00"/>
    <x v="3"/>
    <x v="2"/>
    <x v="0"/>
    <n v="592879751.15999997"/>
    <x v="3"/>
    <x v="2"/>
    <x v="0"/>
    <x v="10"/>
    <x v="2"/>
    <x v="1"/>
    <x v="2"/>
    <x v="1"/>
    <x v="2"/>
    <n v="1"/>
    <x v="0"/>
  </r>
  <r>
    <d v="2023-02-01T00:00:00"/>
    <x v="3"/>
    <x v="1"/>
    <x v="0"/>
    <n v="16252810.82"/>
    <x v="3"/>
    <x v="1"/>
    <x v="0"/>
    <x v="11"/>
    <x v="2"/>
    <x v="1"/>
    <x v="2"/>
    <x v="1"/>
    <x v="2"/>
    <n v="1"/>
    <x v="0"/>
  </r>
  <r>
    <d v="2023-02-01T00:00:00"/>
    <x v="3"/>
    <x v="2"/>
    <x v="1"/>
    <n v="33698434568.200001"/>
    <x v="3"/>
    <x v="2"/>
    <x v="1"/>
    <x v="12"/>
    <x v="2"/>
    <x v="1"/>
    <x v="2"/>
    <x v="1"/>
    <x v="2"/>
    <n v="1"/>
    <x v="0"/>
  </r>
  <r>
    <d v="2023-01-31T00:00:00"/>
    <x v="1"/>
    <x v="1"/>
    <x v="0"/>
    <n v="4702.83"/>
    <x v="1"/>
    <x v="1"/>
    <x v="0"/>
    <x v="0"/>
    <x v="2"/>
    <x v="1"/>
    <x v="2"/>
    <x v="1"/>
    <x v="3"/>
    <n v="31"/>
    <x v="0"/>
  </r>
  <r>
    <d v="2023-01-31T00:00:00"/>
    <x v="0"/>
    <x v="1"/>
    <x v="0"/>
    <n v="9668164.6300000008"/>
    <x v="0"/>
    <x v="1"/>
    <x v="0"/>
    <x v="1"/>
    <x v="2"/>
    <x v="1"/>
    <x v="2"/>
    <x v="1"/>
    <x v="3"/>
    <n v="31"/>
    <x v="0"/>
  </r>
  <r>
    <d v="2023-01-31T00:00:00"/>
    <x v="2"/>
    <x v="1"/>
    <x v="2"/>
    <n v="57116.82"/>
    <x v="2"/>
    <x v="1"/>
    <x v="2"/>
    <x v="2"/>
    <x v="2"/>
    <x v="1"/>
    <x v="2"/>
    <x v="1"/>
    <x v="3"/>
    <n v="31"/>
    <x v="0"/>
  </r>
  <r>
    <d v="2023-01-31T00:00:00"/>
    <x v="2"/>
    <x v="1"/>
    <x v="0"/>
    <n v="83619824.349999994"/>
    <x v="2"/>
    <x v="1"/>
    <x v="0"/>
    <x v="5"/>
    <x v="2"/>
    <x v="1"/>
    <x v="2"/>
    <x v="1"/>
    <x v="3"/>
    <n v="31"/>
    <x v="0"/>
  </r>
  <r>
    <d v="2023-01-31T00:00:00"/>
    <x v="2"/>
    <x v="1"/>
    <x v="1"/>
    <n v="331293311.83999997"/>
    <x v="2"/>
    <x v="1"/>
    <x v="1"/>
    <x v="7"/>
    <x v="2"/>
    <x v="1"/>
    <x v="2"/>
    <x v="1"/>
    <x v="3"/>
    <n v="31"/>
    <x v="0"/>
  </r>
  <r>
    <d v="2023-01-31T00:00:00"/>
    <x v="1"/>
    <x v="0"/>
    <x v="0"/>
    <n v="54354096.369999997"/>
    <x v="1"/>
    <x v="0"/>
    <x v="0"/>
    <x v="8"/>
    <x v="2"/>
    <x v="1"/>
    <x v="2"/>
    <x v="1"/>
    <x v="3"/>
    <n v="31"/>
    <x v="0"/>
  </r>
  <r>
    <d v="2023-01-31T00:00:00"/>
    <x v="0"/>
    <x v="1"/>
    <x v="1"/>
    <n v="27883175.940000001"/>
    <x v="0"/>
    <x v="1"/>
    <x v="1"/>
    <x v="3"/>
    <x v="2"/>
    <x v="1"/>
    <x v="2"/>
    <x v="1"/>
    <x v="3"/>
    <n v="31"/>
    <x v="0"/>
  </r>
  <r>
    <d v="2023-01-31T00:00:00"/>
    <x v="3"/>
    <x v="2"/>
    <x v="2"/>
    <n v="235909.46"/>
    <x v="3"/>
    <x v="2"/>
    <x v="2"/>
    <x v="4"/>
    <x v="2"/>
    <x v="1"/>
    <x v="2"/>
    <x v="1"/>
    <x v="3"/>
    <n v="31"/>
    <x v="0"/>
  </r>
  <r>
    <d v="2023-01-31T00:00:00"/>
    <x v="3"/>
    <x v="3"/>
    <x v="0"/>
    <n v="4852484378.3100004"/>
    <x v="3"/>
    <x v="3"/>
    <x v="0"/>
    <x v="6"/>
    <x v="2"/>
    <x v="1"/>
    <x v="2"/>
    <x v="1"/>
    <x v="3"/>
    <n v="31"/>
    <x v="0"/>
  </r>
  <r>
    <d v="2023-01-31T00:00:00"/>
    <x v="1"/>
    <x v="0"/>
    <x v="1"/>
    <n v="361962580.55000001"/>
    <x v="1"/>
    <x v="0"/>
    <x v="1"/>
    <x v="9"/>
    <x v="2"/>
    <x v="1"/>
    <x v="2"/>
    <x v="1"/>
    <x v="3"/>
    <n v="31"/>
    <x v="0"/>
  </r>
  <r>
    <d v="2023-01-31T00:00:00"/>
    <x v="3"/>
    <x v="2"/>
    <x v="0"/>
    <n v="979733778.89999998"/>
    <x v="3"/>
    <x v="2"/>
    <x v="0"/>
    <x v="10"/>
    <x v="2"/>
    <x v="1"/>
    <x v="2"/>
    <x v="1"/>
    <x v="3"/>
    <n v="31"/>
    <x v="0"/>
  </r>
  <r>
    <d v="2023-01-31T00:00:00"/>
    <x v="3"/>
    <x v="1"/>
    <x v="0"/>
    <n v="12311656.9"/>
    <x v="3"/>
    <x v="1"/>
    <x v="0"/>
    <x v="11"/>
    <x v="2"/>
    <x v="1"/>
    <x v="2"/>
    <x v="1"/>
    <x v="3"/>
    <n v="31"/>
    <x v="0"/>
  </r>
  <r>
    <d v="2023-01-31T00:00:00"/>
    <x v="3"/>
    <x v="2"/>
    <x v="1"/>
    <n v="8783863981.9699993"/>
    <x v="3"/>
    <x v="2"/>
    <x v="1"/>
    <x v="12"/>
    <x v="2"/>
    <x v="1"/>
    <x v="2"/>
    <x v="1"/>
    <x v="3"/>
    <n v="31"/>
    <x v="0"/>
  </r>
  <r>
    <d v="2023-01-30T00:00:00"/>
    <x v="1"/>
    <x v="1"/>
    <x v="0"/>
    <n v="5415.34"/>
    <x v="1"/>
    <x v="1"/>
    <x v="0"/>
    <x v="0"/>
    <x v="2"/>
    <x v="1"/>
    <x v="2"/>
    <x v="1"/>
    <x v="3"/>
    <n v="30"/>
    <x v="0"/>
  </r>
  <r>
    <d v="2023-01-30T00:00:00"/>
    <x v="0"/>
    <x v="1"/>
    <x v="0"/>
    <n v="19876392.629999999"/>
    <x v="0"/>
    <x v="1"/>
    <x v="0"/>
    <x v="1"/>
    <x v="2"/>
    <x v="1"/>
    <x v="2"/>
    <x v="1"/>
    <x v="3"/>
    <n v="30"/>
    <x v="0"/>
  </r>
  <r>
    <d v="2023-01-30T00:00:00"/>
    <x v="2"/>
    <x v="1"/>
    <x v="0"/>
    <n v="87522934.409999996"/>
    <x v="2"/>
    <x v="1"/>
    <x v="0"/>
    <x v="6"/>
    <x v="2"/>
    <x v="1"/>
    <x v="2"/>
    <x v="1"/>
    <x v="3"/>
    <n v="30"/>
    <x v="0"/>
  </r>
  <r>
    <d v="2023-01-30T00:00:00"/>
    <x v="2"/>
    <x v="1"/>
    <x v="1"/>
    <n v="158609760.37"/>
    <x v="2"/>
    <x v="1"/>
    <x v="1"/>
    <x v="8"/>
    <x v="2"/>
    <x v="1"/>
    <x v="2"/>
    <x v="1"/>
    <x v="3"/>
    <n v="30"/>
    <x v="0"/>
  </r>
  <r>
    <d v="2023-01-30T00:00:00"/>
    <x v="1"/>
    <x v="0"/>
    <x v="0"/>
    <n v="61422125.659999996"/>
    <x v="1"/>
    <x v="0"/>
    <x v="0"/>
    <x v="9"/>
    <x v="2"/>
    <x v="1"/>
    <x v="2"/>
    <x v="1"/>
    <x v="3"/>
    <n v="30"/>
    <x v="0"/>
  </r>
  <r>
    <d v="2023-01-30T00:00:00"/>
    <x v="3"/>
    <x v="3"/>
    <x v="1"/>
    <n v="41529.839999999997"/>
    <x v="3"/>
    <x v="3"/>
    <x v="1"/>
    <x v="3"/>
    <x v="2"/>
    <x v="1"/>
    <x v="2"/>
    <x v="1"/>
    <x v="3"/>
    <n v="30"/>
    <x v="0"/>
  </r>
  <r>
    <d v="2023-01-30T00:00:00"/>
    <x v="0"/>
    <x v="1"/>
    <x v="1"/>
    <n v="104338475.54000001"/>
    <x v="0"/>
    <x v="1"/>
    <x v="1"/>
    <x v="4"/>
    <x v="2"/>
    <x v="1"/>
    <x v="2"/>
    <x v="1"/>
    <x v="3"/>
    <n v="30"/>
    <x v="0"/>
  </r>
  <r>
    <d v="2023-01-30T00:00:00"/>
    <x v="3"/>
    <x v="2"/>
    <x v="2"/>
    <n v="203118.57"/>
    <x v="3"/>
    <x v="2"/>
    <x v="2"/>
    <x v="5"/>
    <x v="2"/>
    <x v="1"/>
    <x v="2"/>
    <x v="1"/>
    <x v="3"/>
    <n v="30"/>
    <x v="0"/>
  </r>
  <r>
    <d v="2023-01-30T00:00:00"/>
    <x v="2"/>
    <x v="1"/>
    <x v="2"/>
    <n v="20168.2"/>
    <x v="2"/>
    <x v="1"/>
    <x v="2"/>
    <x v="2"/>
    <x v="2"/>
    <x v="1"/>
    <x v="2"/>
    <x v="1"/>
    <x v="3"/>
    <n v="30"/>
    <x v="0"/>
  </r>
  <r>
    <d v="2023-01-30T00:00:00"/>
    <x v="3"/>
    <x v="3"/>
    <x v="0"/>
    <n v="2369929799.9099998"/>
    <x v="3"/>
    <x v="3"/>
    <x v="0"/>
    <x v="7"/>
    <x v="2"/>
    <x v="1"/>
    <x v="2"/>
    <x v="1"/>
    <x v="3"/>
    <n v="30"/>
    <x v="0"/>
  </r>
  <r>
    <d v="2023-01-30T00:00:00"/>
    <x v="1"/>
    <x v="0"/>
    <x v="1"/>
    <n v="692080480.79999995"/>
    <x v="1"/>
    <x v="0"/>
    <x v="1"/>
    <x v="10"/>
    <x v="2"/>
    <x v="1"/>
    <x v="2"/>
    <x v="1"/>
    <x v="3"/>
    <n v="30"/>
    <x v="0"/>
  </r>
  <r>
    <d v="2023-01-30T00:00:00"/>
    <x v="3"/>
    <x v="2"/>
    <x v="0"/>
    <n v="522700272.92000002"/>
    <x v="3"/>
    <x v="2"/>
    <x v="0"/>
    <x v="11"/>
    <x v="2"/>
    <x v="1"/>
    <x v="2"/>
    <x v="1"/>
    <x v="3"/>
    <n v="30"/>
    <x v="0"/>
  </r>
  <r>
    <d v="2023-01-30T00:00:00"/>
    <x v="3"/>
    <x v="1"/>
    <x v="0"/>
    <n v="45890328.090000004"/>
    <x v="3"/>
    <x v="1"/>
    <x v="0"/>
    <x v="12"/>
    <x v="2"/>
    <x v="1"/>
    <x v="2"/>
    <x v="1"/>
    <x v="3"/>
    <n v="30"/>
    <x v="0"/>
  </r>
  <r>
    <d v="2023-01-30T00:00:00"/>
    <x v="3"/>
    <x v="2"/>
    <x v="1"/>
    <n v="22347965262.799999"/>
    <x v="3"/>
    <x v="2"/>
    <x v="1"/>
    <x v="13"/>
    <x v="2"/>
    <x v="1"/>
    <x v="2"/>
    <x v="1"/>
    <x v="3"/>
    <n v="30"/>
    <x v="0"/>
  </r>
  <r>
    <d v="2023-01-27T00:00:00"/>
    <x v="0"/>
    <x v="1"/>
    <x v="0"/>
    <n v="12488724.33"/>
    <x v="0"/>
    <x v="1"/>
    <x v="0"/>
    <x v="0"/>
    <x v="2"/>
    <x v="1"/>
    <x v="2"/>
    <x v="1"/>
    <x v="3"/>
    <n v="27"/>
    <x v="0"/>
  </r>
  <r>
    <d v="2023-01-27T00:00:00"/>
    <x v="2"/>
    <x v="1"/>
    <x v="0"/>
    <n v="165329129.21000001"/>
    <x v="2"/>
    <x v="1"/>
    <x v="0"/>
    <x v="7"/>
    <x v="2"/>
    <x v="1"/>
    <x v="2"/>
    <x v="1"/>
    <x v="3"/>
    <n v="27"/>
    <x v="0"/>
  </r>
  <r>
    <d v="2023-01-27T00:00:00"/>
    <x v="1"/>
    <x v="1"/>
    <x v="0"/>
    <n v="27360.85"/>
    <x v="1"/>
    <x v="1"/>
    <x v="0"/>
    <x v="3"/>
    <x v="2"/>
    <x v="1"/>
    <x v="2"/>
    <x v="1"/>
    <x v="3"/>
    <n v="27"/>
    <x v="0"/>
  </r>
  <r>
    <d v="2023-01-27T00:00:00"/>
    <x v="2"/>
    <x v="1"/>
    <x v="1"/>
    <n v="245152892.06999999"/>
    <x v="2"/>
    <x v="1"/>
    <x v="1"/>
    <x v="8"/>
    <x v="2"/>
    <x v="1"/>
    <x v="2"/>
    <x v="1"/>
    <x v="3"/>
    <n v="27"/>
    <x v="0"/>
  </r>
  <r>
    <d v="2023-01-27T00:00:00"/>
    <x v="2"/>
    <x v="1"/>
    <x v="2"/>
    <n v="30700.28"/>
    <x v="2"/>
    <x v="1"/>
    <x v="2"/>
    <x v="4"/>
    <x v="2"/>
    <x v="1"/>
    <x v="2"/>
    <x v="1"/>
    <x v="3"/>
    <n v="27"/>
    <x v="0"/>
  </r>
  <r>
    <d v="2023-01-27T00:00:00"/>
    <x v="3"/>
    <x v="3"/>
    <x v="1"/>
    <n v="6248198.1299999999"/>
    <x v="3"/>
    <x v="3"/>
    <x v="1"/>
    <x v="1"/>
    <x v="2"/>
    <x v="1"/>
    <x v="2"/>
    <x v="1"/>
    <x v="3"/>
    <n v="27"/>
    <x v="0"/>
  </r>
  <r>
    <d v="2023-01-27T00:00:00"/>
    <x v="0"/>
    <x v="1"/>
    <x v="1"/>
    <n v="16804161.34"/>
    <x v="0"/>
    <x v="1"/>
    <x v="1"/>
    <x v="2"/>
    <x v="2"/>
    <x v="1"/>
    <x v="2"/>
    <x v="1"/>
    <x v="3"/>
    <n v="27"/>
    <x v="0"/>
  </r>
  <r>
    <d v="2023-01-27T00:00:00"/>
    <x v="3"/>
    <x v="2"/>
    <x v="2"/>
    <n v="408694.14"/>
    <x v="3"/>
    <x v="2"/>
    <x v="2"/>
    <x v="5"/>
    <x v="2"/>
    <x v="1"/>
    <x v="2"/>
    <x v="1"/>
    <x v="3"/>
    <n v="27"/>
    <x v="0"/>
  </r>
  <r>
    <d v="2023-01-27T00:00:00"/>
    <x v="3"/>
    <x v="3"/>
    <x v="0"/>
    <n v="1350120647.02"/>
    <x v="3"/>
    <x v="3"/>
    <x v="0"/>
    <x v="6"/>
    <x v="2"/>
    <x v="1"/>
    <x v="2"/>
    <x v="1"/>
    <x v="3"/>
    <n v="27"/>
    <x v="0"/>
  </r>
  <r>
    <d v="2023-01-27T00:00:00"/>
    <x v="1"/>
    <x v="0"/>
    <x v="0"/>
    <n v="76716469.090000004"/>
    <x v="1"/>
    <x v="0"/>
    <x v="0"/>
    <x v="9"/>
    <x v="2"/>
    <x v="1"/>
    <x v="2"/>
    <x v="1"/>
    <x v="3"/>
    <n v="27"/>
    <x v="0"/>
  </r>
  <r>
    <d v="2023-01-27T00:00:00"/>
    <x v="1"/>
    <x v="0"/>
    <x v="1"/>
    <n v="916667301.75"/>
    <x v="1"/>
    <x v="0"/>
    <x v="1"/>
    <x v="10"/>
    <x v="2"/>
    <x v="1"/>
    <x v="2"/>
    <x v="1"/>
    <x v="3"/>
    <n v="27"/>
    <x v="0"/>
  </r>
  <r>
    <d v="2023-01-27T00:00:00"/>
    <x v="3"/>
    <x v="2"/>
    <x v="0"/>
    <n v="760287958.38"/>
    <x v="3"/>
    <x v="2"/>
    <x v="0"/>
    <x v="11"/>
    <x v="2"/>
    <x v="1"/>
    <x v="2"/>
    <x v="1"/>
    <x v="3"/>
    <n v="27"/>
    <x v="0"/>
  </r>
  <r>
    <d v="2023-01-27T00:00:00"/>
    <x v="3"/>
    <x v="1"/>
    <x v="0"/>
    <n v="13892241.720000001"/>
    <x v="3"/>
    <x v="1"/>
    <x v="0"/>
    <x v="12"/>
    <x v="2"/>
    <x v="1"/>
    <x v="2"/>
    <x v="1"/>
    <x v="3"/>
    <n v="27"/>
    <x v="0"/>
  </r>
  <r>
    <d v="2023-01-27T00:00:00"/>
    <x v="3"/>
    <x v="2"/>
    <x v="1"/>
    <n v="10116392076.82"/>
    <x v="3"/>
    <x v="2"/>
    <x v="1"/>
    <x v="13"/>
    <x v="2"/>
    <x v="1"/>
    <x v="2"/>
    <x v="1"/>
    <x v="3"/>
    <n v="27"/>
    <x v="0"/>
  </r>
  <r>
    <d v="2023-01-26T00:00:00"/>
    <x v="1"/>
    <x v="1"/>
    <x v="0"/>
    <n v="15021.07"/>
    <x v="1"/>
    <x v="1"/>
    <x v="0"/>
    <x v="0"/>
    <x v="2"/>
    <x v="1"/>
    <x v="2"/>
    <x v="1"/>
    <x v="3"/>
    <n v="26"/>
    <x v="0"/>
  </r>
  <r>
    <d v="2023-01-26T00:00:00"/>
    <x v="0"/>
    <x v="1"/>
    <x v="0"/>
    <n v="20274999.120000001"/>
    <x v="0"/>
    <x v="1"/>
    <x v="0"/>
    <x v="1"/>
    <x v="2"/>
    <x v="1"/>
    <x v="2"/>
    <x v="1"/>
    <x v="3"/>
    <n v="26"/>
    <x v="0"/>
  </r>
  <r>
    <d v="2023-01-26T00:00:00"/>
    <x v="3"/>
    <x v="2"/>
    <x v="2"/>
    <n v="316739"/>
    <x v="3"/>
    <x v="2"/>
    <x v="2"/>
    <x v="4"/>
    <x v="2"/>
    <x v="1"/>
    <x v="2"/>
    <x v="1"/>
    <x v="3"/>
    <n v="26"/>
    <x v="0"/>
  </r>
  <r>
    <d v="2023-01-26T00:00:00"/>
    <x v="2"/>
    <x v="1"/>
    <x v="2"/>
    <n v="18647.09"/>
    <x v="2"/>
    <x v="1"/>
    <x v="2"/>
    <x v="2"/>
    <x v="2"/>
    <x v="1"/>
    <x v="2"/>
    <x v="1"/>
    <x v="3"/>
    <n v="26"/>
    <x v="0"/>
  </r>
  <r>
    <d v="2023-01-26T00:00:00"/>
    <x v="2"/>
    <x v="1"/>
    <x v="0"/>
    <n v="59969477"/>
    <x v="2"/>
    <x v="1"/>
    <x v="0"/>
    <x v="6"/>
    <x v="2"/>
    <x v="1"/>
    <x v="2"/>
    <x v="1"/>
    <x v="3"/>
    <n v="26"/>
    <x v="0"/>
  </r>
  <r>
    <d v="2023-01-26T00:00:00"/>
    <x v="2"/>
    <x v="1"/>
    <x v="1"/>
    <n v="151549197.53"/>
    <x v="2"/>
    <x v="1"/>
    <x v="1"/>
    <x v="7"/>
    <x v="2"/>
    <x v="1"/>
    <x v="2"/>
    <x v="1"/>
    <x v="3"/>
    <n v="26"/>
    <x v="0"/>
  </r>
  <r>
    <d v="2023-01-26T00:00:00"/>
    <x v="0"/>
    <x v="1"/>
    <x v="1"/>
    <n v="9993833.5399999991"/>
    <x v="0"/>
    <x v="1"/>
    <x v="1"/>
    <x v="3"/>
    <x v="2"/>
    <x v="1"/>
    <x v="2"/>
    <x v="1"/>
    <x v="3"/>
    <n v="26"/>
    <x v="0"/>
  </r>
  <r>
    <d v="2023-01-26T00:00:00"/>
    <x v="3"/>
    <x v="3"/>
    <x v="0"/>
    <n v="1308953003.8900001"/>
    <x v="3"/>
    <x v="3"/>
    <x v="0"/>
    <x v="5"/>
    <x v="2"/>
    <x v="1"/>
    <x v="2"/>
    <x v="1"/>
    <x v="3"/>
    <n v="26"/>
    <x v="0"/>
  </r>
  <r>
    <d v="2023-01-26T00:00:00"/>
    <x v="1"/>
    <x v="0"/>
    <x v="0"/>
    <n v="66918878.759999998"/>
    <x v="1"/>
    <x v="0"/>
    <x v="0"/>
    <x v="8"/>
    <x v="2"/>
    <x v="1"/>
    <x v="2"/>
    <x v="1"/>
    <x v="3"/>
    <n v="26"/>
    <x v="0"/>
  </r>
  <r>
    <d v="2023-01-26T00:00:00"/>
    <x v="1"/>
    <x v="0"/>
    <x v="1"/>
    <n v="1254422805.7"/>
    <x v="1"/>
    <x v="0"/>
    <x v="1"/>
    <x v="9"/>
    <x v="2"/>
    <x v="1"/>
    <x v="2"/>
    <x v="1"/>
    <x v="3"/>
    <n v="26"/>
    <x v="0"/>
  </r>
  <r>
    <d v="2023-01-26T00:00:00"/>
    <x v="3"/>
    <x v="2"/>
    <x v="0"/>
    <n v="377123861.88999999"/>
    <x v="3"/>
    <x v="2"/>
    <x v="0"/>
    <x v="10"/>
    <x v="2"/>
    <x v="1"/>
    <x v="2"/>
    <x v="1"/>
    <x v="3"/>
    <n v="26"/>
    <x v="0"/>
  </r>
  <r>
    <d v="2023-01-26T00:00:00"/>
    <x v="3"/>
    <x v="1"/>
    <x v="0"/>
    <n v="13687377.380000001"/>
    <x v="3"/>
    <x v="1"/>
    <x v="0"/>
    <x v="11"/>
    <x v="2"/>
    <x v="1"/>
    <x v="2"/>
    <x v="1"/>
    <x v="3"/>
    <n v="26"/>
    <x v="0"/>
  </r>
  <r>
    <d v="2023-01-26T00:00:00"/>
    <x v="3"/>
    <x v="2"/>
    <x v="1"/>
    <n v="5217167799.6099997"/>
    <x v="3"/>
    <x v="2"/>
    <x v="1"/>
    <x v="12"/>
    <x v="2"/>
    <x v="1"/>
    <x v="2"/>
    <x v="1"/>
    <x v="3"/>
    <n v="26"/>
    <x v="0"/>
  </r>
  <r>
    <d v="2023-01-25T00:00:00"/>
    <x v="1"/>
    <x v="1"/>
    <x v="0"/>
    <n v="7020.37"/>
    <x v="1"/>
    <x v="1"/>
    <x v="0"/>
    <x v="0"/>
    <x v="2"/>
    <x v="1"/>
    <x v="2"/>
    <x v="1"/>
    <x v="3"/>
    <n v="25"/>
    <x v="0"/>
  </r>
  <r>
    <d v="2023-01-25T00:00:00"/>
    <x v="0"/>
    <x v="1"/>
    <x v="0"/>
    <n v="11807473.300000001"/>
    <x v="0"/>
    <x v="1"/>
    <x v="0"/>
    <x v="1"/>
    <x v="2"/>
    <x v="1"/>
    <x v="2"/>
    <x v="1"/>
    <x v="3"/>
    <n v="25"/>
    <x v="0"/>
  </r>
  <r>
    <d v="2023-01-25T00:00:00"/>
    <x v="3"/>
    <x v="3"/>
    <x v="0"/>
    <n v="3135962152.1799998"/>
    <x v="3"/>
    <x v="3"/>
    <x v="0"/>
    <x v="6"/>
    <x v="2"/>
    <x v="1"/>
    <x v="2"/>
    <x v="1"/>
    <x v="3"/>
    <n v="25"/>
    <x v="0"/>
  </r>
  <r>
    <d v="2023-01-25T00:00:00"/>
    <x v="2"/>
    <x v="1"/>
    <x v="0"/>
    <n v="132212797.69"/>
    <x v="2"/>
    <x v="1"/>
    <x v="0"/>
    <x v="7"/>
    <x v="2"/>
    <x v="1"/>
    <x v="2"/>
    <x v="1"/>
    <x v="3"/>
    <n v="25"/>
    <x v="0"/>
  </r>
  <r>
    <d v="2023-01-25T00:00:00"/>
    <x v="2"/>
    <x v="1"/>
    <x v="2"/>
    <n v="36491.26"/>
    <x v="2"/>
    <x v="1"/>
    <x v="2"/>
    <x v="4"/>
    <x v="2"/>
    <x v="1"/>
    <x v="2"/>
    <x v="1"/>
    <x v="3"/>
    <n v="25"/>
    <x v="0"/>
  </r>
  <r>
    <d v="2023-01-25T00:00:00"/>
    <x v="3"/>
    <x v="3"/>
    <x v="1"/>
    <n v="47076.05"/>
    <x v="3"/>
    <x v="3"/>
    <x v="1"/>
    <x v="2"/>
    <x v="2"/>
    <x v="1"/>
    <x v="2"/>
    <x v="1"/>
    <x v="3"/>
    <n v="25"/>
    <x v="0"/>
  </r>
  <r>
    <d v="2023-01-25T00:00:00"/>
    <x v="0"/>
    <x v="1"/>
    <x v="1"/>
    <n v="8520626.3699999992"/>
    <x v="0"/>
    <x v="1"/>
    <x v="1"/>
    <x v="3"/>
    <x v="2"/>
    <x v="1"/>
    <x v="2"/>
    <x v="1"/>
    <x v="3"/>
    <n v="25"/>
    <x v="0"/>
  </r>
  <r>
    <d v="2023-01-25T00:00:00"/>
    <x v="1"/>
    <x v="0"/>
    <x v="0"/>
    <n v="169881187.25"/>
    <x v="1"/>
    <x v="0"/>
    <x v="0"/>
    <x v="9"/>
    <x v="2"/>
    <x v="1"/>
    <x v="2"/>
    <x v="1"/>
    <x v="3"/>
    <n v="25"/>
    <x v="0"/>
  </r>
  <r>
    <d v="2023-01-25T00:00:00"/>
    <x v="3"/>
    <x v="2"/>
    <x v="2"/>
    <n v="411850.12"/>
    <x v="3"/>
    <x v="2"/>
    <x v="2"/>
    <x v="5"/>
    <x v="2"/>
    <x v="1"/>
    <x v="2"/>
    <x v="1"/>
    <x v="3"/>
    <n v="25"/>
    <x v="0"/>
  </r>
  <r>
    <d v="2023-01-25T00:00:00"/>
    <x v="2"/>
    <x v="1"/>
    <x v="1"/>
    <n v="224470041.99000001"/>
    <x v="2"/>
    <x v="1"/>
    <x v="1"/>
    <x v="8"/>
    <x v="2"/>
    <x v="1"/>
    <x v="2"/>
    <x v="1"/>
    <x v="3"/>
    <n v="25"/>
    <x v="0"/>
  </r>
  <r>
    <d v="2023-01-25T00:00:00"/>
    <x v="1"/>
    <x v="0"/>
    <x v="1"/>
    <n v="8815713384.1100006"/>
    <x v="1"/>
    <x v="0"/>
    <x v="1"/>
    <x v="10"/>
    <x v="2"/>
    <x v="1"/>
    <x v="2"/>
    <x v="1"/>
    <x v="3"/>
    <n v="25"/>
    <x v="0"/>
  </r>
  <r>
    <d v="2023-01-25T00:00:00"/>
    <x v="3"/>
    <x v="2"/>
    <x v="0"/>
    <n v="5565166277.0699997"/>
    <x v="3"/>
    <x v="2"/>
    <x v="0"/>
    <x v="11"/>
    <x v="2"/>
    <x v="1"/>
    <x v="2"/>
    <x v="1"/>
    <x v="3"/>
    <n v="25"/>
    <x v="0"/>
  </r>
  <r>
    <d v="2023-01-25T00:00:00"/>
    <x v="3"/>
    <x v="1"/>
    <x v="0"/>
    <n v="14646182.15"/>
    <x v="3"/>
    <x v="1"/>
    <x v="0"/>
    <x v="12"/>
    <x v="2"/>
    <x v="1"/>
    <x v="2"/>
    <x v="1"/>
    <x v="3"/>
    <n v="25"/>
    <x v="0"/>
  </r>
  <r>
    <d v="2023-01-25T00:00:00"/>
    <x v="3"/>
    <x v="2"/>
    <x v="1"/>
    <n v="13485776396.24"/>
    <x v="3"/>
    <x v="2"/>
    <x v="1"/>
    <x v="13"/>
    <x v="2"/>
    <x v="1"/>
    <x v="2"/>
    <x v="1"/>
    <x v="3"/>
    <n v="25"/>
    <x v="0"/>
  </r>
  <r>
    <d v="2023-01-24T00:00:00"/>
    <x v="1"/>
    <x v="1"/>
    <x v="0"/>
    <n v="9333.52"/>
    <x v="1"/>
    <x v="1"/>
    <x v="0"/>
    <x v="0"/>
    <x v="2"/>
    <x v="1"/>
    <x v="2"/>
    <x v="1"/>
    <x v="3"/>
    <n v="24"/>
    <x v="0"/>
  </r>
  <r>
    <d v="2023-01-24T00:00:00"/>
    <x v="0"/>
    <x v="1"/>
    <x v="0"/>
    <n v="14727017.82"/>
    <x v="0"/>
    <x v="1"/>
    <x v="0"/>
    <x v="1"/>
    <x v="2"/>
    <x v="1"/>
    <x v="2"/>
    <x v="1"/>
    <x v="3"/>
    <n v="24"/>
    <x v="0"/>
  </r>
  <r>
    <d v="2023-01-24T00:00:00"/>
    <x v="2"/>
    <x v="1"/>
    <x v="0"/>
    <n v="89618409.540000007"/>
    <x v="2"/>
    <x v="1"/>
    <x v="0"/>
    <x v="6"/>
    <x v="2"/>
    <x v="1"/>
    <x v="2"/>
    <x v="1"/>
    <x v="3"/>
    <n v="24"/>
    <x v="0"/>
  </r>
  <r>
    <d v="2023-01-24T00:00:00"/>
    <x v="3"/>
    <x v="3"/>
    <x v="0"/>
    <n v="2148792159.04"/>
    <x v="3"/>
    <x v="3"/>
    <x v="0"/>
    <x v="7"/>
    <x v="2"/>
    <x v="1"/>
    <x v="2"/>
    <x v="1"/>
    <x v="3"/>
    <n v="24"/>
    <x v="0"/>
  </r>
  <r>
    <d v="2023-01-24T00:00:00"/>
    <x v="2"/>
    <x v="1"/>
    <x v="2"/>
    <n v="52388.04"/>
    <x v="2"/>
    <x v="1"/>
    <x v="2"/>
    <x v="4"/>
    <x v="2"/>
    <x v="1"/>
    <x v="2"/>
    <x v="1"/>
    <x v="3"/>
    <n v="24"/>
    <x v="0"/>
  </r>
  <r>
    <d v="2023-01-24T00:00:00"/>
    <x v="3"/>
    <x v="3"/>
    <x v="1"/>
    <n v="37335.769999999997"/>
    <x v="3"/>
    <x v="3"/>
    <x v="1"/>
    <x v="2"/>
    <x v="2"/>
    <x v="1"/>
    <x v="2"/>
    <x v="1"/>
    <x v="3"/>
    <n v="24"/>
    <x v="0"/>
  </r>
  <r>
    <d v="2023-01-24T00:00:00"/>
    <x v="0"/>
    <x v="1"/>
    <x v="1"/>
    <n v="6321618.75"/>
    <x v="0"/>
    <x v="1"/>
    <x v="1"/>
    <x v="3"/>
    <x v="2"/>
    <x v="1"/>
    <x v="2"/>
    <x v="1"/>
    <x v="3"/>
    <n v="24"/>
    <x v="0"/>
  </r>
  <r>
    <d v="2023-01-24T00:00:00"/>
    <x v="3"/>
    <x v="2"/>
    <x v="2"/>
    <n v="754609.3"/>
    <x v="3"/>
    <x v="2"/>
    <x v="2"/>
    <x v="5"/>
    <x v="2"/>
    <x v="1"/>
    <x v="2"/>
    <x v="1"/>
    <x v="3"/>
    <n v="24"/>
    <x v="0"/>
  </r>
  <r>
    <d v="2023-01-24T00:00:00"/>
    <x v="2"/>
    <x v="1"/>
    <x v="1"/>
    <n v="242374514.50999999"/>
    <x v="2"/>
    <x v="1"/>
    <x v="1"/>
    <x v="8"/>
    <x v="2"/>
    <x v="1"/>
    <x v="2"/>
    <x v="1"/>
    <x v="3"/>
    <n v="24"/>
    <x v="0"/>
  </r>
  <r>
    <d v="2023-01-24T00:00:00"/>
    <x v="1"/>
    <x v="0"/>
    <x v="0"/>
    <n v="75293424.549999997"/>
    <x v="1"/>
    <x v="0"/>
    <x v="0"/>
    <x v="9"/>
    <x v="2"/>
    <x v="1"/>
    <x v="2"/>
    <x v="1"/>
    <x v="3"/>
    <n v="24"/>
    <x v="0"/>
  </r>
  <r>
    <d v="2023-01-24T00:00:00"/>
    <x v="1"/>
    <x v="0"/>
    <x v="1"/>
    <n v="15714888667.280001"/>
    <x v="1"/>
    <x v="0"/>
    <x v="1"/>
    <x v="10"/>
    <x v="2"/>
    <x v="1"/>
    <x v="2"/>
    <x v="1"/>
    <x v="3"/>
    <n v="24"/>
    <x v="0"/>
  </r>
  <r>
    <d v="2023-01-24T00:00:00"/>
    <x v="3"/>
    <x v="1"/>
    <x v="0"/>
    <n v="11861884.890000001"/>
    <x v="3"/>
    <x v="1"/>
    <x v="0"/>
    <x v="11"/>
    <x v="2"/>
    <x v="1"/>
    <x v="2"/>
    <x v="1"/>
    <x v="3"/>
    <n v="24"/>
    <x v="0"/>
  </r>
  <r>
    <d v="2023-01-24T00:00:00"/>
    <x v="3"/>
    <x v="2"/>
    <x v="0"/>
    <n v="386026221.32999998"/>
    <x v="3"/>
    <x v="2"/>
    <x v="0"/>
    <x v="12"/>
    <x v="2"/>
    <x v="1"/>
    <x v="2"/>
    <x v="1"/>
    <x v="3"/>
    <n v="24"/>
    <x v="0"/>
  </r>
  <r>
    <d v="2023-01-24T00:00:00"/>
    <x v="3"/>
    <x v="2"/>
    <x v="1"/>
    <n v="5234570281.1499996"/>
    <x v="3"/>
    <x v="2"/>
    <x v="1"/>
    <x v="13"/>
    <x v="2"/>
    <x v="1"/>
    <x v="2"/>
    <x v="1"/>
    <x v="3"/>
    <n v="24"/>
    <x v="0"/>
  </r>
  <r>
    <d v="2023-01-23T00:00:00"/>
    <x v="1"/>
    <x v="1"/>
    <x v="0"/>
    <n v="4554.55"/>
    <x v="1"/>
    <x v="1"/>
    <x v="0"/>
    <x v="0"/>
    <x v="2"/>
    <x v="1"/>
    <x v="2"/>
    <x v="1"/>
    <x v="3"/>
    <n v="23"/>
    <x v="0"/>
  </r>
  <r>
    <d v="2023-01-23T00:00:00"/>
    <x v="0"/>
    <x v="1"/>
    <x v="0"/>
    <n v="12755610.5"/>
    <x v="0"/>
    <x v="1"/>
    <x v="0"/>
    <x v="1"/>
    <x v="2"/>
    <x v="1"/>
    <x v="2"/>
    <x v="1"/>
    <x v="3"/>
    <n v="23"/>
    <x v="0"/>
  </r>
  <r>
    <d v="2023-01-23T00:00:00"/>
    <x v="3"/>
    <x v="2"/>
    <x v="2"/>
    <n v="513529.25"/>
    <x v="3"/>
    <x v="2"/>
    <x v="2"/>
    <x v="4"/>
    <x v="2"/>
    <x v="1"/>
    <x v="2"/>
    <x v="1"/>
    <x v="3"/>
    <n v="23"/>
    <x v="0"/>
  </r>
  <r>
    <d v="2023-01-23T00:00:00"/>
    <x v="3"/>
    <x v="3"/>
    <x v="0"/>
    <n v="1149111144.9400001"/>
    <x v="3"/>
    <x v="3"/>
    <x v="0"/>
    <x v="7"/>
    <x v="2"/>
    <x v="1"/>
    <x v="2"/>
    <x v="1"/>
    <x v="3"/>
    <n v="23"/>
    <x v="0"/>
  </r>
  <r>
    <d v="2023-01-23T00:00:00"/>
    <x v="2"/>
    <x v="1"/>
    <x v="1"/>
    <n v="285502545.27999997"/>
    <x v="2"/>
    <x v="1"/>
    <x v="1"/>
    <x v="8"/>
    <x v="2"/>
    <x v="1"/>
    <x v="2"/>
    <x v="1"/>
    <x v="3"/>
    <n v="23"/>
    <x v="0"/>
  </r>
  <r>
    <d v="2023-01-23T00:00:00"/>
    <x v="2"/>
    <x v="1"/>
    <x v="2"/>
    <n v="-14591.75"/>
    <x v="2"/>
    <x v="1"/>
    <x v="2"/>
    <x v="5"/>
    <x v="2"/>
    <x v="1"/>
    <x v="2"/>
    <x v="1"/>
    <x v="3"/>
    <n v="23"/>
    <x v="1"/>
  </r>
  <r>
    <d v="2023-01-23T00:00:00"/>
    <x v="3"/>
    <x v="3"/>
    <x v="1"/>
    <n v="3011030.25"/>
    <x v="3"/>
    <x v="3"/>
    <x v="1"/>
    <x v="2"/>
    <x v="2"/>
    <x v="1"/>
    <x v="2"/>
    <x v="1"/>
    <x v="3"/>
    <n v="23"/>
    <x v="0"/>
  </r>
  <r>
    <d v="2023-01-23T00:00:00"/>
    <x v="0"/>
    <x v="1"/>
    <x v="1"/>
    <n v="1812479.37"/>
    <x v="0"/>
    <x v="1"/>
    <x v="1"/>
    <x v="3"/>
    <x v="2"/>
    <x v="1"/>
    <x v="2"/>
    <x v="1"/>
    <x v="3"/>
    <n v="23"/>
    <x v="0"/>
  </r>
  <r>
    <d v="2023-01-23T00:00:00"/>
    <x v="2"/>
    <x v="1"/>
    <x v="0"/>
    <n v="85899559.400000006"/>
    <x v="2"/>
    <x v="1"/>
    <x v="0"/>
    <x v="6"/>
    <x v="2"/>
    <x v="1"/>
    <x v="2"/>
    <x v="1"/>
    <x v="3"/>
    <n v="23"/>
    <x v="0"/>
  </r>
  <r>
    <d v="2023-01-23T00:00:00"/>
    <x v="1"/>
    <x v="0"/>
    <x v="0"/>
    <n v="76111370.370000005"/>
    <x v="1"/>
    <x v="0"/>
    <x v="0"/>
    <x v="9"/>
    <x v="2"/>
    <x v="1"/>
    <x v="2"/>
    <x v="1"/>
    <x v="3"/>
    <n v="23"/>
    <x v="0"/>
  </r>
  <r>
    <d v="2023-01-23T00:00:00"/>
    <x v="1"/>
    <x v="0"/>
    <x v="1"/>
    <n v="4009051957.6199999"/>
    <x v="1"/>
    <x v="0"/>
    <x v="1"/>
    <x v="10"/>
    <x v="2"/>
    <x v="1"/>
    <x v="2"/>
    <x v="1"/>
    <x v="3"/>
    <n v="23"/>
    <x v="0"/>
  </r>
  <r>
    <d v="2023-01-23T00:00:00"/>
    <x v="3"/>
    <x v="2"/>
    <x v="0"/>
    <n v="458044549.20999998"/>
    <x v="3"/>
    <x v="2"/>
    <x v="0"/>
    <x v="11"/>
    <x v="2"/>
    <x v="1"/>
    <x v="2"/>
    <x v="1"/>
    <x v="3"/>
    <n v="23"/>
    <x v="0"/>
  </r>
  <r>
    <d v="2023-01-23T00:00:00"/>
    <x v="3"/>
    <x v="2"/>
    <x v="1"/>
    <n v="27621626582.650002"/>
    <x v="3"/>
    <x v="2"/>
    <x v="1"/>
    <x v="12"/>
    <x v="2"/>
    <x v="1"/>
    <x v="2"/>
    <x v="1"/>
    <x v="3"/>
    <n v="23"/>
    <x v="0"/>
  </r>
  <r>
    <d v="2023-01-23T00:00:00"/>
    <x v="3"/>
    <x v="1"/>
    <x v="0"/>
    <n v="46143934.079999998"/>
    <x v="3"/>
    <x v="1"/>
    <x v="0"/>
    <x v="13"/>
    <x v="2"/>
    <x v="1"/>
    <x v="2"/>
    <x v="1"/>
    <x v="3"/>
    <n v="23"/>
    <x v="0"/>
  </r>
  <r>
    <d v="2023-01-20T00:00:00"/>
    <x v="1"/>
    <x v="1"/>
    <x v="0"/>
    <n v="7790.54"/>
    <x v="1"/>
    <x v="1"/>
    <x v="0"/>
    <x v="0"/>
    <x v="2"/>
    <x v="1"/>
    <x v="2"/>
    <x v="1"/>
    <x v="3"/>
    <n v="20"/>
    <x v="0"/>
  </r>
  <r>
    <d v="2023-01-20T00:00:00"/>
    <x v="0"/>
    <x v="1"/>
    <x v="0"/>
    <n v="17697703.760000002"/>
    <x v="0"/>
    <x v="1"/>
    <x v="0"/>
    <x v="1"/>
    <x v="2"/>
    <x v="1"/>
    <x v="2"/>
    <x v="1"/>
    <x v="3"/>
    <n v="20"/>
    <x v="0"/>
  </r>
  <r>
    <d v="2023-01-20T00:00:00"/>
    <x v="2"/>
    <x v="1"/>
    <x v="0"/>
    <n v="126347085.33"/>
    <x v="2"/>
    <x v="1"/>
    <x v="0"/>
    <x v="5"/>
    <x v="2"/>
    <x v="1"/>
    <x v="2"/>
    <x v="1"/>
    <x v="3"/>
    <n v="20"/>
    <x v="0"/>
  </r>
  <r>
    <d v="2023-01-20T00:00:00"/>
    <x v="3"/>
    <x v="3"/>
    <x v="0"/>
    <n v="3065260209.1799998"/>
    <x v="3"/>
    <x v="3"/>
    <x v="0"/>
    <x v="6"/>
    <x v="2"/>
    <x v="1"/>
    <x v="2"/>
    <x v="1"/>
    <x v="3"/>
    <n v="20"/>
    <x v="0"/>
  </r>
  <r>
    <d v="2023-01-20T00:00:00"/>
    <x v="2"/>
    <x v="1"/>
    <x v="1"/>
    <n v="370808224.05000001"/>
    <x v="2"/>
    <x v="1"/>
    <x v="1"/>
    <x v="7"/>
    <x v="2"/>
    <x v="1"/>
    <x v="2"/>
    <x v="1"/>
    <x v="3"/>
    <n v="20"/>
    <x v="0"/>
  </r>
  <r>
    <d v="2023-01-20T00:00:00"/>
    <x v="1"/>
    <x v="0"/>
    <x v="0"/>
    <n v="81011708.400000006"/>
    <x v="1"/>
    <x v="0"/>
    <x v="0"/>
    <x v="8"/>
    <x v="2"/>
    <x v="1"/>
    <x v="2"/>
    <x v="1"/>
    <x v="3"/>
    <n v="20"/>
    <x v="0"/>
  </r>
  <r>
    <d v="2023-01-20T00:00:00"/>
    <x v="0"/>
    <x v="1"/>
    <x v="1"/>
    <n v="10285733.779999999"/>
    <x v="0"/>
    <x v="1"/>
    <x v="1"/>
    <x v="2"/>
    <x v="2"/>
    <x v="1"/>
    <x v="2"/>
    <x v="1"/>
    <x v="3"/>
    <n v="20"/>
    <x v="0"/>
  </r>
  <r>
    <d v="2023-01-20T00:00:00"/>
    <x v="2"/>
    <x v="1"/>
    <x v="2"/>
    <n v="123330"/>
    <x v="2"/>
    <x v="1"/>
    <x v="2"/>
    <x v="3"/>
    <x v="2"/>
    <x v="1"/>
    <x v="2"/>
    <x v="1"/>
    <x v="3"/>
    <n v="20"/>
    <x v="0"/>
  </r>
  <r>
    <d v="2023-01-20T00:00:00"/>
    <x v="3"/>
    <x v="2"/>
    <x v="2"/>
    <n v="390954.26"/>
    <x v="3"/>
    <x v="2"/>
    <x v="2"/>
    <x v="4"/>
    <x v="2"/>
    <x v="1"/>
    <x v="2"/>
    <x v="1"/>
    <x v="3"/>
    <n v="20"/>
    <x v="0"/>
  </r>
  <r>
    <d v="2023-01-20T00:00:00"/>
    <x v="1"/>
    <x v="0"/>
    <x v="1"/>
    <n v="8377229972.75"/>
    <x v="1"/>
    <x v="0"/>
    <x v="1"/>
    <x v="9"/>
    <x v="2"/>
    <x v="1"/>
    <x v="2"/>
    <x v="1"/>
    <x v="3"/>
    <n v="20"/>
    <x v="0"/>
  </r>
  <r>
    <d v="2023-01-20T00:00:00"/>
    <x v="3"/>
    <x v="1"/>
    <x v="0"/>
    <n v="13902528.26"/>
    <x v="3"/>
    <x v="1"/>
    <x v="0"/>
    <x v="10"/>
    <x v="2"/>
    <x v="1"/>
    <x v="2"/>
    <x v="1"/>
    <x v="3"/>
    <n v="20"/>
    <x v="0"/>
  </r>
  <r>
    <d v="2023-01-20T00:00:00"/>
    <x v="3"/>
    <x v="2"/>
    <x v="0"/>
    <n v="638224165.02999997"/>
    <x v="3"/>
    <x v="2"/>
    <x v="0"/>
    <x v="11"/>
    <x v="2"/>
    <x v="1"/>
    <x v="2"/>
    <x v="1"/>
    <x v="3"/>
    <n v="20"/>
    <x v="0"/>
  </r>
  <r>
    <d v="2023-01-20T00:00:00"/>
    <x v="3"/>
    <x v="2"/>
    <x v="1"/>
    <n v="10111334055.370001"/>
    <x v="3"/>
    <x v="2"/>
    <x v="1"/>
    <x v="12"/>
    <x v="2"/>
    <x v="1"/>
    <x v="2"/>
    <x v="1"/>
    <x v="3"/>
    <n v="20"/>
    <x v="0"/>
  </r>
  <r>
    <d v="2023-01-19T00:00:00"/>
    <x v="1"/>
    <x v="1"/>
    <x v="0"/>
    <n v="13351.16"/>
    <x v="1"/>
    <x v="1"/>
    <x v="0"/>
    <x v="0"/>
    <x v="2"/>
    <x v="1"/>
    <x v="2"/>
    <x v="1"/>
    <x v="3"/>
    <n v="19"/>
    <x v="0"/>
  </r>
  <r>
    <d v="2023-01-19T00:00:00"/>
    <x v="0"/>
    <x v="1"/>
    <x v="0"/>
    <n v="18463227.510000002"/>
    <x v="0"/>
    <x v="1"/>
    <x v="0"/>
    <x v="1"/>
    <x v="2"/>
    <x v="1"/>
    <x v="2"/>
    <x v="1"/>
    <x v="3"/>
    <n v="19"/>
    <x v="0"/>
  </r>
  <r>
    <d v="2023-01-19T00:00:00"/>
    <x v="3"/>
    <x v="3"/>
    <x v="2"/>
    <n v="35722"/>
    <x v="3"/>
    <x v="3"/>
    <x v="2"/>
    <x v="2"/>
    <x v="2"/>
    <x v="1"/>
    <x v="2"/>
    <x v="1"/>
    <x v="3"/>
    <n v="19"/>
    <x v="0"/>
  </r>
  <r>
    <d v="2023-01-19T00:00:00"/>
    <x v="2"/>
    <x v="1"/>
    <x v="2"/>
    <n v="91864"/>
    <x v="2"/>
    <x v="1"/>
    <x v="2"/>
    <x v="3"/>
    <x v="2"/>
    <x v="1"/>
    <x v="2"/>
    <x v="1"/>
    <x v="3"/>
    <n v="19"/>
    <x v="0"/>
  </r>
  <r>
    <d v="2023-01-19T00:00:00"/>
    <x v="2"/>
    <x v="1"/>
    <x v="1"/>
    <n v="433554022.81"/>
    <x v="2"/>
    <x v="1"/>
    <x v="1"/>
    <x v="7"/>
    <x v="2"/>
    <x v="1"/>
    <x v="2"/>
    <x v="1"/>
    <x v="3"/>
    <n v="19"/>
    <x v="0"/>
  </r>
  <r>
    <d v="2023-01-19T00:00:00"/>
    <x v="3"/>
    <x v="3"/>
    <x v="0"/>
    <n v="2625870648"/>
    <x v="3"/>
    <x v="3"/>
    <x v="0"/>
    <x v="8"/>
    <x v="2"/>
    <x v="1"/>
    <x v="2"/>
    <x v="1"/>
    <x v="3"/>
    <n v="19"/>
    <x v="0"/>
  </r>
  <r>
    <d v="2023-01-19T00:00:00"/>
    <x v="1"/>
    <x v="0"/>
    <x v="0"/>
    <n v="89585475.299999997"/>
    <x v="1"/>
    <x v="0"/>
    <x v="0"/>
    <x v="9"/>
    <x v="2"/>
    <x v="1"/>
    <x v="2"/>
    <x v="1"/>
    <x v="3"/>
    <n v="19"/>
    <x v="0"/>
  </r>
  <r>
    <d v="2023-01-19T00:00:00"/>
    <x v="0"/>
    <x v="1"/>
    <x v="1"/>
    <n v="11644023.470000001"/>
    <x v="0"/>
    <x v="1"/>
    <x v="1"/>
    <x v="4"/>
    <x v="2"/>
    <x v="1"/>
    <x v="2"/>
    <x v="1"/>
    <x v="3"/>
    <n v="19"/>
    <x v="0"/>
  </r>
  <r>
    <d v="2023-01-19T00:00:00"/>
    <x v="3"/>
    <x v="2"/>
    <x v="2"/>
    <n v="387231.15"/>
    <x v="3"/>
    <x v="2"/>
    <x v="2"/>
    <x v="5"/>
    <x v="2"/>
    <x v="1"/>
    <x v="2"/>
    <x v="1"/>
    <x v="3"/>
    <n v="19"/>
    <x v="0"/>
  </r>
  <r>
    <d v="2023-01-19T00:00:00"/>
    <x v="2"/>
    <x v="1"/>
    <x v="0"/>
    <n v="83545503.75"/>
    <x v="2"/>
    <x v="1"/>
    <x v="0"/>
    <x v="6"/>
    <x v="2"/>
    <x v="1"/>
    <x v="2"/>
    <x v="1"/>
    <x v="3"/>
    <n v="19"/>
    <x v="0"/>
  </r>
  <r>
    <d v="2023-01-19T00:00:00"/>
    <x v="1"/>
    <x v="0"/>
    <x v="1"/>
    <n v="12275116285.799999"/>
    <x v="1"/>
    <x v="0"/>
    <x v="1"/>
    <x v="10"/>
    <x v="2"/>
    <x v="1"/>
    <x v="2"/>
    <x v="1"/>
    <x v="3"/>
    <n v="19"/>
    <x v="0"/>
  </r>
  <r>
    <d v="2023-01-19T00:00:00"/>
    <x v="3"/>
    <x v="1"/>
    <x v="0"/>
    <n v="14372981.210000001"/>
    <x v="3"/>
    <x v="1"/>
    <x v="0"/>
    <x v="11"/>
    <x v="2"/>
    <x v="1"/>
    <x v="2"/>
    <x v="1"/>
    <x v="3"/>
    <n v="19"/>
    <x v="0"/>
  </r>
  <r>
    <d v="2023-01-19T00:00:00"/>
    <x v="3"/>
    <x v="2"/>
    <x v="0"/>
    <n v="333388597.95999998"/>
    <x v="3"/>
    <x v="2"/>
    <x v="0"/>
    <x v="12"/>
    <x v="2"/>
    <x v="1"/>
    <x v="2"/>
    <x v="1"/>
    <x v="3"/>
    <n v="19"/>
    <x v="0"/>
  </r>
  <r>
    <d v="2023-01-19T00:00:00"/>
    <x v="3"/>
    <x v="2"/>
    <x v="1"/>
    <n v="11466732735.059999"/>
    <x v="3"/>
    <x v="2"/>
    <x v="1"/>
    <x v="13"/>
    <x v="2"/>
    <x v="1"/>
    <x v="2"/>
    <x v="1"/>
    <x v="3"/>
    <n v="19"/>
    <x v="0"/>
  </r>
  <r>
    <d v="2023-01-18T00:00:00"/>
    <x v="0"/>
    <x v="1"/>
    <x v="0"/>
    <n v="17480695.460000001"/>
    <x v="0"/>
    <x v="1"/>
    <x v="0"/>
    <x v="0"/>
    <x v="2"/>
    <x v="1"/>
    <x v="2"/>
    <x v="1"/>
    <x v="3"/>
    <n v="18"/>
    <x v="0"/>
  </r>
  <r>
    <d v="2023-01-18T00:00:00"/>
    <x v="3"/>
    <x v="2"/>
    <x v="2"/>
    <n v="377938.37"/>
    <x v="3"/>
    <x v="2"/>
    <x v="2"/>
    <x v="4"/>
    <x v="2"/>
    <x v="1"/>
    <x v="2"/>
    <x v="1"/>
    <x v="3"/>
    <n v="18"/>
    <x v="0"/>
  </r>
  <r>
    <d v="2023-01-18T00:00:00"/>
    <x v="2"/>
    <x v="1"/>
    <x v="2"/>
    <n v="47344.11"/>
    <x v="2"/>
    <x v="1"/>
    <x v="2"/>
    <x v="1"/>
    <x v="2"/>
    <x v="1"/>
    <x v="2"/>
    <x v="1"/>
    <x v="3"/>
    <n v="18"/>
    <x v="0"/>
  </r>
  <r>
    <d v="2023-01-18T00:00:00"/>
    <x v="2"/>
    <x v="1"/>
    <x v="0"/>
    <n v="70473153.790000007"/>
    <x v="2"/>
    <x v="1"/>
    <x v="0"/>
    <x v="5"/>
    <x v="2"/>
    <x v="1"/>
    <x v="2"/>
    <x v="1"/>
    <x v="3"/>
    <n v="18"/>
    <x v="0"/>
  </r>
  <r>
    <d v="2023-01-18T00:00:00"/>
    <x v="1"/>
    <x v="1"/>
    <x v="0"/>
    <n v="7555.99"/>
    <x v="1"/>
    <x v="1"/>
    <x v="0"/>
    <x v="3"/>
    <x v="2"/>
    <x v="1"/>
    <x v="2"/>
    <x v="1"/>
    <x v="3"/>
    <n v="18"/>
    <x v="0"/>
  </r>
  <r>
    <d v="2023-01-18T00:00:00"/>
    <x v="3"/>
    <x v="3"/>
    <x v="0"/>
    <n v="1767083287.9000001"/>
    <x v="3"/>
    <x v="3"/>
    <x v="0"/>
    <x v="7"/>
    <x v="2"/>
    <x v="1"/>
    <x v="2"/>
    <x v="1"/>
    <x v="3"/>
    <n v="18"/>
    <x v="0"/>
  </r>
  <r>
    <d v="2023-01-18T00:00:00"/>
    <x v="1"/>
    <x v="0"/>
    <x v="0"/>
    <n v="71450090.280000001"/>
    <x v="1"/>
    <x v="0"/>
    <x v="0"/>
    <x v="8"/>
    <x v="2"/>
    <x v="1"/>
    <x v="2"/>
    <x v="1"/>
    <x v="3"/>
    <n v="18"/>
    <x v="0"/>
  </r>
  <r>
    <d v="2023-01-18T00:00:00"/>
    <x v="0"/>
    <x v="1"/>
    <x v="1"/>
    <n v="1192729.97"/>
    <x v="0"/>
    <x v="1"/>
    <x v="1"/>
    <x v="2"/>
    <x v="2"/>
    <x v="1"/>
    <x v="2"/>
    <x v="1"/>
    <x v="3"/>
    <n v="18"/>
    <x v="0"/>
  </r>
  <r>
    <d v="2023-01-18T00:00:00"/>
    <x v="2"/>
    <x v="1"/>
    <x v="1"/>
    <n v="168045389.63999999"/>
    <x v="2"/>
    <x v="1"/>
    <x v="1"/>
    <x v="6"/>
    <x v="2"/>
    <x v="1"/>
    <x v="2"/>
    <x v="1"/>
    <x v="3"/>
    <n v="18"/>
    <x v="0"/>
  </r>
  <r>
    <d v="2023-01-18T00:00:00"/>
    <x v="1"/>
    <x v="0"/>
    <x v="1"/>
    <n v="6703021867.6199999"/>
    <x v="1"/>
    <x v="0"/>
    <x v="1"/>
    <x v="9"/>
    <x v="2"/>
    <x v="1"/>
    <x v="2"/>
    <x v="1"/>
    <x v="3"/>
    <n v="18"/>
    <x v="0"/>
  </r>
  <r>
    <d v="2023-01-18T00:00:00"/>
    <x v="3"/>
    <x v="1"/>
    <x v="0"/>
    <n v="14875438.550000001"/>
    <x v="3"/>
    <x v="1"/>
    <x v="0"/>
    <x v="10"/>
    <x v="2"/>
    <x v="1"/>
    <x v="2"/>
    <x v="1"/>
    <x v="3"/>
    <n v="18"/>
    <x v="0"/>
  </r>
  <r>
    <d v="2023-01-18T00:00:00"/>
    <x v="3"/>
    <x v="2"/>
    <x v="0"/>
    <n v="471854829.75999999"/>
    <x v="3"/>
    <x v="2"/>
    <x v="0"/>
    <x v="11"/>
    <x v="2"/>
    <x v="1"/>
    <x v="2"/>
    <x v="1"/>
    <x v="3"/>
    <n v="18"/>
    <x v="0"/>
  </r>
  <r>
    <d v="2023-01-18T00:00:00"/>
    <x v="3"/>
    <x v="2"/>
    <x v="1"/>
    <n v="11521970935.549999"/>
    <x v="3"/>
    <x v="2"/>
    <x v="1"/>
    <x v="12"/>
    <x v="2"/>
    <x v="1"/>
    <x v="2"/>
    <x v="1"/>
    <x v="3"/>
    <n v="18"/>
    <x v="0"/>
  </r>
  <r>
    <d v="2023-01-17T00:00:00"/>
    <x v="0"/>
    <x v="0"/>
    <x v="0"/>
    <n v="100"/>
    <x v="0"/>
    <x v="0"/>
    <x v="0"/>
    <x v="0"/>
    <x v="2"/>
    <x v="1"/>
    <x v="2"/>
    <x v="1"/>
    <x v="3"/>
    <n v="17"/>
    <x v="0"/>
  </r>
  <r>
    <d v="2023-01-17T00:00:00"/>
    <x v="1"/>
    <x v="1"/>
    <x v="0"/>
    <n v="13694.37"/>
    <x v="1"/>
    <x v="1"/>
    <x v="0"/>
    <x v="1"/>
    <x v="2"/>
    <x v="1"/>
    <x v="2"/>
    <x v="1"/>
    <x v="3"/>
    <n v="17"/>
    <x v="0"/>
  </r>
  <r>
    <d v="2023-01-17T00:00:00"/>
    <x v="0"/>
    <x v="1"/>
    <x v="0"/>
    <n v="60501780.460000001"/>
    <x v="0"/>
    <x v="1"/>
    <x v="0"/>
    <x v="2"/>
    <x v="2"/>
    <x v="1"/>
    <x v="2"/>
    <x v="1"/>
    <x v="3"/>
    <n v="17"/>
    <x v="0"/>
  </r>
  <r>
    <d v="2023-01-17T00:00:00"/>
    <x v="2"/>
    <x v="1"/>
    <x v="2"/>
    <n v="17256.32"/>
    <x v="2"/>
    <x v="1"/>
    <x v="2"/>
    <x v="3"/>
    <x v="2"/>
    <x v="1"/>
    <x v="2"/>
    <x v="1"/>
    <x v="3"/>
    <n v="17"/>
    <x v="0"/>
  </r>
  <r>
    <d v="2023-01-17T00:00:00"/>
    <x v="2"/>
    <x v="1"/>
    <x v="0"/>
    <n v="90301911.920000002"/>
    <x v="2"/>
    <x v="1"/>
    <x v="0"/>
    <x v="7"/>
    <x v="2"/>
    <x v="1"/>
    <x v="2"/>
    <x v="1"/>
    <x v="3"/>
    <n v="17"/>
    <x v="0"/>
  </r>
  <r>
    <d v="2023-01-17T00:00:00"/>
    <x v="3"/>
    <x v="3"/>
    <x v="1"/>
    <n v="100150.07"/>
    <x v="3"/>
    <x v="3"/>
    <x v="1"/>
    <x v="4"/>
    <x v="2"/>
    <x v="1"/>
    <x v="2"/>
    <x v="1"/>
    <x v="3"/>
    <n v="17"/>
    <x v="0"/>
  </r>
  <r>
    <d v="2023-01-17T00:00:00"/>
    <x v="0"/>
    <x v="1"/>
    <x v="1"/>
    <n v="135423874.31999999"/>
    <x v="0"/>
    <x v="1"/>
    <x v="1"/>
    <x v="5"/>
    <x v="2"/>
    <x v="1"/>
    <x v="2"/>
    <x v="1"/>
    <x v="3"/>
    <n v="17"/>
    <x v="0"/>
  </r>
  <r>
    <d v="2023-01-17T00:00:00"/>
    <x v="3"/>
    <x v="2"/>
    <x v="2"/>
    <n v="355207"/>
    <x v="3"/>
    <x v="2"/>
    <x v="2"/>
    <x v="6"/>
    <x v="2"/>
    <x v="1"/>
    <x v="2"/>
    <x v="1"/>
    <x v="3"/>
    <n v="17"/>
    <x v="0"/>
  </r>
  <r>
    <d v="2023-01-17T00:00:00"/>
    <x v="3"/>
    <x v="3"/>
    <x v="0"/>
    <n v="1651988258.6400001"/>
    <x v="3"/>
    <x v="3"/>
    <x v="0"/>
    <x v="8"/>
    <x v="2"/>
    <x v="1"/>
    <x v="2"/>
    <x v="1"/>
    <x v="3"/>
    <n v="17"/>
    <x v="0"/>
  </r>
  <r>
    <d v="2023-01-17T00:00:00"/>
    <x v="2"/>
    <x v="1"/>
    <x v="1"/>
    <n v="179489661.13"/>
    <x v="2"/>
    <x v="1"/>
    <x v="1"/>
    <x v="9"/>
    <x v="2"/>
    <x v="1"/>
    <x v="2"/>
    <x v="1"/>
    <x v="3"/>
    <n v="17"/>
    <x v="0"/>
  </r>
  <r>
    <d v="2023-01-17T00:00:00"/>
    <x v="1"/>
    <x v="0"/>
    <x v="0"/>
    <n v="59357796.479999997"/>
    <x v="1"/>
    <x v="0"/>
    <x v="0"/>
    <x v="10"/>
    <x v="2"/>
    <x v="1"/>
    <x v="2"/>
    <x v="1"/>
    <x v="3"/>
    <n v="17"/>
    <x v="0"/>
  </r>
  <r>
    <d v="2023-01-17T00:00:00"/>
    <x v="1"/>
    <x v="0"/>
    <x v="1"/>
    <n v="3073738998.4400001"/>
    <x v="1"/>
    <x v="0"/>
    <x v="1"/>
    <x v="11"/>
    <x v="2"/>
    <x v="1"/>
    <x v="2"/>
    <x v="1"/>
    <x v="3"/>
    <n v="17"/>
    <x v="0"/>
  </r>
  <r>
    <d v="2023-01-17T00:00:00"/>
    <x v="3"/>
    <x v="2"/>
    <x v="0"/>
    <n v="588741742.89999998"/>
    <x v="3"/>
    <x v="2"/>
    <x v="0"/>
    <x v="12"/>
    <x v="2"/>
    <x v="1"/>
    <x v="2"/>
    <x v="1"/>
    <x v="3"/>
    <n v="17"/>
    <x v="0"/>
  </r>
  <r>
    <d v="2023-01-17T00:00:00"/>
    <x v="3"/>
    <x v="1"/>
    <x v="0"/>
    <n v="57708937.43"/>
    <x v="3"/>
    <x v="1"/>
    <x v="0"/>
    <x v="13"/>
    <x v="2"/>
    <x v="1"/>
    <x v="2"/>
    <x v="1"/>
    <x v="3"/>
    <n v="17"/>
    <x v="0"/>
  </r>
  <r>
    <d v="2023-01-17T00:00:00"/>
    <x v="3"/>
    <x v="2"/>
    <x v="1"/>
    <n v="72997341360.139999"/>
    <x v="3"/>
    <x v="2"/>
    <x v="1"/>
    <x v="14"/>
    <x v="2"/>
    <x v="1"/>
    <x v="2"/>
    <x v="1"/>
    <x v="3"/>
    <n v="17"/>
    <x v="0"/>
  </r>
  <r>
    <d v="2023-01-13T00:00:00"/>
    <x v="1"/>
    <x v="1"/>
    <x v="0"/>
    <n v="10041.81"/>
    <x v="1"/>
    <x v="1"/>
    <x v="0"/>
    <x v="0"/>
    <x v="2"/>
    <x v="1"/>
    <x v="2"/>
    <x v="1"/>
    <x v="3"/>
    <n v="13"/>
    <x v="0"/>
  </r>
  <r>
    <d v="2023-01-13T00:00:00"/>
    <x v="0"/>
    <x v="1"/>
    <x v="0"/>
    <n v="50464986.130000003"/>
    <x v="0"/>
    <x v="1"/>
    <x v="0"/>
    <x v="1"/>
    <x v="2"/>
    <x v="1"/>
    <x v="2"/>
    <x v="1"/>
    <x v="3"/>
    <n v="13"/>
    <x v="0"/>
  </r>
  <r>
    <d v="2023-01-13T00:00:00"/>
    <x v="3"/>
    <x v="3"/>
    <x v="2"/>
    <n v="503319.26"/>
    <x v="3"/>
    <x v="3"/>
    <x v="2"/>
    <x v="2"/>
    <x v="2"/>
    <x v="1"/>
    <x v="2"/>
    <x v="1"/>
    <x v="3"/>
    <n v="13"/>
    <x v="0"/>
  </r>
  <r>
    <d v="2023-01-13T00:00:00"/>
    <x v="2"/>
    <x v="1"/>
    <x v="0"/>
    <n v="118916735.40000001"/>
    <x v="2"/>
    <x v="1"/>
    <x v="0"/>
    <x v="7"/>
    <x v="2"/>
    <x v="1"/>
    <x v="2"/>
    <x v="1"/>
    <x v="3"/>
    <n v="13"/>
    <x v="0"/>
  </r>
  <r>
    <d v="2023-01-13T00:00:00"/>
    <x v="3"/>
    <x v="3"/>
    <x v="0"/>
    <n v="2275347391.1799998"/>
    <x v="3"/>
    <x v="3"/>
    <x v="0"/>
    <x v="8"/>
    <x v="2"/>
    <x v="1"/>
    <x v="2"/>
    <x v="1"/>
    <x v="3"/>
    <n v="13"/>
    <x v="0"/>
  </r>
  <r>
    <d v="2023-01-13T00:00:00"/>
    <x v="1"/>
    <x v="0"/>
    <x v="0"/>
    <n v="56893407.969999999"/>
    <x v="1"/>
    <x v="0"/>
    <x v="0"/>
    <x v="10"/>
    <x v="2"/>
    <x v="1"/>
    <x v="2"/>
    <x v="1"/>
    <x v="3"/>
    <n v="13"/>
    <x v="0"/>
  </r>
  <r>
    <d v="2023-01-13T00:00:00"/>
    <x v="3"/>
    <x v="3"/>
    <x v="1"/>
    <n v="11039.99"/>
    <x v="3"/>
    <x v="3"/>
    <x v="1"/>
    <x v="3"/>
    <x v="2"/>
    <x v="1"/>
    <x v="2"/>
    <x v="1"/>
    <x v="3"/>
    <n v="13"/>
    <x v="0"/>
  </r>
  <r>
    <d v="2023-01-13T00:00:00"/>
    <x v="0"/>
    <x v="1"/>
    <x v="1"/>
    <n v="5894957.1900000004"/>
    <x v="0"/>
    <x v="1"/>
    <x v="1"/>
    <x v="4"/>
    <x v="2"/>
    <x v="1"/>
    <x v="2"/>
    <x v="1"/>
    <x v="3"/>
    <n v="13"/>
    <x v="0"/>
  </r>
  <r>
    <d v="2023-01-13T00:00:00"/>
    <x v="2"/>
    <x v="1"/>
    <x v="2"/>
    <n v="24200.71"/>
    <x v="2"/>
    <x v="1"/>
    <x v="2"/>
    <x v="5"/>
    <x v="2"/>
    <x v="1"/>
    <x v="2"/>
    <x v="1"/>
    <x v="3"/>
    <n v="13"/>
    <x v="0"/>
  </r>
  <r>
    <d v="2023-01-13T00:00:00"/>
    <x v="3"/>
    <x v="2"/>
    <x v="2"/>
    <n v="265169.13"/>
    <x v="3"/>
    <x v="2"/>
    <x v="2"/>
    <x v="6"/>
    <x v="2"/>
    <x v="1"/>
    <x v="2"/>
    <x v="1"/>
    <x v="3"/>
    <n v="13"/>
    <x v="0"/>
  </r>
  <r>
    <d v="2023-01-13T00:00:00"/>
    <x v="2"/>
    <x v="1"/>
    <x v="1"/>
    <n v="245654461.84999999"/>
    <x v="2"/>
    <x v="1"/>
    <x v="1"/>
    <x v="9"/>
    <x v="2"/>
    <x v="1"/>
    <x v="2"/>
    <x v="1"/>
    <x v="3"/>
    <n v="13"/>
    <x v="0"/>
  </r>
  <r>
    <d v="2023-01-13T00:00:00"/>
    <x v="1"/>
    <x v="0"/>
    <x v="1"/>
    <n v="1910952255.8499999"/>
    <x v="1"/>
    <x v="0"/>
    <x v="1"/>
    <x v="11"/>
    <x v="2"/>
    <x v="1"/>
    <x v="2"/>
    <x v="1"/>
    <x v="3"/>
    <n v="13"/>
    <x v="0"/>
  </r>
  <r>
    <d v="2023-01-13T00:00:00"/>
    <x v="3"/>
    <x v="2"/>
    <x v="0"/>
    <n v="628703863.62"/>
    <x v="3"/>
    <x v="2"/>
    <x v="0"/>
    <x v="12"/>
    <x v="2"/>
    <x v="1"/>
    <x v="2"/>
    <x v="1"/>
    <x v="3"/>
    <n v="13"/>
    <x v="0"/>
  </r>
  <r>
    <d v="2023-01-13T00:00:00"/>
    <x v="3"/>
    <x v="1"/>
    <x v="0"/>
    <n v="16280800.470000001"/>
    <x v="3"/>
    <x v="1"/>
    <x v="0"/>
    <x v="13"/>
    <x v="2"/>
    <x v="1"/>
    <x v="2"/>
    <x v="1"/>
    <x v="3"/>
    <n v="13"/>
    <x v="0"/>
  </r>
  <r>
    <d v="2023-01-13T00:00:00"/>
    <x v="3"/>
    <x v="2"/>
    <x v="1"/>
    <n v="23229744306.950001"/>
    <x v="3"/>
    <x v="2"/>
    <x v="1"/>
    <x v="14"/>
    <x v="2"/>
    <x v="1"/>
    <x v="2"/>
    <x v="1"/>
    <x v="3"/>
    <n v="13"/>
    <x v="0"/>
  </r>
  <r>
    <d v="2023-01-12T00:00:00"/>
    <x v="1"/>
    <x v="1"/>
    <x v="0"/>
    <n v="3107.5"/>
    <x v="1"/>
    <x v="1"/>
    <x v="0"/>
    <x v="0"/>
    <x v="2"/>
    <x v="1"/>
    <x v="2"/>
    <x v="1"/>
    <x v="3"/>
    <n v="12"/>
    <x v="0"/>
  </r>
  <r>
    <d v="2023-01-12T00:00:00"/>
    <x v="0"/>
    <x v="1"/>
    <x v="0"/>
    <n v="24531225.640000001"/>
    <x v="0"/>
    <x v="1"/>
    <x v="0"/>
    <x v="1"/>
    <x v="2"/>
    <x v="1"/>
    <x v="2"/>
    <x v="1"/>
    <x v="3"/>
    <n v="12"/>
    <x v="0"/>
  </r>
  <r>
    <d v="2023-01-12T00:00:00"/>
    <x v="3"/>
    <x v="2"/>
    <x v="2"/>
    <n v="489903.17"/>
    <x v="3"/>
    <x v="2"/>
    <x v="2"/>
    <x v="5"/>
    <x v="2"/>
    <x v="1"/>
    <x v="2"/>
    <x v="1"/>
    <x v="3"/>
    <n v="12"/>
    <x v="0"/>
  </r>
  <r>
    <d v="2023-01-12T00:00:00"/>
    <x v="2"/>
    <x v="1"/>
    <x v="2"/>
    <n v="33847.769999999997"/>
    <x v="2"/>
    <x v="1"/>
    <x v="2"/>
    <x v="4"/>
    <x v="2"/>
    <x v="1"/>
    <x v="2"/>
    <x v="1"/>
    <x v="3"/>
    <n v="12"/>
    <x v="0"/>
  </r>
  <r>
    <d v="2023-01-12T00:00:00"/>
    <x v="2"/>
    <x v="1"/>
    <x v="0"/>
    <n v="88243683.659999996"/>
    <x v="2"/>
    <x v="1"/>
    <x v="0"/>
    <x v="6"/>
    <x v="2"/>
    <x v="1"/>
    <x v="2"/>
    <x v="1"/>
    <x v="3"/>
    <n v="12"/>
    <x v="0"/>
  </r>
  <r>
    <d v="2023-01-12T00:00:00"/>
    <x v="3"/>
    <x v="3"/>
    <x v="0"/>
    <n v="1144170398.76"/>
    <x v="3"/>
    <x v="3"/>
    <x v="0"/>
    <x v="7"/>
    <x v="2"/>
    <x v="1"/>
    <x v="2"/>
    <x v="1"/>
    <x v="3"/>
    <n v="12"/>
    <x v="0"/>
  </r>
  <r>
    <d v="2023-01-12T00:00:00"/>
    <x v="1"/>
    <x v="0"/>
    <x v="0"/>
    <n v="57114011.030000001"/>
    <x v="1"/>
    <x v="0"/>
    <x v="0"/>
    <x v="8"/>
    <x v="2"/>
    <x v="1"/>
    <x v="2"/>
    <x v="1"/>
    <x v="3"/>
    <n v="12"/>
    <x v="0"/>
  </r>
  <r>
    <d v="2023-01-12T00:00:00"/>
    <x v="2"/>
    <x v="1"/>
    <x v="1"/>
    <n v="202751768.78999999"/>
    <x v="2"/>
    <x v="1"/>
    <x v="1"/>
    <x v="9"/>
    <x v="2"/>
    <x v="1"/>
    <x v="2"/>
    <x v="1"/>
    <x v="3"/>
    <n v="12"/>
    <x v="0"/>
  </r>
  <r>
    <d v="2023-01-12T00:00:00"/>
    <x v="3"/>
    <x v="3"/>
    <x v="1"/>
    <n v="1439.52"/>
    <x v="3"/>
    <x v="3"/>
    <x v="1"/>
    <x v="2"/>
    <x v="2"/>
    <x v="1"/>
    <x v="2"/>
    <x v="1"/>
    <x v="3"/>
    <n v="12"/>
    <x v="0"/>
  </r>
  <r>
    <d v="2023-01-12T00:00:00"/>
    <x v="0"/>
    <x v="1"/>
    <x v="1"/>
    <n v="36263830.259999998"/>
    <x v="0"/>
    <x v="1"/>
    <x v="1"/>
    <x v="3"/>
    <x v="2"/>
    <x v="1"/>
    <x v="2"/>
    <x v="1"/>
    <x v="3"/>
    <n v="12"/>
    <x v="0"/>
  </r>
  <r>
    <d v="2023-01-12T00:00:00"/>
    <x v="1"/>
    <x v="0"/>
    <x v="1"/>
    <n v="1536933338.8599999"/>
    <x v="1"/>
    <x v="0"/>
    <x v="1"/>
    <x v="10"/>
    <x v="2"/>
    <x v="1"/>
    <x v="2"/>
    <x v="1"/>
    <x v="3"/>
    <n v="12"/>
    <x v="0"/>
  </r>
  <r>
    <d v="2023-01-12T00:00:00"/>
    <x v="3"/>
    <x v="2"/>
    <x v="0"/>
    <n v="406864231.06"/>
    <x v="3"/>
    <x v="2"/>
    <x v="0"/>
    <x v="11"/>
    <x v="2"/>
    <x v="1"/>
    <x v="2"/>
    <x v="1"/>
    <x v="3"/>
    <n v="12"/>
    <x v="0"/>
  </r>
  <r>
    <d v="2023-01-12T00:00:00"/>
    <x v="3"/>
    <x v="1"/>
    <x v="0"/>
    <n v="14151013.609999999"/>
    <x v="3"/>
    <x v="1"/>
    <x v="0"/>
    <x v="12"/>
    <x v="2"/>
    <x v="1"/>
    <x v="2"/>
    <x v="1"/>
    <x v="3"/>
    <n v="12"/>
    <x v="0"/>
  </r>
  <r>
    <d v="2023-01-12T00:00:00"/>
    <x v="3"/>
    <x v="2"/>
    <x v="1"/>
    <n v="8855777702.8299999"/>
    <x v="3"/>
    <x v="2"/>
    <x v="1"/>
    <x v="13"/>
    <x v="2"/>
    <x v="1"/>
    <x v="2"/>
    <x v="1"/>
    <x v="3"/>
    <n v="12"/>
    <x v="0"/>
  </r>
  <r>
    <d v="2023-01-11T00:00:00"/>
    <x v="1"/>
    <x v="1"/>
    <x v="0"/>
    <n v="26464.83"/>
    <x v="1"/>
    <x v="1"/>
    <x v="0"/>
    <x v="0"/>
    <x v="2"/>
    <x v="1"/>
    <x v="2"/>
    <x v="1"/>
    <x v="3"/>
    <n v="11"/>
    <x v="0"/>
  </r>
  <r>
    <d v="2023-01-11T00:00:00"/>
    <x v="0"/>
    <x v="1"/>
    <x v="0"/>
    <n v="9396932.1400000006"/>
    <x v="0"/>
    <x v="1"/>
    <x v="0"/>
    <x v="1"/>
    <x v="2"/>
    <x v="1"/>
    <x v="2"/>
    <x v="1"/>
    <x v="3"/>
    <n v="11"/>
    <x v="0"/>
  </r>
  <r>
    <d v="2023-01-11T00:00:00"/>
    <x v="2"/>
    <x v="1"/>
    <x v="2"/>
    <n v="34221.25"/>
    <x v="2"/>
    <x v="1"/>
    <x v="2"/>
    <x v="2"/>
    <x v="2"/>
    <x v="1"/>
    <x v="2"/>
    <x v="1"/>
    <x v="3"/>
    <n v="11"/>
    <x v="0"/>
  </r>
  <r>
    <d v="2023-01-11T00:00:00"/>
    <x v="2"/>
    <x v="1"/>
    <x v="0"/>
    <n v="102404274.3"/>
    <x v="2"/>
    <x v="1"/>
    <x v="0"/>
    <x v="6"/>
    <x v="2"/>
    <x v="1"/>
    <x v="2"/>
    <x v="1"/>
    <x v="3"/>
    <n v="11"/>
    <x v="0"/>
  </r>
  <r>
    <d v="2023-01-11T00:00:00"/>
    <x v="2"/>
    <x v="1"/>
    <x v="1"/>
    <n v="250579086.19"/>
    <x v="2"/>
    <x v="1"/>
    <x v="1"/>
    <x v="7"/>
    <x v="2"/>
    <x v="1"/>
    <x v="2"/>
    <x v="1"/>
    <x v="3"/>
    <n v="11"/>
    <x v="0"/>
  </r>
  <r>
    <d v="2023-01-11T00:00:00"/>
    <x v="3"/>
    <x v="3"/>
    <x v="1"/>
    <n v="450"/>
    <x v="3"/>
    <x v="3"/>
    <x v="1"/>
    <x v="3"/>
    <x v="2"/>
    <x v="1"/>
    <x v="2"/>
    <x v="1"/>
    <x v="3"/>
    <n v="11"/>
    <x v="0"/>
  </r>
  <r>
    <d v="2023-01-11T00:00:00"/>
    <x v="1"/>
    <x v="0"/>
    <x v="1"/>
    <n v="4573317027.7299995"/>
    <x v="1"/>
    <x v="0"/>
    <x v="1"/>
    <x v="9"/>
    <x v="2"/>
    <x v="1"/>
    <x v="2"/>
    <x v="1"/>
    <x v="3"/>
    <n v="11"/>
    <x v="0"/>
  </r>
  <r>
    <d v="2023-01-11T00:00:00"/>
    <x v="0"/>
    <x v="1"/>
    <x v="1"/>
    <n v="19881486.940000001"/>
    <x v="0"/>
    <x v="1"/>
    <x v="1"/>
    <x v="4"/>
    <x v="2"/>
    <x v="1"/>
    <x v="2"/>
    <x v="1"/>
    <x v="3"/>
    <n v="11"/>
    <x v="0"/>
  </r>
  <r>
    <d v="2023-01-11T00:00:00"/>
    <x v="3"/>
    <x v="2"/>
    <x v="2"/>
    <n v="443559.83"/>
    <x v="3"/>
    <x v="2"/>
    <x v="2"/>
    <x v="5"/>
    <x v="2"/>
    <x v="1"/>
    <x v="2"/>
    <x v="1"/>
    <x v="3"/>
    <n v="11"/>
    <x v="0"/>
  </r>
  <r>
    <d v="2023-01-11T00:00:00"/>
    <x v="3"/>
    <x v="3"/>
    <x v="0"/>
    <n v="2416870529.1300001"/>
    <x v="3"/>
    <x v="3"/>
    <x v="0"/>
    <x v="8"/>
    <x v="2"/>
    <x v="1"/>
    <x v="2"/>
    <x v="1"/>
    <x v="3"/>
    <n v="11"/>
    <x v="0"/>
  </r>
  <r>
    <d v="2023-01-11T00:00:00"/>
    <x v="1"/>
    <x v="0"/>
    <x v="0"/>
    <n v="64900345.420000002"/>
    <x v="1"/>
    <x v="0"/>
    <x v="0"/>
    <x v="10"/>
    <x v="2"/>
    <x v="1"/>
    <x v="2"/>
    <x v="1"/>
    <x v="3"/>
    <n v="11"/>
    <x v="0"/>
  </r>
  <r>
    <d v="2023-01-11T00:00:00"/>
    <x v="3"/>
    <x v="1"/>
    <x v="0"/>
    <n v="14471783.810000001"/>
    <x v="3"/>
    <x v="1"/>
    <x v="0"/>
    <x v="11"/>
    <x v="2"/>
    <x v="1"/>
    <x v="2"/>
    <x v="1"/>
    <x v="3"/>
    <n v="11"/>
    <x v="0"/>
  </r>
  <r>
    <d v="2023-01-11T00:00:00"/>
    <x v="3"/>
    <x v="2"/>
    <x v="0"/>
    <n v="418013582.51999998"/>
    <x v="3"/>
    <x v="2"/>
    <x v="0"/>
    <x v="12"/>
    <x v="2"/>
    <x v="1"/>
    <x v="2"/>
    <x v="1"/>
    <x v="3"/>
    <n v="11"/>
    <x v="0"/>
  </r>
  <r>
    <d v="2023-01-11T00:00:00"/>
    <x v="3"/>
    <x v="2"/>
    <x v="1"/>
    <n v="13689076548.41"/>
    <x v="3"/>
    <x v="2"/>
    <x v="1"/>
    <x v="13"/>
    <x v="2"/>
    <x v="1"/>
    <x v="2"/>
    <x v="1"/>
    <x v="3"/>
    <n v="11"/>
    <x v="0"/>
  </r>
  <r>
    <d v="2023-01-10T00:00:00"/>
    <x v="0"/>
    <x v="0"/>
    <x v="0"/>
    <n v="2340"/>
    <x v="0"/>
    <x v="0"/>
    <x v="0"/>
    <x v="0"/>
    <x v="2"/>
    <x v="1"/>
    <x v="2"/>
    <x v="1"/>
    <x v="3"/>
    <n v="10"/>
    <x v="0"/>
  </r>
  <r>
    <d v="2023-01-10T00:00:00"/>
    <x v="1"/>
    <x v="1"/>
    <x v="0"/>
    <n v="552"/>
    <x v="1"/>
    <x v="1"/>
    <x v="0"/>
    <x v="1"/>
    <x v="2"/>
    <x v="1"/>
    <x v="2"/>
    <x v="1"/>
    <x v="3"/>
    <n v="10"/>
    <x v="0"/>
  </r>
  <r>
    <d v="2023-01-10T00:00:00"/>
    <x v="2"/>
    <x v="1"/>
    <x v="2"/>
    <n v="532458.63"/>
    <x v="2"/>
    <x v="1"/>
    <x v="2"/>
    <x v="2"/>
    <x v="2"/>
    <x v="1"/>
    <x v="2"/>
    <x v="1"/>
    <x v="3"/>
    <n v="10"/>
    <x v="0"/>
  </r>
  <r>
    <d v="2023-01-10T00:00:00"/>
    <x v="2"/>
    <x v="1"/>
    <x v="0"/>
    <n v="78852727.930000007"/>
    <x v="2"/>
    <x v="1"/>
    <x v="0"/>
    <x v="8"/>
    <x v="2"/>
    <x v="1"/>
    <x v="2"/>
    <x v="1"/>
    <x v="3"/>
    <n v="10"/>
    <x v="0"/>
  </r>
  <r>
    <d v="2023-01-10T00:00:00"/>
    <x v="2"/>
    <x v="1"/>
    <x v="1"/>
    <n v="248793097.31"/>
    <x v="2"/>
    <x v="1"/>
    <x v="1"/>
    <x v="9"/>
    <x v="2"/>
    <x v="1"/>
    <x v="2"/>
    <x v="1"/>
    <x v="3"/>
    <n v="10"/>
    <x v="0"/>
  </r>
  <r>
    <d v="2023-01-10T00:00:00"/>
    <x v="0"/>
    <x v="1"/>
    <x v="0"/>
    <n v="8981588.0099999998"/>
    <x v="0"/>
    <x v="1"/>
    <x v="0"/>
    <x v="5"/>
    <x v="2"/>
    <x v="1"/>
    <x v="2"/>
    <x v="1"/>
    <x v="3"/>
    <n v="10"/>
    <x v="0"/>
  </r>
  <r>
    <d v="2023-01-10T00:00:00"/>
    <x v="1"/>
    <x v="0"/>
    <x v="0"/>
    <n v="51335329.590000004"/>
    <x v="1"/>
    <x v="0"/>
    <x v="0"/>
    <x v="10"/>
    <x v="2"/>
    <x v="1"/>
    <x v="2"/>
    <x v="1"/>
    <x v="3"/>
    <n v="10"/>
    <x v="0"/>
  </r>
  <r>
    <d v="2023-01-10T00:00:00"/>
    <x v="1"/>
    <x v="0"/>
    <x v="1"/>
    <n v="1207099375.48"/>
    <x v="1"/>
    <x v="0"/>
    <x v="1"/>
    <x v="11"/>
    <x v="2"/>
    <x v="1"/>
    <x v="2"/>
    <x v="1"/>
    <x v="3"/>
    <n v="10"/>
    <x v="0"/>
  </r>
  <r>
    <d v="2023-01-10T00:00:00"/>
    <x v="3"/>
    <x v="3"/>
    <x v="1"/>
    <n v="3063015.33"/>
    <x v="3"/>
    <x v="3"/>
    <x v="1"/>
    <x v="3"/>
    <x v="2"/>
    <x v="1"/>
    <x v="2"/>
    <x v="1"/>
    <x v="3"/>
    <n v="10"/>
    <x v="0"/>
  </r>
  <r>
    <d v="2023-01-10T00:00:00"/>
    <x v="0"/>
    <x v="1"/>
    <x v="1"/>
    <n v="3310532.49"/>
    <x v="0"/>
    <x v="1"/>
    <x v="1"/>
    <x v="4"/>
    <x v="2"/>
    <x v="1"/>
    <x v="2"/>
    <x v="1"/>
    <x v="3"/>
    <n v="10"/>
    <x v="0"/>
  </r>
  <r>
    <d v="2023-01-10T00:00:00"/>
    <x v="3"/>
    <x v="2"/>
    <x v="2"/>
    <n v="483131"/>
    <x v="3"/>
    <x v="2"/>
    <x v="2"/>
    <x v="6"/>
    <x v="2"/>
    <x v="1"/>
    <x v="2"/>
    <x v="1"/>
    <x v="3"/>
    <n v="10"/>
    <x v="0"/>
  </r>
  <r>
    <d v="2023-01-10T00:00:00"/>
    <x v="3"/>
    <x v="3"/>
    <x v="0"/>
    <n v="1365136855.6400001"/>
    <x v="3"/>
    <x v="3"/>
    <x v="0"/>
    <x v="7"/>
    <x v="2"/>
    <x v="1"/>
    <x v="2"/>
    <x v="1"/>
    <x v="3"/>
    <n v="10"/>
    <x v="0"/>
  </r>
  <r>
    <d v="2023-01-10T00:00:00"/>
    <x v="3"/>
    <x v="1"/>
    <x v="0"/>
    <n v="11875730.73"/>
    <x v="3"/>
    <x v="1"/>
    <x v="0"/>
    <x v="12"/>
    <x v="2"/>
    <x v="1"/>
    <x v="2"/>
    <x v="1"/>
    <x v="3"/>
    <n v="10"/>
    <x v="0"/>
  </r>
  <r>
    <d v="2023-01-10T00:00:00"/>
    <x v="3"/>
    <x v="2"/>
    <x v="0"/>
    <n v="438255625.61000001"/>
    <x v="3"/>
    <x v="2"/>
    <x v="0"/>
    <x v="13"/>
    <x v="2"/>
    <x v="1"/>
    <x v="2"/>
    <x v="1"/>
    <x v="3"/>
    <n v="10"/>
    <x v="0"/>
  </r>
  <r>
    <d v="2023-01-10T00:00:00"/>
    <x v="3"/>
    <x v="2"/>
    <x v="1"/>
    <n v="5963095661"/>
    <x v="3"/>
    <x v="2"/>
    <x v="1"/>
    <x v="14"/>
    <x v="2"/>
    <x v="1"/>
    <x v="2"/>
    <x v="1"/>
    <x v="3"/>
    <n v="10"/>
    <x v="0"/>
  </r>
  <r>
    <d v="2023-01-09T00:00:00"/>
    <x v="1"/>
    <x v="1"/>
    <x v="0"/>
    <n v="1682"/>
    <x v="1"/>
    <x v="1"/>
    <x v="0"/>
    <x v="0"/>
    <x v="2"/>
    <x v="1"/>
    <x v="2"/>
    <x v="1"/>
    <x v="3"/>
    <n v="9"/>
    <x v="0"/>
  </r>
  <r>
    <d v="2023-01-09T00:00:00"/>
    <x v="0"/>
    <x v="1"/>
    <x v="0"/>
    <n v="14871127.99"/>
    <x v="0"/>
    <x v="1"/>
    <x v="0"/>
    <x v="1"/>
    <x v="2"/>
    <x v="1"/>
    <x v="2"/>
    <x v="1"/>
    <x v="3"/>
    <n v="9"/>
    <x v="0"/>
  </r>
  <r>
    <d v="2023-01-09T00:00:00"/>
    <x v="3"/>
    <x v="2"/>
    <x v="2"/>
    <n v="385241.98"/>
    <x v="3"/>
    <x v="2"/>
    <x v="2"/>
    <x v="5"/>
    <x v="2"/>
    <x v="1"/>
    <x v="2"/>
    <x v="1"/>
    <x v="3"/>
    <n v="9"/>
    <x v="0"/>
  </r>
  <r>
    <d v="2023-01-09T00:00:00"/>
    <x v="2"/>
    <x v="1"/>
    <x v="2"/>
    <n v="26413.84"/>
    <x v="2"/>
    <x v="1"/>
    <x v="2"/>
    <x v="2"/>
    <x v="2"/>
    <x v="1"/>
    <x v="2"/>
    <x v="1"/>
    <x v="3"/>
    <n v="9"/>
    <x v="0"/>
  </r>
  <r>
    <d v="2023-01-09T00:00:00"/>
    <x v="2"/>
    <x v="1"/>
    <x v="0"/>
    <n v="107708528.17"/>
    <x v="2"/>
    <x v="1"/>
    <x v="0"/>
    <x v="6"/>
    <x v="2"/>
    <x v="1"/>
    <x v="2"/>
    <x v="1"/>
    <x v="3"/>
    <n v="9"/>
    <x v="0"/>
  </r>
  <r>
    <d v="2023-01-09T00:00:00"/>
    <x v="2"/>
    <x v="1"/>
    <x v="1"/>
    <n v="416202097"/>
    <x v="2"/>
    <x v="1"/>
    <x v="1"/>
    <x v="8"/>
    <x v="2"/>
    <x v="1"/>
    <x v="2"/>
    <x v="1"/>
    <x v="3"/>
    <n v="9"/>
    <x v="0"/>
  </r>
  <r>
    <d v="2023-01-09T00:00:00"/>
    <x v="0"/>
    <x v="1"/>
    <x v="1"/>
    <n v="1639584.13"/>
    <x v="0"/>
    <x v="1"/>
    <x v="1"/>
    <x v="4"/>
    <x v="2"/>
    <x v="1"/>
    <x v="2"/>
    <x v="1"/>
    <x v="3"/>
    <n v="9"/>
    <x v="0"/>
  </r>
  <r>
    <d v="2023-01-09T00:00:00"/>
    <x v="1"/>
    <x v="0"/>
    <x v="0"/>
    <n v="44549008.539999999"/>
    <x v="1"/>
    <x v="0"/>
    <x v="0"/>
    <x v="9"/>
    <x v="2"/>
    <x v="1"/>
    <x v="2"/>
    <x v="1"/>
    <x v="3"/>
    <n v="9"/>
    <x v="0"/>
  </r>
  <r>
    <d v="2023-01-09T00:00:00"/>
    <x v="1"/>
    <x v="0"/>
    <x v="1"/>
    <n v="554605680.62"/>
    <x v="1"/>
    <x v="0"/>
    <x v="1"/>
    <x v="10"/>
    <x v="2"/>
    <x v="1"/>
    <x v="2"/>
    <x v="1"/>
    <x v="3"/>
    <n v="9"/>
    <x v="0"/>
  </r>
  <r>
    <d v="2023-01-09T00:00:00"/>
    <x v="3"/>
    <x v="3"/>
    <x v="0"/>
    <n v="1071939184.6"/>
    <x v="3"/>
    <x v="3"/>
    <x v="0"/>
    <x v="7"/>
    <x v="2"/>
    <x v="1"/>
    <x v="2"/>
    <x v="1"/>
    <x v="3"/>
    <n v="9"/>
    <x v="0"/>
  </r>
  <r>
    <d v="2023-01-09T00:00:00"/>
    <x v="3"/>
    <x v="3"/>
    <x v="1"/>
    <n v="113987.07"/>
    <x v="3"/>
    <x v="3"/>
    <x v="1"/>
    <x v="3"/>
    <x v="2"/>
    <x v="1"/>
    <x v="2"/>
    <x v="1"/>
    <x v="3"/>
    <n v="9"/>
    <x v="0"/>
  </r>
  <r>
    <d v="2023-01-09T00:00:00"/>
    <x v="3"/>
    <x v="2"/>
    <x v="0"/>
    <n v="694288124.75"/>
    <x v="3"/>
    <x v="2"/>
    <x v="0"/>
    <x v="11"/>
    <x v="2"/>
    <x v="1"/>
    <x v="2"/>
    <x v="1"/>
    <x v="3"/>
    <n v="9"/>
    <x v="0"/>
  </r>
  <r>
    <d v="2023-01-09T00:00:00"/>
    <x v="3"/>
    <x v="2"/>
    <x v="1"/>
    <n v="24975156104.98"/>
    <x v="3"/>
    <x v="2"/>
    <x v="1"/>
    <x v="12"/>
    <x v="2"/>
    <x v="1"/>
    <x v="2"/>
    <x v="1"/>
    <x v="3"/>
    <n v="9"/>
    <x v="0"/>
  </r>
  <r>
    <d v="2023-01-09T00:00:00"/>
    <x v="3"/>
    <x v="1"/>
    <x v="0"/>
    <n v="47661377.780000001"/>
    <x v="3"/>
    <x v="1"/>
    <x v="0"/>
    <x v="13"/>
    <x v="2"/>
    <x v="1"/>
    <x v="2"/>
    <x v="1"/>
    <x v="3"/>
    <n v="9"/>
    <x v="0"/>
  </r>
  <r>
    <d v="2023-01-06T00:00:00"/>
    <x v="1"/>
    <x v="1"/>
    <x v="0"/>
    <n v="1609"/>
    <x v="1"/>
    <x v="1"/>
    <x v="0"/>
    <x v="0"/>
    <x v="2"/>
    <x v="1"/>
    <x v="2"/>
    <x v="1"/>
    <x v="3"/>
    <n v="6"/>
    <x v="0"/>
  </r>
  <r>
    <d v="2023-01-06T00:00:00"/>
    <x v="0"/>
    <x v="1"/>
    <x v="0"/>
    <n v="9465186.25"/>
    <x v="0"/>
    <x v="1"/>
    <x v="0"/>
    <x v="1"/>
    <x v="2"/>
    <x v="1"/>
    <x v="2"/>
    <x v="1"/>
    <x v="3"/>
    <n v="6"/>
    <x v="0"/>
  </r>
  <r>
    <d v="2023-01-06T00:00:00"/>
    <x v="2"/>
    <x v="1"/>
    <x v="2"/>
    <n v="11133.52"/>
    <x v="2"/>
    <x v="1"/>
    <x v="2"/>
    <x v="2"/>
    <x v="2"/>
    <x v="1"/>
    <x v="2"/>
    <x v="1"/>
    <x v="3"/>
    <n v="6"/>
    <x v="0"/>
  </r>
  <r>
    <d v="2023-01-06T00:00:00"/>
    <x v="2"/>
    <x v="1"/>
    <x v="0"/>
    <n v="112200396.95"/>
    <x v="2"/>
    <x v="1"/>
    <x v="0"/>
    <x v="6"/>
    <x v="2"/>
    <x v="1"/>
    <x v="2"/>
    <x v="1"/>
    <x v="3"/>
    <n v="6"/>
    <x v="0"/>
  </r>
  <r>
    <d v="2023-01-06T00:00:00"/>
    <x v="3"/>
    <x v="3"/>
    <x v="0"/>
    <n v="1288199768.47"/>
    <x v="3"/>
    <x v="3"/>
    <x v="0"/>
    <x v="8"/>
    <x v="2"/>
    <x v="1"/>
    <x v="2"/>
    <x v="1"/>
    <x v="3"/>
    <n v="6"/>
    <x v="0"/>
  </r>
  <r>
    <d v="2023-01-06T00:00:00"/>
    <x v="1"/>
    <x v="0"/>
    <x v="0"/>
    <n v="61455365.420000002"/>
    <x v="1"/>
    <x v="0"/>
    <x v="0"/>
    <x v="9"/>
    <x v="2"/>
    <x v="1"/>
    <x v="2"/>
    <x v="1"/>
    <x v="3"/>
    <n v="6"/>
    <x v="0"/>
  </r>
  <r>
    <d v="2023-01-06T00:00:00"/>
    <x v="3"/>
    <x v="3"/>
    <x v="1"/>
    <n v="2712451.06"/>
    <x v="3"/>
    <x v="3"/>
    <x v="1"/>
    <x v="3"/>
    <x v="2"/>
    <x v="1"/>
    <x v="2"/>
    <x v="1"/>
    <x v="3"/>
    <n v="6"/>
    <x v="0"/>
  </r>
  <r>
    <d v="2023-01-06T00:00:00"/>
    <x v="0"/>
    <x v="1"/>
    <x v="1"/>
    <n v="8339812.5999999996"/>
    <x v="0"/>
    <x v="1"/>
    <x v="1"/>
    <x v="4"/>
    <x v="2"/>
    <x v="1"/>
    <x v="2"/>
    <x v="1"/>
    <x v="3"/>
    <n v="6"/>
    <x v="0"/>
  </r>
  <r>
    <d v="2023-01-06T00:00:00"/>
    <x v="1"/>
    <x v="0"/>
    <x v="1"/>
    <n v="829042698.28999996"/>
    <x v="1"/>
    <x v="0"/>
    <x v="1"/>
    <x v="10"/>
    <x v="2"/>
    <x v="1"/>
    <x v="2"/>
    <x v="1"/>
    <x v="3"/>
    <n v="6"/>
    <x v="0"/>
  </r>
  <r>
    <d v="2023-01-06T00:00:00"/>
    <x v="3"/>
    <x v="2"/>
    <x v="2"/>
    <n v="621487"/>
    <x v="3"/>
    <x v="2"/>
    <x v="2"/>
    <x v="5"/>
    <x v="2"/>
    <x v="1"/>
    <x v="2"/>
    <x v="1"/>
    <x v="3"/>
    <n v="6"/>
    <x v="0"/>
  </r>
  <r>
    <d v="2023-01-06T00:00:00"/>
    <x v="2"/>
    <x v="1"/>
    <x v="1"/>
    <n v="383367562.22000003"/>
    <x v="2"/>
    <x v="1"/>
    <x v="1"/>
    <x v="7"/>
    <x v="2"/>
    <x v="1"/>
    <x v="2"/>
    <x v="1"/>
    <x v="3"/>
    <n v="6"/>
    <x v="0"/>
  </r>
  <r>
    <d v="2023-01-06T00:00:00"/>
    <x v="3"/>
    <x v="1"/>
    <x v="0"/>
    <n v="15056058.66"/>
    <x v="3"/>
    <x v="1"/>
    <x v="0"/>
    <x v="11"/>
    <x v="2"/>
    <x v="1"/>
    <x v="2"/>
    <x v="1"/>
    <x v="3"/>
    <n v="6"/>
    <x v="0"/>
  </r>
  <r>
    <d v="2023-01-06T00:00:00"/>
    <x v="3"/>
    <x v="2"/>
    <x v="0"/>
    <n v="597517625.10000002"/>
    <x v="3"/>
    <x v="2"/>
    <x v="0"/>
    <x v="12"/>
    <x v="2"/>
    <x v="1"/>
    <x v="2"/>
    <x v="1"/>
    <x v="3"/>
    <n v="6"/>
    <x v="0"/>
  </r>
  <r>
    <d v="2023-01-06T00:00:00"/>
    <x v="3"/>
    <x v="2"/>
    <x v="1"/>
    <n v="11432839105.9"/>
    <x v="3"/>
    <x v="2"/>
    <x v="1"/>
    <x v="13"/>
    <x v="2"/>
    <x v="1"/>
    <x v="2"/>
    <x v="1"/>
    <x v="3"/>
    <n v="6"/>
    <x v="0"/>
  </r>
  <r>
    <d v="2023-01-05T00:00:00"/>
    <x v="1"/>
    <x v="1"/>
    <x v="0"/>
    <n v="1475.5"/>
    <x v="1"/>
    <x v="1"/>
    <x v="0"/>
    <x v="0"/>
    <x v="2"/>
    <x v="1"/>
    <x v="2"/>
    <x v="1"/>
    <x v="3"/>
    <n v="5"/>
    <x v="0"/>
  </r>
  <r>
    <d v="2023-01-05T00:00:00"/>
    <x v="0"/>
    <x v="1"/>
    <x v="0"/>
    <n v="26191544.030000001"/>
    <x v="0"/>
    <x v="1"/>
    <x v="0"/>
    <x v="1"/>
    <x v="2"/>
    <x v="1"/>
    <x v="2"/>
    <x v="1"/>
    <x v="3"/>
    <n v="5"/>
    <x v="0"/>
  </r>
  <r>
    <d v="2023-01-05T00:00:00"/>
    <x v="2"/>
    <x v="1"/>
    <x v="0"/>
    <n v="92242292.159999996"/>
    <x v="2"/>
    <x v="1"/>
    <x v="0"/>
    <x v="5"/>
    <x v="2"/>
    <x v="1"/>
    <x v="2"/>
    <x v="1"/>
    <x v="3"/>
    <n v="5"/>
    <x v="0"/>
  </r>
  <r>
    <d v="2023-01-05T00:00:00"/>
    <x v="2"/>
    <x v="1"/>
    <x v="2"/>
    <n v="27682.11"/>
    <x v="2"/>
    <x v="1"/>
    <x v="2"/>
    <x v="2"/>
    <x v="2"/>
    <x v="1"/>
    <x v="2"/>
    <x v="1"/>
    <x v="3"/>
    <n v="5"/>
    <x v="0"/>
  </r>
  <r>
    <d v="2023-01-05T00:00:00"/>
    <x v="2"/>
    <x v="1"/>
    <x v="1"/>
    <n v="560792113.75"/>
    <x v="2"/>
    <x v="1"/>
    <x v="1"/>
    <x v="6"/>
    <x v="2"/>
    <x v="1"/>
    <x v="2"/>
    <x v="1"/>
    <x v="3"/>
    <n v="5"/>
    <x v="0"/>
  </r>
  <r>
    <d v="2023-01-05T00:00:00"/>
    <x v="3"/>
    <x v="3"/>
    <x v="0"/>
    <n v="1605736110.72"/>
    <x v="3"/>
    <x v="3"/>
    <x v="0"/>
    <x v="7"/>
    <x v="2"/>
    <x v="1"/>
    <x v="2"/>
    <x v="1"/>
    <x v="3"/>
    <n v="5"/>
    <x v="0"/>
  </r>
  <r>
    <d v="2023-01-05T00:00:00"/>
    <x v="1"/>
    <x v="0"/>
    <x v="1"/>
    <n v="3147552203.3200002"/>
    <x v="1"/>
    <x v="0"/>
    <x v="1"/>
    <x v="8"/>
    <x v="2"/>
    <x v="1"/>
    <x v="2"/>
    <x v="1"/>
    <x v="3"/>
    <n v="5"/>
    <x v="0"/>
  </r>
  <r>
    <d v="2023-01-05T00:00:00"/>
    <x v="0"/>
    <x v="1"/>
    <x v="1"/>
    <n v="595366.02"/>
    <x v="0"/>
    <x v="1"/>
    <x v="1"/>
    <x v="3"/>
    <x v="2"/>
    <x v="1"/>
    <x v="2"/>
    <x v="1"/>
    <x v="3"/>
    <n v="5"/>
    <x v="0"/>
  </r>
  <r>
    <d v="2023-01-05T00:00:00"/>
    <x v="3"/>
    <x v="2"/>
    <x v="2"/>
    <n v="517797.78"/>
    <x v="3"/>
    <x v="2"/>
    <x v="2"/>
    <x v="4"/>
    <x v="2"/>
    <x v="1"/>
    <x v="2"/>
    <x v="1"/>
    <x v="3"/>
    <n v="5"/>
    <x v="0"/>
  </r>
  <r>
    <d v="2023-01-05T00:00:00"/>
    <x v="1"/>
    <x v="0"/>
    <x v="0"/>
    <n v="64164183.960000001"/>
    <x v="1"/>
    <x v="0"/>
    <x v="0"/>
    <x v="9"/>
    <x v="2"/>
    <x v="1"/>
    <x v="2"/>
    <x v="1"/>
    <x v="3"/>
    <n v="5"/>
    <x v="0"/>
  </r>
  <r>
    <d v="2023-01-05T00:00:00"/>
    <x v="3"/>
    <x v="1"/>
    <x v="0"/>
    <n v="15662507"/>
    <x v="3"/>
    <x v="1"/>
    <x v="0"/>
    <x v="10"/>
    <x v="2"/>
    <x v="1"/>
    <x v="2"/>
    <x v="1"/>
    <x v="3"/>
    <n v="5"/>
    <x v="0"/>
  </r>
  <r>
    <d v="2023-01-05T00:00:00"/>
    <x v="3"/>
    <x v="2"/>
    <x v="0"/>
    <n v="357796618.88999999"/>
    <x v="3"/>
    <x v="2"/>
    <x v="0"/>
    <x v="11"/>
    <x v="2"/>
    <x v="1"/>
    <x v="2"/>
    <x v="1"/>
    <x v="3"/>
    <n v="5"/>
    <x v="0"/>
  </r>
  <r>
    <d v="2023-01-05T00:00:00"/>
    <x v="3"/>
    <x v="2"/>
    <x v="1"/>
    <n v="14137389229.129999"/>
    <x v="3"/>
    <x v="2"/>
    <x v="1"/>
    <x v="12"/>
    <x v="2"/>
    <x v="1"/>
    <x v="2"/>
    <x v="1"/>
    <x v="3"/>
    <n v="5"/>
    <x v="0"/>
  </r>
  <r>
    <d v="2023-01-04T00:00:00"/>
    <x v="0"/>
    <x v="0"/>
    <x v="0"/>
    <n v="100"/>
    <x v="0"/>
    <x v="0"/>
    <x v="0"/>
    <x v="0"/>
    <x v="2"/>
    <x v="1"/>
    <x v="2"/>
    <x v="1"/>
    <x v="3"/>
    <n v="4"/>
    <x v="0"/>
  </r>
  <r>
    <d v="2023-01-04T00:00:00"/>
    <x v="0"/>
    <x v="1"/>
    <x v="0"/>
    <n v="9919524.9399999995"/>
    <x v="0"/>
    <x v="1"/>
    <x v="0"/>
    <x v="1"/>
    <x v="2"/>
    <x v="1"/>
    <x v="2"/>
    <x v="1"/>
    <x v="3"/>
    <n v="4"/>
    <x v="0"/>
  </r>
  <r>
    <d v="2023-01-04T00:00:00"/>
    <x v="3"/>
    <x v="3"/>
    <x v="1"/>
    <n v="3415.16"/>
    <x v="3"/>
    <x v="3"/>
    <x v="1"/>
    <x v="2"/>
    <x v="2"/>
    <x v="1"/>
    <x v="2"/>
    <x v="1"/>
    <x v="3"/>
    <n v="4"/>
    <x v="0"/>
  </r>
  <r>
    <d v="2023-01-04T00:00:00"/>
    <x v="2"/>
    <x v="1"/>
    <x v="0"/>
    <n v="89734415.719999999"/>
    <x v="2"/>
    <x v="1"/>
    <x v="0"/>
    <x v="7"/>
    <x v="2"/>
    <x v="1"/>
    <x v="2"/>
    <x v="1"/>
    <x v="3"/>
    <n v="4"/>
    <x v="0"/>
  </r>
  <r>
    <d v="2023-01-04T00:00:00"/>
    <x v="3"/>
    <x v="3"/>
    <x v="0"/>
    <n v="2294002350.8099999"/>
    <x v="3"/>
    <x v="3"/>
    <x v="0"/>
    <x v="8"/>
    <x v="2"/>
    <x v="1"/>
    <x v="2"/>
    <x v="1"/>
    <x v="3"/>
    <n v="4"/>
    <x v="0"/>
  </r>
  <r>
    <d v="2023-01-04T00:00:00"/>
    <x v="2"/>
    <x v="1"/>
    <x v="2"/>
    <n v="11774.73"/>
    <x v="2"/>
    <x v="1"/>
    <x v="2"/>
    <x v="5"/>
    <x v="2"/>
    <x v="1"/>
    <x v="2"/>
    <x v="1"/>
    <x v="3"/>
    <n v="4"/>
    <x v="0"/>
  </r>
  <r>
    <d v="2023-01-04T00:00:00"/>
    <x v="1"/>
    <x v="1"/>
    <x v="0"/>
    <n v="8577.39"/>
    <x v="1"/>
    <x v="1"/>
    <x v="0"/>
    <x v="4"/>
    <x v="2"/>
    <x v="1"/>
    <x v="2"/>
    <x v="1"/>
    <x v="3"/>
    <n v="4"/>
    <x v="0"/>
  </r>
  <r>
    <d v="2023-01-04T00:00:00"/>
    <x v="1"/>
    <x v="0"/>
    <x v="1"/>
    <n v="845869107.57000005"/>
    <x v="1"/>
    <x v="0"/>
    <x v="1"/>
    <x v="10"/>
    <x v="2"/>
    <x v="1"/>
    <x v="2"/>
    <x v="1"/>
    <x v="3"/>
    <n v="4"/>
    <x v="0"/>
  </r>
  <r>
    <d v="2023-01-04T00:00:00"/>
    <x v="0"/>
    <x v="1"/>
    <x v="1"/>
    <n v="204905536.28999999"/>
    <x v="0"/>
    <x v="1"/>
    <x v="1"/>
    <x v="3"/>
    <x v="2"/>
    <x v="1"/>
    <x v="2"/>
    <x v="1"/>
    <x v="3"/>
    <n v="4"/>
    <x v="0"/>
  </r>
  <r>
    <d v="2023-01-04T00:00:00"/>
    <x v="3"/>
    <x v="2"/>
    <x v="2"/>
    <n v="991253.24"/>
    <x v="3"/>
    <x v="2"/>
    <x v="2"/>
    <x v="6"/>
    <x v="2"/>
    <x v="1"/>
    <x v="2"/>
    <x v="1"/>
    <x v="3"/>
    <n v="4"/>
    <x v="0"/>
  </r>
  <r>
    <d v="2023-01-04T00:00:00"/>
    <x v="2"/>
    <x v="1"/>
    <x v="1"/>
    <n v="273905127.88999999"/>
    <x v="2"/>
    <x v="1"/>
    <x v="1"/>
    <x v="9"/>
    <x v="2"/>
    <x v="1"/>
    <x v="2"/>
    <x v="1"/>
    <x v="3"/>
    <n v="4"/>
    <x v="0"/>
  </r>
  <r>
    <d v="2023-01-04T00:00:00"/>
    <x v="1"/>
    <x v="0"/>
    <x v="0"/>
    <n v="61667616.079999998"/>
    <x v="1"/>
    <x v="0"/>
    <x v="0"/>
    <x v="11"/>
    <x v="2"/>
    <x v="1"/>
    <x v="2"/>
    <x v="1"/>
    <x v="3"/>
    <n v="4"/>
    <x v="0"/>
  </r>
  <r>
    <d v="2023-01-04T00:00:00"/>
    <x v="3"/>
    <x v="1"/>
    <x v="0"/>
    <n v="15911905.550000001"/>
    <x v="3"/>
    <x v="1"/>
    <x v="0"/>
    <x v="12"/>
    <x v="2"/>
    <x v="1"/>
    <x v="2"/>
    <x v="1"/>
    <x v="3"/>
    <n v="4"/>
    <x v="0"/>
  </r>
  <r>
    <d v="2023-01-04T00:00:00"/>
    <x v="3"/>
    <x v="2"/>
    <x v="0"/>
    <n v="546996664.42999995"/>
    <x v="3"/>
    <x v="2"/>
    <x v="0"/>
    <x v="13"/>
    <x v="2"/>
    <x v="1"/>
    <x v="2"/>
    <x v="1"/>
    <x v="3"/>
    <n v="4"/>
    <x v="0"/>
  </r>
  <r>
    <d v="2023-01-04T00:00:00"/>
    <x v="3"/>
    <x v="2"/>
    <x v="1"/>
    <n v="9399479705.1800003"/>
    <x v="3"/>
    <x v="2"/>
    <x v="1"/>
    <x v="14"/>
    <x v="2"/>
    <x v="1"/>
    <x v="2"/>
    <x v="1"/>
    <x v="3"/>
    <n v="4"/>
    <x v="0"/>
  </r>
  <r>
    <d v="2023-01-03T00:00:00"/>
    <x v="0"/>
    <x v="0"/>
    <x v="0"/>
    <n v="101"/>
    <x v="0"/>
    <x v="0"/>
    <x v="0"/>
    <x v="0"/>
    <x v="2"/>
    <x v="1"/>
    <x v="2"/>
    <x v="1"/>
    <x v="3"/>
    <n v="3"/>
    <x v="0"/>
  </r>
  <r>
    <d v="2023-01-03T00:00:00"/>
    <x v="0"/>
    <x v="1"/>
    <x v="0"/>
    <n v="11741803.75"/>
    <x v="0"/>
    <x v="1"/>
    <x v="0"/>
    <x v="1"/>
    <x v="2"/>
    <x v="1"/>
    <x v="2"/>
    <x v="1"/>
    <x v="3"/>
    <n v="3"/>
    <x v="0"/>
  </r>
  <r>
    <d v="2023-01-03T00:00:00"/>
    <x v="2"/>
    <x v="1"/>
    <x v="2"/>
    <n v="50717.18"/>
    <x v="2"/>
    <x v="1"/>
    <x v="2"/>
    <x v="2"/>
    <x v="2"/>
    <x v="1"/>
    <x v="2"/>
    <x v="1"/>
    <x v="3"/>
    <n v="3"/>
    <x v="0"/>
  </r>
  <r>
    <d v="2023-01-03T00:00:00"/>
    <x v="0"/>
    <x v="1"/>
    <x v="1"/>
    <n v="19040094.780000001"/>
    <x v="0"/>
    <x v="1"/>
    <x v="1"/>
    <x v="4"/>
    <x v="2"/>
    <x v="1"/>
    <x v="2"/>
    <x v="1"/>
    <x v="3"/>
    <n v="3"/>
    <x v="0"/>
  </r>
  <r>
    <d v="2023-01-03T00:00:00"/>
    <x v="3"/>
    <x v="3"/>
    <x v="0"/>
    <n v="4431248298.5500002"/>
    <x v="3"/>
    <x v="3"/>
    <x v="0"/>
    <x v="6"/>
    <x v="2"/>
    <x v="1"/>
    <x v="2"/>
    <x v="1"/>
    <x v="3"/>
    <n v="3"/>
    <x v="0"/>
  </r>
  <r>
    <d v="2023-01-03T00:00:00"/>
    <x v="2"/>
    <x v="1"/>
    <x v="0"/>
    <n v="77247566.849999994"/>
    <x v="2"/>
    <x v="1"/>
    <x v="0"/>
    <x v="7"/>
    <x v="2"/>
    <x v="1"/>
    <x v="2"/>
    <x v="1"/>
    <x v="3"/>
    <n v="3"/>
    <x v="0"/>
  </r>
  <r>
    <d v="2023-01-03T00:00:00"/>
    <x v="1"/>
    <x v="0"/>
    <x v="1"/>
    <n v="369319452.88999999"/>
    <x v="1"/>
    <x v="0"/>
    <x v="1"/>
    <x v="9"/>
    <x v="2"/>
    <x v="1"/>
    <x v="2"/>
    <x v="1"/>
    <x v="3"/>
    <n v="3"/>
    <x v="0"/>
  </r>
  <r>
    <d v="2023-01-03T00:00:00"/>
    <x v="3"/>
    <x v="3"/>
    <x v="1"/>
    <n v="28780"/>
    <x v="3"/>
    <x v="3"/>
    <x v="1"/>
    <x v="3"/>
    <x v="2"/>
    <x v="1"/>
    <x v="2"/>
    <x v="1"/>
    <x v="3"/>
    <n v="3"/>
    <x v="0"/>
  </r>
  <r>
    <d v="2023-01-03T00:00:00"/>
    <x v="3"/>
    <x v="2"/>
    <x v="2"/>
    <n v="517015.72"/>
    <x v="3"/>
    <x v="2"/>
    <x v="2"/>
    <x v="5"/>
    <x v="2"/>
    <x v="1"/>
    <x v="2"/>
    <x v="1"/>
    <x v="3"/>
    <n v="3"/>
    <x v="0"/>
  </r>
  <r>
    <d v="2023-01-03T00:00:00"/>
    <x v="2"/>
    <x v="1"/>
    <x v="1"/>
    <n v="71304902.209999993"/>
    <x v="2"/>
    <x v="1"/>
    <x v="1"/>
    <x v="8"/>
    <x v="2"/>
    <x v="1"/>
    <x v="2"/>
    <x v="1"/>
    <x v="3"/>
    <n v="3"/>
    <x v="0"/>
  </r>
  <r>
    <d v="2023-01-03T00:00:00"/>
    <x v="1"/>
    <x v="0"/>
    <x v="0"/>
    <n v="57370980.020000003"/>
    <x v="1"/>
    <x v="0"/>
    <x v="0"/>
    <x v="10"/>
    <x v="2"/>
    <x v="1"/>
    <x v="2"/>
    <x v="1"/>
    <x v="3"/>
    <n v="3"/>
    <x v="0"/>
  </r>
  <r>
    <d v="2023-01-03T00:00:00"/>
    <x v="3"/>
    <x v="2"/>
    <x v="0"/>
    <n v="1125620318.8499999"/>
    <x v="3"/>
    <x v="2"/>
    <x v="0"/>
    <x v="11"/>
    <x v="2"/>
    <x v="1"/>
    <x v="2"/>
    <x v="1"/>
    <x v="3"/>
    <n v="3"/>
    <x v="0"/>
  </r>
  <r>
    <d v="2023-01-03T00:00:00"/>
    <x v="3"/>
    <x v="2"/>
    <x v="1"/>
    <n v="59852260564.849998"/>
    <x v="3"/>
    <x v="2"/>
    <x v="1"/>
    <x v="12"/>
    <x v="2"/>
    <x v="1"/>
    <x v="2"/>
    <x v="1"/>
    <x v="3"/>
    <n v="3"/>
    <x v="0"/>
  </r>
  <r>
    <d v="2023-01-03T00:00:00"/>
    <x v="3"/>
    <x v="1"/>
    <x v="0"/>
    <n v="49021389.240000002"/>
    <x v="3"/>
    <x v="1"/>
    <x v="0"/>
    <x v="13"/>
    <x v="2"/>
    <x v="1"/>
    <x v="2"/>
    <x v="1"/>
    <x v="3"/>
    <n v="3"/>
    <x v="0"/>
  </r>
  <r>
    <d v="2022-12-30T00:00:00"/>
    <x v="1"/>
    <x v="1"/>
    <x v="0"/>
    <n v="49159.33"/>
    <x v="1"/>
    <x v="1"/>
    <x v="0"/>
    <x v="0"/>
    <x v="2"/>
    <x v="2"/>
    <x v="3"/>
    <x v="2"/>
    <x v="4"/>
    <n v="30"/>
    <x v="0"/>
  </r>
  <r>
    <d v="2022-12-30T00:00:00"/>
    <x v="0"/>
    <x v="1"/>
    <x v="0"/>
    <n v="5465713.8300000001"/>
    <x v="0"/>
    <x v="1"/>
    <x v="0"/>
    <x v="1"/>
    <x v="2"/>
    <x v="2"/>
    <x v="3"/>
    <x v="2"/>
    <x v="4"/>
    <n v="30"/>
    <x v="0"/>
  </r>
  <r>
    <d v="2022-12-30T00:00:00"/>
    <x v="2"/>
    <x v="1"/>
    <x v="2"/>
    <n v="39359.410000000003"/>
    <x v="2"/>
    <x v="1"/>
    <x v="2"/>
    <x v="2"/>
    <x v="2"/>
    <x v="2"/>
    <x v="3"/>
    <x v="2"/>
    <x v="4"/>
    <n v="30"/>
    <x v="0"/>
  </r>
  <r>
    <d v="2022-12-30T00:00:00"/>
    <x v="2"/>
    <x v="1"/>
    <x v="0"/>
    <n v="79056979.909999996"/>
    <x v="2"/>
    <x v="1"/>
    <x v="0"/>
    <x v="5"/>
    <x v="2"/>
    <x v="2"/>
    <x v="3"/>
    <x v="2"/>
    <x v="4"/>
    <n v="30"/>
    <x v="0"/>
  </r>
  <r>
    <d v="2022-12-30T00:00:00"/>
    <x v="3"/>
    <x v="3"/>
    <x v="0"/>
    <n v="3985428379.4299998"/>
    <x v="3"/>
    <x v="3"/>
    <x v="0"/>
    <x v="6"/>
    <x v="2"/>
    <x v="2"/>
    <x v="3"/>
    <x v="2"/>
    <x v="4"/>
    <n v="30"/>
    <x v="0"/>
  </r>
  <r>
    <d v="2022-12-30T00:00:00"/>
    <x v="1"/>
    <x v="0"/>
    <x v="0"/>
    <n v="81364859.390000001"/>
    <x v="1"/>
    <x v="0"/>
    <x v="0"/>
    <x v="8"/>
    <x v="2"/>
    <x v="2"/>
    <x v="3"/>
    <x v="2"/>
    <x v="4"/>
    <n v="30"/>
    <x v="0"/>
  </r>
  <r>
    <d v="2022-12-30T00:00:00"/>
    <x v="3"/>
    <x v="3"/>
    <x v="1"/>
    <n v="39016.35"/>
    <x v="3"/>
    <x v="3"/>
    <x v="1"/>
    <x v="3"/>
    <x v="2"/>
    <x v="2"/>
    <x v="3"/>
    <x v="2"/>
    <x v="4"/>
    <n v="30"/>
    <x v="0"/>
  </r>
  <r>
    <d v="2022-12-30T00:00:00"/>
    <x v="3"/>
    <x v="2"/>
    <x v="2"/>
    <n v="816991.41"/>
    <x v="3"/>
    <x v="2"/>
    <x v="2"/>
    <x v="4"/>
    <x v="2"/>
    <x v="2"/>
    <x v="3"/>
    <x v="2"/>
    <x v="4"/>
    <n v="30"/>
    <x v="0"/>
  </r>
  <r>
    <d v="2022-12-30T00:00:00"/>
    <x v="2"/>
    <x v="1"/>
    <x v="1"/>
    <n v="534284832.39999998"/>
    <x v="2"/>
    <x v="1"/>
    <x v="1"/>
    <x v="7"/>
    <x v="2"/>
    <x v="2"/>
    <x v="3"/>
    <x v="2"/>
    <x v="4"/>
    <n v="30"/>
    <x v="0"/>
  </r>
  <r>
    <d v="2022-12-30T00:00:00"/>
    <x v="1"/>
    <x v="0"/>
    <x v="1"/>
    <n v="348298934.04000002"/>
    <x v="1"/>
    <x v="0"/>
    <x v="1"/>
    <x v="9"/>
    <x v="2"/>
    <x v="2"/>
    <x v="3"/>
    <x v="2"/>
    <x v="4"/>
    <n v="30"/>
    <x v="0"/>
  </r>
  <r>
    <d v="2022-12-30T00:00:00"/>
    <x v="3"/>
    <x v="2"/>
    <x v="0"/>
    <n v="910476403.28999996"/>
    <x v="3"/>
    <x v="2"/>
    <x v="0"/>
    <x v="10"/>
    <x v="2"/>
    <x v="2"/>
    <x v="3"/>
    <x v="2"/>
    <x v="4"/>
    <n v="30"/>
    <x v="0"/>
  </r>
  <r>
    <d v="2022-12-30T00:00:00"/>
    <x v="3"/>
    <x v="1"/>
    <x v="0"/>
    <n v="17308144.829999998"/>
    <x v="3"/>
    <x v="1"/>
    <x v="0"/>
    <x v="11"/>
    <x v="2"/>
    <x v="2"/>
    <x v="3"/>
    <x v="2"/>
    <x v="4"/>
    <n v="30"/>
    <x v="0"/>
  </r>
  <r>
    <d v="2022-12-30T00:00:00"/>
    <x v="3"/>
    <x v="2"/>
    <x v="1"/>
    <n v="25264516986.189999"/>
    <x v="3"/>
    <x v="2"/>
    <x v="1"/>
    <x v="12"/>
    <x v="2"/>
    <x v="2"/>
    <x v="3"/>
    <x v="2"/>
    <x v="4"/>
    <n v="30"/>
    <x v="0"/>
  </r>
  <r>
    <d v="2022-12-29T00:00:00"/>
    <x v="1"/>
    <x v="1"/>
    <x v="0"/>
    <n v="160"/>
    <x v="1"/>
    <x v="1"/>
    <x v="0"/>
    <x v="0"/>
    <x v="2"/>
    <x v="2"/>
    <x v="3"/>
    <x v="2"/>
    <x v="4"/>
    <n v="29"/>
    <x v="0"/>
  </r>
  <r>
    <d v="2022-12-29T00:00:00"/>
    <x v="0"/>
    <x v="1"/>
    <x v="0"/>
    <n v="4777947.67"/>
    <x v="0"/>
    <x v="1"/>
    <x v="0"/>
    <x v="1"/>
    <x v="2"/>
    <x v="2"/>
    <x v="3"/>
    <x v="2"/>
    <x v="4"/>
    <n v="29"/>
    <x v="0"/>
  </r>
  <r>
    <d v="2022-12-29T00:00:00"/>
    <x v="2"/>
    <x v="1"/>
    <x v="0"/>
    <n v="84016382.560000002"/>
    <x v="2"/>
    <x v="1"/>
    <x v="0"/>
    <x v="5"/>
    <x v="2"/>
    <x v="2"/>
    <x v="3"/>
    <x v="2"/>
    <x v="4"/>
    <n v="29"/>
    <x v="0"/>
  </r>
  <r>
    <d v="2022-12-29T00:00:00"/>
    <x v="2"/>
    <x v="1"/>
    <x v="2"/>
    <n v="29375"/>
    <x v="2"/>
    <x v="1"/>
    <x v="2"/>
    <x v="2"/>
    <x v="2"/>
    <x v="2"/>
    <x v="3"/>
    <x v="2"/>
    <x v="4"/>
    <n v="29"/>
    <x v="0"/>
  </r>
  <r>
    <d v="2022-12-29T00:00:00"/>
    <x v="2"/>
    <x v="1"/>
    <x v="1"/>
    <n v="196018378.61000001"/>
    <x v="2"/>
    <x v="1"/>
    <x v="1"/>
    <x v="6"/>
    <x v="2"/>
    <x v="2"/>
    <x v="3"/>
    <x v="2"/>
    <x v="4"/>
    <n v="29"/>
    <x v="0"/>
  </r>
  <r>
    <d v="2022-12-29T00:00:00"/>
    <x v="3"/>
    <x v="3"/>
    <x v="0"/>
    <n v="2143079157.49"/>
    <x v="3"/>
    <x v="3"/>
    <x v="0"/>
    <x v="7"/>
    <x v="2"/>
    <x v="2"/>
    <x v="3"/>
    <x v="2"/>
    <x v="4"/>
    <n v="29"/>
    <x v="0"/>
  </r>
  <r>
    <d v="2022-12-29T00:00:00"/>
    <x v="1"/>
    <x v="0"/>
    <x v="1"/>
    <n v="1380700098.49"/>
    <x v="1"/>
    <x v="0"/>
    <x v="1"/>
    <x v="9"/>
    <x v="2"/>
    <x v="2"/>
    <x v="3"/>
    <x v="2"/>
    <x v="4"/>
    <n v="29"/>
    <x v="0"/>
  </r>
  <r>
    <d v="2022-12-29T00:00:00"/>
    <x v="0"/>
    <x v="1"/>
    <x v="1"/>
    <n v="17439"/>
    <x v="0"/>
    <x v="1"/>
    <x v="1"/>
    <x v="3"/>
    <x v="2"/>
    <x v="2"/>
    <x v="3"/>
    <x v="2"/>
    <x v="4"/>
    <n v="29"/>
    <x v="0"/>
  </r>
  <r>
    <d v="2022-12-29T00:00:00"/>
    <x v="3"/>
    <x v="2"/>
    <x v="2"/>
    <n v="549358.5"/>
    <x v="3"/>
    <x v="2"/>
    <x v="2"/>
    <x v="4"/>
    <x v="2"/>
    <x v="2"/>
    <x v="3"/>
    <x v="2"/>
    <x v="4"/>
    <n v="29"/>
    <x v="0"/>
  </r>
  <r>
    <d v="2022-12-29T00:00:00"/>
    <x v="1"/>
    <x v="0"/>
    <x v="0"/>
    <n v="59972616.479999997"/>
    <x v="1"/>
    <x v="0"/>
    <x v="0"/>
    <x v="8"/>
    <x v="2"/>
    <x v="2"/>
    <x v="3"/>
    <x v="2"/>
    <x v="4"/>
    <n v="29"/>
    <x v="0"/>
  </r>
  <r>
    <d v="2022-12-29T00:00:00"/>
    <x v="3"/>
    <x v="2"/>
    <x v="0"/>
    <n v="622692433.41999996"/>
    <x v="3"/>
    <x v="2"/>
    <x v="0"/>
    <x v="10"/>
    <x v="2"/>
    <x v="2"/>
    <x v="3"/>
    <x v="2"/>
    <x v="4"/>
    <n v="29"/>
    <x v="0"/>
  </r>
  <r>
    <d v="2022-12-29T00:00:00"/>
    <x v="3"/>
    <x v="1"/>
    <x v="0"/>
    <n v="14672832.9"/>
    <x v="3"/>
    <x v="1"/>
    <x v="0"/>
    <x v="11"/>
    <x v="2"/>
    <x v="2"/>
    <x v="3"/>
    <x v="2"/>
    <x v="4"/>
    <n v="29"/>
    <x v="0"/>
  </r>
  <r>
    <d v="2022-12-29T00:00:00"/>
    <x v="3"/>
    <x v="2"/>
    <x v="1"/>
    <n v="19299925759.5"/>
    <x v="3"/>
    <x v="2"/>
    <x v="1"/>
    <x v="12"/>
    <x v="2"/>
    <x v="2"/>
    <x v="3"/>
    <x v="2"/>
    <x v="4"/>
    <n v="29"/>
    <x v="0"/>
  </r>
  <r>
    <d v="2022-12-28T00:00:00"/>
    <x v="0"/>
    <x v="0"/>
    <x v="0"/>
    <n v="0.13"/>
    <x v="0"/>
    <x v="0"/>
    <x v="0"/>
    <x v="0"/>
    <x v="2"/>
    <x v="2"/>
    <x v="3"/>
    <x v="2"/>
    <x v="4"/>
    <n v="28"/>
    <x v="0"/>
  </r>
  <r>
    <d v="2022-12-28T00:00:00"/>
    <x v="1"/>
    <x v="1"/>
    <x v="0"/>
    <n v="1355.5"/>
    <x v="1"/>
    <x v="1"/>
    <x v="0"/>
    <x v="1"/>
    <x v="2"/>
    <x v="2"/>
    <x v="3"/>
    <x v="2"/>
    <x v="4"/>
    <n v="28"/>
    <x v="0"/>
  </r>
  <r>
    <d v="2022-12-28T00:00:00"/>
    <x v="0"/>
    <x v="1"/>
    <x v="0"/>
    <n v="14943129.17"/>
    <x v="0"/>
    <x v="1"/>
    <x v="0"/>
    <x v="2"/>
    <x v="2"/>
    <x v="2"/>
    <x v="3"/>
    <x v="2"/>
    <x v="4"/>
    <n v="28"/>
    <x v="0"/>
  </r>
  <r>
    <d v="2022-12-28T00:00:00"/>
    <x v="2"/>
    <x v="1"/>
    <x v="2"/>
    <n v="46886.27"/>
    <x v="2"/>
    <x v="1"/>
    <x v="2"/>
    <x v="3"/>
    <x v="2"/>
    <x v="2"/>
    <x v="3"/>
    <x v="2"/>
    <x v="4"/>
    <n v="28"/>
    <x v="0"/>
  </r>
  <r>
    <d v="2022-12-28T00:00:00"/>
    <x v="2"/>
    <x v="1"/>
    <x v="0"/>
    <n v="96007592.989999995"/>
    <x v="2"/>
    <x v="1"/>
    <x v="0"/>
    <x v="6"/>
    <x v="2"/>
    <x v="2"/>
    <x v="3"/>
    <x v="2"/>
    <x v="4"/>
    <n v="28"/>
    <x v="0"/>
  </r>
  <r>
    <d v="2022-12-28T00:00:00"/>
    <x v="2"/>
    <x v="1"/>
    <x v="1"/>
    <n v="189137686.56"/>
    <x v="2"/>
    <x v="1"/>
    <x v="1"/>
    <x v="8"/>
    <x v="2"/>
    <x v="2"/>
    <x v="3"/>
    <x v="2"/>
    <x v="4"/>
    <n v="28"/>
    <x v="0"/>
  </r>
  <r>
    <d v="2022-12-28T00:00:00"/>
    <x v="3"/>
    <x v="2"/>
    <x v="2"/>
    <n v="721520.54"/>
    <x v="3"/>
    <x v="2"/>
    <x v="2"/>
    <x v="5"/>
    <x v="2"/>
    <x v="2"/>
    <x v="3"/>
    <x v="2"/>
    <x v="4"/>
    <n v="28"/>
    <x v="0"/>
  </r>
  <r>
    <d v="2022-12-28T00:00:00"/>
    <x v="1"/>
    <x v="0"/>
    <x v="1"/>
    <n v="708511473.66999996"/>
    <x v="1"/>
    <x v="0"/>
    <x v="1"/>
    <x v="9"/>
    <x v="2"/>
    <x v="2"/>
    <x v="3"/>
    <x v="2"/>
    <x v="4"/>
    <n v="28"/>
    <x v="0"/>
  </r>
  <r>
    <d v="2022-12-28T00:00:00"/>
    <x v="1"/>
    <x v="0"/>
    <x v="0"/>
    <n v="54032245.049999997"/>
    <x v="1"/>
    <x v="0"/>
    <x v="0"/>
    <x v="10"/>
    <x v="2"/>
    <x v="2"/>
    <x v="3"/>
    <x v="2"/>
    <x v="4"/>
    <n v="28"/>
    <x v="0"/>
  </r>
  <r>
    <d v="2022-12-28T00:00:00"/>
    <x v="0"/>
    <x v="1"/>
    <x v="1"/>
    <n v="681330.42"/>
    <x v="0"/>
    <x v="1"/>
    <x v="1"/>
    <x v="4"/>
    <x v="2"/>
    <x v="2"/>
    <x v="3"/>
    <x v="2"/>
    <x v="4"/>
    <n v="28"/>
    <x v="0"/>
  </r>
  <r>
    <d v="2022-12-28T00:00:00"/>
    <x v="3"/>
    <x v="3"/>
    <x v="0"/>
    <n v="2170299282.0500002"/>
    <x v="3"/>
    <x v="3"/>
    <x v="0"/>
    <x v="7"/>
    <x v="2"/>
    <x v="2"/>
    <x v="3"/>
    <x v="2"/>
    <x v="4"/>
    <n v="28"/>
    <x v="0"/>
  </r>
  <r>
    <d v="2022-12-28T00:00:00"/>
    <x v="3"/>
    <x v="2"/>
    <x v="0"/>
    <n v="678838376.10000002"/>
    <x v="3"/>
    <x v="2"/>
    <x v="0"/>
    <x v="11"/>
    <x v="2"/>
    <x v="2"/>
    <x v="3"/>
    <x v="2"/>
    <x v="4"/>
    <n v="28"/>
    <x v="0"/>
  </r>
  <r>
    <d v="2022-12-28T00:00:00"/>
    <x v="3"/>
    <x v="1"/>
    <x v="0"/>
    <n v="12734495.1"/>
    <x v="3"/>
    <x v="1"/>
    <x v="0"/>
    <x v="12"/>
    <x v="2"/>
    <x v="2"/>
    <x v="3"/>
    <x v="2"/>
    <x v="4"/>
    <n v="28"/>
    <x v="0"/>
  </r>
  <r>
    <d v="2022-12-28T00:00:00"/>
    <x v="3"/>
    <x v="2"/>
    <x v="1"/>
    <n v="12105869074.120001"/>
    <x v="3"/>
    <x v="2"/>
    <x v="1"/>
    <x v="13"/>
    <x v="2"/>
    <x v="2"/>
    <x v="3"/>
    <x v="2"/>
    <x v="4"/>
    <n v="28"/>
    <x v="0"/>
  </r>
  <r>
    <d v="2022-12-27T00:00:00"/>
    <x v="0"/>
    <x v="0"/>
    <x v="0"/>
    <n v="60"/>
    <x v="0"/>
    <x v="0"/>
    <x v="0"/>
    <x v="0"/>
    <x v="2"/>
    <x v="2"/>
    <x v="3"/>
    <x v="2"/>
    <x v="4"/>
    <n v="27"/>
    <x v="0"/>
  </r>
  <r>
    <d v="2022-12-27T00:00:00"/>
    <x v="0"/>
    <x v="1"/>
    <x v="0"/>
    <n v="7093598.9000000004"/>
    <x v="0"/>
    <x v="1"/>
    <x v="0"/>
    <x v="1"/>
    <x v="2"/>
    <x v="2"/>
    <x v="3"/>
    <x v="2"/>
    <x v="4"/>
    <n v="27"/>
    <x v="0"/>
  </r>
  <r>
    <d v="2022-12-27T00:00:00"/>
    <x v="2"/>
    <x v="1"/>
    <x v="1"/>
    <n v="240070738.11000001"/>
    <x v="2"/>
    <x v="1"/>
    <x v="1"/>
    <x v="8"/>
    <x v="2"/>
    <x v="2"/>
    <x v="3"/>
    <x v="2"/>
    <x v="4"/>
    <n v="27"/>
    <x v="0"/>
  </r>
  <r>
    <d v="2022-12-27T00:00:00"/>
    <x v="1"/>
    <x v="0"/>
    <x v="0"/>
    <n v="33208447.710000001"/>
    <x v="1"/>
    <x v="0"/>
    <x v="0"/>
    <x v="9"/>
    <x v="2"/>
    <x v="2"/>
    <x v="3"/>
    <x v="2"/>
    <x v="4"/>
    <n v="27"/>
    <x v="0"/>
  </r>
  <r>
    <d v="2022-12-27T00:00:00"/>
    <x v="1"/>
    <x v="0"/>
    <x v="1"/>
    <n v="419353067.94999999"/>
    <x v="1"/>
    <x v="0"/>
    <x v="1"/>
    <x v="10"/>
    <x v="2"/>
    <x v="2"/>
    <x v="3"/>
    <x v="2"/>
    <x v="4"/>
    <n v="27"/>
    <x v="0"/>
  </r>
  <r>
    <d v="2022-12-27T00:00:00"/>
    <x v="3"/>
    <x v="3"/>
    <x v="1"/>
    <n v="3325.52"/>
    <x v="3"/>
    <x v="3"/>
    <x v="1"/>
    <x v="2"/>
    <x v="2"/>
    <x v="2"/>
    <x v="3"/>
    <x v="2"/>
    <x v="4"/>
    <n v="27"/>
    <x v="0"/>
  </r>
  <r>
    <d v="2022-12-27T00:00:00"/>
    <x v="0"/>
    <x v="1"/>
    <x v="1"/>
    <n v="1024307.82"/>
    <x v="0"/>
    <x v="1"/>
    <x v="1"/>
    <x v="3"/>
    <x v="2"/>
    <x v="2"/>
    <x v="3"/>
    <x v="2"/>
    <x v="4"/>
    <n v="27"/>
    <x v="0"/>
  </r>
  <r>
    <d v="2022-12-27T00:00:00"/>
    <x v="2"/>
    <x v="1"/>
    <x v="2"/>
    <n v="30560"/>
    <x v="2"/>
    <x v="1"/>
    <x v="2"/>
    <x v="4"/>
    <x v="2"/>
    <x v="2"/>
    <x v="3"/>
    <x v="2"/>
    <x v="4"/>
    <n v="27"/>
    <x v="0"/>
  </r>
  <r>
    <d v="2022-12-27T00:00:00"/>
    <x v="3"/>
    <x v="2"/>
    <x v="2"/>
    <n v="489112"/>
    <x v="3"/>
    <x v="2"/>
    <x v="2"/>
    <x v="5"/>
    <x v="2"/>
    <x v="2"/>
    <x v="3"/>
    <x v="2"/>
    <x v="4"/>
    <n v="27"/>
    <x v="0"/>
  </r>
  <r>
    <d v="2022-12-27T00:00:00"/>
    <x v="2"/>
    <x v="1"/>
    <x v="0"/>
    <n v="47759999.75"/>
    <x v="2"/>
    <x v="1"/>
    <x v="0"/>
    <x v="7"/>
    <x v="2"/>
    <x v="2"/>
    <x v="3"/>
    <x v="2"/>
    <x v="4"/>
    <n v="27"/>
    <x v="0"/>
  </r>
  <r>
    <d v="2022-12-27T00:00:00"/>
    <x v="3"/>
    <x v="3"/>
    <x v="0"/>
    <n v="1983283274.8"/>
    <x v="3"/>
    <x v="3"/>
    <x v="0"/>
    <x v="6"/>
    <x v="2"/>
    <x v="2"/>
    <x v="3"/>
    <x v="2"/>
    <x v="4"/>
    <n v="27"/>
    <x v="0"/>
  </r>
  <r>
    <d v="2022-12-27T00:00:00"/>
    <x v="3"/>
    <x v="2"/>
    <x v="0"/>
    <n v="410310912.70999998"/>
    <x v="3"/>
    <x v="2"/>
    <x v="0"/>
    <x v="11"/>
    <x v="2"/>
    <x v="2"/>
    <x v="3"/>
    <x v="2"/>
    <x v="4"/>
    <n v="27"/>
    <x v="0"/>
  </r>
  <r>
    <d v="2022-12-27T00:00:00"/>
    <x v="3"/>
    <x v="2"/>
    <x v="1"/>
    <n v="31546140806.130001"/>
    <x v="3"/>
    <x v="2"/>
    <x v="1"/>
    <x v="12"/>
    <x v="2"/>
    <x v="2"/>
    <x v="3"/>
    <x v="2"/>
    <x v="4"/>
    <n v="27"/>
    <x v="0"/>
  </r>
  <r>
    <d v="2022-12-27T00:00:00"/>
    <x v="3"/>
    <x v="1"/>
    <x v="0"/>
    <n v="38001250.609999999"/>
    <x v="3"/>
    <x v="1"/>
    <x v="0"/>
    <x v="13"/>
    <x v="2"/>
    <x v="2"/>
    <x v="3"/>
    <x v="2"/>
    <x v="4"/>
    <n v="27"/>
    <x v="0"/>
  </r>
  <r>
    <d v="2022-12-23T00:00:00"/>
    <x v="1"/>
    <x v="1"/>
    <x v="0"/>
    <n v="163071"/>
    <x v="1"/>
    <x v="1"/>
    <x v="0"/>
    <x v="0"/>
    <x v="2"/>
    <x v="2"/>
    <x v="3"/>
    <x v="2"/>
    <x v="4"/>
    <n v="23"/>
    <x v="0"/>
  </r>
  <r>
    <d v="2022-12-23T00:00:00"/>
    <x v="0"/>
    <x v="1"/>
    <x v="0"/>
    <n v="7070630.0199999996"/>
    <x v="0"/>
    <x v="1"/>
    <x v="0"/>
    <x v="1"/>
    <x v="2"/>
    <x v="2"/>
    <x v="3"/>
    <x v="2"/>
    <x v="4"/>
    <n v="23"/>
    <x v="0"/>
  </r>
  <r>
    <d v="2022-12-23T00:00:00"/>
    <x v="3"/>
    <x v="3"/>
    <x v="0"/>
    <n v="1388081450.8299999"/>
    <x v="3"/>
    <x v="3"/>
    <x v="0"/>
    <x v="6"/>
    <x v="2"/>
    <x v="2"/>
    <x v="3"/>
    <x v="2"/>
    <x v="4"/>
    <n v="23"/>
    <x v="0"/>
  </r>
  <r>
    <d v="2022-12-23T00:00:00"/>
    <x v="2"/>
    <x v="1"/>
    <x v="1"/>
    <n v="290467930.43000001"/>
    <x v="2"/>
    <x v="1"/>
    <x v="1"/>
    <x v="7"/>
    <x v="2"/>
    <x v="2"/>
    <x v="3"/>
    <x v="2"/>
    <x v="4"/>
    <n v="23"/>
    <x v="0"/>
  </r>
  <r>
    <d v="2022-12-23T00:00:00"/>
    <x v="1"/>
    <x v="0"/>
    <x v="0"/>
    <n v="52710395.270000003"/>
    <x v="1"/>
    <x v="0"/>
    <x v="0"/>
    <x v="8"/>
    <x v="2"/>
    <x v="2"/>
    <x v="3"/>
    <x v="2"/>
    <x v="4"/>
    <n v="23"/>
    <x v="0"/>
  </r>
  <r>
    <d v="2022-12-23T00:00:00"/>
    <x v="1"/>
    <x v="0"/>
    <x v="1"/>
    <n v="291754879.29000002"/>
    <x v="1"/>
    <x v="0"/>
    <x v="1"/>
    <x v="9"/>
    <x v="2"/>
    <x v="2"/>
    <x v="3"/>
    <x v="2"/>
    <x v="4"/>
    <n v="23"/>
    <x v="0"/>
  </r>
  <r>
    <d v="2022-12-23T00:00:00"/>
    <x v="0"/>
    <x v="1"/>
    <x v="1"/>
    <n v="9245297.9399999995"/>
    <x v="0"/>
    <x v="1"/>
    <x v="1"/>
    <x v="2"/>
    <x v="2"/>
    <x v="2"/>
    <x v="3"/>
    <x v="2"/>
    <x v="4"/>
    <n v="23"/>
    <x v="0"/>
  </r>
  <r>
    <d v="2022-12-23T00:00:00"/>
    <x v="2"/>
    <x v="1"/>
    <x v="2"/>
    <n v="31766"/>
    <x v="2"/>
    <x v="1"/>
    <x v="2"/>
    <x v="3"/>
    <x v="2"/>
    <x v="2"/>
    <x v="3"/>
    <x v="2"/>
    <x v="4"/>
    <n v="23"/>
    <x v="0"/>
  </r>
  <r>
    <d v="2022-12-23T00:00:00"/>
    <x v="3"/>
    <x v="2"/>
    <x v="2"/>
    <n v="932668.01"/>
    <x v="3"/>
    <x v="2"/>
    <x v="2"/>
    <x v="4"/>
    <x v="2"/>
    <x v="2"/>
    <x v="3"/>
    <x v="2"/>
    <x v="4"/>
    <n v="23"/>
    <x v="0"/>
  </r>
  <r>
    <d v="2022-12-23T00:00:00"/>
    <x v="2"/>
    <x v="1"/>
    <x v="0"/>
    <n v="72762924.060000002"/>
    <x v="2"/>
    <x v="1"/>
    <x v="0"/>
    <x v="5"/>
    <x v="2"/>
    <x v="2"/>
    <x v="3"/>
    <x v="2"/>
    <x v="4"/>
    <n v="23"/>
    <x v="0"/>
  </r>
  <r>
    <d v="2022-12-23T00:00:00"/>
    <x v="3"/>
    <x v="1"/>
    <x v="0"/>
    <n v="18043584.859999999"/>
    <x v="3"/>
    <x v="1"/>
    <x v="0"/>
    <x v="10"/>
    <x v="2"/>
    <x v="2"/>
    <x v="3"/>
    <x v="2"/>
    <x v="4"/>
    <n v="23"/>
    <x v="0"/>
  </r>
  <r>
    <d v="2022-12-23T00:00:00"/>
    <x v="3"/>
    <x v="2"/>
    <x v="0"/>
    <n v="336306438.10000002"/>
    <x v="3"/>
    <x v="2"/>
    <x v="0"/>
    <x v="11"/>
    <x v="2"/>
    <x v="2"/>
    <x v="3"/>
    <x v="2"/>
    <x v="4"/>
    <n v="23"/>
    <x v="0"/>
  </r>
  <r>
    <d v="2022-12-23T00:00:00"/>
    <x v="3"/>
    <x v="2"/>
    <x v="1"/>
    <n v="16746578842.790001"/>
    <x v="3"/>
    <x v="2"/>
    <x v="1"/>
    <x v="12"/>
    <x v="2"/>
    <x v="2"/>
    <x v="3"/>
    <x v="2"/>
    <x v="4"/>
    <n v="23"/>
    <x v="0"/>
  </r>
  <r>
    <d v="2022-12-22T00:00:00"/>
    <x v="1"/>
    <x v="1"/>
    <x v="0"/>
    <n v="507"/>
    <x v="1"/>
    <x v="1"/>
    <x v="0"/>
    <x v="0"/>
    <x v="2"/>
    <x v="2"/>
    <x v="3"/>
    <x v="2"/>
    <x v="4"/>
    <n v="22"/>
    <x v="0"/>
  </r>
  <r>
    <d v="2022-12-22T00:00:00"/>
    <x v="0"/>
    <x v="1"/>
    <x v="0"/>
    <n v="15118941.539999999"/>
    <x v="0"/>
    <x v="1"/>
    <x v="0"/>
    <x v="1"/>
    <x v="2"/>
    <x v="2"/>
    <x v="3"/>
    <x v="2"/>
    <x v="4"/>
    <n v="22"/>
    <x v="0"/>
  </r>
  <r>
    <d v="2022-12-22T00:00:00"/>
    <x v="2"/>
    <x v="1"/>
    <x v="0"/>
    <n v="85299948.049999997"/>
    <x v="2"/>
    <x v="1"/>
    <x v="0"/>
    <x v="5"/>
    <x v="2"/>
    <x v="2"/>
    <x v="3"/>
    <x v="2"/>
    <x v="4"/>
    <n v="22"/>
    <x v="0"/>
  </r>
  <r>
    <d v="2022-12-22T00:00:00"/>
    <x v="3"/>
    <x v="3"/>
    <x v="0"/>
    <n v="1635554410.25"/>
    <x v="3"/>
    <x v="3"/>
    <x v="0"/>
    <x v="6"/>
    <x v="2"/>
    <x v="2"/>
    <x v="3"/>
    <x v="2"/>
    <x v="4"/>
    <n v="22"/>
    <x v="0"/>
  </r>
  <r>
    <d v="2022-12-22T00:00:00"/>
    <x v="2"/>
    <x v="1"/>
    <x v="2"/>
    <n v="51283.44"/>
    <x v="2"/>
    <x v="1"/>
    <x v="2"/>
    <x v="3"/>
    <x v="2"/>
    <x v="2"/>
    <x v="3"/>
    <x v="2"/>
    <x v="4"/>
    <n v="22"/>
    <x v="0"/>
  </r>
  <r>
    <d v="2022-12-22T00:00:00"/>
    <x v="1"/>
    <x v="0"/>
    <x v="1"/>
    <n v="673902915.66999996"/>
    <x v="1"/>
    <x v="0"/>
    <x v="1"/>
    <x v="7"/>
    <x v="2"/>
    <x v="2"/>
    <x v="3"/>
    <x v="2"/>
    <x v="4"/>
    <n v="22"/>
    <x v="0"/>
  </r>
  <r>
    <d v="2022-12-22T00:00:00"/>
    <x v="2"/>
    <x v="1"/>
    <x v="1"/>
    <n v="425396481.13999999"/>
    <x v="2"/>
    <x v="1"/>
    <x v="1"/>
    <x v="8"/>
    <x v="2"/>
    <x v="2"/>
    <x v="3"/>
    <x v="2"/>
    <x v="4"/>
    <n v="22"/>
    <x v="0"/>
  </r>
  <r>
    <d v="2022-12-22T00:00:00"/>
    <x v="0"/>
    <x v="1"/>
    <x v="1"/>
    <n v="2062900.98"/>
    <x v="0"/>
    <x v="1"/>
    <x v="1"/>
    <x v="2"/>
    <x v="2"/>
    <x v="2"/>
    <x v="3"/>
    <x v="2"/>
    <x v="4"/>
    <n v="22"/>
    <x v="0"/>
  </r>
  <r>
    <d v="2022-12-22T00:00:00"/>
    <x v="3"/>
    <x v="2"/>
    <x v="2"/>
    <n v="1180729.68"/>
    <x v="3"/>
    <x v="2"/>
    <x v="2"/>
    <x v="4"/>
    <x v="2"/>
    <x v="2"/>
    <x v="3"/>
    <x v="2"/>
    <x v="4"/>
    <n v="22"/>
    <x v="0"/>
  </r>
  <r>
    <d v="2022-12-22T00:00:00"/>
    <x v="1"/>
    <x v="0"/>
    <x v="0"/>
    <n v="80410737.25"/>
    <x v="1"/>
    <x v="0"/>
    <x v="0"/>
    <x v="9"/>
    <x v="2"/>
    <x v="2"/>
    <x v="3"/>
    <x v="2"/>
    <x v="4"/>
    <n v="22"/>
    <x v="0"/>
  </r>
  <r>
    <d v="2022-12-22T00:00:00"/>
    <x v="3"/>
    <x v="1"/>
    <x v="0"/>
    <n v="18909010.739999998"/>
    <x v="3"/>
    <x v="1"/>
    <x v="0"/>
    <x v="10"/>
    <x v="2"/>
    <x v="2"/>
    <x v="3"/>
    <x v="2"/>
    <x v="4"/>
    <n v="22"/>
    <x v="0"/>
  </r>
  <r>
    <d v="2022-12-22T00:00:00"/>
    <x v="3"/>
    <x v="2"/>
    <x v="0"/>
    <n v="5652230969.6199999"/>
    <x v="3"/>
    <x v="2"/>
    <x v="0"/>
    <x v="11"/>
    <x v="2"/>
    <x v="2"/>
    <x v="3"/>
    <x v="2"/>
    <x v="4"/>
    <n v="22"/>
    <x v="0"/>
  </r>
  <r>
    <d v="2022-12-22T00:00:00"/>
    <x v="3"/>
    <x v="2"/>
    <x v="1"/>
    <n v="8309942765.8599997"/>
    <x v="3"/>
    <x v="2"/>
    <x v="1"/>
    <x v="12"/>
    <x v="2"/>
    <x v="2"/>
    <x v="3"/>
    <x v="2"/>
    <x v="4"/>
    <n v="22"/>
    <x v="0"/>
  </r>
  <r>
    <d v="2022-12-21T00:00:00"/>
    <x v="3"/>
    <x v="2"/>
    <x v="2"/>
    <n v="841704.27"/>
    <x v="3"/>
    <x v="2"/>
    <x v="2"/>
    <x v="4"/>
    <x v="2"/>
    <x v="2"/>
    <x v="3"/>
    <x v="2"/>
    <x v="4"/>
    <n v="21"/>
    <x v="0"/>
  </r>
  <r>
    <d v="2022-12-21T00:00:00"/>
    <x v="1"/>
    <x v="1"/>
    <x v="0"/>
    <n v="16387.599999999999"/>
    <x v="1"/>
    <x v="1"/>
    <x v="0"/>
    <x v="0"/>
    <x v="2"/>
    <x v="2"/>
    <x v="3"/>
    <x v="2"/>
    <x v="4"/>
    <n v="21"/>
    <x v="0"/>
  </r>
  <r>
    <d v="2022-12-21T00:00:00"/>
    <x v="0"/>
    <x v="1"/>
    <x v="0"/>
    <n v="7148630.2400000002"/>
    <x v="0"/>
    <x v="1"/>
    <x v="0"/>
    <x v="1"/>
    <x v="2"/>
    <x v="2"/>
    <x v="3"/>
    <x v="2"/>
    <x v="4"/>
    <n v="21"/>
    <x v="0"/>
  </r>
  <r>
    <d v="2022-12-21T00:00:00"/>
    <x v="2"/>
    <x v="1"/>
    <x v="0"/>
    <n v="75146196.640000001"/>
    <x v="2"/>
    <x v="1"/>
    <x v="0"/>
    <x v="5"/>
    <x v="2"/>
    <x v="2"/>
    <x v="3"/>
    <x v="2"/>
    <x v="4"/>
    <n v="21"/>
    <x v="0"/>
  </r>
  <r>
    <d v="2022-12-21T00:00:00"/>
    <x v="2"/>
    <x v="1"/>
    <x v="2"/>
    <n v="109725.79"/>
    <x v="2"/>
    <x v="1"/>
    <x v="2"/>
    <x v="2"/>
    <x v="2"/>
    <x v="2"/>
    <x v="3"/>
    <x v="2"/>
    <x v="4"/>
    <n v="21"/>
    <x v="0"/>
  </r>
  <r>
    <d v="2022-12-21T00:00:00"/>
    <x v="2"/>
    <x v="1"/>
    <x v="1"/>
    <n v="496425418.95999998"/>
    <x v="2"/>
    <x v="1"/>
    <x v="1"/>
    <x v="6"/>
    <x v="2"/>
    <x v="2"/>
    <x v="3"/>
    <x v="2"/>
    <x v="4"/>
    <n v="21"/>
    <x v="0"/>
  </r>
  <r>
    <d v="2022-12-21T00:00:00"/>
    <x v="3"/>
    <x v="3"/>
    <x v="0"/>
    <n v="2377941477.7399998"/>
    <x v="3"/>
    <x v="3"/>
    <x v="0"/>
    <x v="7"/>
    <x v="2"/>
    <x v="2"/>
    <x v="3"/>
    <x v="2"/>
    <x v="4"/>
    <n v="21"/>
    <x v="0"/>
  </r>
  <r>
    <d v="2022-12-21T00:00:00"/>
    <x v="1"/>
    <x v="0"/>
    <x v="0"/>
    <n v="84555430.060000002"/>
    <x v="1"/>
    <x v="0"/>
    <x v="0"/>
    <x v="8"/>
    <x v="2"/>
    <x v="2"/>
    <x v="3"/>
    <x v="2"/>
    <x v="4"/>
    <n v="21"/>
    <x v="0"/>
  </r>
  <r>
    <d v="2022-12-21T00:00:00"/>
    <x v="1"/>
    <x v="0"/>
    <x v="1"/>
    <n v="1306729584.74"/>
    <x v="1"/>
    <x v="0"/>
    <x v="1"/>
    <x v="9"/>
    <x v="2"/>
    <x v="2"/>
    <x v="3"/>
    <x v="2"/>
    <x v="4"/>
    <n v="21"/>
    <x v="0"/>
  </r>
  <r>
    <d v="2022-12-21T00:00:00"/>
    <x v="0"/>
    <x v="1"/>
    <x v="1"/>
    <n v="17450016.93"/>
    <x v="0"/>
    <x v="1"/>
    <x v="1"/>
    <x v="3"/>
    <x v="2"/>
    <x v="2"/>
    <x v="3"/>
    <x v="2"/>
    <x v="4"/>
    <n v="21"/>
    <x v="0"/>
  </r>
  <r>
    <d v="2022-12-21T00:00:00"/>
    <x v="3"/>
    <x v="1"/>
    <x v="0"/>
    <n v="18817401.48"/>
    <x v="3"/>
    <x v="1"/>
    <x v="0"/>
    <x v="10"/>
    <x v="2"/>
    <x v="2"/>
    <x v="3"/>
    <x v="2"/>
    <x v="4"/>
    <n v="21"/>
    <x v="0"/>
  </r>
  <r>
    <d v="2022-12-21T00:00:00"/>
    <x v="3"/>
    <x v="2"/>
    <x v="0"/>
    <n v="422156273.92000002"/>
    <x v="3"/>
    <x v="2"/>
    <x v="0"/>
    <x v="11"/>
    <x v="2"/>
    <x v="2"/>
    <x v="3"/>
    <x v="2"/>
    <x v="4"/>
    <n v="21"/>
    <x v="0"/>
  </r>
  <r>
    <d v="2022-12-21T00:00:00"/>
    <x v="3"/>
    <x v="2"/>
    <x v="1"/>
    <n v="20799956107.939999"/>
    <x v="3"/>
    <x v="2"/>
    <x v="1"/>
    <x v="12"/>
    <x v="2"/>
    <x v="2"/>
    <x v="3"/>
    <x v="2"/>
    <x v="4"/>
    <n v="21"/>
    <x v="0"/>
  </r>
  <r>
    <d v="2022-12-20T00:00:00"/>
    <x v="1"/>
    <x v="1"/>
    <x v="0"/>
    <n v="2570.34"/>
    <x v="1"/>
    <x v="1"/>
    <x v="0"/>
    <x v="0"/>
    <x v="2"/>
    <x v="2"/>
    <x v="3"/>
    <x v="2"/>
    <x v="4"/>
    <n v="20"/>
    <x v="0"/>
  </r>
  <r>
    <d v="2022-12-20T00:00:00"/>
    <x v="0"/>
    <x v="1"/>
    <x v="0"/>
    <n v="17021682.030000001"/>
    <x v="0"/>
    <x v="1"/>
    <x v="0"/>
    <x v="1"/>
    <x v="2"/>
    <x v="2"/>
    <x v="3"/>
    <x v="2"/>
    <x v="4"/>
    <n v="20"/>
    <x v="0"/>
  </r>
  <r>
    <d v="2022-12-20T00:00:00"/>
    <x v="2"/>
    <x v="1"/>
    <x v="0"/>
    <n v="63228021.030000001"/>
    <x v="2"/>
    <x v="1"/>
    <x v="0"/>
    <x v="5"/>
    <x v="2"/>
    <x v="2"/>
    <x v="3"/>
    <x v="2"/>
    <x v="4"/>
    <n v="20"/>
    <x v="0"/>
  </r>
  <r>
    <d v="2022-12-20T00:00:00"/>
    <x v="2"/>
    <x v="1"/>
    <x v="2"/>
    <n v="32010.5"/>
    <x v="2"/>
    <x v="1"/>
    <x v="2"/>
    <x v="2"/>
    <x v="2"/>
    <x v="2"/>
    <x v="3"/>
    <x v="2"/>
    <x v="4"/>
    <n v="20"/>
    <x v="0"/>
  </r>
  <r>
    <d v="2022-12-20T00:00:00"/>
    <x v="1"/>
    <x v="0"/>
    <x v="1"/>
    <n v="386757120.85000002"/>
    <x v="1"/>
    <x v="0"/>
    <x v="1"/>
    <x v="8"/>
    <x v="2"/>
    <x v="2"/>
    <x v="3"/>
    <x v="2"/>
    <x v="4"/>
    <n v="20"/>
    <x v="0"/>
  </r>
  <r>
    <d v="2022-12-20T00:00:00"/>
    <x v="3"/>
    <x v="2"/>
    <x v="2"/>
    <n v="631853.61"/>
    <x v="3"/>
    <x v="2"/>
    <x v="2"/>
    <x v="4"/>
    <x v="2"/>
    <x v="2"/>
    <x v="3"/>
    <x v="2"/>
    <x v="4"/>
    <n v="20"/>
    <x v="0"/>
  </r>
  <r>
    <d v="2022-12-20T00:00:00"/>
    <x v="0"/>
    <x v="1"/>
    <x v="1"/>
    <n v="5581081.8399999999"/>
    <x v="0"/>
    <x v="1"/>
    <x v="1"/>
    <x v="3"/>
    <x v="2"/>
    <x v="2"/>
    <x v="3"/>
    <x v="2"/>
    <x v="4"/>
    <n v="20"/>
    <x v="0"/>
  </r>
  <r>
    <d v="2022-12-20T00:00:00"/>
    <x v="3"/>
    <x v="3"/>
    <x v="0"/>
    <n v="3194730902.9899998"/>
    <x v="3"/>
    <x v="3"/>
    <x v="0"/>
    <x v="6"/>
    <x v="2"/>
    <x v="2"/>
    <x v="3"/>
    <x v="2"/>
    <x v="4"/>
    <n v="20"/>
    <x v="0"/>
  </r>
  <r>
    <d v="2022-12-20T00:00:00"/>
    <x v="2"/>
    <x v="1"/>
    <x v="1"/>
    <n v="290352643.44"/>
    <x v="2"/>
    <x v="1"/>
    <x v="1"/>
    <x v="7"/>
    <x v="2"/>
    <x v="2"/>
    <x v="3"/>
    <x v="2"/>
    <x v="4"/>
    <n v="20"/>
    <x v="0"/>
  </r>
  <r>
    <d v="2022-12-20T00:00:00"/>
    <x v="1"/>
    <x v="0"/>
    <x v="0"/>
    <n v="56581379.719999999"/>
    <x v="1"/>
    <x v="0"/>
    <x v="0"/>
    <x v="9"/>
    <x v="2"/>
    <x v="2"/>
    <x v="3"/>
    <x v="2"/>
    <x v="4"/>
    <n v="20"/>
    <x v="0"/>
  </r>
  <r>
    <d v="2022-12-20T00:00:00"/>
    <x v="3"/>
    <x v="1"/>
    <x v="0"/>
    <n v="13901099.57"/>
    <x v="3"/>
    <x v="1"/>
    <x v="0"/>
    <x v="10"/>
    <x v="2"/>
    <x v="2"/>
    <x v="3"/>
    <x v="2"/>
    <x v="4"/>
    <n v="20"/>
    <x v="0"/>
  </r>
  <r>
    <d v="2022-12-20T00:00:00"/>
    <x v="3"/>
    <x v="2"/>
    <x v="0"/>
    <n v="742670687.57000005"/>
    <x v="3"/>
    <x v="2"/>
    <x v="0"/>
    <x v="11"/>
    <x v="2"/>
    <x v="2"/>
    <x v="3"/>
    <x v="2"/>
    <x v="4"/>
    <n v="20"/>
    <x v="0"/>
  </r>
  <r>
    <d v="2022-12-20T00:00:00"/>
    <x v="3"/>
    <x v="2"/>
    <x v="1"/>
    <n v="7201124555.0299997"/>
    <x v="3"/>
    <x v="2"/>
    <x v="1"/>
    <x v="12"/>
    <x v="2"/>
    <x v="2"/>
    <x v="3"/>
    <x v="2"/>
    <x v="4"/>
    <n v="20"/>
    <x v="0"/>
  </r>
  <r>
    <d v="2022-12-19T00:00:00"/>
    <x v="1"/>
    <x v="1"/>
    <x v="0"/>
    <n v="1993.06"/>
    <x v="1"/>
    <x v="1"/>
    <x v="0"/>
    <x v="0"/>
    <x v="2"/>
    <x v="2"/>
    <x v="3"/>
    <x v="2"/>
    <x v="4"/>
    <n v="19"/>
    <x v="0"/>
  </r>
  <r>
    <d v="2022-12-19T00:00:00"/>
    <x v="0"/>
    <x v="1"/>
    <x v="0"/>
    <n v="11933789.41"/>
    <x v="0"/>
    <x v="1"/>
    <x v="0"/>
    <x v="1"/>
    <x v="2"/>
    <x v="2"/>
    <x v="3"/>
    <x v="2"/>
    <x v="4"/>
    <n v="19"/>
    <x v="0"/>
  </r>
  <r>
    <d v="2022-12-19T00:00:00"/>
    <x v="2"/>
    <x v="1"/>
    <x v="2"/>
    <n v="32189"/>
    <x v="2"/>
    <x v="1"/>
    <x v="2"/>
    <x v="2"/>
    <x v="2"/>
    <x v="2"/>
    <x v="3"/>
    <x v="2"/>
    <x v="4"/>
    <n v="19"/>
    <x v="0"/>
  </r>
  <r>
    <d v="2022-12-19T00:00:00"/>
    <x v="3"/>
    <x v="3"/>
    <x v="0"/>
    <n v="1024144129.41"/>
    <x v="3"/>
    <x v="3"/>
    <x v="0"/>
    <x v="6"/>
    <x v="2"/>
    <x v="2"/>
    <x v="3"/>
    <x v="2"/>
    <x v="4"/>
    <n v="19"/>
    <x v="0"/>
  </r>
  <r>
    <d v="2022-12-19T00:00:00"/>
    <x v="3"/>
    <x v="2"/>
    <x v="2"/>
    <n v="549658.14"/>
    <x v="3"/>
    <x v="2"/>
    <x v="2"/>
    <x v="4"/>
    <x v="2"/>
    <x v="2"/>
    <x v="3"/>
    <x v="2"/>
    <x v="4"/>
    <n v="19"/>
    <x v="0"/>
  </r>
  <r>
    <d v="2022-12-19T00:00:00"/>
    <x v="1"/>
    <x v="0"/>
    <x v="1"/>
    <n v="267448377.41999999"/>
    <x v="1"/>
    <x v="0"/>
    <x v="1"/>
    <x v="8"/>
    <x v="2"/>
    <x v="2"/>
    <x v="3"/>
    <x v="2"/>
    <x v="4"/>
    <n v="19"/>
    <x v="0"/>
  </r>
  <r>
    <d v="2022-12-19T00:00:00"/>
    <x v="0"/>
    <x v="1"/>
    <x v="1"/>
    <n v="2822750.97"/>
    <x v="0"/>
    <x v="1"/>
    <x v="1"/>
    <x v="3"/>
    <x v="2"/>
    <x v="2"/>
    <x v="3"/>
    <x v="2"/>
    <x v="4"/>
    <n v="19"/>
    <x v="0"/>
  </r>
  <r>
    <d v="2022-12-19T00:00:00"/>
    <x v="1"/>
    <x v="0"/>
    <x v="0"/>
    <n v="54450265.780000001"/>
    <x v="1"/>
    <x v="0"/>
    <x v="0"/>
    <x v="9"/>
    <x v="2"/>
    <x v="2"/>
    <x v="3"/>
    <x v="2"/>
    <x v="4"/>
    <n v="19"/>
    <x v="0"/>
  </r>
  <r>
    <d v="2022-12-19T00:00:00"/>
    <x v="2"/>
    <x v="1"/>
    <x v="0"/>
    <n v="54770182.210000001"/>
    <x v="2"/>
    <x v="1"/>
    <x v="0"/>
    <x v="5"/>
    <x v="2"/>
    <x v="2"/>
    <x v="3"/>
    <x v="2"/>
    <x v="4"/>
    <n v="19"/>
    <x v="0"/>
  </r>
  <r>
    <d v="2022-12-19T00:00:00"/>
    <x v="2"/>
    <x v="1"/>
    <x v="1"/>
    <n v="492307879.74000001"/>
    <x v="2"/>
    <x v="1"/>
    <x v="1"/>
    <x v="7"/>
    <x v="2"/>
    <x v="2"/>
    <x v="3"/>
    <x v="2"/>
    <x v="4"/>
    <n v="19"/>
    <x v="0"/>
  </r>
  <r>
    <d v="2022-12-19T00:00:00"/>
    <x v="3"/>
    <x v="2"/>
    <x v="0"/>
    <n v="404973771.35000002"/>
    <x v="3"/>
    <x v="2"/>
    <x v="0"/>
    <x v="10"/>
    <x v="2"/>
    <x v="2"/>
    <x v="3"/>
    <x v="2"/>
    <x v="4"/>
    <n v="19"/>
    <x v="0"/>
  </r>
  <r>
    <d v="2022-12-19T00:00:00"/>
    <x v="3"/>
    <x v="1"/>
    <x v="0"/>
    <n v="47258064.670000002"/>
    <x v="3"/>
    <x v="1"/>
    <x v="0"/>
    <x v="11"/>
    <x v="2"/>
    <x v="2"/>
    <x v="3"/>
    <x v="2"/>
    <x v="4"/>
    <n v="19"/>
    <x v="0"/>
  </r>
  <r>
    <d v="2022-12-19T00:00:00"/>
    <x v="3"/>
    <x v="2"/>
    <x v="1"/>
    <n v="28111298736.880001"/>
    <x v="3"/>
    <x v="2"/>
    <x v="1"/>
    <x v="12"/>
    <x v="2"/>
    <x v="2"/>
    <x v="3"/>
    <x v="2"/>
    <x v="4"/>
    <n v="19"/>
    <x v="0"/>
  </r>
  <r>
    <d v="2022-12-16T00:00:00"/>
    <x v="1"/>
    <x v="1"/>
    <x v="0"/>
    <n v="3906.64"/>
    <x v="1"/>
    <x v="1"/>
    <x v="0"/>
    <x v="0"/>
    <x v="2"/>
    <x v="2"/>
    <x v="3"/>
    <x v="2"/>
    <x v="4"/>
    <n v="16"/>
    <x v="0"/>
  </r>
  <r>
    <d v="2022-12-16T00:00:00"/>
    <x v="0"/>
    <x v="1"/>
    <x v="0"/>
    <n v="13669840.359999999"/>
    <x v="0"/>
    <x v="1"/>
    <x v="0"/>
    <x v="1"/>
    <x v="2"/>
    <x v="2"/>
    <x v="3"/>
    <x v="2"/>
    <x v="4"/>
    <n v="16"/>
    <x v="0"/>
  </r>
  <r>
    <d v="2022-12-16T00:00:00"/>
    <x v="2"/>
    <x v="1"/>
    <x v="1"/>
    <n v="237026089.71000001"/>
    <x v="2"/>
    <x v="1"/>
    <x v="1"/>
    <x v="7"/>
    <x v="2"/>
    <x v="2"/>
    <x v="3"/>
    <x v="2"/>
    <x v="4"/>
    <n v="16"/>
    <x v="0"/>
  </r>
  <r>
    <d v="2022-12-16T00:00:00"/>
    <x v="0"/>
    <x v="1"/>
    <x v="1"/>
    <n v="2164583.86"/>
    <x v="0"/>
    <x v="1"/>
    <x v="1"/>
    <x v="2"/>
    <x v="2"/>
    <x v="2"/>
    <x v="3"/>
    <x v="2"/>
    <x v="4"/>
    <n v="16"/>
    <x v="0"/>
  </r>
  <r>
    <d v="2022-12-16T00:00:00"/>
    <x v="1"/>
    <x v="0"/>
    <x v="0"/>
    <n v="52948460.969999999"/>
    <x v="1"/>
    <x v="0"/>
    <x v="0"/>
    <x v="8"/>
    <x v="2"/>
    <x v="2"/>
    <x v="3"/>
    <x v="2"/>
    <x v="4"/>
    <n v="16"/>
    <x v="0"/>
  </r>
  <r>
    <d v="2022-12-16T00:00:00"/>
    <x v="2"/>
    <x v="1"/>
    <x v="2"/>
    <n v="31621.35"/>
    <x v="2"/>
    <x v="1"/>
    <x v="2"/>
    <x v="3"/>
    <x v="2"/>
    <x v="2"/>
    <x v="3"/>
    <x v="2"/>
    <x v="4"/>
    <n v="16"/>
    <x v="0"/>
  </r>
  <r>
    <d v="2022-12-16T00:00:00"/>
    <x v="3"/>
    <x v="2"/>
    <x v="2"/>
    <n v="1205742.3500000001"/>
    <x v="3"/>
    <x v="2"/>
    <x v="2"/>
    <x v="4"/>
    <x v="2"/>
    <x v="2"/>
    <x v="3"/>
    <x v="2"/>
    <x v="4"/>
    <n v="16"/>
    <x v="0"/>
  </r>
  <r>
    <d v="2022-12-16T00:00:00"/>
    <x v="3"/>
    <x v="3"/>
    <x v="0"/>
    <n v="1014707314.4299999"/>
    <x v="3"/>
    <x v="3"/>
    <x v="0"/>
    <x v="5"/>
    <x v="2"/>
    <x v="2"/>
    <x v="3"/>
    <x v="2"/>
    <x v="4"/>
    <n v="16"/>
    <x v="0"/>
  </r>
  <r>
    <d v="2022-12-16T00:00:00"/>
    <x v="2"/>
    <x v="1"/>
    <x v="0"/>
    <n v="59526903.590000004"/>
    <x v="2"/>
    <x v="1"/>
    <x v="0"/>
    <x v="6"/>
    <x v="2"/>
    <x v="2"/>
    <x v="3"/>
    <x v="2"/>
    <x v="4"/>
    <n v="16"/>
    <x v="0"/>
  </r>
  <r>
    <d v="2022-12-16T00:00:00"/>
    <x v="3"/>
    <x v="1"/>
    <x v="0"/>
    <n v="15293381.779999999"/>
    <x v="3"/>
    <x v="1"/>
    <x v="0"/>
    <x v="9"/>
    <x v="2"/>
    <x v="2"/>
    <x v="3"/>
    <x v="2"/>
    <x v="4"/>
    <n v="16"/>
    <x v="0"/>
  </r>
  <r>
    <d v="2022-12-16T00:00:00"/>
    <x v="3"/>
    <x v="2"/>
    <x v="0"/>
    <n v="375714649.06999999"/>
    <x v="3"/>
    <x v="2"/>
    <x v="0"/>
    <x v="10"/>
    <x v="2"/>
    <x v="2"/>
    <x v="3"/>
    <x v="2"/>
    <x v="4"/>
    <n v="16"/>
    <x v="0"/>
  </r>
  <r>
    <d v="2022-12-16T00:00:00"/>
    <x v="3"/>
    <x v="2"/>
    <x v="1"/>
    <n v="29305206973.66"/>
    <x v="3"/>
    <x v="2"/>
    <x v="1"/>
    <x v="11"/>
    <x v="2"/>
    <x v="2"/>
    <x v="3"/>
    <x v="2"/>
    <x v="4"/>
    <n v="16"/>
    <x v="0"/>
  </r>
  <r>
    <d v="2022-12-16T00:00:00"/>
    <x v="1"/>
    <x v="0"/>
    <x v="1"/>
    <n v="160688566.22999999"/>
    <x v="1"/>
    <x v="0"/>
    <x v="1"/>
    <x v="12"/>
    <x v="2"/>
    <x v="2"/>
    <x v="3"/>
    <x v="2"/>
    <x v="4"/>
    <n v="16"/>
    <x v="0"/>
  </r>
  <r>
    <d v="2022-12-15T00:00:00"/>
    <x v="1"/>
    <x v="1"/>
    <x v="0"/>
    <n v="20"/>
    <x v="1"/>
    <x v="1"/>
    <x v="0"/>
    <x v="0"/>
    <x v="2"/>
    <x v="2"/>
    <x v="3"/>
    <x v="2"/>
    <x v="4"/>
    <n v="15"/>
    <x v="0"/>
  </r>
  <r>
    <d v="2022-12-15T00:00:00"/>
    <x v="0"/>
    <x v="1"/>
    <x v="0"/>
    <n v="12747981.16"/>
    <x v="0"/>
    <x v="1"/>
    <x v="0"/>
    <x v="1"/>
    <x v="2"/>
    <x v="2"/>
    <x v="3"/>
    <x v="2"/>
    <x v="4"/>
    <n v="15"/>
    <x v="0"/>
  </r>
  <r>
    <d v="2022-12-15T00:00:00"/>
    <x v="3"/>
    <x v="2"/>
    <x v="2"/>
    <n v="714632.65"/>
    <x v="3"/>
    <x v="2"/>
    <x v="2"/>
    <x v="5"/>
    <x v="2"/>
    <x v="2"/>
    <x v="3"/>
    <x v="2"/>
    <x v="4"/>
    <n v="15"/>
    <x v="0"/>
  </r>
  <r>
    <d v="2022-12-15T00:00:00"/>
    <x v="2"/>
    <x v="1"/>
    <x v="0"/>
    <n v="90252563.799999997"/>
    <x v="2"/>
    <x v="1"/>
    <x v="0"/>
    <x v="6"/>
    <x v="2"/>
    <x v="2"/>
    <x v="3"/>
    <x v="2"/>
    <x v="4"/>
    <n v="15"/>
    <x v="0"/>
  </r>
  <r>
    <d v="2022-12-15T00:00:00"/>
    <x v="2"/>
    <x v="1"/>
    <x v="2"/>
    <n v="34565.9"/>
    <x v="2"/>
    <x v="1"/>
    <x v="2"/>
    <x v="2"/>
    <x v="2"/>
    <x v="2"/>
    <x v="3"/>
    <x v="2"/>
    <x v="4"/>
    <n v="15"/>
    <x v="0"/>
  </r>
  <r>
    <d v="2022-12-15T00:00:00"/>
    <x v="3"/>
    <x v="3"/>
    <x v="0"/>
    <n v="1916411792.3699999"/>
    <x v="3"/>
    <x v="3"/>
    <x v="0"/>
    <x v="7"/>
    <x v="2"/>
    <x v="2"/>
    <x v="3"/>
    <x v="2"/>
    <x v="4"/>
    <n v="15"/>
    <x v="0"/>
  </r>
  <r>
    <d v="2022-12-15T00:00:00"/>
    <x v="2"/>
    <x v="1"/>
    <x v="1"/>
    <n v="618955819.01999998"/>
    <x v="2"/>
    <x v="1"/>
    <x v="1"/>
    <x v="8"/>
    <x v="2"/>
    <x v="2"/>
    <x v="3"/>
    <x v="2"/>
    <x v="4"/>
    <n v="15"/>
    <x v="0"/>
  </r>
  <r>
    <d v="2022-12-15T00:00:00"/>
    <x v="1"/>
    <x v="0"/>
    <x v="1"/>
    <n v="247193514.36000001"/>
    <x v="1"/>
    <x v="0"/>
    <x v="1"/>
    <x v="9"/>
    <x v="2"/>
    <x v="2"/>
    <x v="3"/>
    <x v="2"/>
    <x v="4"/>
    <n v="15"/>
    <x v="0"/>
  </r>
  <r>
    <d v="2022-12-15T00:00:00"/>
    <x v="1"/>
    <x v="0"/>
    <x v="0"/>
    <n v="95000568.269999996"/>
    <x v="1"/>
    <x v="0"/>
    <x v="0"/>
    <x v="10"/>
    <x v="2"/>
    <x v="2"/>
    <x v="3"/>
    <x v="2"/>
    <x v="4"/>
    <n v="15"/>
    <x v="0"/>
  </r>
  <r>
    <d v="2022-12-15T00:00:00"/>
    <x v="3"/>
    <x v="3"/>
    <x v="1"/>
    <n v="3044763.09"/>
    <x v="3"/>
    <x v="3"/>
    <x v="1"/>
    <x v="3"/>
    <x v="2"/>
    <x v="2"/>
    <x v="3"/>
    <x v="2"/>
    <x v="4"/>
    <n v="15"/>
    <x v="0"/>
  </r>
  <r>
    <d v="2022-12-15T00:00:00"/>
    <x v="0"/>
    <x v="1"/>
    <x v="1"/>
    <n v="5236515.34"/>
    <x v="0"/>
    <x v="1"/>
    <x v="1"/>
    <x v="4"/>
    <x v="2"/>
    <x v="2"/>
    <x v="3"/>
    <x v="2"/>
    <x v="4"/>
    <n v="15"/>
    <x v="0"/>
  </r>
  <r>
    <d v="2022-12-15T00:00:00"/>
    <x v="3"/>
    <x v="1"/>
    <x v="0"/>
    <n v="15218335.15"/>
    <x v="3"/>
    <x v="1"/>
    <x v="0"/>
    <x v="11"/>
    <x v="2"/>
    <x v="2"/>
    <x v="3"/>
    <x v="2"/>
    <x v="4"/>
    <n v="15"/>
    <x v="0"/>
  </r>
  <r>
    <d v="2022-12-15T00:00:00"/>
    <x v="3"/>
    <x v="2"/>
    <x v="0"/>
    <n v="569648036.41999996"/>
    <x v="3"/>
    <x v="2"/>
    <x v="0"/>
    <x v="12"/>
    <x v="2"/>
    <x v="2"/>
    <x v="3"/>
    <x v="2"/>
    <x v="4"/>
    <n v="15"/>
    <x v="0"/>
  </r>
  <r>
    <d v="2022-12-15T00:00:00"/>
    <x v="3"/>
    <x v="2"/>
    <x v="1"/>
    <n v="74906628037.919998"/>
    <x v="3"/>
    <x v="2"/>
    <x v="1"/>
    <x v="13"/>
    <x v="2"/>
    <x v="2"/>
    <x v="3"/>
    <x v="2"/>
    <x v="4"/>
    <n v="15"/>
    <x v="0"/>
  </r>
  <r>
    <d v="2022-12-14T00:00:00"/>
    <x v="0"/>
    <x v="0"/>
    <x v="0"/>
    <n v="100"/>
    <x v="0"/>
    <x v="0"/>
    <x v="0"/>
    <x v="0"/>
    <x v="2"/>
    <x v="2"/>
    <x v="3"/>
    <x v="2"/>
    <x v="4"/>
    <n v="14"/>
    <x v="0"/>
  </r>
  <r>
    <d v="2022-12-14T00:00:00"/>
    <x v="1"/>
    <x v="1"/>
    <x v="0"/>
    <n v="4619.66"/>
    <x v="1"/>
    <x v="1"/>
    <x v="0"/>
    <x v="1"/>
    <x v="2"/>
    <x v="2"/>
    <x v="3"/>
    <x v="2"/>
    <x v="4"/>
    <n v="14"/>
    <x v="0"/>
  </r>
  <r>
    <d v="2022-12-14T00:00:00"/>
    <x v="0"/>
    <x v="1"/>
    <x v="0"/>
    <n v="6850950.4900000002"/>
    <x v="0"/>
    <x v="1"/>
    <x v="0"/>
    <x v="2"/>
    <x v="2"/>
    <x v="2"/>
    <x v="3"/>
    <x v="2"/>
    <x v="4"/>
    <n v="14"/>
    <x v="0"/>
  </r>
  <r>
    <d v="2022-12-14T00:00:00"/>
    <x v="3"/>
    <x v="3"/>
    <x v="0"/>
    <n v="1814521185.9300001"/>
    <x v="3"/>
    <x v="3"/>
    <x v="0"/>
    <x v="8"/>
    <x v="2"/>
    <x v="2"/>
    <x v="3"/>
    <x v="2"/>
    <x v="4"/>
    <n v="14"/>
    <x v="0"/>
  </r>
  <r>
    <d v="2022-12-14T00:00:00"/>
    <x v="2"/>
    <x v="1"/>
    <x v="1"/>
    <n v="251505009.71000001"/>
    <x v="2"/>
    <x v="1"/>
    <x v="1"/>
    <x v="9"/>
    <x v="2"/>
    <x v="2"/>
    <x v="3"/>
    <x v="2"/>
    <x v="4"/>
    <n v="14"/>
    <x v="0"/>
  </r>
  <r>
    <d v="2022-12-14T00:00:00"/>
    <x v="1"/>
    <x v="0"/>
    <x v="1"/>
    <n v="1126172149.8599999"/>
    <x v="1"/>
    <x v="0"/>
    <x v="1"/>
    <x v="10"/>
    <x v="2"/>
    <x v="2"/>
    <x v="3"/>
    <x v="2"/>
    <x v="4"/>
    <n v="14"/>
    <x v="0"/>
  </r>
  <r>
    <d v="2022-12-14T00:00:00"/>
    <x v="3"/>
    <x v="3"/>
    <x v="1"/>
    <n v="3260216.28"/>
    <x v="3"/>
    <x v="3"/>
    <x v="1"/>
    <x v="3"/>
    <x v="2"/>
    <x v="2"/>
    <x v="3"/>
    <x v="2"/>
    <x v="4"/>
    <n v="14"/>
    <x v="0"/>
  </r>
  <r>
    <d v="2022-12-14T00:00:00"/>
    <x v="2"/>
    <x v="1"/>
    <x v="2"/>
    <n v="73243.990000000005"/>
    <x v="2"/>
    <x v="1"/>
    <x v="2"/>
    <x v="5"/>
    <x v="2"/>
    <x v="2"/>
    <x v="3"/>
    <x v="2"/>
    <x v="4"/>
    <n v="14"/>
    <x v="0"/>
  </r>
  <r>
    <d v="2022-12-14T00:00:00"/>
    <x v="0"/>
    <x v="1"/>
    <x v="1"/>
    <n v="5843183.6500000004"/>
    <x v="0"/>
    <x v="1"/>
    <x v="1"/>
    <x v="4"/>
    <x v="2"/>
    <x v="2"/>
    <x v="3"/>
    <x v="2"/>
    <x v="4"/>
    <n v="14"/>
    <x v="0"/>
  </r>
  <r>
    <d v="2022-12-14T00:00:00"/>
    <x v="3"/>
    <x v="2"/>
    <x v="2"/>
    <n v="670422"/>
    <x v="3"/>
    <x v="2"/>
    <x v="2"/>
    <x v="6"/>
    <x v="2"/>
    <x v="2"/>
    <x v="3"/>
    <x v="2"/>
    <x v="4"/>
    <n v="14"/>
    <x v="0"/>
  </r>
  <r>
    <d v="2022-12-14T00:00:00"/>
    <x v="2"/>
    <x v="1"/>
    <x v="0"/>
    <n v="70054010.120000005"/>
    <x v="2"/>
    <x v="1"/>
    <x v="0"/>
    <x v="7"/>
    <x v="2"/>
    <x v="2"/>
    <x v="3"/>
    <x v="2"/>
    <x v="4"/>
    <n v="14"/>
    <x v="0"/>
  </r>
  <r>
    <d v="2022-12-14T00:00:00"/>
    <x v="1"/>
    <x v="0"/>
    <x v="0"/>
    <n v="75506292.060000002"/>
    <x v="1"/>
    <x v="0"/>
    <x v="0"/>
    <x v="11"/>
    <x v="2"/>
    <x v="2"/>
    <x v="3"/>
    <x v="2"/>
    <x v="4"/>
    <n v="14"/>
    <x v="0"/>
  </r>
  <r>
    <d v="2022-12-14T00:00:00"/>
    <x v="3"/>
    <x v="1"/>
    <x v="0"/>
    <n v="15283545.65"/>
    <x v="3"/>
    <x v="1"/>
    <x v="0"/>
    <x v="12"/>
    <x v="2"/>
    <x v="2"/>
    <x v="3"/>
    <x v="2"/>
    <x v="4"/>
    <n v="14"/>
    <x v="0"/>
  </r>
  <r>
    <d v="2022-12-14T00:00:00"/>
    <x v="3"/>
    <x v="2"/>
    <x v="0"/>
    <n v="516453010.75999999"/>
    <x v="3"/>
    <x v="2"/>
    <x v="0"/>
    <x v="13"/>
    <x v="2"/>
    <x v="2"/>
    <x v="3"/>
    <x v="2"/>
    <x v="4"/>
    <n v="14"/>
    <x v="0"/>
  </r>
  <r>
    <d v="2022-12-14T00:00:00"/>
    <x v="3"/>
    <x v="2"/>
    <x v="1"/>
    <n v="33890035223.950001"/>
    <x v="3"/>
    <x v="2"/>
    <x v="1"/>
    <x v="14"/>
    <x v="2"/>
    <x v="2"/>
    <x v="3"/>
    <x v="2"/>
    <x v="4"/>
    <n v="14"/>
    <x v="0"/>
  </r>
  <r>
    <d v="2022-12-13T00:00:00"/>
    <x v="1"/>
    <x v="1"/>
    <x v="0"/>
    <n v="6199.05"/>
    <x v="1"/>
    <x v="1"/>
    <x v="0"/>
    <x v="0"/>
    <x v="2"/>
    <x v="2"/>
    <x v="3"/>
    <x v="2"/>
    <x v="4"/>
    <n v="13"/>
    <x v="0"/>
  </r>
  <r>
    <d v="2022-12-13T00:00:00"/>
    <x v="0"/>
    <x v="1"/>
    <x v="0"/>
    <n v="10129225.16"/>
    <x v="0"/>
    <x v="1"/>
    <x v="0"/>
    <x v="1"/>
    <x v="2"/>
    <x v="2"/>
    <x v="3"/>
    <x v="2"/>
    <x v="4"/>
    <n v="13"/>
    <x v="0"/>
  </r>
  <r>
    <d v="2022-12-13T00:00:00"/>
    <x v="3"/>
    <x v="2"/>
    <x v="2"/>
    <n v="560406.11"/>
    <x v="3"/>
    <x v="2"/>
    <x v="2"/>
    <x v="5"/>
    <x v="2"/>
    <x v="2"/>
    <x v="3"/>
    <x v="2"/>
    <x v="4"/>
    <n v="13"/>
    <x v="0"/>
  </r>
  <r>
    <d v="2022-12-13T00:00:00"/>
    <x v="2"/>
    <x v="1"/>
    <x v="0"/>
    <n v="63914709.530000001"/>
    <x v="2"/>
    <x v="1"/>
    <x v="0"/>
    <x v="6"/>
    <x v="2"/>
    <x v="2"/>
    <x v="3"/>
    <x v="2"/>
    <x v="4"/>
    <n v="13"/>
    <x v="0"/>
  </r>
  <r>
    <d v="2022-12-13T00:00:00"/>
    <x v="1"/>
    <x v="0"/>
    <x v="1"/>
    <n v="401774438.24000001"/>
    <x v="1"/>
    <x v="0"/>
    <x v="1"/>
    <x v="9"/>
    <x v="2"/>
    <x v="2"/>
    <x v="3"/>
    <x v="2"/>
    <x v="4"/>
    <n v="13"/>
    <x v="0"/>
  </r>
  <r>
    <d v="2022-12-13T00:00:00"/>
    <x v="3"/>
    <x v="3"/>
    <x v="1"/>
    <n v="1343895.73"/>
    <x v="3"/>
    <x v="3"/>
    <x v="1"/>
    <x v="2"/>
    <x v="2"/>
    <x v="2"/>
    <x v="3"/>
    <x v="2"/>
    <x v="4"/>
    <n v="13"/>
    <x v="0"/>
  </r>
  <r>
    <d v="2022-12-13T00:00:00"/>
    <x v="2"/>
    <x v="1"/>
    <x v="2"/>
    <n v="46683.83"/>
    <x v="2"/>
    <x v="1"/>
    <x v="2"/>
    <x v="4"/>
    <x v="2"/>
    <x v="2"/>
    <x v="3"/>
    <x v="2"/>
    <x v="4"/>
    <n v="13"/>
    <x v="0"/>
  </r>
  <r>
    <d v="2022-12-13T00:00:00"/>
    <x v="0"/>
    <x v="1"/>
    <x v="1"/>
    <n v="3410642"/>
    <x v="0"/>
    <x v="1"/>
    <x v="1"/>
    <x v="3"/>
    <x v="2"/>
    <x v="2"/>
    <x v="3"/>
    <x v="2"/>
    <x v="4"/>
    <n v="13"/>
    <x v="0"/>
  </r>
  <r>
    <d v="2022-12-13T00:00:00"/>
    <x v="2"/>
    <x v="1"/>
    <x v="1"/>
    <n v="167821888.24000001"/>
    <x v="2"/>
    <x v="1"/>
    <x v="1"/>
    <x v="8"/>
    <x v="2"/>
    <x v="2"/>
    <x v="3"/>
    <x v="2"/>
    <x v="4"/>
    <n v="13"/>
    <x v="0"/>
  </r>
  <r>
    <d v="2022-12-13T00:00:00"/>
    <x v="3"/>
    <x v="3"/>
    <x v="0"/>
    <n v="955662721.08000004"/>
    <x v="3"/>
    <x v="3"/>
    <x v="0"/>
    <x v="7"/>
    <x v="2"/>
    <x v="2"/>
    <x v="3"/>
    <x v="2"/>
    <x v="4"/>
    <n v="13"/>
    <x v="0"/>
  </r>
  <r>
    <d v="2022-12-13T00:00:00"/>
    <x v="1"/>
    <x v="0"/>
    <x v="0"/>
    <n v="61027885.75"/>
    <x v="1"/>
    <x v="0"/>
    <x v="0"/>
    <x v="10"/>
    <x v="2"/>
    <x v="2"/>
    <x v="3"/>
    <x v="2"/>
    <x v="4"/>
    <n v="13"/>
    <x v="0"/>
  </r>
  <r>
    <d v="2022-12-13T00:00:00"/>
    <x v="3"/>
    <x v="1"/>
    <x v="0"/>
    <n v="10797487.960000001"/>
    <x v="3"/>
    <x v="1"/>
    <x v="0"/>
    <x v="11"/>
    <x v="2"/>
    <x v="2"/>
    <x v="3"/>
    <x v="2"/>
    <x v="4"/>
    <n v="13"/>
    <x v="0"/>
  </r>
  <r>
    <d v="2022-12-13T00:00:00"/>
    <x v="3"/>
    <x v="2"/>
    <x v="0"/>
    <n v="471891073.79000002"/>
    <x v="3"/>
    <x v="2"/>
    <x v="0"/>
    <x v="12"/>
    <x v="2"/>
    <x v="2"/>
    <x v="3"/>
    <x v="2"/>
    <x v="4"/>
    <n v="13"/>
    <x v="0"/>
  </r>
  <r>
    <d v="2022-12-13T00:00:00"/>
    <x v="3"/>
    <x v="2"/>
    <x v="1"/>
    <n v="11418388778.74"/>
    <x v="3"/>
    <x v="2"/>
    <x v="1"/>
    <x v="13"/>
    <x v="2"/>
    <x v="2"/>
    <x v="3"/>
    <x v="2"/>
    <x v="4"/>
    <n v="13"/>
    <x v="0"/>
  </r>
  <r>
    <d v="2022-12-12T00:00:00"/>
    <x v="1"/>
    <x v="1"/>
    <x v="0"/>
    <n v="422.5"/>
    <x v="1"/>
    <x v="1"/>
    <x v="0"/>
    <x v="0"/>
    <x v="2"/>
    <x v="2"/>
    <x v="3"/>
    <x v="2"/>
    <x v="4"/>
    <n v="12"/>
    <x v="0"/>
  </r>
  <r>
    <d v="2022-12-12T00:00:00"/>
    <x v="3"/>
    <x v="2"/>
    <x v="2"/>
    <n v="469886.77"/>
    <x v="3"/>
    <x v="2"/>
    <x v="2"/>
    <x v="4"/>
    <x v="2"/>
    <x v="2"/>
    <x v="3"/>
    <x v="2"/>
    <x v="4"/>
    <n v="12"/>
    <x v="0"/>
  </r>
  <r>
    <d v="2022-12-12T00:00:00"/>
    <x v="0"/>
    <x v="1"/>
    <x v="0"/>
    <n v="18340337.379999999"/>
    <x v="0"/>
    <x v="1"/>
    <x v="0"/>
    <x v="1"/>
    <x v="2"/>
    <x v="2"/>
    <x v="3"/>
    <x v="2"/>
    <x v="4"/>
    <n v="12"/>
    <x v="0"/>
  </r>
  <r>
    <d v="2022-12-12T00:00:00"/>
    <x v="2"/>
    <x v="1"/>
    <x v="0"/>
    <n v="85996764.409999996"/>
    <x v="2"/>
    <x v="1"/>
    <x v="0"/>
    <x v="5"/>
    <x v="2"/>
    <x v="2"/>
    <x v="3"/>
    <x v="2"/>
    <x v="4"/>
    <n v="12"/>
    <x v="0"/>
  </r>
  <r>
    <d v="2022-12-12T00:00:00"/>
    <x v="2"/>
    <x v="1"/>
    <x v="2"/>
    <n v="69500.53"/>
    <x v="2"/>
    <x v="1"/>
    <x v="2"/>
    <x v="3"/>
    <x v="2"/>
    <x v="2"/>
    <x v="3"/>
    <x v="2"/>
    <x v="4"/>
    <n v="12"/>
    <x v="0"/>
  </r>
  <r>
    <d v="2022-12-12T00:00:00"/>
    <x v="3"/>
    <x v="3"/>
    <x v="0"/>
    <n v="1193550227.1800001"/>
    <x v="3"/>
    <x v="3"/>
    <x v="0"/>
    <x v="7"/>
    <x v="2"/>
    <x v="2"/>
    <x v="3"/>
    <x v="2"/>
    <x v="4"/>
    <n v="12"/>
    <x v="0"/>
  </r>
  <r>
    <d v="2022-12-12T00:00:00"/>
    <x v="1"/>
    <x v="0"/>
    <x v="1"/>
    <n v="332162315.76999998"/>
    <x v="1"/>
    <x v="0"/>
    <x v="1"/>
    <x v="8"/>
    <x v="2"/>
    <x v="2"/>
    <x v="3"/>
    <x v="2"/>
    <x v="4"/>
    <n v="12"/>
    <x v="0"/>
  </r>
  <r>
    <d v="2022-12-12T00:00:00"/>
    <x v="1"/>
    <x v="0"/>
    <x v="0"/>
    <n v="61498856.609999999"/>
    <x v="1"/>
    <x v="0"/>
    <x v="0"/>
    <x v="9"/>
    <x v="2"/>
    <x v="2"/>
    <x v="3"/>
    <x v="2"/>
    <x v="4"/>
    <n v="12"/>
    <x v="0"/>
  </r>
  <r>
    <d v="2022-12-12T00:00:00"/>
    <x v="0"/>
    <x v="1"/>
    <x v="1"/>
    <n v="5844668.4000000004"/>
    <x v="0"/>
    <x v="1"/>
    <x v="1"/>
    <x v="2"/>
    <x v="2"/>
    <x v="2"/>
    <x v="3"/>
    <x v="2"/>
    <x v="4"/>
    <n v="12"/>
    <x v="0"/>
  </r>
  <r>
    <d v="2022-12-12T00:00:00"/>
    <x v="2"/>
    <x v="1"/>
    <x v="1"/>
    <n v="167761178.25"/>
    <x v="2"/>
    <x v="1"/>
    <x v="1"/>
    <x v="6"/>
    <x v="2"/>
    <x v="2"/>
    <x v="3"/>
    <x v="2"/>
    <x v="4"/>
    <n v="12"/>
    <x v="0"/>
  </r>
  <r>
    <d v="2022-12-12T00:00:00"/>
    <x v="3"/>
    <x v="2"/>
    <x v="0"/>
    <n v="369877744.16000003"/>
    <x v="3"/>
    <x v="2"/>
    <x v="0"/>
    <x v="10"/>
    <x v="2"/>
    <x v="2"/>
    <x v="3"/>
    <x v="2"/>
    <x v="4"/>
    <n v="12"/>
    <x v="0"/>
  </r>
  <r>
    <d v="2022-12-12T00:00:00"/>
    <x v="3"/>
    <x v="2"/>
    <x v="1"/>
    <n v="30205515251.25"/>
    <x v="3"/>
    <x v="2"/>
    <x v="1"/>
    <x v="11"/>
    <x v="2"/>
    <x v="2"/>
    <x v="3"/>
    <x v="2"/>
    <x v="4"/>
    <n v="12"/>
    <x v="0"/>
  </r>
  <r>
    <d v="2022-12-12T00:00:00"/>
    <x v="3"/>
    <x v="1"/>
    <x v="0"/>
    <n v="43952221.219999999"/>
    <x v="3"/>
    <x v="1"/>
    <x v="0"/>
    <x v="12"/>
    <x v="2"/>
    <x v="2"/>
    <x v="3"/>
    <x v="2"/>
    <x v="4"/>
    <n v="12"/>
    <x v="0"/>
  </r>
  <r>
    <d v="2022-12-09T00:00:00"/>
    <x v="1"/>
    <x v="1"/>
    <x v="0"/>
    <n v="5968.28"/>
    <x v="1"/>
    <x v="1"/>
    <x v="0"/>
    <x v="0"/>
    <x v="2"/>
    <x v="2"/>
    <x v="3"/>
    <x v="2"/>
    <x v="4"/>
    <n v="9"/>
    <x v="0"/>
  </r>
  <r>
    <d v="2022-12-09T00:00:00"/>
    <x v="0"/>
    <x v="1"/>
    <x v="0"/>
    <n v="20610436.57"/>
    <x v="0"/>
    <x v="1"/>
    <x v="0"/>
    <x v="1"/>
    <x v="2"/>
    <x v="2"/>
    <x v="3"/>
    <x v="2"/>
    <x v="4"/>
    <n v="9"/>
    <x v="0"/>
  </r>
  <r>
    <d v="2022-12-09T00:00:00"/>
    <x v="2"/>
    <x v="1"/>
    <x v="0"/>
    <n v="132832650.83"/>
    <x v="2"/>
    <x v="1"/>
    <x v="0"/>
    <x v="6"/>
    <x v="2"/>
    <x v="2"/>
    <x v="3"/>
    <x v="2"/>
    <x v="4"/>
    <n v="9"/>
    <x v="0"/>
  </r>
  <r>
    <d v="2022-12-09T00:00:00"/>
    <x v="2"/>
    <x v="1"/>
    <x v="1"/>
    <n v="354017593.31"/>
    <x v="2"/>
    <x v="1"/>
    <x v="1"/>
    <x v="8"/>
    <x v="2"/>
    <x v="2"/>
    <x v="3"/>
    <x v="2"/>
    <x v="4"/>
    <n v="9"/>
    <x v="0"/>
  </r>
  <r>
    <d v="2022-12-09T00:00:00"/>
    <x v="1"/>
    <x v="0"/>
    <x v="0"/>
    <n v="51843081.549999997"/>
    <x v="1"/>
    <x v="0"/>
    <x v="0"/>
    <x v="9"/>
    <x v="2"/>
    <x v="2"/>
    <x v="3"/>
    <x v="2"/>
    <x v="4"/>
    <n v="9"/>
    <x v="0"/>
  </r>
  <r>
    <d v="2022-12-09T00:00:00"/>
    <x v="1"/>
    <x v="0"/>
    <x v="1"/>
    <n v="179867433.09"/>
    <x v="1"/>
    <x v="0"/>
    <x v="1"/>
    <x v="10"/>
    <x v="2"/>
    <x v="2"/>
    <x v="3"/>
    <x v="2"/>
    <x v="4"/>
    <n v="9"/>
    <x v="0"/>
  </r>
  <r>
    <d v="2022-12-09T00:00:00"/>
    <x v="2"/>
    <x v="1"/>
    <x v="2"/>
    <n v="123009.48"/>
    <x v="2"/>
    <x v="1"/>
    <x v="2"/>
    <x v="4"/>
    <x v="2"/>
    <x v="2"/>
    <x v="3"/>
    <x v="2"/>
    <x v="4"/>
    <n v="9"/>
    <x v="0"/>
  </r>
  <r>
    <d v="2022-12-09T00:00:00"/>
    <x v="3"/>
    <x v="3"/>
    <x v="1"/>
    <n v="3608.33"/>
    <x v="3"/>
    <x v="3"/>
    <x v="1"/>
    <x v="2"/>
    <x v="2"/>
    <x v="2"/>
    <x v="3"/>
    <x v="2"/>
    <x v="4"/>
    <n v="9"/>
    <x v="0"/>
  </r>
  <r>
    <d v="2022-12-09T00:00:00"/>
    <x v="0"/>
    <x v="1"/>
    <x v="1"/>
    <n v="15485703.859999999"/>
    <x v="0"/>
    <x v="1"/>
    <x v="1"/>
    <x v="3"/>
    <x v="2"/>
    <x v="2"/>
    <x v="3"/>
    <x v="2"/>
    <x v="4"/>
    <n v="9"/>
    <x v="0"/>
  </r>
  <r>
    <d v="2022-12-09T00:00:00"/>
    <x v="3"/>
    <x v="2"/>
    <x v="2"/>
    <n v="519865.42"/>
    <x v="3"/>
    <x v="2"/>
    <x v="2"/>
    <x v="5"/>
    <x v="2"/>
    <x v="2"/>
    <x v="3"/>
    <x v="2"/>
    <x v="4"/>
    <n v="9"/>
    <x v="0"/>
  </r>
  <r>
    <d v="2022-12-09T00:00:00"/>
    <x v="3"/>
    <x v="3"/>
    <x v="0"/>
    <n v="918788239.65999997"/>
    <x v="3"/>
    <x v="3"/>
    <x v="0"/>
    <x v="7"/>
    <x v="2"/>
    <x v="2"/>
    <x v="3"/>
    <x v="2"/>
    <x v="4"/>
    <n v="9"/>
    <x v="0"/>
  </r>
  <r>
    <d v="2022-12-09T00:00:00"/>
    <x v="3"/>
    <x v="2"/>
    <x v="0"/>
    <n v="408923178.23000002"/>
    <x v="3"/>
    <x v="2"/>
    <x v="0"/>
    <x v="11"/>
    <x v="2"/>
    <x v="2"/>
    <x v="3"/>
    <x v="2"/>
    <x v="4"/>
    <n v="9"/>
    <x v="0"/>
  </r>
  <r>
    <d v="2022-12-09T00:00:00"/>
    <x v="3"/>
    <x v="1"/>
    <x v="0"/>
    <n v="14698203.890000001"/>
    <x v="3"/>
    <x v="1"/>
    <x v="0"/>
    <x v="12"/>
    <x v="2"/>
    <x v="2"/>
    <x v="3"/>
    <x v="2"/>
    <x v="4"/>
    <n v="9"/>
    <x v="0"/>
  </r>
  <r>
    <d v="2022-12-09T00:00:00"/>
    <x v="3"/>
    <x v="2"/>
    <x v="1"/>
    <n v="14839452890.67"/>
    <x v="3"/>
    <x v="2"/>
    <x v="1"/>
    <x v="13"/>
    <x v="2"/>
    <x v="2"/>
    <x v="3"/>
    <x v="2"/>
    <x v="4"/>
    <n v="9"/>
    <x v="0"/>
  </r>
  <r>
    <d v="2022-12-08T00:00:00"/>
    <x v="0"/>
    <x v="0"/>
    <x v="0"/>
    <n v="71"/>
    <x v="0"/>
    <x v="0"/>
    <x v="0"/>
    <x v="0"/>
    <x v="2"/>
    <x v="2"/>
    <x v="3"/>
    <x v="2"/>
    <x v="4"/>
    <n v="8"/>
    <x v="0"/>
  </r>
  <r>
    <d v="2022-12-08T00:00:00"/>
    <x v="1"/>
    <x v="1"/>
    <x v="0"/>
    <n v="978"/>
    <x v="1"/>
    <x v="1"/>
    <x v="0"/>
    <x v="1"/>
    <x v="2"/>
    <x v="2"/>
    <x v="3"/>
    <x v="2"/>
    <x v="4"/>
    <n v="8"/>
    <x v="0"/>
  </r>
  <r>
    <d v="2022-12-08T00:00:00"/>
    <x v="0"/>
    <x v="1"/>
    <x v="0"/>
    <n v="16608843.27"/>
    <x v="0"/>
    <x v="1"/>
    <x v="0"/>
    <x v="2"/>
    <x v="2"/>
    <x v="2"/>
    <x v="3"/>
    <x v="2"/>
    <x v="4"/>
    <n v="8"/>
    <x v="0"/>
  </r>
  <r>
    <d v="2022-12-08T00:00:00"/>
    <x v="3"/>
    <x v="3"/>
    <x v="0"/>
    <n v="1250723489.3499999"/>
    <x v="3"/>
    <x v="3"/>
    <x v="0"/>
    <x v="7"/>
    <x v="2"/>
    <x v="2"/>
    <x v="3"/>
    <x v="2"/>
    <x v="4"/>
    <n v="8"/>
    <x v="0"/>
  </r>
  <r>
    <d v="2022-12-08T00:00:00"/>
    <x v="2"/>
    <x v="1"/>
    <x v="1"/>
    <n v="244316086.77000001"/>
    <x v="2"/>
    <x v="1"/>
    <x v="1"/>
    <x v="8"/>
    <x v="2"/>
    <x v="2"/>
    <x v="3"/>
    <x v="2"/>
    <x v="4"/>
    <n v="8"/>
    <x v="0"/>
  </r>
  <r>
    <d v="2022-12-08T00:00:00"/>
    <x v="0"/>
    <x v="1"/>
    <x v="1"/>
    <n v="1606089.06"/>
    <x v="0"/>
    <x v="1"/>
    <x v="1"/>
    <x v="3"/>
    <x v="2"/>
    <x v="2"/>
    <x v="3"/>
    <x v="2"/>
    <x v="4"/>
    <n v="8"/>
    <x v="0"/>
  </r>
  <r>
    <d v="2022-12-08T00:00:00"/>
    <x v="2"/>
    <x v="1"/>
    <x v="2"/>
    <n v="125215.31"/>
    <x v="2"/>
    <x v="1"/>
    <x v="2"/>
    <x v="4"/>
    <x v="2"/>
    <x v="2"/>
    <x v="3"/>
    <x v="2"/>
    <x v="4"/>
    <n v="8"/>
    <x v="0"/>
  </r>
  <r>
    <d v="2022-12-08T00:00:00"/>
    <x v="3"/>
    <x v="2"/>
    <x v="2"/>
    <n v="482929.49"/>
    <x v="3"/>
    <x v="2"/>
    <x v="2"/>
    <x v="5"/>
    <x v="2"/>
    <x v="2"/>
    <x v="3"/>
    <x v="2"/>
    <x v="4"/>
    <n v="8"/>
    <x v="0"/>
  </r>
  <r>
    <d v="2022-12-08T00:00:00"/>
    <x v="1"/>
    <x v="0"/>
    <x v="0"/>
    <n v="50416900.259999998"/>
    <x v="1"/>
    <x v="0"/>
    <x v="0"/>
    <x v="9"/>
    <x v="2"/>
    <x v="2"/>
    <x v="3"/>
    <x v="2"/>
    <x v="4"/>
    <n v="8"/>
    <x v="0"/>
  </r>
  <r>
    <d v="2022-12-08T00:00:00"/>
    <x v="2"/>
    <x v="1"/>
    <x v="0"/>
    <n v="66485651.350000001"/>
    <x v="2"/>
    <x v="1"/>
    <x v="0"/>
    <x v="6"/>
    <x v="2"/>
    <x v="2"/>
    <x v="3"/>
    <x v="2"/>
    <x v="4"/>
    <n v="8"/>
    <x v="0"/>
  </r>
  <r>
    <d v="2022-12-08T00:00:00"/>
    <x v="1"/>
    <x v="0"/>
    <x v="1"/>
    <n v="403320711.50999999"/>
    <x v="1"/>
    <x v="0"/>
    <x v="1"/>
    <x v="10"/>
    <x v="2"/>
    <x v="2"/>
    <x v="3"/>
    <x v="2"/>
    <x v="4"/>
    <n v="8"/>
    <x v="0"/>
  </r>
  <r>
    <d v="2022-12-08T00:00:00"/>
    <x v="3"/>
    <x v="1"/>
    <x v="0"/>
    <n v="13604971.48"/>
    <x v="3"/>
    <x v="1"/>
    <x v="0"/>
    <x v="11"/>
    <x v="2"/>
    <x v="2"/>
    <x v="3"/>
    <x v="2"/>
    <x v="4"/>
    <n v="8"/>
    <x v="0"/>
  </r>
  <r>
    <d v="2022-12-08T00:00:00"/>
    <x v="3"/>
    <x v="2"/>
    <x v="0"/>
    <n v="474670383.56"/>
    <x v="3"/>
    <x v="2"/>
    <x v="0"/>
    <x v="12"/>
    <x v="2"/>
    <x v="2"/>
    <x v="3"/>
    <x v="2"/>
    <x v="4"/>
    <n v="8"/>
    <x v="0"/>
  </r>
  <r>
    <d v="2022-12-08T00:00:00"/>
    <x v="3"/>
    <x v="2"/>
    <x v="1"/>
    <n v="5113976705.7200003"/>
    <x v="3"/>
    <x v="2"/>
    <x v="1"/>
    <x v="13"/>
    <x v="2"/>
    <x v="2"/>
    <x v="3"/>
    <x v="2"/>
    <x v="4"/>
    <n v="8"/>
    <x v="0"/>
  </r>
  <r>
    <d v="2022-12-07T00:00:00"/>
    <x v="1"/>
    <x v="1"/>
    <x v="0"/>
    <n v="14030.42"/>
    <x v="1"/>
    <x v="1"/>
    <x v="0"/>
    <x v="0"/>
    <x v="2"/>
    <x v="2"/>
    <x v="3"/>
    <x v="2"/>
    <x v="4"/>
    <n v="7"/>
    <x v="0"/>
  </r>
  <r>
    <d v="2022-12-07T00:00:00"/>
    <x v="0"/>
    <x v="1"/>
    <x v="0"/>
    <n v="21704175.91"/>
    <x v="0"/>
    <x v="1"/>
    <x v="0"/>
    <x v="1"/>
    <x v="2"/>
    <x v="2"/>
    <x v="3"/>
    <x v="2"/>
    <x v="4"/>
    <n v="7"/>
    <x v="0"/>
  </r>
  <r>
    <d v="2022-12-07T00:00:00"/>
    <x v="3"/>
    <x v="2"/>
    <x v="2"/>
    <n v="364382.32"/>
    <x v="3"/>
    <x v="2"/>
    <x v="2"/>
    <x v="4"/>
    <x v="2"/>
    <x v="2"/>
    <x v="3"/>
    <x v="2"/>
    <x v="4"/>
    <n v="7"/>
    <x v="0"/>
  </r>
  <r>
    <d v="2022-12-07T00:00:00"/>
    <x v="2"/>
    <x v="1"/>
    <x v="0"/>
    <n v="67246650.980000004"/>
    <x v="2"/>
    <x v="1"/>
    <x v="0"/>
    <x v="5"/>
    <x v="2"/>
    <x v="2"/>
    <x v="3"/>
    <x v="2"/>
    <x v="4"/>
    <n v="7"/>
    <x v="0"/>
  </r>
  <r>
    <d v="2022-12-07T00:00:00"/>
    <x v="2"/>
    <x v="1"/>
    <x v="2"/>
    <n v="646899.1"/>
    <x v="2"/>
    <x v="1"/>
    <x v="2"/>
    <x v="2"/>
    <x v="2"/>
    <x v="2"/>
    <x v="3"/>
    <x v="2"/>
    <x v="4"/>
    <n v="7"/>
    <x v="0"/>
  </r>
  <r>
    <d v="2022-12-07T00:00:00"/>
    <x v="3"/>
    <x v="3"/>
    <x v="0"/>
    <n v="1389572039.8900001"/>
    <x v="3"/>
    <x v="3"/>
    <x v="0"/>
    <x v="6"/>
    <x v="2"/>
    <x v="2"/>
    <x v="3"/>
    <x v="2"/>
    <x v="4"/>
    <n v="7"/>
    <x v="0"/>
  </r>
  <r>
    <d v="2022-12-07T00:00:00"/>
    <x v="2"/>
    <x v="1"/>
    <x v="1"/>
    <n v="272562532.61000001"/>
    <x v="2"/>
    <x v="1"/>
    <x v="1"/>
    <x v="7"/>
    <x v="2"/>
    <x v="2"/>
    <x v="3"/>
    <x v="2"/>
    <x v="4"/>
    <n v="7"/>
    <x v="0"/>
  </r>
  <r>
    <d v="2022-12-07T00:00:00"/>
    <x v="1"/>
    <x v="0"/>
    <x v="1"/>
    <n v="691674703.63999999"/>
    <x v="1"/>
    <x v="0"/>
    <x v="1"/>
    <x v="8"/>
    <x v="2"/>
    <x v="2"/>
    <x v="3"/>
    <x v="2"/>
    <x v="4"/>
    <n v="7"/>
    <x v="0"/>
  </r>
  <r>
    <d v="2022-12-07T00:00:00"/>
    <x v="1"/>
    <x v="0"/>
    <x v="0"/>
    <n v="72866541.310000002"/>
    <x v="1"/>
    <x v="0"/>
    <x v="0"/>
    <x v="9"/>
    <x v="2"/>
    <x v="2"/>
    <x v="3"/>
    <x v="2"/>
    <x v="4"/>
    <n v="7"/>
    <x v="0"/>
  </r>
  <r>
    <d v="2022-12-07T00:00:00"/>
    <x v="0"/>
    <x v="1"/>
    <x v="1"/>
    <n v="2941024.7"/>
    <x v="0"/>
    <x v="1"/>
    <x v="1"/>
    <x v="3"/>
    <x v="2"/>
    <x v="2"/>
    <x v="3"/>
    <x v="2"/>
    <x v="4"/>
    <n v="7"/>
    <x v="0"/>
  </r>
  <r>
    <d v="2022-12-07T00:00:00"/>
    <x v="3"/>
    <x v="1"/>
    <x v="0"/>
    <n v="14794457.58"/>
    <x v="3"/>
    <x v="1"/>
    <x v="0"/>
    <x v="10"/>
    <x v="2"/>
    <x v="2"/>
    <x v="3"/>
    <x v="2"/>
    <x v="4"/>
    <n v="7"/>
    <x v="0"/>
  </r>
  <r>
    <d v="2022-12-07T00:00:00"/>
    <x v="3"/>
    <x v="2"/>
    <x v="0"/>
    <n v="498529527.29000002"/>
    <x v="3"/>
    <x v="2"/>
    <x v="0"/>
    <x v="11"/>
    <x v="2"/>
    <x v="2"/>
    <x v="3"/>
    <x v="2"/>
    <x v="4"/>
    <n v="7"/>
    <x v="0"/>
  </r>
  <r>
    <d v="2022-12-07T00:00:00"/>
    <x v="3"/>
    <x v="2"/>
    <x v="1"/>
    <n v="13862052327.129999"/>
    <x v="3"/>
    <x v="2"/>
    <x v="1"/>
    <x v="12"/>
    <x v="2"/>
    <x v="2"/>
    <x v="3"/>
    <x v="2"/>
    <x v="4"/>
    <n v="7"/>
    <x v="0"/>
  </r>
  <r>
    <d v="2022-12-06T00:00:00"/>
    <x v="1"/>
    <x v="1"/>
    <x v="0"/>
    <n v="526.5"/>
    <x v="1"/>
    <x v="1"/>
    <x v="0"/>
    <x v="0"/>
    <x v="2"/>
    <x v="2"/>
    <x v="3"/>
    <x v="2"/>
    <x v="4"/>
    <n v="6"/>
    <x v="0"/>
  </r>
  <r>
    <d v="2022-12-06T00:00:00"/>
    <x v="0"/>
    <x v="0"/>
    <x v="0"/>
    <n v="997"/>
    <x v="0"/>
    <x v="0"/>
    <x v="0"/>
    <x v="1"/>
    <x v="2"/>
    <x v="2"/>
    <x v="3"/>
    <x v="2"/>
    <x v="4"/>
    <n v="6"/>
    <x v="0"/>
  </r>
  <r>
    <d v="2022-12-06T00:00:00"/>
    <x v="3"/>
    <x v="2"/>
    <x v="2"/>
    <n v="662452.47999999998"/>
    <x v="3"/>
    <x v="2"/>
    <x v="2"/>
    <x v="5"/>
    <x v="2"/>
    <x v="2"/>
    <x v="3"/>
    <x v="2"/>
    <x v="4"/>
    <n v="6"/>
    <x v="0"/>
  </r>
  <r>
    <d v="2022-12-06T00:00:00"/>
    <x v="0"/>
    <x v="1"/>
    <x v="0"/>
    <n v="11460501.039999999"/>
    <x v="0"/>
    <x v="1"/>
    <x v="0"/>
    <x v="2"/>
    <x v="2"/>
    <x v="2"/>
    <x v="3"/>
    <x v="2"/>
    <x v="4"/>
    <n v="6"/>
    <x v="0"/>
  </r>
  <r>
    <d v="2022-12-06T00:00:00"/>
    <x v="2"/>
    <x v="1"/>
    <x v="0"/>
    <n v="83278443.189999998"/>
    <x v="2"/>
    <x v="1"/>
    <x v="0"/>
    <x v="6"/>
    <x v="2"/>
    <x v="2"/>
    <x v="3"/>
    <x v="2"/>
    <x v="4"/>
    <n v="6"/>
    <x v="0"/>
  </r>
  <r>
    <d v="2022-12-06T00:00:00"/>
    <x v="2"/>
    <x v="1"/>
    <x v="2"/>
    <n v="69669.33"/>
    <x v="2"/>
    <x v="1"/>
    <x v="2"/>
    <x v="3"/>
    <x v="2"/>
    <x v="2"/>
    <x v="3"/>
    <x v="2"/>
    <x v="4"/>
    <n v="6"/>
    <x v="0"/>
  </r>
  <r>
    <d v="2022-12-06T00:00:00"/>
    <x v="3"/>
    <x v="3"/>
    <x v="0"/>
    <n v="1303161475.46"/>
    <x v="3"/>
    <x v="3"/>
    <x v="0"/>
    <x v="7"/>
    <x v="2"/>
    <x v="2"/>
    <x v="3"/>
    <x v="2"/>
    <x v="4"/>
    <n v="6"/>
    <x v="0"/>
  </r>
  <r>
    <d v="2022-12-06T00:00:00"/>
    <x v="2"/>
    <x v="1"/>
    <x v="1"/>
    <n v="391283447.31999999"/>
    <x v="2"/>
    <x v="1"/>
    <x v="1"/>
    <x v="9"/>
    <x v="2"/>
    <x v="2"/>
    <x v="3"/>
    <x v="2"/>
    <x v="4"/>
    <n v="6"/>
    <x v="0"/>
  </r>
  <r>
    <d v="2022-12-06T00:00:00"/>
    <x v="0"/>
    <x v="1"/>
    <x v="1"/>
    <n v="8433954.6600000001"/>
    <x v="0"/>
    <x v="1"/>
    <x v="1"/>
    <x v="4"/>
    <x v="2"/>
    <x v="2"/>
    <x v="3"/>
    <x v="2"/>
    <x v="4"/>
    <n v="6"/>
    <x v="0"/>
  </r>
  <r>
    <d v="2022-12-06T00:00:00"/>
    <x v="1"/>
    <x v="0"/>
    <x v="1"/>
    <n v="217890419.12"/>
    <x v="1"/>
    <x v="0"/>
    <x v="1"/>
    <x v="8"/>
    <x v="2"/>
    <x v="2"/>
    <x v="3"/>
    <x v="2"/>
    <x v="4"/>
    <n v="6"/>
    <x v="0"/>
  </r>
  <r>
    <d v="2022-12-06T00:00:00"/>
    <x v="1"/>
    <x v="0"/>
    <x v="0"/>
    <n v="80080308.849999994"/>
    <x v="1"/>
    <x v="0"/>
    <x v="0"/>
    <x v="10"/>
    <x v="2"/>
    <x v="2"/>
    <x v="3"/>
    <x v="2"/>
    <x v="4"/>
    <n v="6"/>
    <x v="0"/>
  </r>
  <r>
    <d v="2022-12-06T00:00:00"/>
    <x v="3"/>
    <x v="1"/>
    <x v="0"/>
    <n v="11642299.07"/>
    <x v="3"/>
    <x v="1"/>
    <x v="0"/>
    <x v="11"/>
    <x v="2"/>
    <x v="2"/>
    <x v="3"/>
    <x v="2"/>
    <x v="4"/>
    <n v="6"/>
    <x v="0"/>
  </r>
  <r>
    <d v="2022-12-06T00:00:00"/>
    <x v="3"/>
    <x v="2"/>
    <x v="0"/>
    <n v="649205496.86000001"/>
    <x v="3"/>
    <x v="2"/>
    <x v="0"/>
    <x v="12"/>
    <x v="2"/>
    <x v="2"/>
    <x v="3"/>
    <x v="2"/>
    <x v="4"/>
    <n v="6"/>
    <x v="0"/>
  </r>
  <r>
    <d v="2022-12-06T00:00:00"/>
    <x v="3"/>
    <x v="2"/>
    <x v="1"/>
    <n v="4859131445.7399998"/>
    <x v="3"/>
    <x v="2"/>
    <x v="1"/>
    <x v="13"/>
    <x v="2"/>
    <x v="2"/>
    <x v="3"/>
    <x v="2"/>
    <x v="4"/>
    <n v="6"/>
    <x v="0"/>
  </r>
  <r>
    <d v="2022-12-05T00:00:00"/>
    <x v="0"/>
    <x v="0"/>
    <x v="0"/>
    <n v="27833"/>
    <x v="0"/>
    <x v="0"/>
    <x v="0"/>
    <x v="0"/>
    <x v="2"/>
    <x v="2"/>
    <x v="3"/>
    <x v="2"/>
    <x v="4"/>
    <n v="5"/>
    <x v="0"/>
  </r>
  <r>
    <d v="2022-12-05T00:00:00"/>
    <x v="1"/>
    <x v="1"/>
    <x v="0"/>
    <n v="338"/>
    <x v="1"/>
    <x v="1"/>
    <x v="0"/>
    <x v="1"/>
    <x v="2"/>
    <x v="2"/>
    <x v="3"/>
    <x v="2"/>
    <x v="4"/>
    <n v="5"/>
    <x v="0"/>
  </r>
  <r>
    <d v="2022-12-05T00:00:00"/>
    <x v="0"/>
    <x v="1"/>
    <x v="0"/>
    <n v="12856419.09"/>
    <x v="0"/>
    <x v="1"/>
    <x v="0"/>
    <x v="2"/>
    <x v="2"/>
    <x v="2"/>
    <x v="3"/>
    <x v="2"/>
    <x v="4"/>
    <n v="5"/>
    <x v="0"/>
  </r>
  <r>
    <d v="2022-12-05T00:00:00"/>
    <x v="2"/>
    <x v="1"/>
    <x v="0"/>
    <n v="109564137.15000001"/>
    <x v="2"/>
    <x v="1"/>
    <x v="0"/>
    <x v="6"/>
    <x v="2"/>
    <x v="2"/>
    <x v="3"/>
    <x v="2"/>
    <x v="4"/>
    <n v="5"/>
    <x v="0"/>
  </r>
  <r>
    <d v="2022-12-05T00:00:00"/>
    <x v="2"/>
    <x v="1"/>
    <x v="2"/>
    <n v="46619.44"/>
    <x v="2"/>
    <x v="1"/>
    <x v="2"/>
    <x v="3"/>
    <x v="2"/>
    <x v="2"/>
    <x v="3"/>
    <x v="2"/>
    <x v="4"/>
    <n v="5"/>
    <x v="0"/>
  </r>
  <r>
    <d v="2022-12-05T00:00:00"/>
    <x v="3"/>
    <x v="3"/>
    <x v="0"/>
    <n v="1183716038.3800001"/>
    <x v="3"/>
    <x v="3"/>
    <x v="0"/>
    <x v="7"/>
    <x v="2"/>
    <x v="2"/>
    <x v="3"/>
    <x v="2"/>
    <x v="4"/>
    <n v="5"/>
    <x v="0"/>
  </r>
  <r>
    <d v="2022-12-05T00:00:00"/>
    <x v="1"/>
    <x v="0"/>
    <x v="1"/>
    <n v="208321855.50999999"/>
    <x v="1"/>
    <x v="0"/>
    <x v="1"/>
    <x v="8"/>
    <x v="2"/>
    <x v="2"/>
    <x v="3"/>
    <x v="2"/>
    <x v="4"/>
    <n v="5"/>
    <x v="0"/>
  </r>
  <r>
    <d v="2022-12-05T00:00:00"/>
    <x v="2"/>
    <x v="1"/>
    <x v="1"/>
    <n v="121920900.42"/>
    <x v="2"/>
    <x v="1"/>
    <x v="1"/>
    <x v="9"/>
    <x v="2"/>
    <x v="2"/>
    <x v="3"/>
    <x v="2"/>
    <x v="4"/>
    <n v="5"/>
    <x v="0"/>
  </r>
  <r>
    <d v="2022-12-05T00:00:00"/>
    <x v="0"/>
    <x v="1"/>
    <x v="1"/>
    <n v="4035247.3"/>
    <x v="0"/>
    <x v="1"/>
    <x v="1"/>
    <x v="4"/>
    <x v="2"/>
    <x v="2"/>
    <x v="3"/>
    <x v="2"/>
    <x v="4"/>
    <n v="5"/>
    <x v="0"/>
  </r>
  <r>
    <d v="2022-12-05T00:00:00"/>
    <x v="3"/>
    <x v="2"/>
    <x v="2"/>
    <n v="485691.88"/>
    <x v="3"/>
    <x v="2"/>
    <x v="2"/>
    <x v="5"/>
    <x v="2"/>
    <x v="2"/>
    <x v="3"/>
    <x v="2"/>
    <x v="4"/>
    <n v="5"/>
    <x v="0"/>
  </r>
  <r>
    <d v="2022-12-05T00:00:00"/>
    <x v="1"/>
    <x v="0"/>
    <x v="0"/>
    <n v="42401744.079999998"/>
    <x v="1"/>
    <x v="0"/>
    <x v="0"/>
    <x v="10"/>
    <x v="2"/>
    <x v="2"/>
    <x v="3"/>
    <x v="2"/>
    <x v="4"/>
    <n v="5"/>
    <x v="0"/>
  </r>
  <r>
    <d v="2022-12-05T00:00:00"/>
    <x v="3"/>
    <x v="2"/>
    <x v="0"/>
    <n v="913596250.42999995"/>
    <x v="3"/>
    <x v="2"/>
    <x v="0"/>
    <x v="11"/>
    <x v="2"/>
    <x v="2"/>
    <x v="3"/>
    <x v="2"/>
    <x v="4"/>
    <n v="5"/>
    <x v="0"/>
  </r>
  <r>
    <d v="2022-12-05T00:00:00"/>
    <x v="3"/>
    <x v="1"/>
    <x v="0"/>
    <n v="46296892.390000001"/>
    <x v="3"/>
    <x v="1"/>
    <x v="0"/>
    <x v="12"/>
    <x v="2"/>
    <x v="2"/>
    <x v="3"/>
    <x v="2"/>
    <x v="4"/>
    <n v="5"/>
    <x v="0"/>
  </r>
  <r>
    <d v="2022-12-05T00:00:00"/>
    <x v="3"/>
    <x v="2"/>
    <x v="1"/>
    <n v="19807406756.759998"/>
    <x v="3"/>
    <x v="2"/>
    <x v="1"/>
    <x v="13"/>
    <x v="2"/>
    <x v="2"/>
    <x v="3"/>
    <x v="2"/>
    <x v="4"/>
    <n v="5"/>
    <x v="0"/>
  </r>
  <r>
    <d v="2022-12-02T00:00:00"/>
    <x v="1"/>
    <x v="1"/>
    <x v="0"/>
    <n v="2686.5"/>
    <x v="1"/>
    <x v="1"/>
    <x v="0"/>
    <x v="0"/>
    <x v="2"/>
    <x v="2"/>
    <x v="3"/>
    <x v="2"/>
    <x v="4"/>
    <n v="2"/>
    <x v="0"/>
  </r>
  <r>
    <d v="2022-12-02T00:00:00"/>
    <x v="0"/>
    <x v="1"/>
    <x v="0"/>
    <n v="11086635.710000001"/>
    <x v="0"/>
    <x v="1"/>
    <x v="0"/>
    <x v="1"/>
    <x v="2"/>
    <x v="2"/>
    <x v="3"/>
    <x v="2"/>
    <x v="4"/>
    <n v="2"/>
    <x v="0"/>
  </r>
  <r>
    <d v="2022-12-02T00:00:00"/>
    <x v="2"/>
    <x v="1"/>
    <x v="2"/>
    <n v="3093.61"/>
    <x v="2"/>
    <x v="1"/>
    <x v="2"/>
    <x v="2"/>
    <x v="2"/>
    <x v="2"/>
    <x v="3"/>
    <x v="2"/>
    <x v="4"/>
    <n v="2"/>
    <x v="0"/>
  </r>
  <r>
    <d v="2022-12-02T00:00:00"/>
    <x v="3"/>
    <x v="3"/>
    <x v="0"/>
    <n v="1296886797.1600001"/>
    <x v="3"/>
    <x v="3"/>
    <x v="0"/>
    <x v="6"/>
    <x v="2"/>
    <x v="2"/>
    <x v="3"/>
    <x v="2"/>
    <x v="4"/>
    <n v="2"/>
    <x v="0"/>
  </r>
  <r>
    <d v="2022-12-02T00:00:00"/>
    <x v="2"/>
    <x v="1"/>
    <x v="1"/>
    <n v="142192899.84"/>
    <x v="2"/>
    <x v="1"/>
    <x v="1"/>
    <x v="7"/>
    <x v="2"/>
    <x v="2"/>
    <x v="3"/>
    <x v="2"/>
    <x v="4"/>
    <n v="2"/>
    <x v="0"/>
  </r>
  <r>
    <d v="2022-12-02T00:00:00"/>
    <x v="1"/>
    <x v="0"/>
    <x v="1"/>
    <n v="64837866.200000003"/>
    <x v="1"/>
    <x v="0"/>
    <x v="1"/>
    <x v="8"/>
    <x v="2"/>
    <x v="2"/>
    <x v="3"/>
    <x v="2"/>
    <x v="4"/>
    <n v="2"/>
    <x v="0"/>
  </r>
  <r>
    <d v="2022-12-02T00:00:00"/>
    <x v="0"/>
    <x v="1"/>
    <x v="1"/>
    <n v="15015824.560000001"/>
    <x v="0"/>
    <x v="1"/>
    <x v="1"/>
    <x v="3"/>
    <x v="2"/>
    <x v="2"/>
    <x v="3"/>
    <x v="2"/>
    <x v="4"/>
    <n v="2"/>
    <x v="0"/>
  </r>
  <r>
    <d v="2022-12-02T00:00:00"/>
    <x v="1"/>
    <x v="0"/>
    <x v="0"/>
    <n v="40351644.390000001"/>
    <x v="1"/>
    <x v="0"/>
    <x v="0"/>
    <x v="9"/>
    <x v="2"/>
    <x v="2"/>
    <x v="3"/>
    <x v="2"/>
    <x v="4"/>
    <n v="2"/>
    <x v="0"/>
  </r>
  <r>
    <d v="2022-12-02T00:00:00"/>
    <x v="3"/>
    <x v="2"/>
    <x v="2"/>
    <n v="645487"/>
    <x v="3"/>
    <x v="2"/>
    <x v="2"/>
    <x v="4"/>
    <x v="2"/>
    <x v="2"/>
    <x v="3"/>
    <x v="2"/>
    <x v="4"/>
    <n v="2"/>
    <x v="0"/>
  </r>
  <r>
    <d v="2022-12-02T00:00:00"/>
    <x v="2"/>
    <x v="1"/>
    <x v="0"/>
    <n v="69398268.310000002"/>
    <x v="2"/>
    <x v="1"/>
    <x v="0"/>
    <x v="5"/>
    <x v="2"/>
    <x v="2"/>
    <x v="3"/>
    <x v="2"/>
    <x v="4"/>
    <n v="2"/>
    <x v="0"/>
  </r>
  <r>
    <d v="2022-12-02T00:00:00"/>
    <x v="3"/>
    <x v="2"/>
    <x v="0"/>
    <n v="310752433.06999999"/>
    <x v="3"/>
    <x v="2"/>
    <x v="0"/>
    <x v="10"/>
    <x v="2"/>
    <x v="2"/>
    <x v="3"/>
    <x v="2"/>
    <x v="4"/>
    <n v="2"/>
    <x v="0"/>
  </r>
  <r>
    <d v="2022-12-02T00:00:00"/>
    <x v="3"/>
    <x v="1"/>
    <x v="0"/>
    <n v="16419078.26"/>
    <x v="3"/>
    <x v="1"/>
    <x v="0"/>
    <x v="11"/>
    <x v="2"/>
    <x v="2"/>
    <x v="3"/>
    <x v="2"/>
    <x v="4"/>
    <n v="2"/>
    <x v="0"/>
  </r>
  <r>
    <d v="2022-12-02T00:00:00"/>
    <x v="3"/>
    <x v="2"/>
    <x v="1"/>
    <n v="14765881303.370001"/>
    <x v="3"/>
    <x v="2"/>
    <x v="1"/>
    <x v="12"/>
    <x v="2"/>
    <x v="2"/>
    <x v="3"/>
    <x v="2"/>
    <x v="4"/>
    <n v="2"/>
    <x v="0"/>
  </r>
  <r>
    <d v="2022-12-01T00:00:00"/>
    <x v="1"/>
    <x v="1"/>
    <x v="0"/>
    <n v="1073.5"/>
    <x v="1"/>
    <x v="1"/>
    <x v="0"/>
    <x v="0"/>
    <x v="2"/>
    <x v="2"/>
    <x v="3"/>
    <x v="2"/>
    <x v="4"/>
    <n v="1"/>
    <x v="0"/>
  </r>
  <r>
    <d v="2022-12-01T00:00:00"/>
    <x v="0"/>
    <x v="1"/>
    <x v="0"/>
    <n v="26953095.219999999"/>
    <x v="0"/>
    <x v="1"/>
    <x v="0"/>
    <x v="1"/>
    <x v="2"/>
    <x v="2"/>
    <x v="3"/>
    <x v="2"/>
    <x v="4"/>
    <n v="1"/>
    <x v="0"/>
  </r>
  <r>
    <d v="2022-12-01T00:00:00"/>
    <x v="2"/>
    <x v="1"/>
    <x v="2"/>
    <n v="1520748.68"/>
    <x v="2"/>
    <x v="1"/>
    <x v="2"/>
    <x v="2"/>
    <x v="2"/>
    <x v="2"/>
    <x v="3"/>
    <x v="2"/>
    <x v="4"/>
    <n v="1"/>
    <x v="0"/>
  </r>
  <r>
    <d v="2022-12-01T00:00:00"/>
    <x v="1"/>
    <x v="0"/>
    <x v="0"/>
    <n v="26698121.84"/>
    <x v="1"/>
    <x v="0"/>
    <x v="0"/>
    <x v="8"/>
    <x v="2"/>
    <x v="2"/>
    <x v="3"/>
    <x v="2"/>
    <x v="4"/>
    <n v="1"/>
    <x v="0"/>
  </r>
  <r>
    <d v="2022-12-01T00:00:00"/>
    <x v="0"/>
    <x v="1"/>
    <x v="1"/>
    <n v="7925637.1500000004"/>
    <x v="0"/>
    <x v="1"/>
    <x v="1"/>
    <x v="3"/>
    <x v="2"/>
    <x v="2"/>
    <x v="3"/>
    <x v="2"/>
    <x v="4"/>
    <n v="1"/>
    <x v="0"/>
  </r>
  <r>
    <d v="2022-12-01T00:00:00"/>
    <x v="1"/>
    <x v="0"/>
    <x v="1"/>
    <n v="134240990.47"/>
    <x v="1"/>
    <x v="0"/>
    <x v="1"/>
    <x v="9"/>
    <x v="2"/>
    <x v="2"/>
    <x v="3"/>
    <x v="2"/>
    <x v="4"/>
    <n v="1"/>
    <x v="0"/>
  </r>
  <r>
    <d v="2022-12-01T00:00:00"/>
    <x v="3"/>
    <x v="2"/>
    <x v="2"/>
    <n v="512413.2"/>
    <x v="3"/>
    <x v="2"/>
    <x v="2"/>
    <x v="4"/>
    <x v="2"/>
    <x v="2"/>
    <x v="3"/>
    <x v="2"/>
    <x v="4"/>
    <n v="1"/>
    <x v="0"/>
  </r>
  <r>
    <d v="2022-12-01T00:00:00"/>
    <x v="3"/>
    <x v="3"/>
    <x v="0"/>
    <n v="2996253671.46"/>
    <x v="3"/>
    <x v="3"/>
    <x v="0"/>
    <x v="6"/>
    <x v="2"/>
    <x v="2"/>
    <x v="3"/>
    <x v="2"/>
    <x v="4"/>
    <n v="1"/>
    <x v="0"/>
  </r>
  <r>
    <d v="2022-12-01T00:00:00"/>
    <x v="2"/>
    <x v="1"/>
    <x v="1"/>
    <n v="135857535.08000001"/>
    <x v="2"/>
    <x v="1"/>
    <x v="1"/>
    <x v="7"/>
    <x v="2"/>
    <x v="2"/>
    <x v="3"/>
    <x v="2"/>
    <x v="4"/>
    <n v="1"/>
    <x v="0"/>
  </r>
  <r>
    <d v="2022-12-01T00:00:00"/>
    <x v="2"/>
    <x v="1"/>
    <x v="0"/>
    <n v="63805512.829999998"/>
    <x v="2"/>
    <x v="1"/>
    <x v="0"/>
    <x v="5"/>
    <x v="2"/>
    <x v="2"/>
    <x v="3"/>
    <x v="2"/>
    <x v="4"/>
    <n v="1"/>
    <x v="0"/>
  </r>
  <r>
    <d v="2022-12-01T00:00:00"/>
    <x v="3"/>
    <x v="1"/>
    <x v="0"/>
    <n v="15247063.32"/>
    <x v="3"/>
    <x v="1"/>
    <x v="0"/>
    <x v="10"/>
    <x v="2"/>
    <x v="2"/>
    <x v="3"/>
    <x v="2"/>
    <x v="4"/>
    <n v="1"/>
    <x v="0"/>
  </r>
  <r>
    <d v="2022-12-01T00:00:00"/>
    <x v="3"/>
    <x v="2"/>
    <x v="0"/>
    <n v="510679230.06"/>
    <x v="3"/>
    <x v="2"/>
    <x v="0"/>
    <x v="11"/>
    <x v="2"/>
    <x v="2"/>
    <x v="3"/>
    <x v="2"/>
    <x v="4"/>
    <n v="1"/>
    <x v="0"/>
  </r>
  <r>
    <d v="2022-12-01T00:00:00"/>
    <x v="3"/>
    <x v="2"/>
    <x v="1"/>
    <n v="21614249926.889999"/>
    <x v="3"/>
    <x v="2"/>
    <x v="1"/>
    <x v="12"/>
    <x v="2"/>
    <x v="2"/>
    <x v="3"/>
    <x v="2"/>
    <x v="4"/>
    <n v="1"/>
    <x v="0"/>
  </r>
  <r>
    <d v="2022-11-30T00:00:00"/>
    <x v="1"/>
    <x v="1"/>
    <x v="0"/>
    <n v="12338"/>
    <x v="1"/>
    <x v="1"/>
    <x v="0"/>
    <x v="0"/>
    <x v="2"/>
    <x v="2"/>
    <x v="3"/>
    <x v="2"/>
    <x v="5"/>
    <n v="30"/>
    <x v="0"/>
  </r>
  <r>
    <d v="2022-11-30T00:00:00"/>
    <x v="0"/>
    <x v="1"/>
    <x v="0"/>
    <n v="10325656.25"/>
    <x v="0"/>
    <x v="1"/>
    <x v="0"/>
    <x v="1"/>
    <x v="2"/>
    <x v="2"/>
    <x v="3"/>
    <x v="2"/>
    <x v="5"/>
    <n v="30"/>
    <x v="0"/>
  </r>
  <r>
    <d v="2022-11-30T00:00:00"/>
    <x v="2"/>
    <x v="1"/>
    <x v="2"/>
    <n v="12385"/>
    <x v="2"/>
    <x v="1"/>
    <x v="2"/>
    <x v="2"/>
    <x v="2"/>
    <x v="2"/>
    <x v="3"/>
    <x v="2"/>
    <x v="5"/>
    <n v="30"/>
    <x v="0"/>
  </r>
  <r>
    <d v="2022-11-30T00:00:00"/>
    <x v="2"/>
    <x v="1"/>
    <x v="0"/>
    <n v="67748416.739999995"/>
    <x v="2"/>
    <x v="1"/>
    <x v="0"/>
    <x v="5"/>
    <x v="2"/>
    <x v="2"/>
    <x v="3"/>
    <x v="2"/>
    <x v="5"/>
    <n v="30"/>
    <x v="0"/>
  </r>
  <r>
    <d v="2022-11-30T00:00:00"/>
    <x v="3"/>
    <x v="3"/>
    <x v="0"/>
    <n v="3808800201.4000001"/>
    <x v="3"/>
    <x v="3"/>
    <x v="0"/>
    <x v="6"/>
    <x v="2"/>
    <x v="2"/>
    <x v="3"/>
    <x v="2"/>
    <x v="5"/>
    <n v="30"/>
    <x v="0"/>
  </r>
  <r>
    <d v="2022-11-30T00:00:00"/>
    <x v="3"/>
    <x v="2"/>
    <x v="2"/>
    <n v="437300.12"/>
    <x v="3"/>
    <x v="2"/>
    <x v="2"/>
    <x v="4"/>
    <x v="2"/>
    <x v="2"/>
    <x v="3"/>
    <x v="2"/>
    <x v="5"/>
    <n v="30"/>
    <x v="0"/>
  </r>
  <r>
    <d v="2022-11-30T00:00:00"/>
    <x v="1"/>
    <x v="0"/>
    <x v="1"/>
    <n v="399282738.68000001"/>
    <x v="1"/>
    <x v="0"/>
    <x v="1"/>
    <x v="8"/>
    <x v="2"/>
    <x v="2"/>
    <x v="3"/>
    <x v="2"/>
    <x v="5"/>
    <n v="30"/>
    <x v="0"/>
  </r>
  <r>
    <d v="2022-11-30T00:00:00"/>
    <x v="0"/>
    <x v="1"/>
    <x v="1"/>
    <n v="3127894.03"/>
    <x v="0"/>
    <x v="1"/>
    <x v="1"/>
    <x v="3"/>
    <x v="2"/>
    <x v="2"/>
    <x v="3"/>
    <x v="2"/>
    <x v="5"/>
    <n v="30"/>
    <x v="0"/>
  </r>
  <r>
    <d v="2022-11-30T00:00:00"/>
    <x v="2"/>
    <x v="1"/>
    <x v="1"/>
    <n v="232704843.00999999"/>
    <x v="2"/>
    <x v="1"/>
    <x v="1"/>
    <x v="7"/>
    <x v="2"/>
    <x v="2"/>
    <x v="3"/>
    <x v="2"/>
    <x v="5"/>
    <n v="30"/>
    <x v="0"/>
  </r>
  <r>
    <d v="2022-11-30T00:00:00"/>
    <x v="1"/>
    <x v="0"/>
    <x v="0"/>
    <n v="59164618.939999998"/>
    <x v="1"/>
    <x v="0"/>
    <x v="0"/>
    <x v="9"/>
    <x v="2"/>
    <x v="2"/>
    <x v="3"/>
    <x v="2"/>
    <x v="5"/>
    <n v="30"/>
    <x v="0"/>
  </r>
  <r>
    <d v="2022-11-30T00:00:00"/>
    <x v="3"/>
    <x v="1"/>
    <x v="0"/>
    <n v="13891928.25"/>
    <x v="3"/>
    <x v="1"/>
    <x v="0"/>
    <x v="10"/>
    <x v="2"/>
    <x v="2"/>
    <x v="3"/>
    <x v="2"/>
    <x v="5"/>
    <n v="30"/>
    <x v="0"/>
  </r>
  <r>
    <d v="2022-11-30T00:00:00"/>
    <x v="3"/>
    <x v="2"/>
    <x v="0"/>
    <n v="867029224.82000005"/>
    <x v="3"/>
    <x v="2"/>
    <x v="0"/>
    <x v="11"/>
    <x v="2"/>
    <x v="2"/>
    <x v="3"/>
    <x v="2"/>
    <x v="5"/>
    <n v="30"/>
    <x v="0"/>
  </r>
  <r>
    <d v="2022-11-30T00:00:00"/>
    <x v="3"/>
    <x v="2"/>
    <x v="1"/>
    <n v="12233527856.75"/>
    <x v="3"/>
    <x v="2"/>
    <x v="1"/>
    <x v="12"/>
    <x v="2"/>
    <x v="2"/>
    <x v="3"/>
    <x v="2"/>
    <x v="5"/>
    <n v="30"/>
    <x v="0"/>
  </r>
  <r>
    <d v="2022-11-29T00:00:00"/>
    <x v="1"/>
    <x v="1"/>
    <x v="0"/>
    <n v="2296"/>
    <x v="1"/>
    <x v="1"/>
    <x v="0"/>
    <x v="0"/>
    <x v="2"/>
    <x v="2"/>
    <x v="3"/>
    <x v="2"/>
    <x v="5"/>
    <n v="29"/>
    <x v="0"/>
  </r>
  <r>
    <d v="2022-11-29T00:00:00"/>
    <x v="0"/>
    <x v="1"/>
    <x v="0"/>
    <n v="27252234.850000001"/>
    <x v="0"/>
    <x v="1"/>
    <x v="0"/>
    <x v="1"/>
    <x v="2"/>
    <x v="2"/>
    <x v="3"/>
    <x v="2"/>
    <x v="5"/>
    <n v="29"/>
    <x v="0"/>
  </r>
  <r>
    <d v="2022-11-29T00:00:00"/>
    <x v="2"/>
    <x v="1"/>
    <x v="0"/>
    <n v="88844609.030000001"/>
    <x v="2"/>
    <x v="1"/>
    <x v="0"/>
    <x v="6"/>
    <x v="2"/>
    <x v="2"/>
    <x v="3"/>
    <x v="2"/>
    <x v="5"/>
    <n v="29"/>
    <x v="0"/>
  </r>
  <r>
    <d v="2022-11-29T00:00:00"/>
    <x v="2"/>
    <x v="1"/>
    <x v="2"/>
    <n v="19689.61"/>
    <x v="2"/>
    <x v="1"/>
    <x v="2"/>
    <x v="2"/>
    <x v="2"/>
    <x v="2"/>
    <x v="3"/>
    <x v="2"/>
    <x v="5"/>
    <n v="29"/>
    <x v="0"/>
  </r>
  <r>
    <d v="2022-11-29T00:00:00"/>
    <x v="2"/>
    <x v="1"/>
    <x v="1"/>
    <n v="227507458.94"/>
    <x v="2"/>
    <x v="1"/>
    <x v="1"/>
    <x v="8"/>
    <x v="2"/>
    <x v="2"/>
    <x v="3"/>
    <x v="2"/>
    <x v="5"/>
    <n v="29"/>
    <x v="0"/>
  </r>
  <r>
    <d v="2022-11-29T00:00:00"/>
    <x v="1"/>
    <x v="0"/>
    <x v="0"/>
    <n v="74699616.890000001"/>
    <x v="1"/>
    <x v="0"/>
    <x v="0"/>
    <x v="9"/>
    <x v="2"/>
    <x v="2"/>
    <x v="3"/>
    <x v="2"/>
    <x v="5"/>
    <n v="29"/>
    <x v="0"/>
  </r>
  <r>
    <d v="2022-11-29T00:00:00"/>
    <x v="3"/>
    <x v="3"/>
    <x v="1"/>
    <n v="5031123.3600000003"/>
    <x v="3"/>
    <x v="3"/>
    <x v="1"/>
    <x v="3"/>
    <x v="2"/>
    <x v="2"/>
    <x v="3"/>
    <x v="2"/>
    <x v="5"/>
    <n v="29"/>
    <x v="0"/>
  </r>
  <r>
    <d v="2022-11-29T00:00:00"/>
    <x v="0"/>
    <x v="1"/>
    <x v="1"/>
    <n v="-322308.65999999997"/>
    <x v="0"/>
    <x v="1"/>
    <x v="1"/>
    <x v="4"/>
    <x v="2"/>
    <x v="2"/>
    <x v="3"/>
    <x v="2"/>
    <x v="5"/>
    <n v="29"/>
    <x v="1"/>
  </r>
  <r>
    <d v="2022-11-29T00:00:00"/>
    <x v="3"/>
    <x v="2"/>
    <x v="2"/>
    <n v="568354.12"/>
    <x v="3"/>
    <x v="2"/>
    <x v="2"/>
    <x v="5"/>
    <x v="2"/>
    <x v="2"/>
    <x v="3"/>
    <x v="2"/>
    <x v="5"/>
    <n v="29"/>
    <x v="0"/>
  </r>
  <r>
    <d v="2022-11-29T00:00:00"/>
    <x v="3"/>
    <x v="3"/>
    <x v="0"/>
    <n v="2622293506.4299998"/>
    <x v="3"/>
    <x v="3"/>
    <x v="0"/>
    <x v="7"/>
    <x v="2"/>
    <x v="2"/>
    <x v="3"/>
    <x v="2"/>
    <x v="5"/>
    <n v="29"/>
    <x v="0"/>
  </r>
  <r>
    <d v="2022-11-29T00:00:00"/>
    <x v="1"/>
    <x v="0"/>
    <x v="1"/>
    <n v="319380905.02999997"/>
    <x v="1"/>
    <x v="0"/>
    <x v="1"/>
    <x v="10"/>
    <x v="2"/>
    <x v="2"/>
    <x v="3"/>
    <x v="2"/>
    <x v="5"/>
    <n v="29"/>
    <x v="0"/>
  </r>
  <r>
    <d v="2022-11-29T00:00:00"/>
    <x v="3"/>
    <x v="1"/>
    <x v="0"/>
    <n v="10084165.09"/>
    <x v="3"/>
    <x v="1"/>
    <x v="0"/>
    <x v="11"/>
    <x v="2"/>
    <x v="2"/>
    <x v="3"/>
    <x v="2"/>
    <x v="5"/>
    <n v="29"/>
    <x v="0"/>
  </r>
  <r>
    <d v="2022-11-29T00:00:00"/>
    <x v="3"/>
    <x v="2"/>
    <x v="0"/>
    <n v="596838130.98000002"/>
    <x v="3"/>
    <x v="2"/>
    <x v="0"/>
    <x v="12"/>
    <x v="2"/>
    <x v="2"/>
    <x v="3"/>
    <x v="2"/>
    <x v="5"/>
    <n v="29"/>
    <x v="0"/>
  </r>
  <r>
    <d v="2022-11-29T00:00:00"/>
    <x v="3"/>
    <x v="2"/>
    <x v="1"/>
    <n v="4815506322.7200003"/>
    <x v="3"/>
    <x v="2"/>
    <x v="1"/>
    <x v="13"/>
    <x v="2"/>
    <x v="2"/>
    <x v="3"/>
    <x v="2"/>
    <x v="5"/>
    <n v="29"/>
    <x v="0"/>
  </r>
  <r>
    <d v="2022-11-28T00:00:00"/>
    <x v="2"/>
    <x v="1"/>
    <x v="1"/>
    <n v="225901232.22"/>
    <x v="2"/>
    <x v="1"/>
    <x v="1"/>
    <x v="7"/>
    <x v="2"/>
    <x v="2"/>
    <x v="3"/>
    <x v="2"/>
    <x v="5"/>
    <n v="28"/>
    <x v="0"/>
  </r>
  <r>
    <d v="2022-11-28T00:00:00"/>
    <x v="1"/>
    <x v="0"/>
    <x v="1"/>
    <n v="74302716.579999998"/>
    <x v="1"/>
    <x v="0"/>
    <x v="1"/>
    <x v="8"/>
    <x v="2"/>
    <x v="2"/>
    <x v="3"/>
    <x v="2"/>
    <x v="5"/>
    <n v="28"/>
    <x v="0"/>
  </r>
  <r>
    <d v="2022-11-28T00:00:00"/>
    <x v="0"/>
    <x v="0"/>
    <x v="0"/>
    <n v="7135"/>
    <x v="0"/>
    <x v="0"/>
    <x v="0"/>
    <x v="0"/>
    <x v="2"/>
    <x v="2"/>
    <x v="3"/>
    <x v="2"/>
    <x v="5"/>
    <n v="28"/>
    <x v="0"/>
  </r>
  <r>
    <d v="2022-11-28T00:00:00"/>
    <x v="0"/>
    <x v="1"/>
    <x v="1"/>
    <n v="9805454.7100000009"/>
    <x v="0"/>
    <x v="1"/>
    <x v="1"/>
    <x v="2"/>
    <x v="2"/>
    <x v="2"/>
    <x v="3"/>
    <x v="2"/>
    <x v="5"/>
    <n v="28"/>
    <x v="0"/>
  </r>
  <r>
    <d v="2022-11-28T00:00:00"/>
    <x v="0"/>
    <x v="1"/>
    <x v="0"/>
    <n v="12432865.66"/>
    <x v="0"/>
    <x v="1"/>
    <x v="0"/>
    <x v="1"/>
    <x v="2"/>
    <x v="2"/>
    <x v="3"/>
    <x v="2"/>
    <x v="5"/>
    <n v="28"/>
    <x v="0"/>
  </r>
  <r>
    <d v="2022-11-28T00:00:00"/>
    <x v="2"/>
    <x v="1"/>
    <x v="2"/>
    <n v="2895"/>
    <x v="2"/>
    <x v="1"/>
    <x v="2"/>
    <x v="3"/>
    <x v="2"/>
    <x v="2"/>
    <x v="3"/>
    <x v="2"/>
    <x v="5"/>
    <n v="28"/>
    <x v="0"/>
  </r>
  <r>
    <d v="2022-11-28T00:00:00"/>
    <x v="3"/>
    <x v="2"/>
    <x v="2"/>
    <n v="253070.64"/>
    <x v="3"/>
    <x v="2"/>
    <x v="2"/>
    <x v="4"/>
    <x v="2"/>
    <x v="2"/>
    <x v="3"/>
    <x v="2"/>
    <x v="5"/>
    <n v="28"/>
    <x v="0"/>
  </r>
  <r>
    <d v="2022-11-28T00:00:00"/>
    <x v="2"/>
    <x v="1"/>
    <x v="0"/>
    <n v="50900773.689999998"/>
    <x v="2"/>
    <x v="1"/>
    <x v="0"/>
    <x v="5"/>
    <x v="2"/>
    <x v="2"/>
    <x v="3"/>
    <x v="2"/>
    <x v="5"/>
    <n v="28"/>
    <x v="0"/>
  </r>
  <r>
    <d v="2022-11-28T00:00:00"/>
    <x v="3"/>
    <x v="3"/>
    <x v="0"/>
    <n v="1599876261.6400001"/>
    <x v="3"/>
    <x v="3"/>
    <x v="0"/>
    <x v="6"/>
    <x v="2"/>
    <x v="2"/>
    <x v="3"/>
    <x v="2"/>
    <x v="5"/>
    <n v="28"/>
    <x v="0"/>
  </r>
  <r>
    <d v="2022-11-28T00:00:00"/>
    <x v="1"/>
    <x v="0"/>
    <x v="0"/>
    <n v="51723503.439999998"/>
    <x v="1"/>
    <x v="0"/>
    <x v="0"/>
    <x v="9"/>
    <x v="2"/>
    <x v="2"/>
    <x v="3"/>
    <x v="2"/>
    <x v="5"/>
    <n v="28"/>
    <x v="0"/>
  </r>
  <r>
    <d v="2022-11-28T00:00:00"/>
    <x v="3"/>
    <x v="2"/>
    <x v="0"/>
    <n v="550831648.60000002"/>
    <x v="3"/>
    <x v="2"/>
    <x v="0"/>
    <x v="10"/>
    <x v="2"/>
    <x v="2"/>
    <x v="3"/>
    <x v="2"/>
    <x v="5"/>
    <n v="28"/>
    <x v="0"/>
  </r>
  <r>
    <d v="2022-11-28T00:00:00"/>
    <x v="3"/>
    <x v="1"/>
    <x v="0"/>
    <n v="30277164.93"/>
    <x v="3"/>
    <x v="1"/>
    <x v="0"/>
    <x v="11"/>
    <x v="2"/>
    <x v="2"/>
    <x v="3"/>
    <x v="2"/>
    <x v="5"/>
    <n v="28"/>
    <x v="0"/>
  </r>
  <r>
    <d v="2022-11-28T00:00:00"/>
    <x v="3"/>
    <x v="2"/>
    <x v="1"/>
    <n v="21652815124.049999"/>
    <x v="3"/>
    <x v="2"/>
    <x v="1"/>
    <x v="12"/>
    <x v="2"/>
    <x v="2"/>
    <x v="3"/>
    <x v="2"/>
    <x v="5"/>
    <n v="28"/>
    <x v="0"/>
  </r>
  <r>
    <d v="2022-11-25T00:00:00"/>
    <x v="2"/>
    <x v="1"/>
    <x v="0"/>
    <n v="81616419.280000001"/>
    <x v="2"/>
    <x v="1"/>
    <x v="0"/>
    <x v="6"/>
    <x v="2"/>
    <x v="2"/>
    <x v="3"/>
    <x v="2"/>
    <x v="5"/>
    <n v="25"/>
    <x v="0"/>
  </r>
  <r>
    <d v="2022-11-25T00:00:00"/>
    <x v="2"/>
    <x v="1"/>
    <x v="1"/>
    <n v="242285036.19999999"/>
    <x v="2"/>
    <x v="1"/>
    <x v="1"/>
    <x v="8"/>
    <x v="2"/>
    <x v="2"/>
    <x v="3"/>
    <x v="2"/>
    <x v="5"/>
    <n v="25"/>
    <x v="0"/>
  </r>
  <r>
    <d v="2022-11-25T00:00:00"/>
    <x v="1"/>
    <x v="0"/>
    <x v="1"/>
    <n v="173733784.22999999"/>
    <x v="1"/>
    <x v="0"/>
    <x v="1"/>
    <x v="9"/>
    <x v="2"/>
    <x v="2"/>
    <x v="3"/>
    <x v="2"/>
    <x v="5"/>
    <n v="25"/>
    <x v="0"/>
  </r>
  <r>
    <d v="2022-11-25T00:00:00"/>
    <x v="0"/>
    <x v="1"/>
    <x v="1"/>
    <n v="2915180.85"/>
    <x v="0"/>
    <x v="1"/>
    <x v="1"/>
    <x v="3"/>
    <x v="2"/>
    <x v="2"/>
    <x v="3"/>
    <x v="2"/>
    <x v="5"/>
    <n v="25"/>
    <x v="0"/>
  </r>
  <r>
    <d v="2022-11-25T00:00:00"/>
    <x v="2"/>
    <x v="1"/>
    <x v="2"/>
    <n v="7833"/>
    <x v="2"/>
    <x v="1"/>
    <x v="2"/>
    <x v="5"/>
    <x v="2"/>
    <x v="2"/>
    <x v="3"/>
    <x v="2"/>
    <x v="5"/>
    <n v="25"/>
    <x v="0"/>
  </r>
  <r>
    <d v="2022-11-25T00:00:00"/>
    <x v="3"/>
    <x v="2"/>
    <x v="2"/>
    <n v="584299.02"/>
    <x v="3"/>
    <x v="2"/>
    <x v="2"/>
    <x v="4"/>
    <x v="2"/>
    <x v="2"/>
    <x v="3"/>
    <x v="2"/>
    <x v="5"/>
    <n v="25"/>
    <x v="0"/>
  </r>
  <r>
    <d v="2022-11-25T00:00:00"/>
    <x v="3"/>
    <x v="3"/>
    <x v="1"/>
    <n v="3442.06"/>
    <x v="3"/>
    <x v="3"/>
    <x v="1"/>
    <x v="2"/>
    <x v="2"/>
    <x v="2"/>
    <x v="3"/>
    <x v="2"/>
    <x v="5"/>
    <n v="25"/>
    <x v="0"/>
  </r>
  <r>
    <d v="2022-11-25T00:00:00"/>
    <x v="3"/>
    <x v="3"/>
    <x v="0"/>
    <n v="1007432546.2"/>
    <x v="3"/>
    <x v="3"/>
    <x v="0"/>
    <x v="7"/>
    <x v="2"/>
    <x v="2"/>
    <x v="3"/>
    <x v="2"/>
    <x v="5"/>
    <n v="25"/>
    <x v="0"/>
  </r>
  <r>
    <d v="2022-11-25T00:00:00"/>
    <x v="1"/>
    <x v="0"/>
    <x v="0"/>
    <n v="72115562.689999998"/>
    <x v="1"/>
    <x v="0"/>
    <x v="0"/>
    <x v="10"/>
    <x v="2"/>
    <x v="2"/>
    <x v="3"/>
    <x v="2"/>
    <x v="5"/>
    <n v="25"/>
    <x v="0"/>
  </r>
  <r>
    <d v="2022-11-25T00:00:00"/>
    <x v="1"/>
    <x v="1"/>
    <x v="0"/>
    <n v="2736.88"/>
    <x v="1"/>
    <x v="1"/>
    <x v="0"/>
    <x v="0"/>
    <x v="2"/>
    <x v="2"/>
    <x v="3"/>
    <x v="2"/>
    <x v="5"/>
    <n v="25"/>
    <x v="0"/>
  </r>
  <r>
    <d v="2022-11-25T00:00:00"/>
    <x v="0"/>
    <x v="1"/>
    <x v="0"/>
    <n v="35392860.259999998"/>
    <x v="0"/>
    <x v="1"/>
    <x v="0"/>
    <x v="1"/>
    <x v="2"/>
    <x v="2"/>
    <x v="3"/>
    <x v="2"/>
    <x v="5"/>
    <n v="25"/>
    <x v="0"/>
  </r>
  <r>
    <d v="2022-11-25T00:00:00"/>
    <x v="3"/>
    <x v="2"/>
    <x v="0"/>
    <n v="358915148.52999997"/>
    <x v="3"/>
    <x v="2"/>
    <x v="0"/>
    <x v="11"/>
    <x v="2"/>
    <x v="2"/>
    <x v="3"/>
    <x v="2"/>
    <x v="5"/>
    <n v="25"/>
    <x v="0"/>
  </r>
  <r>
    <d v="2022-11-25T00:00:00"/>
    <x v="3"/>
    <x v="1"/>
    <x v="0"/>
    <n v="21056140.66"/>
    <x v="3"/>
    <x v="1"/>
    <x v="0"/>
    <x v="12"/>
    <x v="2"/>
    <x v="2"/>
    <x v="3"/>
    <x v="2"/>
    <x v="5"/>
    <n v="25"/>
    <x v="0"/>
  </r>
  <r>
    <d v="2022-11-25T00:00:00"/>
    <x v="3"/>
    <x v="2"/>
    <x v="1"/>
    <n v="12361400074.219999"/>
    <x v="3"/>
    <x v="2"/>
    <x v="1"/>
    <x v="13"/>
    <x v="2"/>
    <x v="2"/>
    <x v="3"/>
    <x v="2"/>
    <x v="5"/>
    <n v="25"/>
    <x v="0"/>
  </r>
  <r>
    <d v="2022-11-23T00:00:00"/>
    <x v="2"/>
    <x v="1"/>
    <x v="0"/>
    <n v="73352173.870000005"/>
    <x v="2"/>
    <x v="1"/>
    <x v="0"/>
    <x v="5"/>
    <x v="2"/>
    <x v="2"/>
    <x v="3"/>
    <x v="2"/>
    <x v="5"/>
    <n v="23"/>
    <x v="0"/>
  </r>
  <r>
    <d v="2022-11-23T00:00:00"/>
    <x v="2"/>
    <x v="1"/>
    <x v="2"/>
    <n v="15454.68"/>
    <x v="2"/>
    <x v="1"/>
    <x v="2"/>
    <x v="2"/>
    <x v="2"/>
    <x v="2"/>
    <x v="3"/>
    <x v="2"/>
    <x v="5"/>
    <n v="23"/>
    <x v="0"/>
  </r>
  <r>
    <d v="2022-11-23T00:00:00"/>
    <x v="1"/>
    <x v="1"/>
    <x v="0"/>
    <n v="5342.7"/>
    <x v="1"/>
    <x v="1"/>
    <x v="0"/>
    <x v="0"/>
    <x v="2"/>
    <x v="2"/>
    <x v="3"/>
    <x v="2"/>
    <x v="5"/>
    <n v="23"/>
    <x v="0"/>
  </r>
  <r>
    <d v="2022-11-23T00:00:00"/>
    <x v="0"/>
    <x v="1"/>
    <x v="0"/>
    <n v="10249271.59"/>
    <x v="0"/>
    <x v="1"/>
    <x v="0"/>
    <x v="1"/>
    <x v="2"/>
    <x v="2"/>
    <x v="3"/>
    <x v="2"/>
    <x v="5"/>
    <n v="23"/>
    <x v="0"/>
  </r>
  <r>
    <d v="2022-11-23T00:00:00"/>
    <x v="1"/>
    <x v="0"/>
    <x v="0"/>
    <n v="82128510.459999993"/>
    <x v="1"/>
    <x v="0"/>
    <x v="0"/>
    <x v="8"/>
    <x v="2"/>
    <x v="2"/>
    <x v="3"/>
    <x v="2"/>
    <x v="5"/>
    <n v="23"/>
    <x v="0"/>
  </r>
  <r>
    <d v="2022-11-23T00:00:00"/>
    <x v="0"/>
    <x v="1"/>
    <x v="1"/>
    <n v="15125709.41"/>
    <x v="0"/>
    <x v="1"/>
    <x v="1"/>
    <x v="3"/>
    <x v="2"/>
    <x v="2"/>
    <x v="3"/>
    <x v="2"/>
    <x v="5"/>
    <n v="23"/>
    <x v="0"/>
  </r>
  <r>
    <d v="2022-11-23T00:00:00"/>
    <x v="1"/>
    <x v="0"/>
    <x v="1"/>
    <n v="695059619.5"/>
    <x v="1"/>
    <x v="0"/>
    <x v="1"/>
    <x v="9"/>
    <x v="2"/>
    <x v="2"/>
    <x v="3"/>
    <x v="2"/>
    <x v="5"/>
    <n v="23"/>
    <x v="0"/>
  </r>
  <r>
    <d v="2022-11-23T00:00:00"/>
    <x v="3"/>
    <x v="2"/>
    <x v="2"/>
    <n v="466605.99"/>
    <x v="3"/>
    <x v="2"/>
    <x v="2"/>
    <x v="4"/>
    <x v="2"/>
    <x v="2"/>
    <x v="3"/>
    <x v="2"/>
    <x v="5"/>
    <n v="23"/>
    <x v="0"/>
  </r>
  <r>
    <d v="2022-11-23T00:00:00"/>
    <x v="3"/>
    <x v="3"/>
    <x v="0"/>
    <n v="1825183262.8699999"/>
    <x v="3"/>
    <x v="3"/>
    <x v="0"/>
    <x v="6"/>
    <x v="2"/>
    <x v="2"/>
    <x v="3"/>
    <x v="2"/>
    <x v="5"/>
    <n v="23"/>
    <x v="0"/>
  </r>
  <r>
    <d v="2022-11-23T00:00:00"/>
    <x v="2"/>
    <x v="1"/>
    <x v="1"/>
    <n v="171028798.58000001"/>
    <x v="2"/>
    <x v="1"/>
    <x v="1"/>
    <x v="7"/>
    <x v="2"/>
    <x v="2"/>
    <x v="3"/>
    <x v="2"/>
    <x v="5"/>
    <n v="23"/>
    <x v="0"/>
  </r>
  <r>
    <d v="2022-11-23T00:00:00"/>
    <x v="3"/>
    <x v="1"/>
    <x v="0"/>
    <n v="19569021.350000001"/>
    <x v="3"/>
    <x v="1"/>
    <x v="0"/>
    <x v="10"/>
    <x v="2"/>
    <x v="2"/>
    <x v="3"/>
    <x v="2"/>
    <x v="5"/>
    <n v="23"/>
    <x v="0"/>
  </r>
  <r>
    <d v="2022-11-23T00:00:00"/>
    <x v="3"/>
    <x v="2"/>
    <x v="0"/>
    <n v="6365307682.7700005"/>
    <x v="3"/>
    <x v="2"/>
    <x v="0"/>
    <x v="11"/>
    <x v="2"/>
    <x v="2"/>
    <x v="3"/>
    <x v="2"/>
    <x v="5"/>
    <n v="23"/>
    <x v="0"/>
  </r>
  <r>
    <d v="2022-11-23T00:00:00"/>
    <x v="3"/>
    <x v="2"/>
    <x v="1"/>
    <n v="12582847647.23"/>
    <x v="3"/>
    <x v="2"/>
    <x v="1"/>
    <x v="12"/>
    <x v="2"/>
    <x v="2"/>
    <x v="3"/>
    <x v="2"/>
    <x v="5"/>
    <n v="23"/>
    <x v="0"/>
  </r>
  <r>
    <d v="2022-11-22T00:00:00"/>
    <x v="3"/>
    <x v="2"/>
    <x v="2"/>
    <n v="869451.67"/>
    <x v="3"/>
    <x v="2"/>
    <x v="2"/>
    <x v="4"/>
    <x v="2"/>
    <x v="2"/>
    <x v="3"/>
    <x v="2"/>
    <x v="5"/>
    <n v="22"/>
    <x v="0"/>
  </r>
  <r>
    <d v="2022-11-22T00:00:00"/>
    <x v="2"/>
    <x v="1"/>
    <x v="2"/>
    <n v="16412.73"/>
    <x v="2"/>
    <x v="1"/>
    <x v="2"/>
    <x v="2"/>
    <x v="2"/>
    <x v="2"/>
    <x v="3"/>
    <x v="2"/>
    <x v="5"/>
    <n v="22"/>
    <x v="0"/>
  </r>
  <r>
    <d v="2022-11-22T00:00:00"/>
    <x v="2"/>
    <x v="1"/>
    <x v="0"/>
    <n v="81529640.069999993"/>
    <x v="2"/>
    <x v="1"/>
    <x v="0"/>
    <x v="5"/>
    <x v="2"/>
    <x v="2"/>
    <x v="3"/>
    <x v="2"/>
    <x v="5"/>
    <n v="22"/>
    <x v="0"/>
  </r>
  <r>
    <d v="2022-11-22T00:00:00"/>
    <x v="1"/>
    <x v="1"/>
    <x v="0"/>
    <n v="725.5"/>
    <x v="1"/>
    <x v="1"/>
    <x v="0"/>
    <x v="0"/>
    <x v="2"/>
    <x v="2"/>
    <x v="3"/>
    <x v="2"/>
    <x v="5"/>
    <n v="22"/>
    <x v="0"/>
  </r>
  <r>
    <d v="2022-11-22T00:00:00"/>
    <x v="1"/>
    <x v="0"/>
    <x v="1"/>
    <n v="239676714.41999999"/>
    <x v="1"/>
    <x v="0"/>
    <x v="1"/>
    <x v="7"/>
    <x v="2"/>
    <x v="2"/>
    <x v="3"/>
    <x v="2"/>
    <x v="5"/>
    <n v="22"/>
    <x v="0"/>
  </r>
  <r>
    <d v="2022-11-22T00:00:00"/>
    <x v="0"/>
    <x v="1"/>
    <x v="0"/>
    <n v="27877870.149999999"/>
    <x v="0"/>
    <x v="1"/>
    <x v="0"/>
    <x v="1"/>
    <x v="2"/>
    <x v="2"/>
    <x v="3"/>
    <x v="2"/>
    <x v="5"/>
    <n v="22"/>
    <x v="0"/>
  </r>
  <r>
    <d v="2022-11-22T00:00:00"/>
    <x v="0"/>
    <x v="1"/>
    <x v="1"/>
    <n v="19431173.399999999"/>
    <x v="0"/>
    <x v="1"/>
    <x v="1"/>
    <x v="3"/>
    <x v="2"/>
    <x v="2"/>
    <x v="3"/>
    <x v="2"/>
    <x v="5"/>
    <n v="22"/>
    <x v="0"/>
  </r>
  <r>
    <d v="2022-11-22T00:00:00"/>
    <x v="2"/>
    <x v="1"/>
    <x v="1"/>
    <n v="113353635.13"/>
    <x v="2"/>
    <x v="1"/>
    <x v="1"/>
    <x v="8"/>
    <x v="2"/>
    <x v="2"/>
    <x v="3"/>
    <x v="2"/>
    <x v="5"/>
    <n v="22"/>
    <x v="0"/>
  </r>
  <r>
    <d v="2022-11-22T00:00:00"/>
    <x v="1"/>
    <x v="0"/>
    <x v="0"/>
    <n v="75708853.049999997"/>
    <x v="1"/>
    <x v="0"/>
    <x v="0"/>
    <x v="9"/>
    <x v="2"/>
    <x v="2"/>
    <x v="3"/>
    <x v="2"/>
    <x v="5"/>
    <n v="22"/>
    <x v="0"/>
  </r>
  <r>
    <d v="2022-11-22T00:00:00"/>
    <x v="3"/>
    <x v="3"/>
    <x v="0"/>
    <n v="1184342848.49"/>
    <x v="3"/>
    <x v="3"/>
    <x v="0"/>
    <x v="6"/>
    <x v="2"/>
    <x v="2"/>
    <x v="3"/>
    <x v="2"/>
    <x v="5"/>
    <n v="22"/>
    <x v="0"/>
  </r>
  <r>
    <d v="2022-11-22T00:00:00"/>
    <x v="3"/>
    <x v="1"/>
    <x v="0"/>
    <n v="15609637.24"/>
    <x v="3"/>
    <x v="1"/>
    <x v="0"/>
    <x v="10"/>
    <x v="2"/>
    <x v="2"/>
    <x v="3"/>
    <x v="2"/>
    <x v="5"/>
    <n v="22"/>
    <x v="0"/>
  </r>
  <r>
    <d v="2022-11-22T00:00:00"/>
    <x v="3"/>
    <x v="2"/>
    <x v="0"/>
    <n v="385138140.31999999"/>
    <x v="3"/>
    <x v="2"/>
    <x v="0"/>
    <x v="11"/>
    <x v="2"/>
    <x v="2"/>
    <x v="3"/>
    <x v="2"/>
    <x v="5"/>
    <n v="22"/>
    <x v="0"/>
  </r>
  <r>
    <d v="2022-11-22T00:00:00"/>
    <x v="3"/>
    <x v="2"/>
    <x v="1"/>
    <n v="3740980836.8400002"/>
    <x v="3"/>
    <x v="2"/>
    <x v="1"/>
    <x v="12"/>
    <x v="2"/>
    <x v="2"/>
    <x v="3"/>
    <x v="2"/>
    <x v="5"/>
    <n v="22"/>
    <x v="0"/>
  </r>
  <r>
    <d v="2022-11-21T00:00:00"/>
    <x v="2"/>
    <x v="1"/>
    <x v="0"/>
    <n v="74060075.489999995"/>
    <x v="2"/>
    <x v="1"/>
    <x v="0"/>
    <x v="6"/>
    <x v="2"/>
    <x v="2"/>
    <x v="3"/>
    <x v="2"/>
    <x v="5"/>
    <n v="21"/>
    <x v="0"/>
  </r>
  <r>
    <d v="2022-11-21T00:00:00"/>
    <x v="1"/>
    <x v="1"/>
    <x v="0"/>
    <n v="100"/>
    <x v="1"/>
    <x v="1"/>
    <x v="0"/>
    <x v="0"/>
    <x v="2"/>
    <x v="2"/>
    <x v="3"/>
    <x v="2"/>
    <x v="5"/>
    <n v="21"/>
    <x v="0"/>
  </r>
  <r>
    <d v="2022-11-21T00:00:00"/>
    <x v="0"/>
    <x v="1"/>
    <x v="0"/>
    <n v="62143618.119999997"/>
    <x v="0"/>
    <x v="1"/>
    <x v="0"/>
    <x v="1"/>
    <x v="2"/>
    <x v="2"/>
    <x v="3"/>
    <x v="2"/>
    <x v="5"/>
    <n v="21"/>
    <x v="0"/>
  </r>
  <r>
    <d v="2022-11-21T00:00:00"/>
    <x v="1"/>
    <x v="0"/>
    <x v="1"/>
    <n v="269538635.08999997"/>
    <x v="1"/>
    <x v="0"/>
    <x v="1"/>
    <x v="8"/>
    <x v="2"/>
    <x v="2"/>
    <x v="3"/>
    <x v="2"/>
    <x v="5"/>
    <n v="21"/>
    <x v="0"/>
  </r>
  <r>
    <d v="2022-11-21T00:00:00"/>
    <x v="2"/>
    <x v="1"/>
    <x v="1"/>
    <n v="169498207.44"/>
    <x v="2"/>
    <x v="1"/>
    <x v="1"/>
    <x v="9"/>
    <x v="2"/>
    <x v="2"/>
    <x v="3"/>
    <x v="2"/>
    <x v="5"/>
    <n v="21"/>
    <x v="0"/>
  </r>
  <r>
    <d v="2022-11-21T00:00:00"/>
    <x v="3"/>
    <x v="3"/>
    <x v="1"/>
    <n v="14910601.859999999"/>
    <x v="3"/>
    <x v="3"/>
    <x v="1"/>
    <x v="3"/>
    <x v="2"/>
    <x v="2"/>
    <x v="3"/>
    <x v="2"/>
    <x v="5"/>
    <n v="21"/>
    <x v="0"/>
  </r>
  <r>
    <d v="2022-11-21T00:00:00"/>
    <x v="0"/>
    <x v="1"/>
    <x v="1"/>
    <n v="10900201.460000001"/>
    <x v="0"/>
    <x v="1"/>
    <x v="1"/>
    <x v="4"/>
    <x v="2"/>
    <x v="2"/>
    <x v="3"/>
    <x v="2"/>
    <x v="5"/>
    <n v="21"/>
    <x v="0"/>
  </r>
  <r>
    <d v="2022-11-21T00:00:00"/>
    <x v="1"/>
    <x v="0"/>
    <x v="0"/>
    <n v="49331969.369999997"/>
    <x v="1"/>
    <x v="0"/>
    <x v="0"/>
    <x v="10"/>
    <x v="2"/>
    <x v="2"/>
    <x v="3"/>
    <x v="2"/>
    <x v="5"/>
    <n v="21"/>
    <x v="0"/>
  </r>
  <r>
    <d v="2022-11-21T00:00:00"/>
    <x v="3"/>
    <x v="2"/>
    <x v="2"/>
    <n v="552443.99"/>
    <x v="3"/>
    <x v="2"/>
    <x v="2"/>
    <x v="5"/>
    <x v="2"/>
    <x v="2"/>
    <x v="3"/>
    <x v="2"/>
    <x v="5"/>
    <n v="21"/>
    <x v="0"/>
  </r>
  <r>
    <d v="2022-11-21T00:00:00"/>
    <x v="2"/>
    <x v="1"/>
    <x v="2"/>
    <n v="3112.39"/>
    <x v="2"/>
    <x v="1"/>
    <x v="2"/>
    <x v="2"/>
    <x v="2"/>
    <x v="2"/>
    <x v="3"/>
    <x v="2"/>
    <x v="5"/>
    <n v="21"/>
    <x v="0"/>
  </r>
  <r>
    <d v="2022-11-21T00:00:00"/>
    <x v="3"/>
    <x v="3"/>
    <x v="0"/>
    <n v="1885787626.52"/>
    <x v="3"/>
    <x v="3"/>
    <x v="0"/>
    <x v="7"/>
    <x v="2"/>
    <x v="2"/>
    <x v="3"/>
    <x v="2"/>
    <x v="5"/>
    <n v="21"/>
    <x v="0"/>
  </r>
  <r>
    <d v="2022-11-21T00:00:00"/>
    <x v="3"/>
    <x v="2"/>
    <x v="0"/>
    <n v="732324121.28999996"/>
    <x v="3"/>
    <x v="2"/>
    <x v="0"/>
    <x v="11"/>
    <x v="2"/>
    <x v="2"/>
    <x v="3"/>
    <x v="2"/>
    <x v="5"/>
    <n v="21"/>
    <x v="0"/>
  </r>
  <r>
    <d v="2022-11-21T00:00:00"/>
    <x v="3"/>
    <x v="2"/>
    <x v="1"/>
    <n v="19811526184.52"/>
    <x v="3"/>
    <x v="2"/>
    <x v="1"/>
    <x v="12"/>
    <x v="2"/>
    <x v="2"/>
    <x v="3"/>
    <x v="2"/>
    <x v="5"/>
    <n v="21"/>
    <x v="0"/>
  </r>
  <r>
    <d v="2022-11-21T00:00:00"/>
    <x v="3"/>
    <x v="1"/>
    <x v="0"/>
    <n v="52782347.829999998"/>
    <x v="3"/>
    <x v="1"/>
    <x v="0"/>
    <x v="13"/>
    <x v="2"/>
    <x v="2"/>
    <x v="3"/>
    <x v="2"/>
    <x v="5"/>
    <n v="21"/>
    <x v="0"/>
  </r>
  <r>
    <d v="2022-11-18T00:00:00"/>
    <x v="2"/>
    <x v="1"/>
    <x v="2"/>
    <n v="53318.39"/>
    <x v="2"/>
    <x v="1"/>
    <x v="2"/>
    <x v="2"/>
    <x v="2"/>
    <x v="2"/>
    <x v="3"/>
    <x v="2"/>
    <x v="5"/>
    <n v="18"/>
    <x v="0"/>
  </r>
  <r>
    <d v="2022-11-18T00:00:00"/>
    <x v="1"/>
    <x v="1"/>
    <x v="0"/>
    <n v="9431.2900000000009"/>
    <x v="1"/>
    <x v="1"/>
    <x v="0"/>
    <x v="0"/>
    <x v="2"/>
    <x v="2"/>
    <x v="3"/>
    <x v="2"/>
    <x v="5"/>
    <n v="18"/>
    <x v="0"/>
  </r>
  <r>
    <d v="2022-11-18T00:00:00"/>
    <x v="0"/>
    <x v="1"/>
    <x v="0"/>
    <n v="45542277.109999999"/>
    <x v="0"/>
    <x v="1"/>
    <x v="0"/>
    <x v="1"/>
    <x v="2"/>
    <x v="2"/>
    <x v="3"/>
    <x v="2"/>
    <x v="5"/>
    <n v="18"/>
    <x v="0"/>
  </r>
  <r>
    <d v="2022-11-18T00:00:00"/>
    <x v="3"/>
    <x v="3"/>
    <x v="0"/>
    <n v="2930213549.3499999"/>
    <x v="3"/>
    <x v="3"/>
    <x v="0"/>
    <x v="6"/>
    <x v="2"/>
    <x v="2"/>
    <x v="3"/>
    <x v="2"/>
    <x v="5"/>
    <n v="18"/>
    <x v="0"/>
  </r>
  <r>
    <d v="2022-11-18T00:00:00"/>
    <x v="1"/>
    <x v="0"/>
    <x v="1"/>
    <n v="87457296.790000007"/>
    <x v="1"/>
    <x v="0"/>
    <x v="1"/>
    <x v="8"/>
    <x v="2"/>
    <x v="2"/>
    <x v="3"/>
    <x v="2"/>
    <x v="5"/>
    <n v="18"/>
    <x v="0"/>
  </r>
  <r>
    <d v="2022-11-18T00:00:00"/>
    <x v="0"/>
    <x v="1"/>
    <x v="1"/>
    <n v="488953.33"/>
    <x v="0"/>
    <x v="1"/>
    <x v="1"/>
    <x v="3"/>
    <x v="2"/>
    <x v="2"/>
    <x v="3"/>
    <x v="2"/>
    <x v="5"/>
    <n v="18"/>
    <x v="0"/>
  </r>
  <r>
    <d v="2022-11-18T00:00:00"/>
    <x v="3"/>
    <x v="2"/>
    <x v="2"/>
    <n v="904542"/>
    <x v="3"/>
    <x v="2"/>
    <x v="2"/>
    <x v="4"/>
    <x v="2"/>
    <x v="2"/>
    <x v="3"/>
    <x v="2"/>
    <x v="5"/>
    <n v="18"/>
    <x v="0"/>
  </r>
  <r>
    <d v="2022-11-18T00:00:00"/>
    <x v="2"/>
    <x v="1"/>
    <x v="0"/>
    <n v="83782902.219999999"/>
    <x v="2"/>
    <x v="1"/>
    <x v="0"/>
    <x v="5"/>
    <x v="2"/>
    <x v="2"/>
    <x v="3"/>
    <x v="2"/>
    <x v="5"/>
    <n v="18"/>
    <x v="0"/>
  </r>
  <r>
    <d v="2022-11-18T00:00:00"/>
    <x v="2"/>
    <x v="1"/>
    <x v="1"/>
    <n v="99663074.219999999"/>
    <x v="2"/>
    <x v="1"/>
    <x v="1"/>
    <x v="7"/>
    <x v="2"/>
    <x v="2"/>
    <x v="3"/>
    <x v="2"/>
    <x v="5"/>
    <n v="18"/>
    <x v="0"/>
  </r>
  <r>
    <d v="2022-11-18T00:00:00"/>
    <x v="1"/>
    <x v="0"/>
    <x v="0"/>
    <n v="54229250.549999997"/>
    <x v="1"/>
    <x v="0"/>
    <x v="0"/>
    <x v="9"/>
    <x v="2"/>
    <x v="2"/>
    <x v="3"/>
    <x v="2"/>
    <x v="5"/>
    <n v="18"/>
    <x v="0"/>
  </r>
  <r>
    <d v="2022-11-18T00:00:00"/>
    <x v="3"/>
    <x v="2"/>
    <x v="0"/>
    <n v="299437176.69999999"/>
    <x v="3"/>
    <x v="2"/>
    <x v="0"/>
    <x v="10"/>
    <x v="2"/>
    <x v="2"/>
    <x v="3"/>
    <x v="2"/>
    <x v="5"/>
    <n v="18"/>
    <x v="0"/>
  </r>
  <r>
    <d v="2022-11-18T00:00:00"/>
    <x v="3"/>
    <x v="1"/>
    <x v="0"/>
    <n v="16390435.4"/>
    <x v="3"/>
    <x v="1"/>
    <x v="0"/>
    <x v="11"/>
    <x v="2"/>
    <x v="2"/>
    <x v="3"/>
    <x v="2"/>
    <x v="5"/>
    <n v="18"/>
    <x v="0"/>
  </r>
  <r>
    <d v="2022-11-18T00:00:00"/>
    <x v="3"/>
    <x v="2"/>
    <x v="1"/>
    <n v="10804979190.07"/>
    <x v="3"/>
    <x v="2"/>
    <x v="1"/>
    <x v="12"/>
    <x v="2"/>
    <x v="2"/>
    <x v="3"/>
    <x v="2"/>
    <x v="5"/>
    <n v="18"/>
    <x v="0"/>
  </r>
  <r>
    <d v="2022-11-17T00:00:00"/>
    <x v="2"/>
    <x v="1"/>
    <x v="2"/>
    <n v="9593"/>
    <x v="2"/>
    <x v="1"/>
    <x v="2"/>
    <x v="2"/>
    <x v="2"/>
    <x v="2"/>
    <x v="3"/>
    <x v="2"/>
    <x v="5"/>
    <n v="17"/>
    <x v="0"/>
  </r>
  <r>
    <d v="2022-11-17T00:00:00"/>
    <x v="1"/>
    <x v="1"/>
    <x v="0"/>
    <n v="425"/>
    <x v="1"/>
    <x v="1"/>
    <x v="0"/>
    <x v="0"/>
    <x v="2"/>
    <x v="2"/>
    <x v="3"/>
    <x v="2"/>
    <x v="5"/>
    <n v="17"/>
    <x v="0"/>
  </r>
  <r>
    <d v="2022-11-17T00:00:00"/>
    <x v="0"/>
    <x v="1"/>
    <x v="0"/>
    <n v="25868714.609999999"/>
    <x v="0"/>
    <x v="1"/>
    <x v="0"/>
    <x v="1"/>
    <x v="2"/>
    <x v="2"/>
    <x v="3"/>
    <x v="2"/>
    <x v="5"/>
    <n v="17"/>
    <x v="0"/>
  </r>
  <r>
    <d v="2022-11-17T00:00:00"/>
    <x v="2"/>
    <x v="1"/>
    <x v="0"/>
    <n v="100345084"/>
    <x v="2"/>
    <x v="1"/>
    <x v="0"/>
    <x v="6"/>
    <x v="2"/>
    <x v="2"/>
    <x v="3"/>
    <x v="2"/>
    <x v="5"/>
    <n v="17"/>
    <x v="0"/>
  </r>
  <r>
    <d v="2022-11-17T00:00:00"/>
    <x v="2"/>
    <x v="1"/>
    <x v="1"/>
    <n v="323032828.88999999"/>
    <x v="2"/>
    <x v="1"/>
    <x v="1"/>
    <x v="8"/>
    <x v="2"/>
    <x v="2"/>
    <x v="3"/>
    <x v="2"/>
    <x v="5"/>
    <n v="17"/>
    <x v="0"/>
  </r>
  <r>
    <d v="2022-11-17T00:00:00"/>
    <x v="3"/>
    <x v="3"/>
    <x v="1"/>
    <n v="805299.92"/>
    <x v="3"/>
    <x v="3"/>
    <x v="1"/>
    <x v="3"/>
    <x v="2"/>
    <x v="2"/>
    <x v="3"/>
    <x v="2"/>
    <x v="5"/>
    <n v="17"/>
    <x v="0"/>
  </r>
  <r>
    <d v="2022-11-17T00:00:00"/>
    <x v="0"/>
    <x v="1"/>
    <x v="1"/>
    <n v="3990998.63"/>
    <x v="0"/>
    <x v="1"/>
    <x v="1"/>
    <x v="4"/>
    <x v="2"/>
    <x v="2"/>
    <x v="3"/>
    <x v="2"/>
    <x v="5"/>
    <n v="17"/>
    <x v="0"/>
  </r>
  <r>
    <d v="2022-11-17T00:00:00"/>
    <x v="1"/>
    <x v="0"/>
    <x v="1"/>
    <n v="162310441.03999999"/>
    <x v="1"/>
    <x v="0"/>
    <x v="1"/>
    <x v="9"/>
    <x v="2"/>
    <x v="2"/>
    <x v="3"/>
    <x v="2"/>
    <x v="5"/>
    <n v="17"/>
    <x v="0"/>
  </r>
  <r>
    <d v="2022-11-17T00:00:00"/>
    <x v="3"/>
    <x v="2"/>
    <x v="2"/>
    <n v="550364"/>
    <x v="3"/>
    <x v="2"/>
    <x v="2"/>
    <x v="5"/>
    <x v="2"/>
    <x v="2"/>
    <x v="3"/>
    <x v="2"/>
    <x v="5"/>
    <n v="17"/>
    <x v="0"/>
  </r>
  <r>
    <d v="2022-11-17T00:00:00"/>
    <x v="3"/>
    <x v="3"/>
    <x v="0"/>
    <n v="1356293815.9300001"/>
    <x v="3"/>
    <x v="3"/>
    <x v="0"/>
    <x v="7"/>
    <x v="2"/>
    <x v="2"/>
    <x v="3"/>
    <x v="2"/>
    <x v="5"/>
    <n v="17"/>
    <x v="0"/>
  </r>
  <r>
    <d v="2022-11-17T00:00:00"/>
    <x v="1"/>
    <x v="0"/>
    <x v="0"/>
    <n v="79398079.980000004"/>
    <x v="1"/>
    <x v="0"/>
    <x v="0"/>
    <x v="10"/>
    <x v="2"/>
    <x v="2"/>
    <x v="3"/>
    <x v="2"/>
    <x v="5"/>
    <n v="17"/>
    <x v="0"/>
  </r>
  <r>
    <d v="2022-11-17T00:00:00"/>
    <x v="3"/>
    <x v="1"/>
    <x v="0"/>
    <n v="16802210.140000001"/>
    <x v="3"/>
    <x v="1"/>
    <x v="0"/>
    <x v="11"/>
    <x v="2"/>
    <x v="2"/>
    <x v="3"/>
    <x v="2"/>
    <x v="5"/>
    <n v="17"/>
    <x v="0"/>
  </r>
  <r>
    <d v="2022-11-17T00:00:00"/>
    <x v="3"/>
    <x v="2"/>
    <x v="0"/>
    <n v="388177317.07999998"/>
    <x v="3"/>
    <x v="2"/>
    <x v="0"/>
    <x v="12"/>
    <x v="2"/>
    <x v="2"/>
    <x v="3"/>
    <x v="2"/>
    <x v="5"/>
    <n v="17"/>
    <x v="0"/>
  </r>
  <r>
    <d v="2022-11-17T00:00:00"/>
    <x v="3"/>
    <x v="2"/>
    <x v="1"/>
    <n v="5074442219.0299997"/>
    <x v="3"/>
    <x v="2"/>
    <x v="1"/>
    <x v="13"/>
    <x v="2"/>
    <x v="2"/>
    <x v="3"/>
    <x v="2"/>
    <x v="5"/>
    <n v="17"/>
    <x v="0"/>
  </r>
  <r>
    <d v="2022-11-16T00:00:00"/>
    <x v="1"/>
    <x v="1"/>
    <x v="0"/>
    <n v="1041"/>
    <x v="1"/>
    <x v="1"/>
    <x v="0"/>
    <x v="0"/>
    <x v="2"/>
    <x v="2"/>
    <x v="3"/>
    <x v="2"/>
    <x v="5"/>
    <n v="16"/>
    <x v="0"/>
  </r>
  <r>
    <d v="2022-11-16T00:00:00"/>
    <x v="0"/>
    <x v="1"/>
    <x v="0"/>
    <n v="15187838.630000001"/>
    <x v="0"/>
    <x v="1"/>
    <x v="0"/>
    <x v="1"/>
    <x v="2"/>
    <x v="2"/>
    <x v="3"/>
    <x v="2"/>
    <x v="5"/>
    <n v="16"/>
    <x v="0"/>
  </r>
  <r>
    <d v="2022-11-16T00:00:00"/>
    <x v="2"/>
    <x v="1"/>
    <x v="2"/>
    <n v="14468.26"/>
    <x v="2"/>
    <x v="1"/>
    <x v="2"/>
    <x v="2"/>
    <x v="2"/>
    <x v="2"/>
    <x v="3"/>
    <x v="2"/>
    <x v="5"/>
    <n v="16"/>
    <x v="0"/>
  </r>
  <r>
    <d v="2022-11-16T00:00:00"/>
    <x v="2"/>
    <x v="1"/>
    <x v="0"/>
    <n v="79053599.629999995"/>
    <x v="2"/>
    <x v="1"/>
    <x v="0"/>
    <x v="5"/>
    <x v="2"/>
    <x v="2"/>
    <x v="3"/>
    <x v="2"/>
    <x v="5"/>
    <n v="16"/>
    <x v="0"/>
  </r>
  <r>
    <d v="2022-11-16T00:00:00"/>
    <x v="3"/>
    <x v="3"/>
    <x v="0"/>
    <n v="2589202728.3699999"/>
    <x v="3"/>
    <x v="3"/>
    <x v="0"/>
    <x v="6"/>
    <x v="2"/>
    <x v="2"/>
    <x v="3"/>
    <x v="2"/>
    <x v="5"/>
    <n v="16"/>
    <x v="0"/>
  </r>
  <r>
    <d v="2022-11-16T00:00:00"/>
    <x v="2"/>
    <x v="1"/>
    <x v="1"/>
    <n v="180096466.72"/>
    <x v="2"/>
    <x v="1"/>
    <x v="1"/>
    <x v="7"/>
    <x v="2"/>
    <x v="2"/>
    <x v="3"/>
    <x v="2"/>
    <x v="5"/>
    <n v="16"/>
    <x v="0"/>
  </r>
  <r>
    <d v="2022-11-16T00:00:00"/>
    <x v="0"/>
    <x v="1"/>
    <x v="1"/>
    <n v="14039452.960000001"/>
    <x v="0"/>
    <x v="1"/>
    <x v="1"/>
    <x v="3"/>
    <x v="2"/>
    <x v="2"/>
    <x v="3"/>
    <x v="2"/>
    <x v="5"/>
    <n v="16"/>
    <x v="0"/>
  </r>
  <r>
    <d v="2022-11-16T00:00:00"/>
    <x v="3"/>
    <x v="2"/>
    <x v="2"/>
    <n v="551544.76"/>
    <x v="3"/>
    <x v="2"/>
    <x v="2"/>
    <x v="4"/>
    <x v="2"/>
    <x v="2"/>
    <x v="3"/>
    <x v="2"/>
    <x v="5"/>
    <n v="16"/>
    <x v="0"/>
  </r>
  <r>
    <d v="2022-11-16T00:00:00"/>
    <x v="1"/>
    <x v="0"/>
    <x v="1"/>
    <n v="671396286.61000001"/>
    <x v="1"/>
    <x v="0"/>
    <x v="1"/>
    <x v="8"/>
    <x v="2"/>
    <x v="2"/>
    <x v="3"/>
    <x v="2"/>
    <x v="5"/>
    <n v="16"/>
    <x v="0"/>
  </r>
  <r>
    <d v="2022-11-16T00:00:00"/>
    <x v="1"/>
    <x v="0"/>
    <x v="0"/>
    <n v="86462543.260000005"/>
    <x v="1"/>
    <x v="0"/>
    <x v="0"/>
    <x v="9"/>
    <x v="2"/>
    <x v="2"/>
    <x v="3"/>
    <x v="2"/>
    <x v="5"/>
    <n v="16"/>
    <x v="0"/>
  </r>
  <r>
    <d v="2022-11-16T00:00:00"/>
    <x v="3"/>
    <x v="1"/>
    <x v="0"/>
    <n v="17850208.73"/>
    <x v="3"/>
    <x v="1"/>
    <x v="0"/>
    <x v="10"/>
    <x v="2"/>
    <x v="2"/>
    <x v="3"/>
    <x v="2"/>
    <x v="5"/>
    <n v="16"/>
    <x v="0"/>
  </r>
  <r>
    <d v="2022-11-16T00:00:00"/>
    <x v="3"/>
    <x v="2"/>
    <x v="0"/>
    <n v="356314140.95999998"/>
    <x v="3"/>
    <x v="2"/>
    <x v="0"/>
    <x v="11"/>
    <x v="2"/>
    <x v="2"/>
    <x v="3"/>
    <x v="2"/>
    <x v="5"/>
    <n v="16"/>
    <x v="0"/>
  </r>
  <r>
    <d v="2022-11-16T00:00:00"/>
    <x v="3"/>
    <x v="2"/>
    <x v="1"/>
    <n v="22242074903.360001"/>
    <x v="3"/>
    <x v="2"/>
    <x v="1"/>
    <x v="12"/>
    <x v="2"/>
    <x v="2"/>
    <x v="3"/>
    <x v="2"/>
    <x v="5"/>
    <n v="16"/>
    <x v="0"/>
  </r>
  <r>
    <d v="2022-11-15T00:00:00"/>
    <x v="2"/>
    <x v="1"/>
    <x v="2"/>
    <n v="5104.43"/>
    <x v="2"/>
    <x v="1"/>
    <x v="2"/>
    <x v="2"/>
    <x v="2"/>
    <x v="2"/>
    <x v="3"/>
    <x v="2"/>
    <x v="5"/>
    <n v="15"/>
    <x v="0"/>
  </r>
  <r>
    <d v="2022-11-15T00:00:00"/>
    <x v="0"/>
    <x v="1"/>
    <x v="0"/>
    <n v="24506403.469999999"/>
    <x v="0"/>
    <x v="1"/>
    <x v="0"/>
    <x v="1"/>
    <x v="2"/>
    <x v="2"/>
    <x v="3"/>
    <x v="2"/>
    <x v="5"/>
    <n v="15"/>
    <x v="0"/>
  </r>
  <r>
    <d v="2022-11-15T00:00:00"/>
    <x v="2"/>
    <x v="1"/>
    <x v="0"/>
    <n v="106646555.08"/>
    <x v="2"/>
    <x v="1"/>
    <x v="0"/>
    <x v="5"/>
    <x v="2"/>
    <x v="2"/>
    <x v="3"/>
    <x v="2"/>
    <x v="5"/>
    <n v="15"/>
    <x v="0"/>
  </r>
  <r>
    <d v="2022-11-15T00:00:00"/>
    <x v="0"/>
    <x v="0"/>
    <x v="0"/>
    <n v="450"/>
    <x v="0"/>
    <x v="0"/>
    <x v="0"/>
    <x v="0"/>
    <x v="2"/>
    <x v="2"/>
    <x v="3"/>
    <x v="2"/>
    <x v="5"/>
    <n v="15"/>
    <x v="0"/>
  </r>
  <r>
    <d v="2022-11-15T00:00:00"/>
    <x v="3"/>
    <x v="3"/>
    <x v="0"/>
    <n v="2574898752.3600001"/>
    <x v="3"/>
    <x v="3"/>
    <x v="0"/>
    <x v="6"/>
    <x v="2"/>
    <x v="2"/>
    <x v="3"/>
    <x v="2"/>
    <x v="5"/>
    <n v="15"/>
    <x v="0"/>
  </r>
  <r>
    <d v="2022-11-15T00:00:00"/>
    <x v="2"/>
    <x v="1"/>
    <x v="1"/>
    <n v="156756905.61000001"/>
    <x v="2"/>
    <x v="1"/>
    <x v="1"/>
    <x v="7"/>
    <x v="2"/>
    <x v="2"/>
    <x v="3"/>
    <x v="2"/>
    <x v="5"/>
    <n v="15"/>
    <x v="0"/>
  </r>
  <r>
    <d v="2022-11-15T00:00:00"/>
    <x v="3"/>
    <x v="2"/>
    <x v="2"/>
    <n v="627521.9"/>
    <x v="3"/>
    <x v="2"/>
    <x v="2"/>
    <x v="4"/>
    <x v="2"/>
    <x v="2"/>
    <x v="3"/>
    <x v="2"/>
    <x v="5"/>
    <n v="15"/>
    <x v="0"/>
  </r>
  <r>
    <d v="2022-11-15T00:00:00"/>
    <x v="0"/>
    <x v="1"/>
    <x v="1"/>
    <n v="6734139.9800000004"/>
    <x v="0"/>
    <x v="1"/>
    <x v="1"/>
    <x v="3"/>
    <x v="2"/>
    <x v="2"/>
    <x v="3"/>
    <x v="2"/>
    <x v="5"/>
    <n v="15"/>
    <x v="0"/>
  </r>
  <r>
    <d v="2022-11-15T00:00:00"/>
    <x v="1"/>
    <x v="0"/>
    <x v="1"/>
    <n v="141113146.74000001"/>
    <x v="1"/>
    <x v="0"/>
    <x v="1"/>
    <x v="8"/>
    <x v="2"/>
    <x v="2"/>
    <x v="3"/>
    <x v="2"/>
    <x v="5"/>
    <n v="15"/>
    <x v="0"/>
  </r>
  <r>
    <d v="2022-11-15T00:00:00"/>
    <x v="1"/>
    <x v="0"/>
    <x v="0"/>
    <n v="69472971.209999993"/>
    <x v="1"/>
    <x v="0"/>
    <x v="0"/>
    <x v="9"/>
    <x v="2"/>
    <x v="2"/>
    <x v="3"/>
    <x v="2"/>
    <x v="5"/>
    <n v="15"/>
    <x v="0"/>
  </r>
  <r>
    <d v="2022-11-15T00:00:00"/>
    <x v="3"/>
    <x v="1"/>
    <x v="0"/>
    <n v="12589696.130000001"/>
    <x v="3"/>
    <x v="1"/>
    <x v="0"/>
    <x v="10"/>
    <x v="2"/>
    <x v="2"/>
    <x v="3"/>
    <x v="2"/>
    <x v="5"/>
    <n v="15"/>
    <x v="0"/>
  </r>
  <r>
    <d v="2022-11-15T00:00:00"/>
    <x v="3"/>
    <x v="2"/>
    <x v="0"/>
    <n v="726318072.73000002"/>
    <x v="3"/>
    <x v="2"/>
    <x v="0"/>
    <x v="11"/>
    <x v="2"/>
    <x v="2"/>
    <x v="3"/>
    <x v="2"/>
    <x v="5"/>
    <n v="15"/>
    <x v="0"/>
  </r>
  <r>
    <d v="2022-11-15T00:00:00"/>
    <x v="3"/>
    <x v="2"/>
    <x v="1"/>
    <n v="9405936485.1800003"/>
    <x v="3"/>
    <x v="2"/>
    <x v="1"/>
    <x v="12"/>
    <x v="2"/>
    <x v="2"/>
    <x v="3"/>
    <x v="2"/>
    <x v="5"/>
    <n v="15"/>
    <x v="0"/>
  </r>
  <r>
    <d v="2022-11-14T00:00:00"/>
    <x v="2"/>
    <x v="1"/>
    <x v="2"/>
    <n v="34992.14"/>
    <x v="2"/>
    <x v="1"/>
    <x v="2"/>
    <x v="2"/>
    <x v="2"/>
    <x v="2"/>
    <x v="3"/>
    <x v="2"/>
    <x v="5"/>
    <n v="14"/>
    <x v="0"/>
  </r>
  <r>
    <d v="2022-11-14T00:00:00"/>
    <x v="2"/>
    <x v="1"/>
    <x v="0"/>
    <n v="63523593.619999997"/>
    <x v="2"/>
    <x v="1"/>
    <x v="0"/>
    <x v="5"/>
    <x v="2"/>
    <x v="2"/>
    <x v="3"/>
    <x v="2"/>
    <x v="5"/>
    <n v="14"/>
    <x v="0"/>
  </r>
  <r>
    <d v="2022-11-14T00:00:00"/>
    <x v="1"/>
    <x v="1"/>
    <x v="0"/>
    <n v="5032.63"/>
    <x v="1"/>
    <x v="1"/>
    <x v="0"/>
    <x v="0"/>
    <x v="2"/>
    <x v="2"/>
    <x v="3"/>
    <x v="2"/>
    <x v="5"/>
    <n v="14"/>
    <x v="0"/>
  </r>
  <r>
    <d v="2022-11-14T00:00:00"/>
    <x v="0"/>
    <x v="1"/>
    <x v="0"/>
    <n v="21771925.079999998"/>
    <x v="0"/>
    <x v="1"/>
    <x v="0"/>
    <x v="1"/>
    <x v="2"/>
    <x v="2"/>
    <x v="3"/>
    <x v="2"/>
    <x v="5"/>
    <n v="14"/>
    <x v="0"/>
  </r>
  <r>
    <d v="2022-11-14T00:00:00"/>
    <x v="2"/>
    <x v="1"/>
    <x v="1"/>
    <n v="124379117.75"/>
    <x v="2"/>
    <x v="1"/>
    <x v="1"/>
    <x v="6"/>
    <x v="2"/>
    <x v="2"/>
    <x v="3"/>
    <x v="2"/>
    <x v="5"/>
    <n v="14"/>
    <x v="0"/>
  </r>
  <r>
    <d v="2022-11-14T00:00:00"/>
    <x v="3"/>
    <x v="3"/>
    <x v="0"/>
    <n v="2166043918.0300002"/>
    <x v="3"/>
    <x v="3"/>
    <x v="0"/>
    <x v="7"/>
    <x v="2"/>
    <x v="2"/>
    <x v="3"/>
    <x v="2"/>
    <x v="5"/>
    <n v="14"/>
    <x v="0"/>
  </r>
  <r>
    <d v="2022-11-14T00:00:00"/>
    <x v="0"/>
    <x v="1"/>
    <x v="1"/>
    <n v="7711419.8700000001"/>
    <x v="0"/>
    <x v="1"/>
    <x v="1"/>
    <x v="3"/>
    <x v="2"/>
    <x v="2"/>
    <x v="3"/>
    <x v="2"/>
    <x v="5"/>
    <n v="14"/>
    <x v="0"/>
  </r>
  <r>
    <d v="2022-11-14T00:00:00"/>
    <x v="1"/>
    <x v="0"/>
    <x v="1"/>
    <n v="91074382.379999995"/>
    <x v="1"/>
    <x v="0"/>
    <x v="1"/>
    <x v="9"/>
    <x v="2"/>
    <x v="2"/>
    <x v="3"/>
    <x v="2"/>
    <x v="5"/>
    <n v="14"/>
    <x v="0"/>
  </r>
  <r>
    <d v="2022-11-14T00:00:00"/>
    <x v="3"/>
    <x v="2"/>
    <x v="2"/>
    <n v="516439.8"/>
    <x v="3"/>
    <x v="2"/>
    <x v="2"/>
    <x v="4"/>
    <x v="2"/>
    <x v="2"/>
    <x v="3"/>
    <x v="2"/>
    <x v="5"/>
    <n v="14"/>
    <x v="0"/>
  </r>
  <r>
    <d v="2022-11-14T00:00:00"/>
    <x v="1"/>
    <x v="0"/>
    <x v="0"/>
    <n v="53673778.640000001"/>
    <x v="1"/>
    <x v="0"/>
    <x v="0"/>
    <x v="8"/>
    <x v="2"/>
    <x v="2"/>
    <x v="3"/>
    <x v="2"/>
    <x v="5"/>
    <n v="14"/>
    <x v="0"/>
  </r>
  <r>
    <d v="2022-11-14T00:00:00"/>
    <x v="3"/>
    <x v="2"/>
    <x v="0"/>
    <n v="665745810.15999997"/>
    <x v="3"/>
    <x v="2"/>
    <x v="0"/>
    <x v="10"/>
    <x v="2"/>
    <x v="2"/>
    <x v="3"/>
    <x v="2"/>
    <x v="5"/>
    <n v="14"/>
    <x v="0"/>
  </r>
  <r>
    <d v="2022-11-14T00:00:00"/>
    <x v="3"/>
    <x v="2"/>
    <x v="1"/>
    <n v="31152429534.040001"/>
    <x v="3"/>
    <x v="2"/>
    <x v="1"/>
    <x v="11"/>
    <x v="2"/>
    <x v="2"/>
    <x v="3"/>
    <x v="2"/>
    <x v="5"/>
    <n v="14"/>
    <x v="0"/>
  </r>
  <r>
    <d v="2022-11-14T00:00:00"/>
    <x v="3"/>
    <x v="1"/>
    <x v="0"/>
    <n v="54870824.990000002"/>
    <x v="3"/>
    <x v="1"/>
    <x v="0"/>
    <x v="12"/>
    <x v="2"/>
    <x v="2"/>
    <x v="3"/>
    <x v="2"/>
    <x v="5"/>
    <n v="14"/>
    <x v="0"/>
  </r>
  <r>
    <d v="2022-11-10T00:00:00"/>
    <x v="2"/>
    <x v="1"/>
    <x v="2"/>
    <n v="8190.2"/>
    <x v="2"/>
    <x v="1"/>
    <x v="2"/>
    <x v="2"/>
    <x v="2"/>
    <x v="2"/>
    <x v="3"/>
    <x v="2"/>
    <x v="5"/>
    <n v="10"/>
    <x v="0"/>
  </r>
  <r>
    <d v="2022-11-10T00:00:00"/>
    <x v="2"/>
    <x v="1"/>
    <x v="0"/>
    <n v="68673297.099999994"/>
    <x v="2"/>
    <x v="1"/>
    <x v="0"/>
    <x v="6"/>
    <x v="2"/>
    <x v="2"/>
    <x v="3"/>
    <x v="2"/>
    <x v="5"/>
    <n v="10"/>
    <x v="0"/>
  </r>
  <r>
    <d v="2022-11-10T00:00:00"/>
    <x v="1"/>
    <x v="1"/>
    <x v="0"/>
    <n v="507.5"/>
    <x v="1"/>
    <x v="1"/>
    <x v="0"/>
    <x v="0"/>
    <x v="2"/>
    <x v="2"/>
    <x v="3"/>
    <x v="2"/>
    <x v="5"/>
    <n v="10"/>
    <x v="0"/>
  </r>
  <r>
    <d v="2022-11-10T00:00:00"/>
    <x v="0"/>
    <x v="1"/>
    <x v="0"/>
    <n v="14072079.99"/>
    <x v="0"/>
    <x v="1"/>
    <x v="0"/>
    <x v="1"/>
    <x v="2"/>
    <x v="2"/>
    <x v="3"/>
    <x v="2"/>
    <x v="5"/>
    <n v="10"/>
    <x v="0"/>
  </r>
  <r>
    <d v="2022-11-10T00:00:00"/>
    <x v="1"/>
    <x v="0"/>
    <x v="0"/>
    <n v="72239147.450000003"/>
    <x v="1"/>
    <x v="0"/>
    <x v="0"/>
    <x v="9"/>
    <x v="2"/>
    <x v="2"/>
    <x v="3"/>
    <x v="2"/>
    <x v="5"/>
    <n v="10"/>
    <x v="0"/>
  </r>
  <r>
    <d v="2022-11-10T00:00:00"/>
    <x v="3"/>
    <x v="3"/>
    <x v="1"/>
    <n v="8457.2099999999991"/>
    <x v="3"/>
    <x v="3"/>
    <x v="1"/>
    <x v="3"/>
    <x v="2"/>
    <x v="2"/>
    <x v="3"/>
    <x v="2"/>
    <x v="5"/>
    <n v="10"/>
    <x v="0"/>
  </r>
  <r>
    <d v="2022-11-10T00:00:00"/>
    <x v="0"/>
    <x v="1"/>
    <x v="1"/>
    <n v="3871945.17"/>
    <x v="0"/>
    <x v="1"/>
    <x v="1"/>
    <x v="4"/>
    <x v="2"/>
    <x v="2"/>
    <x v="3"/>
    <x v="2"/>
    <x v="5"/>
    <n v="10"/>
    <x v="0"/>
  </r>
  <r>
    <d v="2022-11-10T00:00:00"/>
    <x v="1"/>
    <x v="0"/>
    <x v="1"/>
    <n v="207322126.63999999"/>
    <x v="1"/>
    <x v="0"/>
    <x v="1"/>
    <x v="10"/>
    <x v="2"/>
    <x v="2"/>
    <x v="3"/>
    <x v="2"/>
    <x v="5"/>
    <n v="10"/>
    <x v="0"/>
  </r>
  <r>
    <d v="2022-11-10T00:00:00"/>
    <x v="3"/>
    <x v="2"/>
    <x v="2"/>
    <n v="366370"/>
    <x v="3"/>
    <x v="2"/>
    <x v="2"/>
    <x v="5"/>
    <x v="2"/>
    <x v="2"/>
    <x v="3"/>
    <x v="2"/>
    <x v="5"/>
    <n v="10"/>
    <x v="0"/>
  </r>
  <r>
    <d v="2022-11-10T00:00:00"/>
    <x v="3"/>
    <x v="3"/>
    <x v="0"/>
    <n v="1201991036.9200001"/>
    <x v="3"/>
    <x v="3"/>
    <x v="0"/>
    <x v="7"/>
    <x v="2"/>
    <x v="2"/>
    <x v="3"/>
    <x v="2"/>
    <x v="5"/>
    <n v="10"/>
    <x v="0"/>
  </r>
  <r>
    <d v="2022-11-10T00:00:00"/>
    <x v="2"/>
    <x v="1"/>
    <x v="1"/>
    <n v="221560063.34999999"/>
    <x v="2"/>
    <x v="1"/>
    <x v="1"/>
    <x v="8"/>
    <x v="2"/>
    <x v="2"/>
    <x v="3"/>
    <x v="2"/>
    <x v="5"/>
    <n v="10"/>
    <x v="0"/>
  </r>
  <r>
    <d v="2022-11-10T00:00:00"/>
    <x v="3"/>
    <x v="2"/>
    <x v="0"/>
    <n v="444693913.89999998"/>
    <x v="3"/>
    <x v="2"/>
    <x v="0"/>
    <x v="11"/>
    <x v="2"/>
    <x v="2"/>
    <x v="3"/>
    <x v="2"/>
    <x v="5"/>
    <n v="10"/>
    <x v="0"/>
  </r>
  <r>
    <d v="2022-11-10T00:00:00"/>
    <x v="3"/>
    <x v="1"/>
    <x v="0"/>
    <n v="14040453.02"/>
    <x v="3"/>
    <x v="1"/>
    <x v="0"/>
    <x v="12"/>
    <x v="2"/>
    <x v="2"/>
    <x v="3"/>
    <x v="2"/>
    <x v="5"/>
    <n v="10"/>
    <x v="0"/>
  </r>
  <r>
    <d v="2022-11-10T00:00:00"/>
    <x v="3"/>
    <x v="2"/>
    <x v="1"/>
    <n v="7874578009.3900003"/>
    <x v="3"/>
    <x v="2"/>
    <x v="1"/>
    <x v="13"/>
    <x v="2"/>
    <x v="2"/>
    <x v="3"/>
    <x v="2"/>
    <x v="5"/>
    <n v="10"/>
    <x v="0"/>
  </r>
  <r>
    <d v="2022-11-09T00:00:00"/>
    <x v="2"/>
    <x v="1"/>
    <x v="0"/>
    <n v="56988131.189999998"/>
    <x v="2"/>
    <x v="1"/>
    <x v="0"/>
    <x v="4"/>
    <x v="2"/>
    <x v="2"/>
    <x v="3"/>
    <x v="2"/>
    <x v="5"/>
    <n v="9"/>
    <x v="0"/>
  </r>
  <r>
    <d v="2022-11-09T00:00:00"/>
    <x v="0"/>
    <x v="1"/>
    <x v="0"/>
    <n v="6782992.8700000001"/>
    <x v="0"/>
    <x v="1"/>
    <x v="0"/>
    <x v="0"/>
    <x v="2"/>
    <x v="2"/>
    <x v="3"/>
    <x v="2"/>
    <x v="5"/>
    <n v="9"/>
    <x v="0"/>
  </r>
  <r>
    <d v="2022-11-09T00:00:00"/>
    <x v="2"/>
    <x v="1"/>
    <x v="2"/>
    <n v="10052.24"/>
    <x v="2"/>
    <x v="1"/>
    <x v="2"/>
    <x v="1"/>
    <x v="2"/>
    <x v="2"/>
    <x v="3"/>
    <x v="2"/>
    <x v="5"/>
    <n v="9"/>
    <x v="0"/>
  </r>
  <r>
    <d v="2022-11-09T00:00:00"/>
    <x v="2"/>
    <x v="1"/>
    <x v="1"/>
    <n v="314169939.06999999"/>
    <x v="2"/>
    <x v="1"/>
    <x v="1"/>
    <x v="6"/>
    <x v="2"/>
    <x v="2"/>
    <x v="3"/>
    <x v="2"/>
    <x v="5"/>
    <n v="9"/>
    <x v="0"/>
  </r>
  <r>
    <d v="2022-11-09T00:00:00"/>
    <x v="1"/>
    <x v="0"/>
    <x v="0"/>
    <n v="77091783.579999998"/>
    <x v="1"/>
    <x v="0"/>
    <x v="0"/>
    <x v="7"/>
    <x v="2"/>
    <x v="2"/>
    <x v="3"/>
    <x v="2"/>
    <x v="5"/>
    <n v="9"/>
    <x v="0"/>
  </r>
  <r>
    <d v="2022-11-09T00:00:00"/>
    <x v="0"/>
    <x v="1"/>
    <x v="1"/>
    <n v="17312012.690000001"/>
    <x v="0"/>
    <x v="1"/>
    <x v="1"/>
    <x v="2"/>
    <x v="2"/>
    <x v="2"/>
    <x v="3"/>
    <x v="2"/>
    <x v="5"/>
    <n v="9"/>
    <x v="0"/>
  </r>
  <r>
    <d v="2022-11-09T00:00:00"/>
    <x v="3"/>
    <x v="2"/>
    <x v="2"/>
    <n v="457081"/>
    <x v="3"/>
    <x v="2"/>
    <x v="2"/>
    <x v="3"/>
    <x v="2"/>
    <x v="2"/>
    <x v="3"/>
    <x v="2"/>
    <x v="5"/>
    <n v="9"/>
    <x v="0"/>
  </r>
  <r>
    <d v="2022-11-09T00:00:00"/>
    <x v="3"/>
    <x v="3"/>
    <x v="0"/>
    <n v="1969759954.98"/>
    <x v="3"/>
    <x v="3"/>
    <x v="0"/>
    <x v="5"/>
    <x v="2"/>
    <x v="2"/>
    <x v="3"/>
    <x v="2"/>
    <x v="5"/>
    <n v="9"/>
    <x v="0"/>
  </r>
  <r>
    <d v="2022-11-09T00:00:00"/>
    <x v="1"/>
    <x v="0"/>
    <x v="1"/>
    <n v="651955429.11000001"/>
    <x v="1"/>
    <x v="0"/>
    <x v="1"/>
    <x v="8"/>
    <x v="2"/>
    <x v="2"/>
    <x v="3"/>
    <x v="2"/>
    <x v="5"/>
    <n v="9"/>
    <x v="0"/>
  </r>
  <r>
    <d v="2022-11-09T00:00:00"/>
    <x v="3"/>
    <x v="2"/>
    <x v="0"/>
    <n v="334634500.52999997"/>
    <x v="3"/>
    <x v="2"/>
    <x v="0"/>
    <x v="9"/>
    <x v="2"/>
    <x v="2"/>
    <x v="3"/>
    <x v="2"/>
    <x v="5"/>
    <n v="9"/>
    <x v="0"/>
  </r>
  <r>
    <d v="2022-11-09T00:00:00"/>
    <x v="3"/>
    <x v="1"/>
    <x v="0"/>
    <n v="14168984.48"/>
    <x v="3"/>
    <x v="1"/>
    <x v="0"/>
    <x v="10"/>
    <x v="2"/>
    <x v="2"/>
    <x v="3"/>
    <x v="2"/>
    <x v="5"/>
    <n v="9"/>
    <x v="0"/>
  </r>
  <r>
    <d v="2022-11-09T00:00:00"/>
    <x v="3"/>
    <x v="2"/>
    <x v="1"/>
    <n v="10350860065.17"/>
    <x v="3"/>
    <x v="2"/>
    <x v="1"/>
    <x v="11"/>
    <x v="2"/>
    <x v="2"/>
    <x v="3"/>
    <x v="2"/>
    <x v="5"/>
    <n v="9"/>
    <x v="0"/>
  </r>
  <r>
    <d v="2022-11-08T00:00:00"/>
    <x v="2"/>
    <x v="1"/>
    <x v="0"/>
    <n v="85257980.099999994"/>
    <x v="2"/>
    <x v="1"/>
    <x v="0"/>
    <x v="6"/>
    <x v="2"/>
    <x v="2"/>
    <x v="3"/>
    <x v="2"/>
    <x v="5"/>
    <n v="8"/>
    <x v="0"/>
  </r>
  <r>
    <d v="2022-11-08T00:00:00"/>
    <x v="1"/>
    <x v="1"/>
    <x v="0"/>
    <n v="1641.25"/>
    <x v="1"/>
    <x v="1"/>
    <x v="0"/>
    <x v="0"/>
    <x v="2"/>
    <x v="2"/>
    <x v="3"/>
    <x v="2"/>
    <x v="5"/>
    <n v="8"/>
    <x v="0"/>
  </r>
  <r>
    <d v="2022-11-08T00:00:00"/>
    <x v="0"/>
    <x v="1"/>
    <x v="0"/>
    <n v="16513057.16"/>
    <x v="0"/>
    <x v="1"/>
    <x v="0"/>
    <x v="1"/>
    <x v="2"/>
    <x v="2"/>
    <x v="3"/>
    <x v="2"/>
    <x v="5"/>
    <n v="8"/>
    <x v="0"/>
  </r>
  <r>
    <d v="2022-11-08T00:00:00"/>
    <x v="2"/>
    <x v="1"/>
    <x v="2"/>
    <n v="18465.47"/>
    <x v="2"/>
    <x v="1"/>
    <x v="2"/>
    <x v="2"/>
    <x v="2"/>
    <x v="2"/>
    <x v="3"/>
    <x v="2"/>
    <x v="5"/>
    <n v="8"/>
    <x v="0"/>
  </r>
  <r>
    <d v="2022-11-08T00:00:00"/>
    <x v="1"/>
    <x v="0"/>
    <x v="0"/>
    <n v="87756829.840000004"/>
    <x v="1"/>
    <x v="0"/>
    <x v="0"/>
    <x v="9"/>
    <x v="2"/>
    <x v="2"/>
    <x v="3"/>
    <x v="2"/>
    <x v="5"/>
    <n v="8"/>
    <x v="0"/>
  </r>
  <r>
    <d v="2022-11-08T00:00:00"/>
    <x v="3"/>
    <x v="3"/>
    <x v="1"/>
    <n v="3108489.31"/>
    <x v="3"/>
    <x v="3"/>
    <x v="1"/>
    <x v="3"/>
    <x v="2"/>
    <x v="2"/>
    <x v="3"/>
    <x v="2"/>
    <x v="5"/>
    <n v="8"/>
    <x v="0"/>
  </r>
  <r>
    <d v="2022-11-08T00:00:00"/>
    <x v="0"/>
    <x v="1"/>
    <x v="1"/>
    <n v="14554739.560000001"/>
    <x v="0"/>
    <x v="1"/>
    <x v="1"/>
    <x v="4"/>
    <x v="2"/>
    <x v="2"/>
    <x v="3"/>
    <x v="2"/>
    <x v="5"/>
    <n v="8"/>
    <x v="0"/>
  </r>
  <r>
    <d v="2022-11-08T00:00:00"/>
    <x v="3"/>
    <x v="2"/>
    <x v="2"/>
    <n v="516279"/>
    <x v="3"/>
    <x v="2"/>
    <x v="2"/>
    <x v="5"/>
    <x v="2"/>
    <x v="2"/>
    <x v="3"/>
    <x v="2"/>
    <x v="5"/>
    <n v="8"/>
    <x v="0"/>
  </r>
  <r>
    <d v="2022-11-08T00:00:00"/>
    <x v="2"/>
    <x v="1"/>
    <x v="1"/>
    <n v="308423331.29000002"/>
    <x v="2"/>
    <x v="1"/>
    <x v="1"/>
    <x v="7"/>
    <x v="2"/>
    <x v="2"/>
    <x v="3"/>
    <x v="2"/>
    <x v="5"/>
    <n v="8"/>
    <x v="0"/>
  </r>
  <r>
    <d v="2022-11-08T00:00:00"/>
    <x v="3"/>
    <x v="3"/>
    <x v="0"/>
    <n v="1429927967.8299999"/>
    <x v="3"/>
    <x v="3"/>
    <x v="0"/>
    <x v="8"/>
    <x v="2"/>
    <x v="2"/>
    <x v="3"/>
    <x v="2"/>
    <x v="5"/>
    <n v="8"/>
    <x v="0"/>
  </r>
  <r>
    <d v="2022-11-08T00:00:00"/>
    <x v="1"/>
    <x v="0"/>
    <x v="1"/>
    <n v="308157561.82999998"/>
    <x v="1"/>
    <x v="0"/>
    <x v="1"/>
    <x v="10"/>
    <x v="2"/>
    <x v="2"/>
    <x v="3"/>
    <x v="2"/>
    <x v="5"/>
    <n v="8"/>
    <x v="0"/>
  </r>
  <r>
    <d v="2022-11-08T00:00:00"/>
    <x v="3"/>
    <x v="2"/>
    <x v="0"/>
    <n v="663020350.94000006"/>
    <x v="3"/>
    <x v="2"/>
    <x v="0"/>
    <x v="11"/>
    <x v="2"/>
    <x v="2"/>
    <x v="3"/>
    <x v="2"/>
    <x v="5"/>
    <n v="8"/>
    <x v="0"/>
  </r>
  <r>
    <d v="2022-11-08T00:00:00"/>
    <x v="3"/>
    <x v="1"/>
    <x v="0"/>
    <n v="10872204.140000001"/>
    <x v="3"/>
    <x v="1"/>
    <x v="0"/>
    <x v="12"/>
    <x v="2"/>
    <x v="2"/>
    <x v="3"/>
    <x v="2"/>
    <x v="5"/>
    <n v="8"/>
    <x v="0"/>
  </r>
  <r>
    <d v="2022-11-08T00:00:00"/>
    <x v="3"/>
    <x v="2"/>
    <x v="1"/>
    <n v="3315113856.3299999"/>
    <x v="3"/>
    <x v="2"/>
    <x v="1"/>
    <x v="13"/>
    <x v="2"/>
    <x v="2"/>
    <x v="3"/>
    <x v="2"/>
    <x v="5"/>
    <n v="8"/>
    <x v="0"/>
  </r>
  <r>
    <d v="2022-11-07T00:00:00"/>
    <x v="2"/>
    <x v="1"/>
    <x v="0"/>
    <n v="56183467.090000004"/>
    <x v="2"/>
    <x v="1"/>
    <x v="0"/>
    <x v="6"/>
    <x v="2"/>
    <x v="2"/>
    <x v="3"/>
    <x v="2"/>
    <x v="5"/>
    <n v="7"/>
    <x v="0"/>
  </r>
  <r>
    <d v="2022-11-07T00:00:00"/>
    <x v="1"/>
    <x v="1"/>
    <x v="0"/>
    <n v="2850.14"/>
    <x v="1"/>
    <x v="1"/>
    <x v="0"/>
    <x v="0"/>
    <x v="2"/>
    <x v="2"/>
    <x v="3"/>
    <x v="2"/>
    <x v="5"/>
    <n v="7"/>
    <x v="0"/>
  </r>
  <r>
    <d v="2022-11-07T00:00:00"/>
    <x v="0"/>
    <x v="1"/>
    <x v="0"/>
    <n v="12468448.619999999"/>
    <x v="0"/>
    <x v="1"/>
    <x v="0"/>
    <x v="1"/>
    <x v="2"/>
    <x v="2"/>
    <x v="3"/>
    <x v="2"/>
    <x v="5"/>
    <n v="7"/>
    <x v="0"/>
  </r>
  <r>
    <d v="2022-11-07T00:00:00"/>
    <x v="2"/>
    <x v="1"/>
    <x v="2"/>
    <n v="20581.13"/>
    <x v="2"/>
    <x v="1"/>
    <x v="2"/>
    <x v="2"/>
    <x v="2"/>
    <x v="2"/>
    <x v="3"/>
    <x v="2"/>
    <x v="5"/>
    <n v="7"/>
    <x v="0"/>
  </r>
  <r>
    <d v="2022-11-07T00:00:00"/>
    <x v="3"/>
    <x v="3"/>
    <x v="0"/>
    <n v="1060365065.97"/>
    <x v="3"/>
    <x v="3"/>
    <x v="0"/>
    <x v="7"/>
    <x v="2"/>
    <x v="2"/>
    <x v="3"/>
    <x v="2"/>
    <x v="5"/>
    <n v="7"/>
    <x v="0"/>
  </r>
  <r>
    <d v="2022-11-07T00:00:00"/>
    <x v="1"/>
    <x v="0"/>
    <x v="0"/>
    <n v="58919263.969999999"/>
    <x v="1"/>
    <x v="0"/>
    <x v="0"/>
    <x v="9"/>
    <x v="2"/>
    <x v="2"/>
    <x v="3"/>
    <x v="2"/>
    <x v="5"/>
    <n v="7"/>
    <x v="0"/>
  </r>
  <r>
    <d v="2022-11-07T00:00:00"/>
    <x v="0"/>
    <x v="1"/>
    <x v="1"/>
    <n v="5182517.7300000004"/>
    <x v="0"/>
    <x v="1"/>
    <x v="1"/>
    <x v="4"/>
    <x v="2"/>
    <x v="2"/>
    <x v="3"/>
    <x v="2"/>
    <x v="5"/>
    <n v="7"/>
    <x v="0"/>
  </r>
  <r>
    <d v="2022-11-07T00:00:00"/>
    <x v="1"/>
    <x v="0"/>
    <x v="1"/>
    <n v="264187787.59999999"/>
    <x v="1"/>
    <x v="0"/>
    <x v="1"/>
    <x v="10"/>
    <x v="2"/>
    <x v="2"/>
    <x v="3"/>
    <x v="2"/>
    <x v="5"/>
    <n v="7"/>
    <x v="0"/>
  </r>
  <r>
    <d v="2022-11-07T00:00:00"/>
    <x v="3"/>
    <x v="2"/>
    <x v="2"/>
    <n v="415785.02"/>
    <x v="3"/>
    <x v="2"/>
    <x v="2"/>
    <x v="5"/>
    <x v="2"/>
    <x v="2"/>
    <x v="3"/>
    <x v="2"/>
    <x v="5"/>
    <n v="7"/>
    <x v="0"/>
  </r>
  <r>
    <d v="2022-11-07T00:00:00"/>
    <x v="2"/>
    <x v="1"/>
    <x v="1"/>
    <n v="121010815.27"/>
    <x v="2"/>
    <x v="1"/>
    <x v="1"/>
    <x v="8"/>
    <x v="2"/>
    <x v="2"/>
    <x v="3"/>
    <x v="2"/>
    <x v="5"/>
    <n v="7"/>
    <x v="0"/>
  </r>
  <r>
    <d v="2022-11-07T00:00:00"/>
    <x v="3"/>
    <x v="3"/>
    <x v="1"/>
    <n v="100000"/>
    <x v="3"/>
    <x v="3"/>
    <x v="1"/>
    <x v="3"/>
    <x v="2"/>
    <x v="2"/>
    <x v="3"/>
    <x v="2"/>
    <x v="5"/>
    <n v="7"/>
    <x v="0"/>
  </r>
  <r>
    <d v="2022-11-07T00:00:00"/>
    <x v="3"/>
    <x v="2"/>
    <x v="0"/>
    <n v="434923123.42000002"/>
    <x v="3"/>
    <x v="2"/>
    <x v="0"/>
    <x v="11"/>
    <x v="2"/>
    <x v="2"/>
    <x v="3"/>
    <x v="2"/>
    <x v="5"/>
    <n v="7"/>
    <x v="0"/>
  </r>
  <r>
    <d v="2022-11-07T00:00:00"/>
    <x v="3"/>
    <x v="2"/>
    <x v="1"/>
    <n v="18855159216.139999"/>
    <x v="3"/>
    <x v="2"/>
    <x v="1"/>
    <x v="12"/>
    <x v="2"/>
    <x v="2"/>
    <x v="3"/>
    <x v="2"/>
    <x v="5"/>
    <n v="7"/>
    <x v="0"/>
  </r>
  <r>
    <d v="2022-11-07T00:00:00"/>
    <x v="3"/>
    <x v="1"/>
    <x v="0"/>
    <n v="44559067.93"/>
    <x v="3"/>
    <x v="1"/>
    <x v="0"/>
    <x v="13"/>
    <x v="2"/>
    <x v="2"/>
    <x v="3"/>
    <x v="2"/>
    <x v="5"/>
    <n v="7"/>
    <x v="0"/>
  </r>
  <r>
    <d v="2022-11-04T00:00:00"/>
    <x v="3"/>
    <x v="2"/>
    <x v="2"/>
    <n v="589441.05000000005"/>
    <x v="3"/>
    <x v="2"/>
    <x v="2"/>
    <x v="2"/>
    <x v="2"/>
    <x v="2"/>
    <x v="3"/>
    <x v="2"/>
    <x v="5"/>
    <n v="4"/>
    <x v="0"/>
  </r>
  <r>
    <d v="2022-11-04T00:00:00"/>
    <x v="0"/>
    <x v="1"/>
    <x v="1"/>
    <n v="19216043.239999998"/>
    <x v="0"/>
    <x v="1"/>
    <x v="1"/>
    <x v="3"/>
    <x v="2"/>
    <x v="2"/>
    <x v="3"/>
    <x v="2"/>
    <x v="5"/>
    <n v="4"/>
    <x v="0"/>
  </r>
  <r>
    <d v="2022-11-04T00:00:00"/>
    <x v="0"/>
    <x v="1"/>
    <x v="0"/>
    <n v="15214930.470000001"/>
    <x v="0"/>
    <x v="1"/>
    <x v="0"/>
    <x v="0"/>
    <x v="2"/>
    <x v="2"/>
    <x v="3"/>
    <x v="2"/>
    <x v="5"/>
    <n v="4"/>
    <x v="0"/>
  </r>
  <r>
    <d v="2022-11-04T00:00:00"/>
    <x v="2"/>
    <x v="1"/>
    <x v="0"/>
    <n v="74734199.299999997"/>
    <x v="2"/>
    <x v="1"/>
    <x v="0"/>
    <x v="4"/>
    <x v="2"/>
    <x v="2"/>
    <x v="3"/>
    <x v="2"/>
    <x v="5"/>
    <n v="4"/>
    <x v="0"/>
  </r>
  <r>
    <d v="2022-11-04T00:00:00"/>
    <x v="2"/>
    <x v="1"/>
    <x v="2"/>
    <n v="602918.54"/>
    <x v="2"/>
    <x v="1"/>
    <x v="2"/>
    <x v="1"/>
    <x v="2"/>
    <x v="2"/>
    <x v="3"/>
    <x v="2"/>
    <x v="5"/>
    <n v="4"/>
    <x v="0"/>
  </r>
  <r>
    <d v="2022-11-04T00:00:00"/>
    <x v="3"/>
    <x v="3"/>
    <x v="0"/>
    <n v="1081796644.05"/>
    <x v="3"/>
    <x v="3"/>
    <x v="0"/>
    <x v="5"/>
    <x v="2"/>
    <x v="2"/>
    <x v="3"/>
    <x v="2"/>
    <x v="5"/>
    <n v="4"/>
    <x v="0"/>
  </r>
  <r>
    <d v="2022-11-04T00:00:00"/>
    <x v="2"/>
    <x v="1"/>
    <x v="1"/>
    <n v="263292484.96000001"/>
    <x v="2"/>
    <x v="1"/>
    <x v="1"/>
    <x v="6"/>
    <x v="2"/>
    <x v="2"/>
    <x v="3"/>
    <x v="2"/>
    <x v="5"/>
    <n v="4"/>
    <x v="0"/>
  </r>
  <r>
    <d v="2022-11-04T00:00:00"/>
    <x v="1"/>
    <x v="0"/>
    <x v="0"/>
    <n v="64499523.140000001"/>
    <x v="1"/>
    <x v="0"/>
    <x v="0"/>
    <x v="7"/>
    <x v="2"/>
    <x v="2"/>
    <x v="3"/>
    <x v="2"/>
    <x v="5"/>
    <n v="4"/>
    <x v="0"/>
  </r>
  <r>
    <d v="2022-11-04T00:00:00"/>
    <x v="1"/>
    <x v="0"/>
    <x v="1"/>
    <n v="114416809.98999999"/>
    <x v="1"/>
    <x v="0"/>
    <x v="1"/>
    <x v="8"/>
    <x v="2"/>
    <x v="2"/>
    <x v="3"/>
    <x v="2"/>
    <x v="5"/>
    <n v="4"/>
    <x v="0"/>
  </r>
  <r>
    <d v="2022-11-04T00:00:00"/>
    <x v="3"/>
    <x v="2"/>
    <x v="0"/>
    <n v="508088059.24000001"/>
    <x v="3"/>
    <x v="2"/>
    <x v="0"/>
    <x v="9"/>
    <x v="2"/>
    <x v="2"/>
    <x v="3"/>
    <x v="2"/>
    <x v="5"/>
    <n v="4"/>
    <x v="0"/>
  </r>
  <r>
    <d v="2022-11-04T00:00:00"/>
    <x v="3"/>
    <x v="1"/>
    <x v="0"/>
    <n v="14649161.93"/>
    <x v="3"/>
    <x v="1"/>
    <x v="0"/>
    <x v="10"/>
    <x v="2"/>
    <x v="2"/>
    <x v="3"/>
    <x v="2"/>
    <x v="5"/>
    <n v="4"/>
    <x v="0"/>
  </r>
  <r>
    <d v="2022-11-04T00:00:00"/>
    <x v="3"/>
    <x v="2"/>
    <x v="1"/>
    <n v="10372655052.280001"/>
    <x v="3"/>
    <x v="2"/>
    <x v="1"/>
    <x v="11"/>
    <x v="2"/>
    <x v="2"/>
    <x v="3"/>
    <x v="2"/>
    <x v="5"/>
    <n v="4"/>
    <x v="0"/>
  </r>
  <r>
    <d v="2022-11-03T00:00:00"/>
    <x v="2"/>
    <x v="1"/>
    <x v="2"/>
    <n v="451187.12"/>
    <x v="2"/>
    <x v="1"/>
    <x v="2"/>
    <x v="2"/>
    <x v="2"/>
    <x v="2"/>
    <x v="3"/>
    <x v="2"/>
    <x v="5"/>
    <n v="3"/>
    <x v="0"/>
  </r>
  <r>
    <d v="2022-11-03T00:00:00"/>
    <x v="2"/>
    <x v="1"/>
    <x v="0"/>
    <n v="97099197.849999994"/>
    <x v="2"/>
    <x v="1"/>
    <x v="0"/>
    <x v="6"/>
    <x v="2"/>
    <x v="2"/>
    <x v="3"/>
    <x v="2"/>
    <x v="5"/>
    <n v="3"/>
    <x v="0"/>
  </r>
  <r>
    <d v="2022-11-03T00:00:00"/>
    <x v="1"/>
    <x v="1"/>
    <x v="0"/>
    <n v="2282.1799999999998"/>
    <x v="1"/>
    <x v="1"/>
    <x v="0"/>
    <x v="0"/>
    <x v="2"/>
    <x v="2"/>
    <x v="3"/>
    <x v="2"/>
    <x v="5"/>
    <n v="3"/>
    <x v="0"/>
  </r>
  <r>
    <d v="2022-11-03T00:00:00"/>
    <x v="0"/>
    <x v="1"/>
    <x v="0"/>
    <n v="25587458.969999999"/>
    <x v="0"/>
    <x v="1"/>
    <x v="0"/>
    <x v="1"/>
    <x v="2"/>
    <x v="2"/>
    <x v="3"/>
    <x v="2"/>
    <x v="5"/>
    <n v="3"/>
    <x v="0"/>
  </r>
  <r>
    <d v="2022-11-03T00:00:00"/>
    <x v="3"/>
    <x v="2"/>
    <x v="2"/>
    <n v="529902.85"/>
    <x v="3"/>
    <x v="2"/>
    <x v="2"/>
    <x v="5"/>
    <x v="2"/>
    <x v="2"/>
    <x v="3"/>
    <x v="2"/>
    <x v="5"/>
    <n v="3"/>
    <x v="0"/>
  </r>
  <r>
    <d v="2022-11-03T00:00:00"/>
    <x v="3"/>
    <x v="3"/>
    <x v="1"/>
    <n v="48756.43"/>
    <x v="3"/>
    <x v="3"/>
    <x v="1"/>
    <x v="3"/>
    <x v="2"/>
    <x v="2"/>
    <x v="3"/>
    <x v="2"/>
    <x v="5"/>
    <n v="3"/>
    <x v="0"/>
  </r>
  <r>
    <d v="2022-11-03T00:00:00"/>
    <x v="0"/>
    <x v="1"/>
    <x v="1"/>
    <n v="4465311.92"/>
    <x v="0"/>
    <x v="1"/>
    <x v="1"/>
    <x v="4"/>
    <x v="2"/>
    <x v="2"/>
    <x v="3"/>
    <x v="2"/>
    <x v="5"/>
    <n v="3"/>
    <x v="0"/>
  </r>
  <r>
    <d v="2022-11-03T00:00:00"/>
    <x v="3"/>
    <x v="3"/>
    <x v="0"/>
    <n v="1534950277.4400001"/>
    <x v="3"/>
    <x v="3"/>
    <x v="0"/>
    <x v="7"/>
    <x v="2"/>
    <x v="2"/>
    <x v="3"/>
    <x v="2"/>
    <x v="5"/>
    <n v="3"/>
    <x v="0"/>
  </r>
  <r>
    <d v="2022-11-03T00:00:00"/>
    <x v="2"/>
    <x v="1"/>
    <x v="1"/>
    <n v="218538912.13999999"/>
    <x v="2"/>
    <x v="1"/>
    <x v="1"/>
    <x v="8"/>
    <x v="2"/>
    <x v="2"/>
    <x v="3"/>
    <x v="2"/>
    <x v="5"/>
    <n v="3"/>
    <x v="0"/>
  </r>
  <r>
    <d v="2022-11-03T00:00:00"/>
    <x v="1"/>
    <x v="0"/>
    <x v="0"/>
    <n v="74387490.590000004"/>
    <x v="1"/>
    <x v="0"/>
    <x v="0"/>
    <x v="9"/>
    <x v="2"/>
    <x v="2"/>
    <x v="3"/>
    <x v="2"/>
    <x v="5"/>
    <n v="3"/>
    <x v="0"/>
  </r>
  <r>
    <d v="2022-11-03T00:00:00"/>
    <x v="1"/>
    <x v="0"/>
    <x v="1"/>
    <n v="291428933.13"/>
    <x v="1"/>
    <x v="0"/>
    <x v="1"/>
    <x v="10"/>
    <x v="2"/>
    <x v="2"/>
    <x v="3"/>
    <x v="2"/>
    <x v="5"/>
    <n v="3"/>
    <x v="0"/>
  </r>
  <r>
    <d v="2022-11-03T00:00:00"/>
    <x v="3"/>
    <x v="2"/>
    <x v="0"/>
    <n v="414754086.41000003"/>
    <x v="3"/>
    <x v="2"/>
    <x v="0"/>
    <x v="11"/>
    <x v="2"/>
    <x v="2"/>
    <x v="3"/>
    <x v="2"/>
    <x v="5"/>
    <n v="3"/>
    <x v="0"/>
  </r>
  <r>
    <d v="2022-11-03T00:00:00"/>
    <x v="3"/>
    <x v="1"/>
    <x v="0"/>
    <n v="14290568.67"/>
    <x v="3"/>
    <x v="1"/>
    <x v="0"/>
    <x v="12"/>
    <x v="2"/>
    <x v="2"/>
    <x v="3"/>
    <x v="2"/>
    <x v="5"/>
    <n v="3"/>
    <x v="0"/>
  </r>
  <r>
    <d v="2022-11-03T00:00:00"/>
    <x v="3"/>
    <x v="2"/>
    <x v="1"/>
    <n v="5741149761.1400003"/>
    <x v="3"/>
    <x v="2"/>
    <x v="1"/>
    <x v="13"/>
    <x v="2"/>
    <x v="2"/>
    <x v="3"/>
    <x v="2"/>
    <x v="5"/>
    <n v="3"/>
    <x v="0"/>
  </r>
  <r>
    <d v="2022-11-02T00:00:00"/>
    <x v="2"/>
    <x v="1"/>
    <x v="0"/>
    <n v="116382771.58"/>
    <x v="2"/>
    <x v="1"/>
    <x v="0"/>
    <x v="5"/>
    <x v="2"/>
    <x v="2"/>
    <x v="3"/>
    <x v="2"/>
    <x v="5"/>
    <n v="2"/>
    <x v="0"/>
  </r>
  <r>
    <d v="2022-11-02T00:00:00"/>
    <x v="2"/>
    <x v="1"/>
    <x v="2"/>
    <n v="10087.07"/>
    <x v="2"/>
    <x v="1"/>
    <x v="2"/>
    <x v="2"/>
    <x v="2"/>
    <x v="2"/>
    <x v="3"/>
    <x v="2"/>
    <x v="5"/>
    <n v="2"/>
    <x v="0"/>
  </r>
  <r>
    <d v="2022-11-02T00:00:00"/>
    <x v="1"/>
    <x v="1"/>
    <x v="0"/>
    <n v="678.65"/>
    <x v="1"/>
    <x v="1"/>
    <x v="0"/>
    <x v="0"/>
    <x v="2"/>
    <x v="2"/>
    <x v="3"/>
    <x v="2"/>
    <x v="5"/>
    <n v="2"/>
    <x v="0"/>
  </r>
  <r>
    <d v="2022-11-02T00:00:00"/>
    <x v="0"/>
    <x v="1"/>
    <x v="0"/>
    <n v="7043885.4800000004"/>
    <x v="0"/>
    <x v="1"/>
    <x v="0"/>
    <x v="1"/>
    <x v="2"/>
    <x v="2"/>
    <x v="3"/>
    <x v="2"/>
    <x v="5"/>
    <n v="2"/>
    <x v="0"/>
  </r>
  <r>
    <d v="2022-11-02T00:00:00"/>
    <x v="3"/>
    <x v="3"/>
    <x v="0"/>
    <n v="2443638041.1399999"/>
    <x v="3"/>
    <x v="3"/>
    <x v="0"/>
    <x v="6"/>
    <x v="2"/>
    <x v="2"/>
    <x v="3"/>
    <x v="2"/>
    <x v="5"/>
    <n v="2"/>
    <x v="0"/>
  </r>
  <r>
    <d v="2022-11-02T00:00:00"/>
    <x v="1"/>
    <x v="0"/>
    <x v="0"/>
    <n v="104483766.29000001"/>
    <x v="1"/>
    <x v="0"/>
    <x v="0"/>
    <x v="8"/>
    <x v="2"/>
    <x v="2"/>
    <x v="3"/>
    <x v="2"/>
    <x v="5"/>
    <n v="2"/>
    <x v="0"/>
  </r>
  <r>
    <d v="2022-11-02T00:00:00"/>
    <x v="0"/>
    <x v="1"/>
    <x v="1"/>
    <n v="9286712.3599999994"/>
    <x v="0"/>
    <x v="1"/>
    <x v="1"/>
    <x v="3"/>
    <x v="2"/>
    <x v="2"/>
    <x v="3"/>
    <x v="2"/>
    <x v="5"/>
    <n v="2"/>
    <x v="0"/>
  </r>
  <r>
    <d v="2022-11-02T00:00:00"/>
    <x v="3"/>
    <x v="2"/>
    <x v="2"/>
    <n v="543208.95999999996"/>
    <x v="3"/>
    <x v="2"/>
    <x v="2"/>
    <x v="4"/>
    <x v="2"/>
    <x v="2"/>
    <x v="3"/>
    <x v="2"/>
    <x v="5"/>
    <n v="2"/>
    <x v="0"/>
  </r>
  <r>
    <d v="2022-11-02T00:00:00"/>
    <x v="2"/>
    <x v="1"/>
    <x v="1"/>
    <n v="342000384.19"/>
    <x v="2"/>
    <x v="1"/>
    <x v="1"/>
    <x v="7"/>
    <x v="2"/>
    <x v="2"/>
    <x v="3"/>
    <x v="2"/>
    <x v="5"/>
    <n v="2"/>
    <x v="0"/>
  </r>
  <r>
    <d v="2022-11-02T00:00:00"/>
    <x v="1"/>
    <x v="0"/>
    <x v="1"/>
    <n v="714770335.28999996"/>
    <x v="1"/>
    <x v="0"/>
    <x v="1"/>
    <x v="9"/>
    <x v="2"/>
    <x v="2"/>
    <x v="3"/>
    <x v="2"/>
    <x v="5"/>
    <n v="2"/>
    <x v="0"/>
  </r>
  <r>
    <d v="2022-11-02T00:00:00"/>
    <x v="3"/>
    <x v="1"/>
    <x v="0"/>
    <n v="15934512.25"/>
    <x v="3"/>
    <x v="1"/>
    <x v="0"/>
    <x v="10"/>
    <x v="2"/>
    <x v="2"/>
    <x v="3"/>
    <x v="2"/>
    <x v="5"/>
    <n v="2"/>
    <x v="0"/>
  </r>
  <r>
    <d v="2022-11-02T00:00:00"/>
    <x v="3"/>
    <x v="2"/>
    <x v="0"/>
    <n v="893378578.63999999"/>
    <x v="3"/>
    <x v="2"/>
    <x v="0"/>
    <x v="11"/>
    <x v="2"/>
    <x v="2"/>
    <x v="3"/>
    <x v="2"/>
    <x v="5"/>
    <n v="2"/>
    <x v="0"/>
  </r>
  <r>
    <d v="2022-11-02T00:00:00"/>
    <x v="3"/>
    <x v="2"/>
    <x v="1"/>
    <n v="14202875975.549999"/>
    <x v="3"/>
    <x v="2"/>
    <x v="1"/>
    <x v="12"/>
    <x v="2"/>
    <x v="2"/>
    <x v="3"/>
    <x v="2"/>
    <x v="5"/>
    <n v="2"/>
    <x v="0"/>
  </r>
  <r>
    <d v="2022-11-01T00:00:00"/>
    <x v="2"/>
    <x v="1"/>
    <x v="2"/>
    <n v="420468.32"/>
    <x v="2"/>
    <x v="1"/>
    <x v="2"/>
    <x v="2"/>
    <x v="2"/>
    <x v="2"/>
    <x v="3"/>
    <x v="2"/>
    <x v="5"/>
    <n v="1"/>
    <x v="0"/>
  </r>
  <r>
    <d v="2022-11-01T00:00:00"/>
    <x v="1"/>
    <x v="1"/>
    <x v="0"/>
    <n v="50"/>
    <x v="1"/>
    <x v="1"/>
    <x v="0"/>
    <x v="0"/>
    <x v="2"/>
    <x v="2"/>
    <x v="3"/>
    <x v="2"/>
    <x v="5"/>
    <n v="1"/>
    <x v="0"/>
  </r>
  <r>
    <d v="2022-11-01T00:00:00"/>
    <x v="0"/>
    <x v="1"/>
    <x v="0"/>
    <n v="7049845.6299999999"/>
    <x v="0"/>
    <x v="1"/>
    <x v="0"/>
    <x v="1"/>
    <x v="2"/>
    <x v="2"/>
    <x v="3"/>
    <x v="2"/>
    <x v="5"/>
    <n v="1"/>
    <x v="0"/>
  </r>
  <r>
    <d v="2022-11-01T00:00:00"/>
    <x v="2"/>
    <x v="1"/>
    <x v="1"/>
    <n v="336354140.83999997"/>
    <x v="2"/>
    <x v="1"/>
    <x v="1"/>
    <x v="8"/>
    <x v="2"/>
    <x v="2"/>
    <x v="3"/>
    <x v="2"/>
    <x v="5"/>
    <n v="1"/>
    <x v="0"/>
  </r>
  <r>
    <d v="2022-11-01T00:00:00"/>
    <x v="1"/>
    <x v="0"/>
    <x v="0"/>
    <n v="66916274.390000001"/>
    <x v="1"/>
    <x v="0"/>
    <x v="0"/>
    <x v="9"/>
    <x v="2"/>
    <x v="2"/>
    <x v="3"/>
    <x v="2"/>
    <x v="5"/>
    <n v="1"/>
    <x v="0"/>
  </r>
  <r>
    <d v="2022-11-01T00:00:00"/>
    <x v="3"/>
    <x v="3"/>
    <x v="1"/>
    <n v="111273.59"/>
    <x v="3"/>
    <x v="3"/>
    <x v="1"/>
    <x v="3"/>
    <x v="2"/>
    <x v="2"/>
    <x v="3"/>
    <x v="2"/>
    <x v="5"/>
    <n v="1"/>
    <x v="0"/>
  </r>
  <r>
    <d v="2022-11-01T00:00:00"/>
    <x v="0"/>
    <x v="1"/>
    <x v="1"/>
    <n v="7425306.9100000001"/>
    <x v="0"/>
    <x v="1"/>
    <x v="1"/>
    <x v="4"/>
    <x v="2"/>
    <x v="2"/>
    <x v="3"/>
    <x v="2"/>
    <x v="5"/>
    <n v="1"/>
    <x v="0"/>
  </r>
  <r>
    <d v="2022-11-01T00:00:00"/>
    <x v="3"/>
    <x v="2"/>
    <x v="2"/>
    <n v="386858.35"/>
    <x v="3"/>
    <x v="2"/>
    <x v="2"/>
    <x v="5"/>
    <x v="2"/>
    <x v="2"/>
    <x v="3"/>
    <x v="2"/>
    <x v="5"/>
    <n v="1"/>
    <x v="0"/>
  </r>
  <r>
    <d v="2022-11-01T00:00:00"/>
    <x v="1"/>
    <x v="0"/>
    <x v="1"/>
    <n v="354712814.18000001"/>
    <x v="1"/>
    <x v="0"/>
    <x v="1"/>
    <x v="10"/>
    <x v="2"/>
    <x v="2"/>
    <x v="3"/>
    <x v="2"/>
    <x v="5"/>
    <n v="1"/>
    <x v="0"/>
  </r>
  <r>
    <d v="2022-11-01T00:00:00"/>
    <x v="2"/>
    <x v="1"/>
    <x v="0"/>
    <n v="89435744.579999998"/>
    <x v="2"/>
    <x v="1"/>
    <x v="0"/>
    <x v="6"/>
    <x v="2"/>
    <x v="2"/>
    <x v="3"/>
    <x v="2"/>
    <x v="5"/>
    <n v="1"/>
    <x v="0"/>
  </r>
  <r>
    <d v="2022-11-01T00:00:00"/>
    <x v="3"/>
    <x v="3"/>
    <x v="0"/>
    <n v="4233567285.5900002"/>
    <x v="3"/>
    <x v="3"/>
    <x v="0"/>
    <x v="7"/>
    <x v="2"/>
    <x v="2"/>
    <x v="3"/>
    <x v="2"/>
    <x v="5"/>
    <n v="1"/>
    <x v="0"/>
  </r>
  <r>
    <d v="2022-11-01T00:00:00"/>
    <x v="3"/>
    <x v="2"/>
    <x v="0"/>
    <n v="511349598.06999999"/>
    <x v="3"/>
    <x v="2"/>
    <x v="0"/>
    <x v="11"/>
    <x v="2"/>
    <x v="2"/>
    <x v="3"/>
    <x v="2"/>
    <x v="5"/>
    <n v="1"/>
    <x v="0"/>
  </r>
  <r>
    <d v="2022-11-01T00:00:00"/>
    <x v="3"/>
    <x v="1"/>
    <x v="0"/>
    <n v="10946072.4"/>
    <x v="3"/>
    <x v="1"/>
    <x v="0"/>
    <x v="12"/>
    <x v="2"/>
    <x v="2"/>
    <x v="3"/>
    <x v="2"/>
    <x v="5"/>
    <n v="1"/>
    <x v="0"/>
  </r>
  <r>
    <d v="2022-11-01T00:00:00"/>
    <x v="3"/>
    <x v="2"/>
    <x v="1"/>
    <n v="20530425554.23"/>
    <x v="3"/>
    <x v="2"/>
    <x v="1"/>
    <x v="13"/>
    <x v="2"/>
    <x v="2"/>
    <x v="3"/>
    <x v="2"/>
    <x v="5"/>
    <n v="1"/>
    <x v="0"/>
  </r>
  <r>
    <d v="2022-10-31T00:00:00"/>
    <x v="2"/>
    <x v="1"/>
    <x v="0"/>
    <n v="382461199.94999999"/>
    <x v="2"/>
    <x v="1"/>
    <x v="0"/>
    <x v="7"/>
    <x v="2"/>
    <x v="2"/>
    <x v="3"/>
    <x v="2"/>
    <x v="6"/>
    <n v="31"/>
    <x v="0"/>
  </r>
  <r>
    <d v="2022-10-31T00:00:00"/>
    <x v="0"/>
    <x v="0"/>
    <x v="0"/>
    <n v="20"/>
    <x v="0"/>
    <x v="0"/>
    <x v="0"/>
    <x v="0"/>
    <x v="2"/>
    <x v="2"/>
    <x v="3"/>
    <x v="2"/>
    <x v="6"/>
    <n v="31"/>
    <x v="0"/>
  </r>
  <r>
    <d v="2022-10-31T00:00:00"/>
    <x v="0"/>
    <x v="1"/>
    <x v="0"/>
    <n v="13006888.85"/>
    <x v="0"/>
    <x v="1"/>
    <x v="0"/>
    <x v="2"/>
    <x v="2"/>
    <x v="2"/>
    <x v="3"/>
    <x v="2"/>
    <x v="6"/>
    <n v="31"/>
    <x v="0"/>
  </r>
  <r>
    <d v="2022-10-31T00:00:00"/>
    <x v="3"/>
    <x v="3"/>
    <x v="0"/>
    <n v="4436818022.0900002"/>
    <x v="3"/>
    <x v="3"/>
    <x v="0"/>
    <x v="8"/>
    <x v="2"/>
    <x v="2"/>
    <x v="3"/>
    <x v="2"/>
    <x v="6"/>
    <n v="31"/>
    <x v="0"/>
  </r>
  <r>
    <d v="2022-10-31T00:00:00"/>
    <x v="2"/>
    <x v="1"/>
    <x v="1"/>
    <n v="165205606.34999999"/>
    <x v="2"/>
    <x v="1"/>
    <x v="1"/>
    <x v="9"/>
    <x v="2"/>
    <x v="2"/>
    <x v="3"/>
    <x v="2"/>
    <x v="6"/>
    <n v="31"/>
    <x v="0"/>
  </r>
  <r>
    <d v="2022-10-31T00:00:00"/>
    <x v="3"/>
    <x v="3"/>
    <x v="1"/>
    <n v="7840560.3600000003"/>
    <x v="3"/>
    <x v="3"/>
    <x v="1"/>
    <x v="4"/>
    <x v="2"/>
    <x v="2"/>
    <x v="3"/>
    <x v="2"/>
    <x v="6"/>
    <n v="31"/>
    <x v="0"/>
  </r>
  <r>
    <d v="2022-10-31T00:00:00"/>
    <x v="0"/>
    <x v="1"/>
    <x v="1"/>
    <n v="17818395.379999999"/>
    <x v="0"/>
    <x v="1"/>
    <x v="1"/>
    <x v="5"/>
    <x v="2"/>
    <x v="2"/>
    <x v="3"/>
    <x v="2"/>
    <x v="6"/>
    <n v="31"/>
    <x v="0"/>
  </r>
  <r>
    <d v="2022-10-31T00:00:00"/>
    <x v="1"/>
    <x v="0"/>
    <x v="0"/>
    <n v="60971510.700000003"/>
    <x v="1"/>
    <x v="0"/>
    <x v="0"/>
    <x v="10"/>
    <x v="2"/>
    <x v="2"/>
    <x v="3"/>
    <x v="2"/>
    <x v="6"/>
    <n v="31"/>
    <x v="0"/>
  </r>
  <r>
    <d v="2022-10-31T00:00:00"/>
    <x v="2"/>
    <x v="1"/>
    <x v="2"/>
    <n v="4889.7299999999996"/>
    <x v="2"/>
    <x v="1"/>
    <x v="2"/>
    <x v="6"/>
    <x v="2"/>
    <x v="2"/>
    <x v="3"/>
    <x v="2"/>
    <x v="6"/>
    <n v="31"/>
    <x v="0"/>
  </r>
  <r>
    <d v="2022-10-31T00:00:00"/>
    <x v="1"/>
    <x v="1"/>
    <x v="0"/>
    <n v="247.75"/>
    <x v="1"/>
    <x v="1"/>
    <x v="0"/>
    <x v="1"/>
    <x v="2"/>
    <x v="2"/>
    <x v="3"/>
    <x v="2"/>
    <x v="6"/>
    <n v="31"/>
    <x v="0"/>
  </r>
  <r>
    <d v="2022-10-31T00:00:00"/>
    <x v="3"/>
    <x v="2"/>
    <x v="2"/>
    <n v="474448"/>
    <x v="3"/>
    <x v="2"/>
    <x v="2"/>
    <x v="3"/>
    <x v="2"/>
    <x v="2"/>
    <x v="3"/>
    <x v="2"/>
    <x v="6"/>
    <n v="31"/>
    <x v="0"/>
  </r>
  <r>
    <d v="2022-10-31T00:00:00"/>
    <x v="1"/>
    <x v="0"/>
    <x v="1"/>
    <n v="235541253.91"/>
    <x v="1"/>
    <x v="0"/>
    <x v="1"/>
    <x v="11"/>
    <x v="2"/>
    <x v="2"/>
    <x v="3"/>
    <x v="2"/>
    <x v="6"/>
    <n v="31"/>
    <x v="0"/>
  </r>
  <r>
    <d v="2022-10-31T00:00:00"/>
    <x v="3"/>
    <x v="2"/>
    <x v="0"/>
    <n v="893072053.63"/>
    <x v="3"/>
    <x v="2"/>
    <x v="0"/>
    <x v="12"/>
    <x v="2"/>
    <x v="2"/>
    <x v="3"/>
    <x v="2"/>
    <x v="6"/>
    <n v="31"/>
    <x v="0"/>
  </r>
  <r>
    <d v="2022-10-31T00:00:00"/>
    <x v="3"/>
    <x v="1"/>
    <x v="0"/>
    <n v="46380508.25"/>
    <x v="3"/>
    <x v="1"/>
    <x v="0"/>
    <x v="13"/>
    <x v="2"/>
    <x v="2"/>
    <x v="3"/>
    <x v="2"/>
    <x v="6"/>
    <n v="31"/>
    <x v="0"/>
  </r>
  <r>
    <d v="2022-10-31T00:00:00"/>
    <x v="3"/>
    <x v="2"/>
    <x v="1"/>
    <n v="26874928911.98"/>
    <x v="3"/>
    <x v="2"/>
    <x v="1"/>
    <x v="14"/>
    <x v="2"/>
    <x v="2"/>
    <x v="3"/>
    <x v="2"/>
    <x v="6"/>
    <n v="31"/>
    <x v="0"/>
  </r>
  <r>
    <d v="2022-10-28T00:00:00"/>
    <x v="3"/>
    <x v="3"/>
    <x v="0"/>
    <n v="2338621491.52"/>
    <x v="3"/>
    <x v="3"/>
    <x v="0"/>
    <x v="7"/>
    <x v="2"/>
    <x v="2"/>
    <x v="3"/>
    <x v="2"/>
    <x v="6"/>
    <n v="28"/>
    <x v="0"/>
  </r>
  <r>
    <d v="2022-10-28T00:00:00"/>
    <x v="2"/>
    <x v="1"/>
    <x v="1"/>
    <n v="207790244.06999999"/>
    <x v="2"/>
    <x v="1"/>
    <x v="1"/>
    <x v="8"/>
    <x v="2"/>
    <x v="2"/>
    <x v="3"/>
    <x v="2"/>
    <x v="6"/>
    <n v="28"/>
    <x v="0"/>
  </r>
  <r>
    <d v="2022-10-28T00:00:00"/>
    <x v="3"/>
    <x v="3"/>
    <x v="1"/>
    <n v="63"/>
    <x v="3"/>
    <x v="3"/>
    <x v="1"/>
    <x v="2"/>
    <x v="2"/>
    <x v="2"/>
    <x v="3"/>
    <x v="2"/>
    <x v="6"/>
    <n v="28"/>
    <x v="0"/>
  </r>
  <r>
    <d v="2022-10-28T00:00:00"/>
    <x v="0"/>
    <x v="1"/>
    <x v="1"/>
    <n v="19441277.449999999"/>
    <x v="0"/>
    <x v="1"/>
    <x v="1"/>
    <x v="3"/>
    <x v="2"/>
    <x v="2"/>
    <x v="3"/>
    <x v="2"/>
    <x v="6"/>
    <n v="28"/>
    <x v="0"/>
  </r>
  <r>
    <d v="2022-10-28T00:00:00"/>
    <x v="2"/>
    <x v="1"/>
    <x v="2"/>
    <n v="6805.17"/>
    <x v="2"/>
    <x v="1"/>
    <x v="2"/>
    <x v="4"/>
    <x v="2"/>
    <x v="2"/>
    <x v="3"/>
    <x v="2"/>
    <x v="6"/>
    <n v="28"/>
    <x v="0"/>
  </r>
  <r>
    <d v="2022-10-28T00:00:00"/>
    <x v="3"/>
    <x v="2"/>
    <x v="2"/>
    <n v="298518.01"/>
    <x v="3"/>
    <x v="2"/>
    <x v="2"/>
    <x v="5"/>
    <x v="2"/>
    <x v="2"/>
    <x v="3"/>
    <x v="2"/>
    <x v="6"/>
    <n v="28"/>
    <x v="0"/>
  </r>
  <r>
    <d v="2022-10-28T00:00:00"/>
    <x v="1"/>
    <x v="1"/>
    <x v="0"/>
    <n v="4317.04"/>
    <x v="1"/>
    <x v="1"/>
    <x v="0"/>
    <x v="0"/>
    <x v="2"/>
    <x v="2"/>
    <x v="3"/>
    <x v="2"/>
    <x v="6"/>
    <n v="28"/>
    <x v="0"/>
  </r>
  <r>
    <d v="2022-10-28T00:00:00"/>
    <x v="0"/>
    <x v="1"/>
    <x v="0"/>
    <n v="17181022.059999999"/>
    <x v="0"/>
    <x v="1"/>
    <x v="0"/>
    <x v="1"/>
    <x v="2"/>
    <x v="2"/>
    <x v="3"/>
    <x v="2"/>
    <x v="6"/>
    <n v="28"/>
    <x v="0"/>
  </r>
  <r>
    <d v="2022-10-28T00:00:00"/>
    <x v="2"/>
    <x v="1"/>
    <x v="0"/>
    <n v="95952926.650000006"/>
    <x v="2"/>
    <x v="1"/>
    <x v="0"/>
    <x v="6"/>
    <x v="2"/>
    <x v="2"/>
    <x v="3"/>
    <x v="2"/>
    <x v="6"/>
    <n v="28"/>
    <x v="0"/>
  </r>
  <r>
    <d v="2022-10-28T00:00:00"/>
    <x v="1"/>
    <x v="0"/>
    <x v="0"/>
    <n v="67829980.310000002"/>
    <x v="1"/>
    <x v="0"/>
    <x v="0"/>
    <x v="9"/>
    <x v="2"/>
    <x v="2"/>
    <x v="3"/>
    <x v="2"/>
    <x v="6"/>
    <n v="28"/>
    <x v="0"/>
  </r>
  <r>
    <d v="2022-10-28T00:00:00"/>
    <x v="1"/>
    <x v="0"/>
    <x v="1"/>
    <n v="563740377.63999999"/>
    <x v="1"/>
    <x v="0"/>
    <x v="1"/>
    <x v="10"/>
    <x v="2"/>
    <x v="2"/>
    <x v="3"/>
    <x v="2"/>
    <x v="6"/>
    <n v="28"/>
    <x v="0"/>
  </r>
  <r>
    <d v="2022-10-28T00:00:00"/>
    <x v="3"/>
    <x v="2"/>
    <x v="0"/>
    <n v="826445779.55999994"/>
    <x v="3"/>
    <x v="2"/>
    <x v="0"/>
    <x v="11"/>
    <x v="2"/>
    <x v="2"/>
    <x v="3"/>
    <x v="2"/>
    <x v="6"/>
    <n v="28"/>
    <x v="0"/>
  </r>
  <r>
    <d v="2022-10-28T00:00:00"/>
    <x v="3"/>
    <x v="1"/>
    <x v="0"/>
    <n v="13555396.130000001"/>
    <x v="3"/>
    <x v="1"/>
    <x v="0"/>
    <x v="12"/>
    <x v="2"/>
    <x v="2"/>
    <x v="3"/>
    <x v="2"/>
    <x v="6"/>
    <n v="28"/>
    <x v="0"/>
  </r>
  <r>
    <d v="2022-10-28T00:00:00"/>
    <x v="3"/>
    <x v="2"/>
    <x v="1"/>
    <n v="11206802585.76"/>
    <x v="3"/>
    <x v="2"/>
    <x v="1"/>
    <x v="13"/>
    <x v="2"/>
    <x v="2"/>
    <x v="3"/>
    <x v="2"/>
    <x v="6"/>
    <n v="28"/>
    <x v="0"/>
  </r>
  <r>
    <d v="2022-10-27T00:00:00"/>
    <x v="2"/>
    <x v="1"/>
    <x v="0"/>
    <n v="89879635.120000005"/>
    <x v="2"/>
    <x v="1"/>
    <x v="0"/>
    <x v="6"/>
    <x v="2"/>
    <x v="2"/>
    <x v="3"/>
    <x v="2"/>
    <x v="6"/>
    <n v="27"/>
    <x v="0"/>
  </r>
  <r>
    <d v="2022-10-27T00:00:00"/>
    <x v="3"/>
    <x v="3"/>
    <x v="0"/>
    <n v="2588364889.8099999"/>
    <x v="3"/>
    <x v="3"/>
    <x v="0"/>
    <x v="7"/>
    <x v="2"/>
    <x v="2"/>
    <x v="3"/>
    <x v="2"/>
    <x v="6"/>
    <n v="27"/>
    <x v="0"/>
  </r>
  <r>
    <d v="2022-10-27T00:00:00"/>
    <x v="2"/>
    <x v="1"/>
    <x v="1"/>
    <n v="1035965870.78"/>
    <x v="2"/>
    <x v="1"/>
    <x v="1"/>
    <x v="8"/>
    <x v="2"/>
    <x v="2"/>
    <x v="3"/>
    <x v="2"/>
    <x v="6"/>
    <n v="27"/>
    <x v="0"/>
  </r>
  <r>
    <d v="2022-10-27T00:00:00"/>
    <x v="0"/>
    <x v="1"/>
    <x v="1"/>
    <n v="11553417.699999999"/>
    <x v="0"/>
    <x v="1"/>
    <x v="1"/>
    <x v="3"/>
    <x v="2"/>
    <x v="2"/>
    <x v="3"/>
    <x v="2"/>
    <x v="6"/>
    <n v="27"/>
    <x v="0"/>
  </r>
  <r>
    <d v="2022-10-27T00:00:00"/>
    <x v="2"/>
    <x v="1"/>
    <x v="2"/>
    <n v="8047"/>
    <x v="2"/>
    <x v="1"/>
    <x v="2"/>
    <x v="4"/>
    <x v="2"/>
    <x v="2"/>
    <x v="3"/>
    <x v="2"/>
    <x v="6"/>
    <n v="27"/>
    <x v="0"/>
  </r>
  <r>
    <d v="2022-10-27T00:00:00"/>
    <x v="3"/>
    <x v="2"/>
    <x v="2"/>
    <n v="558518.88"/>
    <x v="3"/>
    <x v="2"/>
    <x v="2"/>
    <x v="5"/>
    <x v="2"/>
    <x v="2"/>
    <x v="3"/>
    <x v="2"/>
    <x v="6"/>
    <n v="27"/>
    <x v="0"/>
  </r>
  <r>
    <d v="2022-10-27T00:00:00"/>
    <x v="1"/>
    <x v="1"/>
    <x v="0"/>
    <n v="103"/>
    <x v="1"/>
    <x v="1"/>
    <x v="0"/>
    <x v="1"/>
    <x v="2"/>
    <x v="2"/>
    <x v="3"/>
    <x v="2"/>
    <x v="6"/>
    <n v="27"/>
    <x v="0"/>
  </r>
  <r>
    <d v="2022-10-27T00:00:00"/>
    <x v="0"/>
    <x v="0"/>
    <x v="0"/>
    <n v="10000"/>
    <x v="0"/>
    <x v="0"/>
    <x v="0"/>
    <x v="0"/>
    <x v="2"/>
    <x v="2"/>
    <x v="3"/>
    <x v="2"/>
    <x v="6"/>
    <n v="27"/>
    <x v="0"/>
  </r>
  <r>
    <d v="2022-10-27T00:00:00"/>
    <x v="0"/>
    <x v="1"/>
    <x v="0"/>
    <n v="24840237.18"/>
    <x v="0"/>
    <x v="1"/>
    <x v="0"/>
    <x v="2"/>
    <x v="2"/>
    <x v="2"/>
    <x v="3"/>
    <x v="2"/>
    <x v="6"/>
    <n v="27"/>
    <x v="0"/>
  </r>
  <r>
    <d v="2022-10-27T00:00:00"/>
    <x v="1"/>
    <x v="0"/>
    <x v="0"/>
    <n v="75116538.579999998"/>
    <x v="1"/>
    <x v="0"/>
    <x v="0"/>
    <x v="9"/>
    <x v="2"/>
    <x v="2"/>
    <x v="3"/>
    <x v="2"/>
    <x v="6"/>
    <n v="27"/>
    <x v="0"/>
  </r>
  <r>
    <d v="2022-10-27T00:00:00"/>
    <x v="1"/>
    <x v="0"/>
    <x v="1"/>
    <n v="638843311.16999996"/>
    <x v="1"/>
    <x v="0"/>
    <x v="1"/>
    <x v="10"/>
    <x v="2"/>
    <x v="2"/>
    <x v="3"/>
    <x v="2"/>
    <x v="6"/>
    <n v="27"/>
    <x v="0"/>
  </r>
  <r>
    <d v="2022-10-27T00:00:00"/>
    <x v="3"/>
    <x v="2"/>
    <x v="0"/>
    <n v="403014391.37"/>
    <x v="3"/>
    <x v="2"/>
    <x v="0"/>
    <x v="11"/>
    <x v="2"/>
    <x v="2"/>
    <x v="3"/>
    <x v="2"/>
    <x v="6"/>
    <n v="27"/>
    <x v="0"/>
  </r>
  <r>
    <d v="2022-10-27T00:00:00"/>
    <x v="3"/>
    <x v="1"/>
    <x v="0"/>
    <n v="13236417.48"/>
    <x v="3"/>
    <x v="1"/>
    <x v="0"/>
    <x v="12"/>
    <x v="2"/>
    <x v="2"/>
    <x v="3"/>
    <x v="2"/>
    <x v="6"/>
    <n v="27"/>
    <x v="0"/>
  </r>
  <r>
    <d v="2022-10-27T00:00:00"/>
    <x v="3"/>
    <x v="2"/>
    <x v="1"/>
    <n v="4193271081.4200001"/>
    <x v="3"/>
    <x v="2"/>
    <x v="1"/>
    <x v="13"/>
    <x v="2"/>
    <x v="2"/>
    <x v="3"/>
    <x v="2"/>
    <x v="6"/>
    <n v="27"/>
    <x v="0"/>
  </r>
  <r>
    <d v="2022-10-26T00:00:00"/>
    <x v="2"/>
    <x v="1"/>
    <x v="2"/>
    <n v="107536.84"/>
    <x v="2"/>
    <x v="1"/>
    <x v="2"/>
    <x v="2"/>
    <x v="2"/>
    <x v="2"/>
    <x v="3"/>
    <x v="2"/>
    <x v="6"/>
    <n v="26"/>
    <x v="0"/>
  </r>
  <r>
    <d v="2022-10-26T00:00:00"/>
    <x v="2"/>
    <x v="1"/>
    <x v="0"/>
    <n v="93948738.239999995"/>
    <x v="2"/>
    <x v="1"/>
    <x v="0"/>
    <x v="6"/>
    <x v="2"/>
    <x v="2"/>
    <x v="3"/>
    <x v="2"/>
    <x v="6"/>
    <n v="26"/>
    <x v="0"/>
  </r>
  <r>
    <d v="2022-10-26T00:00:00"/>
    <x v="3"/>
    <x v="3"/>
    <x v="0"/>
    <n v="1046127375.2"/>
    <x v="3"/>
    <x v="3"/>
    <x v="0"/>
    <x v="7"/>
    <x v="2"/>
    <x v="2"/>
    <x v="3"/>
    <x v="2"/>
    <x v="6"/>
    <n v="26"/>
    <x v="0"/>
  </r>
  <r>
    <d v="2022-10-26T00:00:00"/>
    <x v="2"/>
    <x v="1"/>
    <x v="1"/>
    <n v="246042210.19"/>
    <x v="2"/>
    <x v="1"/>
    <x v="1"/>
    <x v="8"/>
    <x v="2"/>
    <x v="2"/>
    <x v="3"/>
    <x v="2"/>
    <x v="6"/>
    <n v="26"/>
    <x v="0"/>
  </r>
  <r>
    <d v="2022-10-26T00:00:00"/>
    <x v="3"/>
    <x v="3"/>
    <x v="1"/>
    <n v="711.27"/>
    <x v="3"/>
    <x v="3"/>
    <x v="1"/>
    <x v="3"/>
    <x v="2"/>
    <x v="2"/>
    <x v="3"/>
    <x v="2"/>
    <x v="6"/>
    <n v="26"/>
    <x v="0"/>
  </r>
  <r>
    <d v="2022-10-26T00:00:00"/>
    <x v="0"/>
    <x v="1"/>
    <x v="1"/>
    <n v="3638001.54"/>
    <x v="0"/>
    <x v="1"/>
    <x v="1"/>
    <x v="4"/>
    <x v="2"/>
    <x v="2"/>
    <x v="3"/>
    <x v="2"/>
    <x v="6"/>
    <n v="26"/>
    <x v="0"/>
  </r>
  <r>
    <d v="2022-10-26T00:00:00"/>
    <x v="3"/>
    <x v="2"/>
    <x v="2"/>
    <n v="327874"/>
    <x v="3"/>
    <x v="2"/>
    <x v="2"/>
    <x v="5"/>
    <x v="2"/>
    <x v="2"/>
    <x v="3"/>
    <x v="2"/>
    <x v="6"/>
    <n v="26"/>
    <x v="0"/>
  </r>
  <r>
    <d v="2022-10-26T00:00:00"/>
    <x v="1"/>
    <x v="1"/>
    <x v="0"/>
    <n v="9600.76"/>
    <x v="1"/>
    <x v="1"/>
    <x v="0"/>
    <x v="0"/>
    <x v="2"/>
    <x v="2"/>
    <x v="3"/>
    <x v="2"/>
    <x v="6"/>
    <n v="26"/>
    <x v="0"/>
  </r>
  <r>
    <d v="2022-10-26T00:00:00"/>
    <x v="0"/>
    <x v="1"/>
    <x v="0"/>
    <n v="15848895.390000001"/>
    <x v="0"/>
    <x v="1"/>
    <x v="0"/>
    <x v="1"/>
    <x v="2"/>
    <x v="2"/>
    <x v="3"/>
    <x v="2"/>
    <x v="6"/>
    <n v="26"/>
    <x v="0"/>
  </r>
  <r>
    <d v="2022-10-26T00:00:00"/>
    <x v="1"/>
    <x v="0"/>
    <x v="0"/>
    <n v="82183152.510000005"/>
    <x v="1"/>
    <x v="0"/>
    <x v="0"/>
    <x v="9"/>
    <x v="2"/>
    <x v="2"/>
    <x v="3"/>
    <x v="2"/>
    <x v="6"/>
    <n v="26"/>
    <x v="0"/>
  </r>
  <r>
    <d v="2022-10-26T00:00:00"/>
    <x v="1"/>
    <x v="0"/>
    <x v="1"/>
    <n v="2777863063.3499999"/>
    <x v="1"/>
    <x v="0"/>
    <x v="1"/>
    <x v="10"/>
    <x v="2"/>
    <x v="2"/>
    <x v="3"/>
    <x v="2"/>
    <x v="6"/>
    <n v="26"/>
    <x v="0"/>
  </r>
  <r>
    <d v="2022-10-26T00:00:00"/>
    <x v="3"/>
    <x v="2"/>
    <x v="0"/>
    <n v="481334639.79000002"/>
    <x v="3"/>
    <x v="2"/>
    <x v="0"/>
    <x v="11"/>
    <x v="2"/>
    <x v="2"/>
    <x v="3"/>
    <x v="2"/>
    <x v="6"/>
    <n v="26"/>
    <x v="0"/>
  </r>
  <r>
    <d v="2022-10-26T00:00:00"/>
    <x v="3"/>
    <x v="1"/>
    <x v="0"/>
    <n v="14104251.98"/>
    <x v="3"/>
    <x v="1"/>
    <x v="0"/>
    <x v="12"/>
    <x v="2"/>
    <x v="2"/>
    <x v="3"/>
    <x v="2"/>
    <x v="6"/>
    <n v="26"/>
    <x v="0"/>
  </r>
  <r>
    <d v="2022-10-26T00:00:00"/>
    <x v="3"/>
    <x v="2"/>
    <x v="1"/>
    <n v="11332974805.83"/>
    <x v="3"/>
    <x v="2"/>
    <x v="1"/>
    <x v="13"/>
    <x v="2"/>
    <x v="2"/>
    <x v="3"/>
    <x v="2"/>
    <x v="6"/>
    <n v="26"/>
    <x v="0"/>
  </r>
  <r>
    <d v="2022-10-25T00:00:00"/>
    <x v="2"/>
    <x v="1"/>
    <x v="2"/>
    <n v="7077.1"/>
    <x v="2"/>
    <x v="1"/>
    <x v="2"/>
    <x v="3"/>
    <x v="2"/>
    <x v="2"/>
    <x v="3"/>
    <x v="2"/>
    <x v="6"/>
    <n v="25"/>
    <x v="0"/>
  </r>
  <r>
    <d v="2022-10-25T00:00:00"/>
    <x v="2"/>
    <x v="1"/>
    <x v="1"/>
    <n v="239621241.68000001"/>
    <x v="2"/>
    <x v="1"/>
    <x v="1"/>
    <x v="8"/>
    <x v="2"/>
    <x v="2"/>
    <x v="3"/>
    <x v="2"/>
    <x v="6"/>
    <n v="25"/>
    <x v="0"/>
  </r>
  <r>
    <d v="2022-10-25T00:00:00"/>
    <x v="0"/>
    <x v="1"/>
    <x v="1"/>
    <n v="11733667.800000001"/>
    <x v="0"/>
    <x v="1"/>
    <x v="1"/>
    <x v="4"/>
    <x v="2"/>
    <x v="2"/>
    <x v="3"/>
    <x v="2"/>
    <x v="6"/>
    <n v="25"/>
    <x v="0"/>
  </r>
  <r>
    <d v="2022-10-25T00:00:00"/>
    <x v="3"/>
    <x v="2"/>
    <x v="2"/>
    <n v="289537.02"/>
    <x v="3"/>
    <x v="2"/>
    <x v="2"/>
    <x v="5"/>
    <x v="2"/>
    <x v="2"/>
    <x v="3"/>
    <x v="2"/>
    <x v="6"/>
    <n v="25"/>
    <x v="0"/>
  </r>
  <r>
    <d v="2022-10-25T00:00:00"/>
    <x v="0"/>
    <x v="0"/>
    <x v="0"/>
    <n v="462.78"/>
    <x v="0"/>
    <x v="0"/>
    <x v="0"/>
    <x v="0"/>
    <x v="2"/>
    <x v="2"/>
    <x v="3"/>
    <x v="2"/>
    <x v="6"/>
    <n v="25"/>
    <x v="0"/>
  </r>
  <r>
    <d v="2022-10-25T00:00:00"/>
    <x v="3"/>
    <x v="3"/>
    <x v="0"/>
    <n v="1820094464.6700001"/>
    <x v="3"/>
    <x v="3"/>
    <x v="0"/>
    <x v="6"/>
    <x v="2"/>
    <x v="2"/>
    <x v="3"/>
    <x v="2"/>
    <x v="6"/>
    <n v="25"/>
    <x v="0"/>
  </r>
  <r>
    <d v="2022-10-25T00:00:00"/>
    <x v="1"/>
    <x v="1"/>
    <x v="0"/>
    <n v="1082.5"/>
    <x v="1"/>
    <x v="1"/>
    <x v="0"/>
    <x v="1"/>
    <x v="2"/>
    <x v="2"/>
    <x v="3"/>
    <x v="2"/>
    <x v="6"/>
    <n v="25"/>
    <x v="0"/>
  </r>
  <r>
    <d v="2022-10-25T00:00:00"/>
    <x v="0"/>
    <x v="1"/>
    <x v="0"/>
    <n v="7377894.4699999997"/>
    <x v="0"/>
    <x v="1"/>
    <x v="0"/>
    <x v="2"/>
    <x v="2"/>
    <x v="2"/>
    <x v="3"/>
    <x v="2"/>
    <x v="6"/>
    <n v="25"/>
    <x v="0"/>
  </r>
  <r>
    <d v="2022-10-25T00:00:00"/>
    <x v="1"/>
    <x v="0"/>
    <x v="0"/>
    <n v="70992679.299999997"/>
    <x v="1"/>
    <x v="0"/>
    <x v="0"/>
    <x v="9"/>
    <x v="2"/>
    <x v="2"/>
    <x v="3"/>
    <x v="2"/>
    <x v="6"/>
    <n v="25"/>
    <x v="0"/>
  </r>
  <r>
    <d v="2022-10-25T00:00:00"/>
    <x v="2"/>
    <x v="1"/>
    <x v="0"/>
    <n v="78994175.469999999"/>
    <x v="2"/>
    <x v="1"/>
    <x v="0"/>
    <x v="7"/>
    <x v="2"/>
    <x v="2"/>
    <x v="3"/>
    <x v="2"/>
    <x v="6"/>
    <n v="25"/>
    <x v="0"/>
  </r>
  <r>
    <d v="2022-10-25T00:00:00"/>
    <x v="1"/>
    <x v="0"/>
    <x v="1"/>
    <n v="2714609931.6999998"/>
    <x v="1"/>
    <x v="0"/>
    <x v="1"/>
    <x v="10"/>
    <x v="2"/>
    <x v="2"/>
    <x v="3"/>
    <x v="2"/>
    <x v="6"/>
    <n v="25"/>
    <x v="0"/>
  </r>
  <r>
    <d v="2022-10-25T00:00:00"/>
    <x v="3"/>
    <x v="2"/>
    <x v="0"/>
    <n v="6731341651.8000002"/>
    <x v="3"/>
    <x v="2"/>
    <x v="0"/>
    <x v="11"/>
    <x v="2"/>
    <x v="2"/>
    <x v="3"/>
    <x v="2"/>
    <x v="6"/>
    <n v="25"/>
    <x v="0"/>
  </r>
  <r>
    <d v="2022-10-25T00:00:00"/>
    <x v="3"/>
    <x v="1"/>
    <x v="0"/>
    <n v="10422304.02"/>
    <x v="3"/>
    <x v="1"/>
    <x v="0"/>
    <x v="12"/>
    <x v="2"/>
    <x v="2"/>
    <x v="3"/>
    <x v="2"/>
    <x v="6"/>
    <n v="25"/>
    <x v="0"/>
  </r>
  <r>
    <d v="2022-10-25T00:00:00"/>
    <x v="3"/>
    <x v="2"/>
    <x v="1"/>
    <n v="3730199799.1300001"/>
    <x v="3"/>
    <x v="2"/>
    <x v="1"/>
    <x v="13"/>
    <x v="2"/>
    <x v="2"/>
    <x v="3"/>
    <x v="2"/>
    <x v="6"/>
    <n v="25"/>
    <x v="0"/>
  </r>
  <r>
    <d v="2022-10-24T00:00:00"/>
    <x v="2"/>
    <x v="1"/>
    <x v="0"/>
    <n v="71730436.25"/>
    <x v="2"/>
    <x v="1"/>
    <x v="0"/>
    <x v="5"/>
    <x v="2"/>
    <x v="2"/>
    <x v="3"/>
    <x v="2"/>
    <x v="6"/>
    <n v="24"/>
    <x v="0"/>
  </r>
  <r>
    <d v="2022-10-24T00:00:00"/>
    <x v="2"/>
    <x v="1"/>
    <x v="2"/>
    <n v="5002.33"/>
    <x v="2"/>
    <x v="1"/>
    <x v="2"/>
    <x v="2"/>
    <x v="2"/>
    <x v="2"/>
    <x v="3"/>
    <x v="2"/>
    <x v="6"/>
    <n v="24"/>
    <x v="0"/>
  </r>
  <r>
    <d v="2022-10-24T00:00:00"/>
    <x v="3"/>
    <x v="3"/>
    <x v="0"/>
    <n v="1719817502.0899999"/>
    <x v="3"/>
    <x v="3"/>
    <x v="0"/>
    <x v="6"/>
    <x v="2"/>
    <x v="2"/>
    <x v="3"/>
    <x v="2"/>
    <x v="6"/>
    <n v="24"/>
    <x v="0"/>
  </r>
  <r>
    <d v="2022-10-24T00:00:00"/>
    <x v="2"/>
    <x v="1"/>
    <x v="1"/>
    <n v="221945701.03"/>
    <x v="2"/>
    <x v="1"/>
    <x v="1"/>
    <x v="7"/>
    <x v="2"/>
    <x v="2"/>
    <x v="3"/>
    <x v="2"/>
    <x v="6"/>
    <n v="24"/>
    <x v="0"/>
  </r>
  <r>
    <d v="2022-10-24T00:00:00"/>
    <x v="0"/>
    <x v="1"/>
    <x v="1"/>
    <n v="26574543.039999999"/>
    <x v="0"/>
    <x v="1"/>
    <x v="1"/>
    <x v="3"/>
    <x v="2"/>
    <x v="2"/>
    <x v="3"/>
    <x v="2"/>
    <x v="6"/>
    <n v="24"/>
    <x v="0"/>
  </r>
  <r>
    <d v="2022-10-24T00:00:00"/>
    <x v="1"/>
    <x v="0"/>
    <x v="0"/>
    <n v="88272276.870000005"/>
    <x v="1"/>
    <x v="0"/>
    <x v="0"/>
    <x v="8"/>
    <x v="2"/>
    <x v="2"/>
    <x v="3"/>
    <x v="2"/>
    <x v="6"/>
    <n v="24"/>
    <x v="0"/>
  </r>
  <r>
    <d v="2022-10-24T00:00:00"/>
    <x v="3"/>
    <x v="2"/>
    <x v="2"/>
    <n v="374967.79"/>
    <x v="3"/>
    <x v="2"/>
    <x v="2"/>
    <x v="4"/>
    <x v="2"/>
    <x v="2"/>
    <x v="3"/>
    <x v="2"/>
    <x v="6"/>
    <n v="24"/>
    <x v="0"/>
  </r>
  <r>
    <d v="2022-10-24T00:00:00"/>
    <x v="1"/>
    <x v="1"/>
    <x v="0"/>
    <n v="338.5"/>
    <x v="1"/>
    <x v="1"/>
    <x v="0"/>
    <x v="0"/>
    <x v="2"/>
    <x v="2"/>
    <x v="3"/>
    <x v="2"/>
    <x v="6"/>
    <n v="24"/>
    <x v="0"/>
  </r>
  <r>
    <d v="2022-10-24T00:00:00"/>
    <x v="0"/>
    <x v="1"/>
    <x v="0"/>
    <n v="8393955.4900000002"/>
    <x v="0"/>
    <x v="1"/>
    <x v="0"/>
    <x v="1"/>
    <x v="2"/>
    <x v="2"/>
    <x v="3"/>
    <x v="2"/>
    <x v="6"/>
    <n v="24"/>
    <x v="0"/>
  </r>
  <r>
    <d v="2022-10-24T00:00:00"/>
    <x v="1"/>
    <x v="0"/>
    <x v="1"/>
    <n v="3275660774.1799998"/>
    <x v="1"/>
    <x v="0"/>
    <x v="1"/>
    <x v="9"/>
    <x v="2"/>
    <x v="2"/>
    <x v="3"/>
    <x v="2"/>
    <x v="6"/>
    <n v="24"/>
    <x v="0"/>
  </r>
  <r>
    <d v="2022-10-24T00:00:00"/>
    <x v="3"/>
    <x v="2"/>
    <x v="0"/>
    <n v="470070941.86000001"/>
    <x v="3"/>
    <x v="2"/>
    <x v="0"/>
    <x v="10"/>
    <x v="2"/>
    <x v="2"/>
    <x v="3"/>
    <x v="2"/>
    <x v="6"/>
    <n v="24"/>
    <x v="0"/>
  </r>
  <r>
    <d v="2022-10-24T00:00:00"/>
    <x v="3"/>
    <x v="1"/>
    <x v="0"/>
    <n v="42376699.020000003"/>
    <x v="3"/>
    <x v="1"/>
    <x v="0"/>
    <x v="11"/>
    <x v="2"/>
    <x v="2"/>
    <x v="3"/>
    <x v="2"/>
    <x v="6"/>
    <n v="24"/>
    <x v="0"/>
  </r>
  <r>
    <d v="2022-10-24T00:00:00"/>
    <x v="3"/>
    <x v="2"/>
    <x v="1"/>
    <n v="20086473871.02"/>
    <x v="3"/>
    <x v="2"/>
    <x v="1"/>
    <x v="12"/>
    <x v="2"/>
    <x v="2"/>
    <x v="3"/>
    <x v="2"/>
    <x v="6"/>
    <n v="24"/>
    <x v="0"/>
  </r>
  <r>
    <d v="2022-10-21T00:00:00"/>
    <x v="2"/>
    <x v="1"/>
    <x v="0"/>
    <n v="84582459.579999998"/>
    <x v="2"/>
    <x v="1"/>
    <x v="0"/>
    <x v="6"/>
    <x v="2"/>
    <x v="2"/>
    <x v="3"/>
    <x v="2"/>
    <x v="6"/>
    <n v="21"/>
    <x v="0"/>
  </r>
  <r>
    <d v="2022-10-21T00:00:00"/>
    <x v="3"/>
    <x v="3"/>
    <x v="0"/>
    <n v="981218205.91999996"/>
    <x v="3"/>
    <x v="3"/>
    <x v="0"/>
    <x v="7"/>
    <x v="2"/>
    <x v="2"/>
    <x v="3"/>
    <x v="2"/>
    <x v="6"/>
    <n v="21"/>
    <x v="0"/>
  </r>
  <r>
    <d v="2022-10-21T00:00:00"/>
    <x v="2"/>
    <x v="1"/>
    <x v="2"/>
    <n v="45453.04"/>
    <x v="2"/>
    <x v="1"/>
    <x v="2"/>
    <x v="4"/>
    <x v="2"/>
    <x v="2"/>
    <x v="3"/>
    <x v="2"/>
    <x v="6"/>
    <n v="21"/>
    <x v="0"/>
  </r>
  <r>
    <d v="2022-10-21T00:00:00"/>
    <x v="0"/>
    <x v="1"/>
    <x v="1"/>
    <n v="1665753.13"/>
    <x v="0"/>
    <x v="1"/>
    <x v="1"/>
    <x v="3"/>
    <x v="2"/>
    <x v="2"/>
    <x v="3"/>
    <x v="2"/>
    <x v="6"/>
    <n v="21"/>
    <x v="0"/>
  </r>
  <r>
    <d v="2022-10-21T00:00:00"/>
    <x v="3"/>
    <x v="2"/>
    <x v="2"/>
    <n v="165453.28"/>
    <x v="3"/>
    <x v="2"/>
    <x v="2"/>
    <x v="5"/>
    <x v="2"/>
    <x v="2"/>
    <x v="3"/>
    <x v="2"/>
    <x v="6"/>
    <n v="21"/>
    <x v="0"/>
  </r>
  <r>
    <d v="2022-10-21T00:00:00"/>
    <x v="1"/>
    <x v="1"/>
    <x v="0"/>
    <n v="1285"/>
    <x v="1"/>
    <x v="1"/>
    <x v="0"/>
    <x v="0"/>
    <x v="2"/>
    <x v="2"/>
    <x v="3"/>
    <x v="2"/>
    <x v="6"/>
    <n v="21"/>
    <x v="0"/>
  </r>
  <r>
    <d v="2022-10-21T00:00:00"/>
    <x v="0"/>
    <x v="1"/>
    <x v="0"/>
    <n v="17611426.98"/>
    <x v="0"/>
    <x v="1"/>
    <x v="0"/>
    <x v="1"/>
    <x v="2"/>
    <x v="2"/>
    <x v="3"/>
    <x v="2"/>
    <x v="6"/>
    <n v="21"/>
    <x v="0"/>
  </r>
  <r>
    <d v="2022-10-21T00:00:00"/>
    <x v="3"/>
    <x v="3"/>
    <x v="1"/>
    <n v="6785424.6500000004"/>
    <x v="3"/>
    <x v="3"/>
    <x v="1"/>
    <x v="2"/>
    <x v="2"/>
    <x v="2"/>
    <x v="3"/>
    <x v="2"/>
    <x v="6"/>
    <n v="21"/>
    <x v="0"/>
  </r>
  <r>
    <d v="2022-10-21T00:00:00"/>
    <x v="1"/>
    <x v="0"/>
    <x v="0"/>
    <n v="83627367.859999999"/>
    <x v="1"/>
    <x v="0"/>
    <x v="0"/>
    <x v="9"/>
    <x v="2"/>
    <x v="2"/>
    <x v="3"/>
    <x v="2"/>
    <x v="6"/>
    <n v="21"/>
    <x v="0"/>
  </r>
  <r>
    <d v="2022-10-21T00:00:00"/>
    <x v="2"/>
    <x v="1"/>
    <x v="1"/>
    <n v="344715632.08999997"/>
    <x v="2"/>
    <x v="1"/>
    <x v="1"/>
    <x v="8"/>
    <x v="2"/>
    <x v="2"/>
    <x v="3"/>
    <x v="2"/>
    <x v="6"/>
    <n v="21"/>
    <x v="0"/>
  </r>
  <r>
    <d v="2022-10-21T00:00:00"/>
    <x v="1"/>
    <x v="0"/>
    <x v="1"/>
    <n v="1571620398.01"/>
    <x v="1"/>
    <x v="0"/>
    <x v="1"/>
    <x v="10"/>
    <x v="2"/>
    <x v="2"/>
    <x v="3"/>
    <x v="2"/>
    <x v="6"/>
    <n v="21"/>
    <x v="0"/>
  </r>
  <r>
    <d v="2022-10-21T00:00:00"/>
    <x v="3"/>
    <x v="2"/>
    <x v="0"/>
    <n v="314749315.79000002"/>
    <x v="3"/>
    <x v="2"/>
    <x v="0"/>
    <x v="11"/>
    <x v="2"/>
    <x v="2"/>
    <x v="3"/>
    <x v="2"/>
    <x v="6"/>
    <n v="21"/>
    <x v="0"/>
  </r>
  <r>
    <d v="2022-10-21T00:00:00"/>
    <x v="3"/>
    <x v="1"/>
    <x v="0"/>
    <n v="13629889.970000001"/>
    <x v="3"/>
    <x v="1"/>
    <x v="0"/>
    <x v="12"/>
    <x v="2"/>
    <x v="2"/>
    <x v="3"/>
    <x v="2"/>
    <x v="6"/>
    <n v="21"/>
    <x v="0"/>
  </r>
  <r>
    <d v="2022-10-21T00:00:00"/>
    <x v="3"/>
    <x v="2"/>
    <x v="1"/>
    <n v="8127612325.8100004"/>
    <x v="3"/>
    <x v="2"/>
    <x v="1"/>
    <x v="13"/>
    <x v="2"/>
    <x v="2"/>
    <x v="3"/>
    <x v="2"/>
    <x v="6"/>
    <n v="21"/>
    <x v="0"/>
  </r>
  <r>
    <d v="2022-10-20T00:00:00"/>
    <x v="2"/>
    <x v="1"/>
    <x v="2"/>
    <n v="14250.32"/>
    <x v="2"/>
    <x v="1"/>
    <x v="2"/>
    <x v="2"/>
    <x v="2"/>
    <x v="2"/>
    <x v="3"/>
    <x v="2"/>
    <x v="6"/>
    <n v="20"/>
    <x v="0"/>
  </r>
  <r>
    <d v="2022-10-20T00:00:00"/>
    <x v="0"/>
    <x v="1"/>
    <x v="1"/>
    <n v="4436962.08"/>
    <x v="0"/>
    <x v="1"/>
    <x v="1"/>
    <x v="3"/>
    <x v="2"/>
    <x v="2"/>
    <x v="3"/>
    <x v="2"/>
    <x v="6"/>
    <n v="20"/>
    <x v="0"/>
  </r>
  <r>
    <d v="2022-10-20T00:00:00"/>
    <x v="3"/>
    <x v="2"/>
    <x v="2"/>
    <n v="41286.800000000003"/>
    <x v="3"/>
    <x v="2"/>
    <x v="2"/>
    <x v="4"/>
    <x v="2"/>
    <x v="2"/>
    <x v="3"/>
    <x v="2"/>
    <x v="6"/>
    <n v="20"/>
    <x v="0"/>
  </r>
  <r>
    <d v="2022-10-20T00:00:00"/>
    <x v="1"/>
    <x v="1"/>
    <x v="0"/>
    <n v="11390.59"/>
    <x v="1"/>
    <x v="1"/>
    <x v="0"/>
    <x v="0"/>
    <x v="2"/>
    <x v="2"/>
    <x v="3"/>
    <x v="2"/>
    <x v="6"/>
    <n v="20"/>
    <x v="0"/>
  </r>
  <r>
    <d v="2022-10-20T00:00:00"/>
    <x v="0"/>
    <x v="1"/>
    <x v="0"/>
    <n v="7456503.6100000003"/>
    <x v="0"/>
    <x v="1"/>
    <x v="0"/>
    <x v="1"/>
    <x v="2"/>
    <x v="2"/>
    <x v="3"/>
    <x v="2"/>
    <x v="6"/>
    <n v="20"/>
    <x v="0"/>
  </r>
  <r>
    <d v="2022-10-20T00:00:00"/>
    <x v="2"/>
    <x v="1"/>
    <x v="0"/>
    <n v="81953917.670000002"/>
    <x v="2"/>
    <x v="1"/>
    <x v="0"/>
    <x v="5"/>
    <x v="2"/>
    <x v="2"/>
    <x v="3"/>
    <x v="2"/>
    <x v="6"/>
    <n v="20"/>
    <x v="0"/>
  </r>
  <r>
    <d v="2022-10-20T00:00:00"/>
    <x v="2"/>
    <x v="1"/>
    <x v="1"/>
    <n v="247604865.97999999"/>
    <x v="2"/>
    <x v="1"/>
    <x v="1"/>
    <x v="6"/>
    <x v="2"/>
    <x v="2"/>
    <x v="3"/>
    <x v="2"/>
    <x v="6"/>
    <n v="20"/>
    <x v="0"/>
  </r>
  <r>
    <d v="2022-10-20T00:00:00"/>
    <x v="3"/>
    <x v="3"/>
    <x v="0"/>
    <n v="5731154302.9200001"/>
    <x v="3"/>
    <x v="3"/>
    <x v="0"/>
    <x v="7"/>
    <x v="2"/>
    <x v="2"/>
    <x v="3"/>
    <x v="2"/>
    <x v="6"/>
    <n v="20"/>
    <x v="0"/>
  </r>
  <r>
    <d v="2022-10-20T00:00:00"/>
    <x v="1"/>
    <x v="0"/>
    <x v="0"/>
    <n v="98168337.959999993"/>
    <x v="1"/>
    <x v="0"/>
    <x v="0"/>
    <x v="8"/>
    <x v="2"/>
    <x v="2"/>
    <x v="3"/>
    <x v="2"/>
    <x v="6"/>
    <n v="20"/>
    <x v="0"/>
  </r>
  <r>
    <d v="2022-10-20T00:00:00"/>
    <x v="1"/>
    <x v="0"/>
    <x v="1"/>
    <n v="2419575629.27"/>
    <x v="1"/>
    <x v="0"/>
    <x v="1"/>
    <x v="9"/>
    <x v="2"/>
    <x v="2"/>
    <x v="3"/>
    <x v="2"/>
    <x v="6"/>
    <n v="20"/>
    <x v="0"/>
  </r>
  <r>
    <d v="2022-10-20T00:00:00"/>
    <x v="3"/>
    <x v="2"/>
    <x v="0"/>
    <n v="569644443.99000001"/>
    <x v="3"/>
    <x v="2"/>
    <x v="0"/>
    <x v="10"/>
    <x v="2"/>
    <x v="2"/>
    <x v="3"/>
    <x v="2"/>
    <x v="6"/>
    <n v="20"/>
    <x v="0"/>
  </r>
  <r>
    <d v="2022-10-20T00:00:00"/>
    <x v="3"/>
    <x v="1"/>
    <x v="0"/>
    <n v="13460117.539999999"/>
    <x v="3"/>
    <x v="1"/>
    <x v="0"/>
    <x v="11"/>
    <x v="2"/>
    <x v="2"/>
    <x v="3"/>
    <x v="2"/>
    <x v="6"/>
    <n v="20"/>
    <x v="0"/>
  </r>
  <r>
    <d v="2022-10-20T00:00:00"/>
    <x v="3"/>
    <x v="2"/>
    <x v="1"/>
    <n v="3301429793.9899998"/>
    <x v="3"/>
    <x v="2"/>
    <x v="1"/>
    <x v="12"/>
    <x v="2"/>
    <x v="2"/>
    <x v="3"/>
    <x v="2"/>
    <x v="6"/>
    <n v="20"/>
    <x v="0"/>
  </r>
  <r>
    <d v="2022-10-19T00:00:00"/>
    <x v="2"/>
    <x v="1"/>
    <x v="2"/>
    <n v="79751.3"/>
    <x v="2"/>
    <x v="1"/>
    <x v="2"/>
    <x v="3"/>
    <x v="2"/>
    <x v="2"/>
    <x v="3"/>
    <x v="2"/>
    <x v="6"/>
    <n v="19"/>
    <x v="0"/>
  </r>
  <r>
    <d v="2022-10-19T00:00:00"/>
    <x v="3"/>
    <x v="3"/>
    <x v="0"/>
    <n v="1634306934.7"/>
    <x v="3"/>
    <x v="3"/>
    <x v="0"/>
    <x v="7"/>
    <x v="2"/>
    <x v="2"/>
    <x v="3"/>
    <x v="2"/>
    <x v="6"/>
    <n v="19"/>
    <x v="0"/>
  </r>
  <r>
    <d v="2022-10-19T00:00:00"/>
    <x v="2"/>
    <x v="1"/>
    <x v="1"/>
    <n v="302936773.80000001"/>
    <x v="2"/>
    <x v="1"/>
    <x v="1"/>
    <x v="8"/>
    <x v="2"/>
    <x v="2"/>
    <x v="3"/>
    <x v="2"/>
    <x v="6"/>
    <n v="19"/>
    <x v="0"/>
  </r>
  <r>
    <d v="2022-10-19T00:00:00"/>
    <x v="1"/>
    <x v="0"/>
    <x v="0"/>
    <n v="79377088.849999994"/>
    <x v="1"/>
    <x v="0"/>
    <x v="0"/>
    <x v="9"/>
    <x v="2"/>
    <x v="2"/>
    <x v="3"/>
    <x v="2"/>
    <x v="6"/>
    <n v="19"/>
    <x v="0"/>
  </r>
  <r>
    <d v="2022-10-19T00:00:00"/>
    <x v="0"/>
    <x v="1"/>
    <x v="1"/>
    <n v="753890.74"/>
    <x v="0"/>
    <x v="1"/>
    <x v="1"/>
    <x v="4"/>
    <x v="2"/>
    <x v="2"/>
    <x v="3"/>
    <x v="2"/>
    <x v="6"/>
    <n v="19"/>
    <x v="0"/>
  </r>
  <r>
    <d v="2022-10-19T00:00:00"/>
    <x v="1"/>
    <x v="0"/>
    <x v="1"/>
    <n v="3643138534.52"/>
    <x v="1"/>
    <x v="0"/>
    <x v="1"/>
    <x v="10"/>
    <x v="2"/>
    <x v="2"/>
    <x v="3"/>
    <x v="2"/>
    <x v="6"/>
    <n v="19"/>
    <x v="0"/>
  </r>
  <r>
    <d v="2022-10-19T00:00:00"/>
    <x v="0"/>
    <x v="0"/>
    <x v="0"/>
    <n v="1257.72"/>
    <x v="0"/>
    <x v="0"/>
    <x v="0"/>
    <x v="0"/>
    <x v="2"/>
    <x v="2"/>
    <x v="3"/>
    <x v="2"/>
    <x v="6"/>
    <n v="19"/>
    <x v="0"/>
  </r>
  <r>
    <d v="2022-10-19T00:00:00"/>
    <x v="3"/>
    <x v="2"/>
    <x v="2"/>
    <n v="406859.52000000002"/>
    <x v="3"/>
    <x v="2"/>
    <x v="2"/>
    <x v="5"/>
    <x v="2"/>
    <x v="2"/>
    <x v="3"/>
    <x v="2"/>
    <x v="6"/>
    <n v="19"/>
    <x v="0"/>
  </r>
  <r>
    <d v="2022-10-19T00:00:00"/>
    <x v="1"/>
    <x v="1"/>
    <x v="0"/>
    <n v="5227.74"/>
    <x v="1"/>
    <x v="1"/>
    <x v="0"/>
    <x v="1"/>
    <x v="2"/>
    <x v="2"/>
    <x v="3"/>
    <x v="2"/>
    <x v="6"/>
    <n v="19"/>
    <x v="0"/>
  </r>
  <r>
    <d v="2022-10-19T00:00:00"/>
    <x v="0"/>
    <x v="1"/>
    <x v="0"/>
    <n v="20846836.039999999"/>
    <x v="0"/>
    <x v="1"/>
    <x v="0"/>
    <x v="2"/>
    <x v="2"/>
    <x v="2"/>
    <x v="3"/>
    <x v="2"/>
    <x v="6"/>
    <n v="19"/>
    <x v="0"/>
  </r>
  <r>
    <d v="2022-10-19T00:00:00"/>
    <x v="2"/>
    <x v="1"/>
    <x v="0"/>
    <n v="87611877.980000004"/>
    <x v="2"/>
    <x v="1"/>
    <x v="0"/>
    <x v="6"/>
    <x v="2"/>
    <x v="2"/>
    <x v="3"/>
    <x v="2"/>
    <x v="6"/>
    <n v="19"/>
    <x v="0"/>
  </r>
  <r>
    <d v="2022-10-19T00:00:00"/>
    <x v="3"/>
    <x v="2"/>
    <x v="0"/>
    <n v="396135660.86000001"/>
    <x v="3"/>
    <x v="2"/>
    <x v="0"/>
    <x v="11"/>
    <x v="2"/>
    <x v="2"/>
    <x v="3"/>
    <x v="2"/>
    <x v="6"/>
    <n v="19"/>
    <x v="0"/>
  </r>
  <r>
    <d v="2022-10-19T00:00:00"/>
    <x v="3"/>
    <x v="1"/>
    <x v="0"/>
    <n v="14179516.85"/>
    <x v="3"/>
    <x v="1"/>
    <x v="0"/>
    <x v="12"/>
    <x v="2"/>
    <x v="2"/>
    <x v="3"/>
    <x v="2"/>
    <x v="6"/>
    <n v="19"/>
    <x v="0"/>
  </r>
  <r>
    <d v="2022-10-19T00:00:00"/>
    <x v="3"/>
    <x v="2"/>
    <x v="1"/>
    <n v="15778192260.18"/>
    <x v="3"/>
    <x v="2"/>
    <x v="1"/>
    <x v="13"/>
    <x v="2"/>
    <x v="2"/>
    <x v="3"/>
    <x v="2"/>
    <x v="6"/>
    <n v="19"/>
    <x v="0"/>
  </r>
  <r>
    <d v="2022-10-18T00:00:00"/>
    <x v="2"/>
    <x v="1"/>
    <x v="2"/>
    <n v="502959.82"/>
    <x v="2"/>
    <x v="1"/>
    <x v="2"/>
    <x v="2"/>
    <x v="2"/>
    <x v="2"/>
    <x v="3"/>
    <x v="2"/>
    <x v="6"/>
    <n v="18"/>
    <x v="0"/>
  </r>
  <r>
    <d v="2022-10-18T00:00:00"/>
    <x v="2"/>
    <x v="1"/>
    <x v="0"/>
    <n v="69941963.540000007"/>
    <x v="2"/>
    <x v="1"/>
    <x v="0"/>
    <x v="6"/>
    <x v="2"/>
    <x v="2"/>
    <x v="3"/>
    <x v="2"/>
    <x v="6"/>
    <n v="18"/>
    <x v="0"/>
  </r>
  <r>
    <d v="2022-10-18T00:00:00"/>
    <x v="2"/>
    <x v="1"/>
    <x v="1"/>
    <n v="186083049.94"/>
    <x v="2"/>
    <x v="1"/>
    <x v="1"/>
    <x v="7"/>
    <x v="2"/>
    <x v="2"/>
    <x v="3"/>
    <x v="2"/>
    <x v="6"/>
    <n v="18"/>
    <x v="0"/>
  </r>
  <r>
    <d v="2022-10-18T00:00:00"/>
    <x v="1"/>
    <x v="0"/>
    <x v="1"/>
    <n v="784476294.14999998"/>
    <x v="1"/>
    <x v="0"/>
    <x v="1"/>
    <x v="8"/>
    <x v="2"/>
    <x v="2"/>
    <x v="3"/>
    <x v="2"/>
    <x v="6"/>
    <n v="18"/>
    <x v="0"/>
  </r>
  <r>
    <d v="2022-10-18T00:00:00"/>
    <x v="0"/>
    <x v="1"/>
    <x v="1"/>
    <n v="1574558.43"/>
    <x v="0"/>
    <x v="1"/>
    <x v="1"/>
    <x v="3"/>
    <x v="2"/>
    <x v="2"/>
    <x v="3"/>
    <x v="2"/>
    <x v="6"/>
    <n v="18"/>
    <x v="0"/>
  </r>
  <r>
    <d v="2022-10-18T00:00:00"/>
    <x v="1"/>
    <x v="0"/>
    <x v="0"/>
    <n v="93840581.719999999"/>
    <x v="1"/>
    <x v="0"/>
    <x v="0"/>
    <x v="9"/>
    <x v="2"/>
    <x v="2"/>
    <x v="3"/>
    <x v="2"/>
    <x v="6"/>
    <n v="18"/>
    <x v="0"/>
  </r>
  <r>
    <d v="2022-10-18T00:00:00"/>
    <x v="1"/>
    <x v="1"/>
    <x v="0"/>
    <n v="364.5"/>
    <x v="1"/>
    <x v="1"/>
    <x v="0"/>
    <x v="0"/>
    <x v="2"/>
    <x v="2"/>
    <x v="3"/>
    <x v="2"/>
    <x v="6"/>
    <n v="18"/>
    <x v="0"/>
  </r>
  <r>
    <d v="2022-10-18T00:00:00"/>
    <x v="0"/>
    <x v="1"/>
    <x v="0"/>
    <n v="8383006.2999999998"/>
    <x v="0"/>
    <x v="1"/>
    <x v="0"/>
    <x v="1"/>
    <x v="2"/>
    <x v="2"/>
    <x v="3"/>
    <x v="2"/>
    <x v="6"/>
    <n v="18"/>
    <x v="0"/>
  </r>
  <r>
    <d v="2022-10-18T00:00:00"/>
    <x v="3"/>
    <x v="2"/>
    <x v="2"/>
    <n v="387639.25"/>
    <x v="3"/>
    <x v="2"/>
    <x v="2"/>
    <x v="4"/>
    <x v="2"/>
    <x v="2"/>
    <x v="3"/>
    <x v="2"/>
    <x v="6"/>
    <n v="18"/>
    <x v="0"/>
  </r>
  <r>
    <d v="2022-10-18T00:00:00"/>
    <x v="3"/>
    <x v="3"/>
    <x v="0"/>
    <n v="963901546.01999998"/>
    <x v="3"/>
    <x v="3"/>
    <x v="0"/>
    <x v="5"/>
    <x v="2"/>
    <x v="2"/>
    <x v="3"/>
    <x v="2"/>
    <x v="6"/>
    <n v="18"/>
    <x v="0"/>
  </r>
  <r>
    <d v="2022-10-18T00:00:00"/>
    <x v="3"/>
    <x v="2"/>
    <x v="0"/>
    <n v="841170250.47000003"/>
    <x v="3"/>
    <x v="2"/>
    <x v="0"/>
    <x v="10"/>
    <x v="2"/>
    <x v="2"/>
    <x v="3"/>
    <x v="2"/>
    <x v="6"/>
    <n v="18"/>
    <x v="0"/>
  </r>
  <r>
    <d v="2022-10-18T00:00:00"/>
    <x v="3"/>
    <x v="1"/>
    <x v="0"/>
    <n v="11793040.960000001"/>
    <x v="3"/>
    <x v="1"/>
    <x v="0"/>
    <x v="11"/>
    <x v="2"/>
    <x v="2"/>
    <x v="3"/>
    <x v="2"/>
    <x v="6"/>
    <n v="18"/>
    <x v="0"/>
  </r>
  <r>
    <d v="2022-10-18T00:00:00"/>
    <x v="3"/>
    <x v="2"/>
    <x v="1"/>
    <n v="8629474103.7900009"/>
    <x v="3"/>
    <x v="2"/>
    <x v="1"/>
    <x v="12"/>
    <x v="2"/>
    <x v="2"/>
    <x v="3"/>
    <x v="2"/>
    <x v="6"/>
    <n v="18"/>
    <x v="0"/>
  </r>
  <r>
    <d v="2022-10-17T00:00:00"/>
    <x v="3"/>
    <x v="2"/>
    <x v="2"/>
    <n v="584354.99"/>
    <x v="3"/>
    <x v="2"/>
    <x v="2"/>
    <x v="4"/>
    <x v="2"/>
    <x v="2"/>
    <x v="3"/>
    <x v="2"/>
    <x v="6"/>
    <n v="17"/>
    <x v="0"/>
  </r>
  <r>
    <d v="2022-10-17T00:00:00"/>
    <x v="2"/>
    <x v="1"/>
    <x v="0"/>
    <n v="90074002.099999994"/>
    <x v="2"/>
    <x v="1"/>
    <x v="0"/>
    <x v="6"/>
    <x v="2"/>
    <x v="2"/>
    <x v="3"/>
    <x v="2"/>
    <x v="6"/>
    <n v="17"/>
    <x v="0"/>
  </r>
  <r>
    <d v="2022-10-17T00:00:00"/>
    <x v="2"/>
    <x v="1"/>
    <x v="1"/>
    <n v="293425086.93000001"/>
    <x v="2"/>
    <x v="1"/>
    <x v="1"/>
    <x v="7"/>
    <x v="2"/>
    <x v="2"/>
    <x v="3"/>
    <x v="2"/>
    <x v="6"/>
    <n v="17"/>
    <x v="0"/>
  </r>
  <r>
    <d v="2022-10-17T00:00:00"/>
    <x v="0"/>
    <x v="1"/>
    <x v="1"/>
    <n v="3182502.08"/>
    <x v="0"/>
    <x v="1"/>
    <x v="1"/>
    <x v="3"/>
    <x v="2"/>
    <x v="2"/>
    <x v="3"/>
    <x v="2"/>
    <x v="6"/>
    <n v="17"/>
    <x v="0"/>
  </r>
  <r>
    <d v="2022-10-17T00:00:00"/>
    <x v="1"/>
    <x v="0"/>
    <x v="0"/>
    <n v="88779458.620000005"/>
    <x v="1"/>
    <x v="0"/>
    <x v="0"/>
    <x v="8"/>
    <x v="2"/>
    <x v="2"/>
    <x v="3"/>
    <x v="2"/>
    <x v="6"/>
    <n v="17"/>
    <x v="0"/>
  </r>
  <r>
    <d v="2022-10-17T00:00:00"/>
    <x v="1"/>
    <x v="1"/>
    <x v="0"/>
    <n v="593.5"/>
    <x v="1"/>
    <x v="1"/>
    <x v="0"/>
    <x v="0"/>
    <x v="2"/>
    <x v="2"/>
    <x v="3"/>
    <x v="2"/>
    <x v="6"/>
    <n v="17"/>
    <x v="0"/>
  </r>
  <r>
    <d v="2022-10-17T00:00:00"/>
    <x v="1"/>
    <x v="0"/>
    <x v="1"/>
    <n v="282644849.67000002"/>
    <x v="1"/>
    <x v="0"/>
    <x v="1"/>
    <x v="9"/>
    <x v="2"/>
    <x v="2"/>
    <x v="3"/>
    <x v="2"/>
    <x v="6"/>
    <n v="17"/>
    <x v="0"/>
  </r>
  <r>
    <d v="2022-10-17T00:00:00"/>
    <x v="0"/>
    <x v="1"/>
    <x v="0"/>
    <n v="11038467.93"/>
    <x v="0"/>
    <x v="1"/>
    <x v="0"/>
    <x v="1"/>
    <x v="2"/>
    <x v="2"/>
    <x v="3"/>
    <x v="2"/>
    <x v="6"/>
    <n v="17"/>
    <x v="0"/>
  </r>
  <r>
    <d v="2022-10-17T00:00:00"/>
    <x v="2"/>
    <x v="1"/>
    <x v="2"/>
    <n v="4330"/>
    <x v="2"/>
    <x v="1"/>
    <x v="2"/>
    <x v="2"/>
    <x v="2"/>
    <x v="2"/>
    <x v="3"/>
    <x v="2"/>
    <x v="6"/>
    <n v="17"/>
    <x v="0"/>
  </r>
  <r>
    <d v="2022-10-17T00:00:00"/>
    <x v="3"/>
    <x v="3"/>
    <x v="0"/>
    <n v="2123026650.3900001"/>
    <x v="3"/>
    <x v="3"/>
    <x v="0"/>
    <x v="5"/>
    <x v="2"/>
    <x v="2"/>
    <x v="3"/>
    <x v="2"/>
    <x v="6"/>
    <n v="17"/>
    <x v="0"/>
  </r>
  <r>
    <d v="2022-10-17T00:00:00"/>
    <x v="3"/>
    <x v="2"/>
    <x v="0"/>
    <n v="490972350.75"/>
    <x v="3"/>
    <x v="2"/>
    <x v="0"/>
    <x v="10"/>
    <x v="2"/>
    <x v="2"/>
    <x v="3"/>
    <x v="2"/>
    <x v="6"/>
    <n v="17"/>
    <x v="0"/>
  </r>
  <r>
    <d v="2022-10-17T00:00:00"/>
    <x v="3"/>
    <x v="1"/>
    <x v="0"/>
    <n v="47467146.850000001"/>
    <x v="3"/>
    <x v="1"/>
    <x v="0"/>
    <x v="11"/>
    <x v="2"/>
    <x v="2"/>
    <x v="3"/>
    <x v="2"/>
    <x v="6"/>
    <n v="17"/>
    <x v="0"/>
  </r>
  <r>
    <d v="2022-10-17T00:00:00"/>
    <x v="3"/>
    <x v="2"/>
    <x v="1"/>
    <n v="47827453647.150002"/>
    <x v="3"/>
    <x v="2"/>
    <x v="1"/>
    <x v="12"/>
    <x v="2"/>
    <x v="2"/>
    <x v="3"/>
    <x v="2"/>
    <x v="6"/>
    <n v="17"/>
    <x v="0"/>
  </r>
  <r>
    <d v="2022-10-14T00:00:00"/>
    <x v="2"/>
    <x v="1"/>
    <x v="2"/>
    <n v="1345"/>
    <x v="2"/>
    <x v="1"/>
    <x v="2"/>
    <x v="2"/>
    <x v="2"/>
    <x v="2"/>
    <x v="3"/>
    <x v="2"/>
    <x v="6"/>
    <n v="14"/>
    <x v="0"/>
  </r>
  <r>
    <d v="2022-10-14T00:00:00"/>
    <x v="3"/>
    <x v="2"/>
    <x v="2"/>
    <n v="640412.38"/>
    <x v="3"/>
    <x v="2"/>
    <x v="2"/>
    <x v="3"/>
    <x v="2"/>
    <x v="2"/>
    <x v="3"/>
    <x v="2"/>
    <x v="6"/>
    <n v="14"/>
    <x v="0"/>
  </r>
  <r>
    <d v="2022-10-14T00:00:00"/>
    <x v="3"/>
    <x v="3"/>
    <x v="0"/>
    <n v="2387970935.8800001"/>
    <x v="3"/>
    <x v="3"/>
    <x v="0"/>
    <x v="5"/>
    <x v="2"/>
    <x v="2"/>
    <x v="3"/>
    <x v="2"/>
    <x v="6"/>
    <n v="14"/>
    <x v="0"/>
  </r>
  <r>
    <d v="2022-10-14T00:00:00"/>
    <x v="2"/>
    <x v="1"/>
    <x v="0"/>
    <n v="94767033.400000006"/>
    <x v="2"/>
    <x v="1"/>
    <x v="0"/>
    <x v="6"/>
    <x v="2"/>
    <x v="2"/>
    <x v="3"/>
    <x v="2"/>
    <x v="6"/>
    <n v="14"/>
    <x v="0"/>
  </r>
  <r>
    <d v="2022-10-14T00:00:00"/>
    <x v="2"/>
    <x v="1"/>
    <x v="1"/>
    <n v="294388953.02999997"/>
    <x v="2"/>
    <x v="1"/>
    <x v="1"/>
    <x v="7"/>
    <x v="2"/>
    <x v="2"/>
    <x v="3"/>
    <x v="2"/>
    <x v="6"/>
    <n v="14"/>
    <x v="0"/>
  </r>
  <r>
    <d v="2022-10-14T00:00:00"/>
    <x v="1"/>
    <x v="1"/>
    <x v="0"/>
    <n v="1367.5"/>
    <x v="1"/>
    <x v="1"/>
    <x v="0"/>
    <x v="0"/>
    <x v="2"/>
    <x v="2"/>
    <x v="3"/>
    <x v="2"/>
    <x v="6"/>
    <n v="14"/>
    <x v="0"/>
  </r>
  <r>
    <d v="2022-10-14T00:00:00"/>
    <x v="0"/>
    <x v="1"/>
    <x v="1"/>
    <n v="338145.31"/>
    <x v="0"/>
    <x v="1"/>
    <x v="1"/>
    <x v="4"/>
    <x v="2"/>
    <x v="2"/>
    <x v="3"/>
    <x v="2"/>
    <x v="6"/>
    <n v="14"/>
    <x v="0"/>
  </r>
  <r>
    <d v="2022-10-14T00:00:00"/>
    <x v="1"/>
    <x v="0"/>
    <x v="0"/>
    <n v="63665365.020000003"/>
    <x v="1"/>
    <x v="0"/>
    <x v="0"/>
    <x v="8"/>
    <x v="2"/>
    <x v="2"/>
    <x v="3"/>
    <x v="2"/>
    <x v="6"/>
    <n v="14"/>
    <x v="0"/>
  </r>
  <r>
    <d v="2022-10-14T00:00:00"/>
    <x v="0"/>
    <x v="1"/>
    <x v="0"/>
    <n v="13957590.210000001"/>
    <x v="0"/>
    <x v="1"/>
    <x v="0"/>
    <x v="1"/>
    <x v="2"/>
    <x v="2"/>
    <x v="3"/>
    <x v="2"/>
    <x v="6"/>
    <n v="14"/>
    <x v="0"/>
  </r>
  <r>
    <d v="2022-10-14T00:00:00"/>
    <x v="1"/>
    <x v="0"/>
    <x v="1"/>
    <n v="175596555.71000001"/>
    <x v="1"/>
    <x v="0"/>
    <x v="1"/>
    <x v="9"/>
    <x v="2"/>
    <x v="2"/>
    <x v="3"/>
    <x v="2"/>
    <x v="6"/>
    <n v="14"/>
    <x v="0"/>
  </r>
  <r>
    <d v="2022-10-14T00:00:00"/>
    <x v="3"/>
    <x v="2"/>
    <x v="0"/>
    <n v="533401591.45999998"/>
    <x v="3"/>
    <x v="2"/>
    <x v="0"/>
    <x v="10"/>
    <x v="2"/>
    <x v="2"/>
    <x v="3"/>
    <x v="2"/>
    <x v="6"/>
    <n v="14"/>
    <x v="0"/>
  </r>
  <r>
    <d v="2022-10-14T00:00:00"/>
    <x v="3"/>
    <x v="1"/>
    <x v="0"/>
    <n v="15027044.220000001"/>
    <x v="3"/>
    <x v="1"/>
    <x v="0"/>
    <x v="11"/>
    <x v="2"/>
    <x v="2"/>
    <x v="3"/>
    <x v="2"/>
    <x v="6"/>
    <n v="14"/>
    <x v="0"/>
  </r>
  <r>
    <d v="2022-10-14T00:00:00"/>
    <x v="3"/>
    <x v="2"/>
    <x v="1"/>
    <n v="15388679736.92"/>
    <x v="3"/>
    <x v="2"/>
    <x v="1"/>
    <x v="12"/>
    <x v="2"/>
    <x v="2"/>
    <x v="3"/>
    <x v="2"/>
    <x v="6"/>
    <n v="14"/>
    <x v="0"/>
  </r>
  <r>
    <d v="2022-10-13T00:00:00"/>
    <x v="2"/>
    <x v="1"/>
    <x v="2"/>
    <n v="40985.9"/>
    <x v="2"/>
    <x v="1"/>
    <x v="2"/>
    <x v="2"/>
    <x v="2"/>
    <x v="2"/>
    <x v="3"/>
    <x v="2"/>
    <x v="6"/>
    <n v="13"/>
    <x v="0"/>
  </r>
  <r>
    <d v="2022-10-13T00:00:00"/>
    <x v="2"/>
    <x v="1"/>
    <x v="0"/>
    <n v="92475963.450000003"/>
    <x v="2"/>
    <x v="1"/>
    <x v="0"/>
    <x v="6"/>
    <x v="2"/>
    <x v="2"/>
    <x v="3"/>
    <x v="2"/>
    <x v="6"/>
    <n v="13"/>
    <x v="0"/>
  </r>
  <r>
    <d v="2022-10-13T00:00:00"/>
    <x v="3"/>
    <x v="3"/>
    <x v="0"/>
    <n v="1569406503.3800001"/>
    <x v="3"/>
    <x v="3"/>
    <x v="0"/>
    <x v="7"/>
    <x v="2"/>
    <x v="2"/>
    <x v="3"/>
    <x v="2"/>
    <x v="6"/>
    <n v="13"/>
    <x v="0"/>
  </r>
  <r>
    <d v="2022-10-13T00:00:00"/>
    <x v="2"/>
    <x v="1"/>
    <x v="1"/>
    <n v="281785017.14999998"/>
    <x v="2"/>
    <x v="1"/>
    <x v="1"/>
    <x v="8"/>
    <x v="2"/>
    <x v="2"/>
    <x v="3"/>
    <x v="2"/>
    <x v="6"/>
    <n v="13"/>
    <x v="0"/>
  </r>
  <r>
    <d v="2022-10-13T00:00:00"/>
    <x v="1"/>
    <x v="1"/>
    <x v="0"/>
    <n v="1040"/>
    <x v="1"/>
    <x v="1"/>
    <x v="0"/>
    <x v="0"/>
    <x v="2"/>
    <x v="2"/>
    <x v="3"/>
    <x v="2"/>
    <x v="6"/>
    <n v="13"/>
    <x v="0"/>
  </r>
  <r>
    <d v="2022-10-13T00:00:00"/>
    <x v="1"/>
    <x v="0"/>
    <x v="0"/>
    <n v="87883921.200000003"/>
    <x v="1"/>
    <x v="0"/>
    <x v="0"/>
    <x v="9"/>
    <x v="2"/>
    <x v="2"/>
    <x v="3"/>
    <x v="2"/>
    <x v="6"/>
    <n v="13"/>
    <x v="0"/>
  </r>
  <r>
    <d v="2022-10-13T00:00:00"/>
    <x v="0"/>
    <x v="1"/>
    <x v="0"/>
    <n v="20638287.699999999"/>
    <x v="0"/>
    <x v="1"/>
    <x v="0"/>
    <x v="1"/>
    <x v="2"/>
    <x v="2"/>
    <x v="3"/>
    <x v="2"/>
    <x v="6"/>
    <n v="13"/>
    <x v="0"/>
  </r>
  <r>
    <d v="2022-10-13T00:00:00"/>
    <x v="0"/>
    <x v="1"/>
    <x v="1"/>
    <n v="6056637.1100000003"/>
    <x v="0"/>
    <x v="1"/>
    <x v="1"/>
    <x v="4"/>
    <x v="2"/>
    <x v="2"/>
    <x v="3"/>
    <x v="2"/>
    <x v="6"/>
    <n v="13"/>
    <x v="0"/>
  </r>
  <r>
    <d v="2022-10-13T00:00:00"/>
    <x v="1"/>
    <x v="0"/>
    <x v="1"/>
    <n v="1075725717.03"/>
    <x v="1"/>
    <x v="0"/>
    <x v="1"/>
    <x v="10"/>
    <x v="2"/>
    <x v="2"/>
    <x v="3"/>
    <x v="2"/>
    <x v="6"/>
    <n v="13"/>
    <x v="0"/>
  </r>
  <r>
    <d v="2022-10-13T00:00:00"/>
    <x v="3"/>
    <x v="2"/>
    <x v="2"/>
    <n v="381923"/>
    <x v="3"/>
    <x v="2"/>
    <x v="2"/>
    <x v="5"/>
    <x v="2"/>
    <x v="2"/>
    <x v="3"/>
    <x v="2"/>
    <x v="6"/>
    <n v="13"/>
    <x v="0"/>
  </r>
  <r>
    <d v="2022-10-13T00:00:00"/>
    <x v="3"/>
    <x v="3"/>
    <x v="1"/>
    <n v="1859.91"/>
    <x v="3"/>
    <x v="3"/>
    <x v="1"/>
    <x v="3"/>
    <x v="2"/>
    <x v="2"/>
    <x v="3"/>
    <x v="2"/>
    <x v="6"/>
    <n v="13"/>
    <x v="0"/>
  </r>
  <r>
    <d v="2022-10-13T00:00:00"/>
    <x v="3"/>
    <x v="2"/>
    <x v="0"/>
    <n v="375546279.05000001"/>
    <x v="3"/>
    <x v="2"/>
    <x v="0"/>
    <x v="11"/>
    <x v="2"/>
    <x v="2"/>
    <x v="3"/>
    <x v="2"/>
    <x v="6"/>
    <n v="13"/>
    <x v="0"/>
  </r>
  <r>
    <d v="2022-10-13T00:00:00"/>
    <x v="3"/>
    <x v="1"/>
    <x v="0"/>
    <n v="13961341.43"/>
    <x v="3"/>
    <x v="1"/>
    <x v="0"/>
    <x v="12"/>
    <x v="2"/>
    <x v="2"/>
    <x v="3"/>
    <x v="2"/>
    <x v="6"/>
    <n v="13"/>
    <x v="0"/>
  </r>
  <r>
    <d v="2022-10-13T00:00:00"/>
    <x v="3"/>
    <x v="2"/>
    <x v="1"/>
    <n v="11338363157.950001"/>
    <x v="3"/>
    <x v="2"/>
    <x v="1"/>
    <x v="13"/>
    <x v="2"/>
    <x v="2"/>
    <x v="3"/>
    <x v="2"/>
    <x v="6"/>
    <n v="13"/>
    <x v="0"/>
  </r>
  <r>
    <d v="2022-10-12T00:00:00"/>
    <x v="2"/>
    <x v="1"/>
    <x v="2"/>
    <n v="77662.92"/>
    <x v="2"/>
    <x v="1"/>
    <x v="2"/>
    <x v="2"/>
    <x v="2"/>
    <x v="2"/>
    <x v="3"/>
    <x v="2"/>
    <x v="6"/>
    <n v="12"/>
    <x v="0"/>
  </r>
  <r>
    <d v="2022-10-12T00:00:00"/>
    <x v="0"/>
    <x v="0"/>
    <x v="0"/>
    <n v="5"/>
    <x v="0"/>
    <x v="0"/>
    <x v="0"/>
    <x v="0"/>
    <x v="2"/>
    <x v="2"/>
    <x v="3"/>
    <x v="2"/>
    <x v="6"/>
    <n v="12"/>
    <x v="0"/>
  </r>
  <r>
    <d v="2022-10-12T00:00:00"/>
    <x v="3"/>
    <x v="3"/>
    <x v="0"/>
    <n v="2087580784.0899999"/>
    <x v="3"/>
    <x v="3"/>
    <x v="0"/>
    <x v="7"/>
    <x v="2"/>
    <x v="2"/>
    <x v="3"/>
    <x v="2"/>
    <x v="6"/>
    <n v="12"/>
    <x v="0"/>
  </r>
  <r>
    <d v="2022-10-12T00:00:00"/>
    <x v="0"/>
    <x v="1"/>
    <x v="0"/>
    <n v="18541359.039999999"/>
    <x v="0"/>
    <x v="1"/>
    <x v="0"/>
    <x v="1"/>
    <x v="2"/>
    <x v="2"/>
    <x v="3"/>
    <x v="2"/>
    <x v="6"/>
    <n v="12"/>
    <x v="0"/>
  </r>
  <r>
    <d v="2022-10-12T00:00:00"/>
    <x v="3"/>
    <x v="3"/>
    <x v="1"/>
    <n v="164334.59"/>
    <x v="3"/>
    <x v="3"/>
    <x v="1"/>
    <x v="3"/>
    <x v="2"/>
    <x v="2"/>
    <x v="3"/>
    <x v="2"/>
    <x v="6"/>
    <n v="12"/>
    <x v="0"/>
  </r>
  <r>
    <d v="2022-10-12T00:00:00"/>
    <x v="0"/>
    <x v="1"/>
    <x v="1"/>
    <n v="18636491.550000001"/>
    <x v="0"/>
    <x v="1"/>
    <x v="1"/>
    <x v="4"/>
    <x v="2"/>
    <x v="2"/>
    <x v="3"/>
    <x v="2"/>
    <x v="6"/>
    <n v="12"/>
    <x v="0"/>
  </r>
  <r>
    <d v="2022-10-12T00:00:00"/>
    <x v="3"/>
    <x v="2"/>
    <x v="2"/>
    <n v="144555.04999999999"/>
    <x v="3"/>
    <x v="2"/>
    <x v="2"/>
    <x v="5"/>
    <x v="2"/>
    <x v="2"/>
    <x v="3"/>
    <x v="2"/>
    <x v="6"/>
    <n v="12"/>
    <x v="0"/>
  </r>
  <r>
    <d v="2022-10-12T00:00:00"/>
    <x v="2"/>
    <x v="1"/>
    <x v="0"/>
    <n v="77011757.060000002"/>
    <x v="2"/>
    <x v="1"/>
    <x v="0"/>
    <x v="6"/>
    <x v="2"/>
    <x v="2"/>
    <x v="3"/>
    <x v="2"/>
    <x v="6"/>
    <n v="12"/>
    <x v="0"/>
  </r>
  <r>
    <d v="2022-10-12T00:00:00"/>
    <x v="1"/>
    <x v="0"/>
    <x v="0"/>
    <n v="75385897.170000002"/>
    <x v="1"/>
    <x v="0"/>
    <x v="0"/>
    <x v="10"/>
    <x v="2"/>
    <x v="2"/>
    <x v="3"/>
    <x v="2"/>
    <x v="6"/>
    <n v="12"/>
    <x v="0"/>
  </r>
  <r>
    <d v="2022-10-12T00:00:00"/>
    <x v="2"/>
    <x v="1"/>
    <x v="1"/>
    <n v="183702272.09"/>
    <x v="2"/>
    <x v="1"/>
    <x v="1"/>
    <x v="8"/>
    <x v="2"/>
    <x v="2"/>
    <x v="3"/>
    <x v="2"/>
    <x v="6"/>
    <n v="12"/>
    <x v="0"/>
  </r>
  <r>
    <d v="2022-10-12T00:00:00"/>
    <x v="1"/>
    <x v="0"/>
    <x v="1"/>
    <n v="1357445386.9100001"/>
    <x v="1"/>
    <x v="0"/>
    <x v="1"/>
    <x v="9"/>
    <x v="2"/>
    <x v="2"/>
    <x v="3"/>
    <x v="2"/>
    <x v="6"/>
    <n v="12"/>
    <x v="0"/>
  </r>
  <r>
    <d v="2022-10-12T00:00:00"/>
    <x v="3"/>
    <x v="2"/>
    <x v="0"/>
    <n v="551684279.22000003"/>
    <x v="3"/>
    <x v="2"/>
    <x v="0"/>
    <x v="11"/>
    <x v="2"/>
    <x v="2"/>
    <x v="3"/>
    <x v="2"/>
    <x v="6"/>
    <n v="12"/>
    <x v="0"/>
  </r>
  <r>
    <d v="2022-10-12T00:00:00"/>
    <x v="3"/>
    <x v="1"/>
    <x v="0"/>
    <n v="14657968.02"/>
    <x v="3"/>
    <x v="1"/>
    <x v="0"/>
    <x v="12"/>
    <x v="2"/>
    <x v="2"/>
    <x v="3"/>
    <x v="2"/>
    <x v="6"/>
    <n v="12"/>
    <x v="0"/>
  </r>
  <r>
    <d v="2022-10-12T00:00:00"/>
    <x v="3"/>
    <x v="2"/>
    <x v="1"/>
    <n v="6127640948.7299995"/>
    <x v="3"/>
    <x v="2"/>
    <x v="1"/>
    <x v="13"/>
    <x v="2"/>
    <x v="2"/>
    <x v="3"/>
    <x v="2"/>
    <x v="6"/>
    <n v="12"/>
    <x v="0"/>
  </r>
  <r>
    <d v="2022-10-11T00:00:00"/>
    <x v="2"/>
    <x v="1"/>
    <x v="2"/>
    <n v="56195.51"/>
    <x v="2"/>
    <x v="1"/>
    <x v="2"/>
    <x v="1"/>
    <x v="2"/>
    <x v="2"/>
    <x v="3"/>
    <x v="2"/>
    <x v="6"/>
    <n v="11"/>
    <x v="0"/>
  </r>
  <r>
    <d v="2022-10-11T00:00:00"/>
    <x v="0"/>
    <x v="1"/>
    <x v="0"/>
    <n v="13961735.67"/>
    <x v="0"/>
    <x v="1"/>
    <x v="0"/>
    <x v="0"/>
    <x v="2"/>
    <x v="2"/>
    <x v="3"/>
    <x v="2"/>
    <x v="6"/>
    <n v="11"/>
    <x v="0"/>
  </r>
  <r>
    <d v="2022-10-11T00:00:00"/>
    <x v="1"/>
    <x v="0"/>
    <x v="0"/>
    <n v="57683238.100000001"/>
    <x v="1"/>
    <x v="0"/>
    <x v="0"/>
    <x v="8"/>
    <x v="2"/>
    <x v="2"/>
    <x v="3"/>
    <x v="2"/>
    <x v="6"/>
    <n v="11"/>
    <x v="0"/>
  </r>
  <r>
    <d v="2022-10-11T00:00:00"/>
    <x v="1"/>
    <x v="0"/>
    <x v="1"/>
    <n v="391645679.10000002"/>
    <x v="1"/>
    <x v="0"/>
    <x v="1"/>
    <x v="9"/>
    <x v="2"/>
    <x v="2"/>
    <x v="3"/>
    <x v="2"/>
    <x v="6"/>
    <n v="11"/>
    <x v="0"/>
  </r>
  <r>
    <d v="2022-10-11T00:00:00"/>
    <x v="3"/>
    <x v="3"/>
    <x v="1"/>
    <n v="33798010.920000002"/>
    <x v="3"/>
    <x v="3"/>
    <x v="1"/>
    <x v="2"/>
    <x v="2"/>
    <x v="2"/>
    <x v="3"/>
    <x v="2"/>
    <x v="6"/>
    <n v="11"/>
    <x v="0"/>
  </r>
  <r>
    <d v="2022-10-11T00:00:00"/>
    <x v="0"/>
    <x v="1"/>
    <x v="1"/>
    <n v="1148542.96"/>
    <x v="0"/>
    <x v="1"/>
    <x v="1"/>
    <x v="3"/>
    <x v="2"/>
    <x v="2"/>
    <x v="3"/>
    <x v="2"/>
    <x v="6"/>
    <n v="11"/>
    <x v="0"/>
  </r>
  <r>
    <d v="2022-10-11T00:00:00"/>
    <x v="3"/>
    <x v="2"/>
    <x v="2"/>
    <n v="244036.11"/>
    <x v="3"/>
    <x v="2"/>
    <x v="2"/>
    <x v="4"/>
    <x v="2"/>
    <x v="2"/>
    <x v="3"/>
    <x v="2"/>
    <x v="6"/>
    <n v="11"/>
    <x v="0"/>
  </r>
  <r>
    <d v="2022-10-11T00:00:00"/>
    <x v="2"/>
    <x v="1"/>
    <x v="0"/>
    <n v="63594910.600000001"/>
    <x v="2"/>
    <x v="1"/>
    <x v="0"/>
    <x v="5"/>
    <x v="2"/>
    <x v="2"/>
    <x v="3"/>
    <x v="2"/>
    <x v="6"/>
    <n v="11"/>
    <x v="0"/>
  </r>
  <r>
    <d v="2022-10-11T00:00:00"/>
    <x v="3"/>
    <x v="3"/>
    <x v="0"/>
    <n v="2710648160.6199999"/>
    <x v="3"/>
    <x v="3"/>
    <x v="0"/>
    <x v="6"/>
    <x v="2"/>
    <x v="2"/>
    <x v="3"/>
    <x v="2"/>
    <x v="6"/>
    <n v="11"/>
    <x v="0"/>
  </r>
  <r>
    <d v="2022-10-11T00:00:00"/>
    <x v="2"/>
    <x v="1"/>
    <x v="1"/>
    <n v="261193632.41"/>
    <x v="2"/>
    <x v="1"/>
    <x v="1"/>
    <x v="7"/>
    <x v="2"/>
    <x v="2"/>
    <x v="3"/>
    <x v="2"/>
    <x v="6"/>
    <n v="11"/>
    <x v="0"/>
  </r>
  <r>
    <d v="2022-10-11T00:00:00"/>
    <x v="3"/>
    <x v="2"/>
    <x v="0"/>
    <n v="555939104.28999996"/>
    <x v="3"/>
    <x v="2"/>
    <x v="0"/>
    <x v="10"/>
    <x v="2"/>
    <x v="2"/>
    <x v="3"/>
    <x v="2"/>
    <x v="6"/>
    <n v="11"/>
    <x v="0"/>
  </r>
  <r>
    <d v="2022-10-11T00:00:00"/>
    <x v="3"/>
    <x v="2"/>
    <x v="1"/>
    <n v="21534490917.700001"/>
    <x v="3"/>
    <x v="2"/>
    <x v="1"/>
    <x v="11"/>
    <x v="2"/>
    <x v="2"/>
    <x v="3"/>
    <x v="2"/>
    <x v="6"/>
    <n v="11"/>
    <x v="0"/>
  </r>
  <r>
    <d v="2022-10-11T00:00:00"/>
    <x v="3"/>
    <x v="1"/>
    <x v="0"/>
    <n v="50845672.079999998"/>
    <x v="3"/>
    <x v="1"/>
    <x v="0"/>
    <x v="12"/>
    <x v="2"/>
    <x v="2"/>
    <x v="3"/>
    <x v="2"/>
    <x v="6"/>
    <n v="11"/>
    <x v="0"/>
  </r>
  <r>
    <d v="2022-10-07T00:00:00"/>
    <x v="2"/>
    <x v="1"/>
    <x v="2"/>
    <n v="1489"/>
    <x v="2"/>
    <x v="1"/>
    <x v="2"/>
    <x v="2"/>
    <x v="2"/>
    <x v="2"/>
    <x v="3"/>
    <x v="2"/>
    <x v="6"/>
    <n v="7"/>
    <x v="0"/>
  </r>
  <r>
    <d v="2022-10-07T00:00:00"/>
    <x v="3"/>
    <x v="2"/>
    <x v="2"/>
    <n v="400395.67"/>
    <x v="3"/>
    <x v="2"/>
    <x v="2"/>
    <x v="3"/>
    <x v="2"/>
    <x v="2"/>
    <x v="3"/>
    <x v="2"/>
    <x v="6"/>
    <n v="7"/>
    <x v="0"/>
  </r>
  <r>
    <d v="2022-10-07T00:00:00"/>
    <x v="2"/>
    <x v="1"/>
    <x v="0"/>
    <n v="68805167.25"/>
    <x v="2"/>
    <x v="1"/>
    <x v="0"/>
    <x v="5"/>
    <x v="2"/>
    <x v="2"/>
    <x v="3"/>
    <x v="2"/>
    <x v="6"/>
    <n v="7"/>
    <x v="0"/>
  </r>
  <r>
    <d v="2022-10-07T00:00:00"/>
    <x v="1"/>
    <x v="1"/>
    <x v="0"/>
    <n v="8374.2199999999993"/>
    <x v="1"/>
    <x v="1"/>
    <x v="0"/>
    <x v="0"/>
    <x v="2"/>
    <x v="2"/>
    <x v="3"/>
    <x v="2"/>
    <x v="6"/>
    <n v="7"/>
    <x v="0"/>
  </r>
  <r>
    <d v="2022-10-07T00:00:00"/>
    <x v="0"/>
    <x v="1"/>
    <x v="0"/>
    <n v="9884015.2300000004"/>
    <x v="0"/>
    <x v="1"/>
    <x v="0"/>
    <x v="1"/>
    <x v="2"/>
    <x v="2"/>
    <x v="3"/>
    <x v="2"/>
    <x v="6"/>
    <n v="7"/>
    <x v="0"/>
  </r>
  <r>
    <d v="2022-10-07T00:00:00"/>
    <x v="3"/>
    <x v="3"/>
    <x v="0"/>
    <n v="2325579757.3800001"/>
    <x v="3"/>
    <x v="3"/>
    <x v="0"/>
    <x v="6"/>
    <x v="2"/>
    <x v="2"/>
    <x v="3"/>
    <x v="2"/>
    <x v="6"/>
    <n v="7"/>
    <x v="0"/>
  </r>
  <r>
    <d v="2022-10-07T00:00:00"/>
    <x v="2"/>
    <x v="1"/>
    <x v="1"/>
    <n v="301707467.77999997"/>
    <x v="2"/>
    <x v="1"/>
    <x v="1"/>
    <x v="7"/>
    <x v="2"/>
    <x v="2"/>
    <x v="3"/>
    <x v="2"/>
    <x v="6"/>
    <n v="7"/>
    <x v="0"/>
  </r>
  <r>
    <d v="2022-10-07T00:00:00"/>
    <x v="0"/>
    <x v="1"/>
    <x v="1"/>
    <n v="8012209.7000000002"/>
    <x v="0"/>
    <x v="1"/>
    <x v="1"/>
    <x v="4"/>
    <x v="2"/>
    <x v="2"/>
    <x v="3"/>
    <x v="2"/>
    <x v="6"/>
    <n v="7"/>
    <x v="0"/>
  </r>
  <r>
    <d v="2022-10-07T00:00:00"/>
    <x v="1"/>
    <x v="0"/>
    <x v="0"/>
    <n v="59283141.609999999"/>
    <x v="1"/>
    <x v="0"/>
    <x v="0"/>
    <x v="8"/>
    <x v="2"/>
    <x v="2"/>
    <x v="3"/>
    <x v="2"/>
    <x v="6"/>
    <n v="7"/>
    <x v="0"/>
  </r>
  <r>
    <d v="2022-10-07T00:00:00"/>
    <x v="1"/>
    <x v="0"/>
    <x v="1"/>
    <n v="229752001.71000001"/>
    <x v="1"/>
    <x v="0"/>
    <x v="1"/>
    <x v="9"/>
    <x v="2"/>
    <x v="2"/>
    <x v="3"/>
    <x v="2"/>
    <x v="6"/>
    <n v="7"/>
    <x v="0"/>
  </r>
  <r>
    <d v="2022-10-07T00:00:00"/>
    <x v="3"/>
    <x v="2"/>
    <x v="0"/>
    <n v="570074302.61000001"/>
    <x v="3"/>
    <x v="2"/>
    <x v="0"/>
    <x v="10"/>
    <x v="2"/>
    <x v="2"/>
    <x v="3"/>
    <x v="2"/>
    <x v="6"/>
    <n v="7"/>
    <x v="0"/>
  </r>
  <r>
    <d v="2022-10-07T00:00:00"/>
    <x v="3"/>
    <x v="1"/>
    <x v="0"/>
    <n v="13931789.369999999"/>
    <x v="3"/>
    <x v="1"/>
    <x v="0"/>
    <x v="11"/>
    <x v="2"/>
    <x v="2"/>
    <x v="3"/>
    <x v="2"/>
    <x v="6"/>
    <n v="7"/>
    <x v="0"/>
  </r>
  <r>
    <d v="2022-10-07T00:00:00"/>
    <x v="3"/>
    <x v="2"/>
    <x v="1"/>
    <n v="8734162233.6399994"/>
    <x v="3"/>
    <x v="2"/>
    <x v="1"/>
    <x v="12"/>
    <x v="2"/>
    <x v="2"/>
    <x v="3"/>
    <x v="2"/>
    <x v="6"/>
    <n v="7"/>
    <x v="0"/>
  </r>
  <r>
    <d v="2022-10-06T00:00:00"/>
    <x v="0"/>
    <x v="1"/>
    <x v="1"/>
    <n v="18824354.77"/>
    <x v="0"/>
    <x v="1"/>
    <x v="1"/>
    <x v="3"/>
    <x v="2"/>
    <x v="2"/>
    <x v="3"/>
    <x v="2"/>
    <x v="6"/>
    <n v="6"/>
    <x v="0"/>
  </r>
  <r>
    <d v="2022-10-06T00:00:00"/>
    <x v="0"/>
    <x v="0"/>
    <x v="0"/>
    <n v="120"/>
    <x v="0"/>
    <x v="0"/>
    <x v="0"/>
    <x v="0"/>
    <x v="2"/>
    <x v="2"/>
    <x v="3"/>
    <x v="2"/>
    <x v="6"/>
    <n v="6"/>
    <x v="0"/>
  </r>
  <r>
    <d v="2022-10-06T00:00:00"/>
    <x v="1"/>
    <x v="1"/>
    <x v="0"/>
    <n v="338"/>
    <x v="1"/>
    <x v="1"/>
    <x v="0"/>
    <x v="1"/>
    <x v="2"/>
    <x v="2"/>
    <x v="3"/>
    <x v="2"/>
    <x v="6"/>
    <n v="6"/>
    <x v="0"/>
  </r>
  <r>
    <d v="2022-10-06T00:00:00"/>
    <x v="0"/>
    <x v="1"/>
    <x v="0"/>
    <n v="18755681.149999999"/>
    <x v="0"/>
    <x v="1"/>
    <x v="0"/>
    <x v="2"/>
    <x v="2"/>
    <x v="2"/>
    <x v="3"/>
    <x v="2"/>
    <x v="6"/>
    <n v="6"/>
    <x v="0"/>
  </r>
  <r>
    <d v="2022-10-06T00:00:00"/>
    <x v="3"/>
    <x v="3"/>
    <x v="0"/>
    <n v="2017325717.76"/>
    <x v="3"/>
    <x v="3"/>
    <x v="0"/>
    <x v="8"/>
    <x v="2"/>
    <x v="2"/>
    <x v="3"/>
    <x v="2"/>
    <x v="6"/>
    <n v="6"/>
    <x v="0"/>
  </r>
  <r>
    <d v="2022-10-06T00:00:00"/>
    <x v="1"/>
    <x v="0"/>
    <x v="0"/>
    <n v="74213617.409999996"/>
    <x v="1"/>
    <x v="0"/>
    <x v="0"/>
    <x v="9"/>
    <x v="2"/>
    <x v="2"/>
    <x v="3"/>
    <x v="2"/>
    <x v="6"/>
    <n v="6"/>
    <x v="0"/>
  </r>
  <r>
    <d v="2022-10-06T00:00:00"/>
    <x v="1"/>
    <x v="0"/>
    <x v="1"/>
    <n v="376639000.89999998"/>
    <x v="1"/>
    <x v="0"/>
    <x v="1"/>
    <x v="10"/>
    <x v="2"/>
    <x v="2"/>
    <x v="3"/>
    <x v="2"/>
    <x v="6"/>
    <n v="6"/>
    <x v="0"/>
  </r>
  <r>
    <d v="2022-10-06T00:00:00"/>
    <x v="2"/>
    <x v="1"/>
    <x v="2"/>
    <n v="988041.78"/>
    <x v="2"/>
    <x v="1"/>
    <x v="2"/>
    <x v="4"/>
    <x v="2"/>
    <x v="2"/>
    <x v="3"/>
    <x v="2"/>
    <x v="6"/>
    <n v="6"/>
    <x v="0"/>
  </r>
  <r>
    <d v="2022-10-06T00:00:00"/>
    <x v="3"/>
    <x v="2"/>
    <x v="2"/>
    <n v="29260.38"/>
    <x v="3"/>
    <x v="2"/>
    <x v="2"/>
    <x v="5"/>
    <x v="2"/>
    <x v="2"/>
    <x v="3"/>
    <x v="2"/>
    <x v="6"/>
    <n v="6"/>
    <x v="0"/>
  </r>
  <r>
    <d v="2022-10-06T00:00:00"/>
    <x v="2"/>
    <x v="1"/>
    <x v="0"/>
    <n v="83490161.620000005"/>
    <x v="2"/>
    <x v="1"/>
    <x v="0"/>
    <x v="6"/>
    <x v="2"/>
    <x v="2"/>
    <x v="3"/>
    <x v="2"/>
    <x v="6"/>
    <n v="6"/>
    <x v="0"/>
  </r>
  <r>
    <d v="2022-10-06T00:00:00"/>
    <x v="2"/>
    <x v="1"/>
    <x v="1"/>
    <n v="355133058.06"/>
    <x v="2"/>
    <x v="1"/>
    <x v="1"/>
    <x v="7"/>
    <x v="2"/>
    <x v="2"/>
    <x v="3"/>
    <x v="2"/>
    <x v="6"/>
    <n v="6"/>
    <x v="0"/>
  </r>
  <r>
    <d v="2022-10-06T00:00:00"/>
    <x v="3"/>
    <x v="2"/>
    <x v="0"/>
    <n v="480182665.36000001"/>
    <x v="3"/>
    <x v="2"/>
    <x v="0"/>
    <x v="11"/>
    <x v="2"/>
    <x v="2"/>
    <x v="3"/>
    <x v="2"/>
    <x v="6"/>
    <n v="6"/>
    <x v="0"/>
  </r>
  <r>
    <d v="2022-10-06T00:00:00"/>
    <x v="3"/>
    <x v="1"/>
    <x v="0"/>
    <n v="13799372.970000001"/>
    <x v="3"/>
    <x v="1"/>
    <x v="0"/>
    <x v="12"/>
    <x v="2"/>
    <x v="2"/>
    <x v="3"/>
    <x v="2"/>
    <x v="6"/>
    <n v="6"/>
    <x v="0"/>
  </r>
  <r>
    <d v="2022-10-06T00:00:00"/>
    <x v="3"/>
    <x v="2"/>
    <x v="1"/>
    <n v="3742023327.54"/>
    <x v="3"/>
    <x v="2"/>
    <x v="1"/>
    <x v="13"/>
    <x v="2"/>
    <x v="2"/>
    <x v="3"/>
    <x v="2"/>
    <x v="6"/>
    <n v="6"/>
    <x v="0"/>
  </r>
  <r>
    <d v="2022-10-05T00:00:00"/>
    <x v="3"/>
    <x v="2"/>
    <x v="2"/>
    <n v="271530.57"/>
    <x v="3"/>
    <x v="2"/>
    <x v="2"/>
    <x v="4"/>
    <x v="2"/>
    <x v="2"/>
    <x v="3"/>
    <x v="2"/>
    <x v="6"/>
    <n v="5"/>
    <x v="0"/>
  </r>
  <r>
    <d v="2022-10-05T00:00:00"/>
    <x v="0"/>
    <x v="1"/>
    <x v="1"/>
    <n v="5890817.1799999997"/>
    <x v="0"/>
    <x v="1"/>
    <x v="1"/>
    <x v="2"/>
    <x v="2"/>
    <x v="2"/>
    <x v="3"/>
    <x v="2"/>
    <x v="6"/>
    <n v="5"/>
    <x v="0"/>
  </r>
  <r>
    <d v="2022-10-05T00:00:00"/>
    <x v="0"/>
    <x v="1"/>
    <x v="0"/>
    <n v="5655169"/>
    <x v="0"/>
    <x v="1"/>
    <x v="0"/>
    <x v="0"/>
    <x v="2"/>
    <x v="2"/>
    <x v="3"/>
    <x v="2"/>
    <x v="6"/>
    <n v="5"/>
    <x v="0"/>
  </r>
  <r>
    <d v="2022-10-05T00:00:00"/>
    <x v="3"/>
    <x v="3"/>
    <x v="1"/>
    <n v="18851.12"/>
    <x v="3"/>
    <x v="3"/>
    <x v="1"/>
    <x v="1"/>
    <x v="2"/>
    <x v="2"/>
    <x v="3"/>
    <x v="2"/>
    <x v="6"/>
    <n v="5"/>
    <x v="0"/>
  </r>
  <r>
    <d v="2022-10-05T00:00:00"/>
    <x v="1"/>
    <x v="0"/>
    <x v="1"/>
    <n v="1241643846.3800001"/>
    <x v="1"/>
    <x v="0"/>
    <x v="1"/>
    <x v="9"/>
    <x v="2"/>
    <x v="2"/>
    <x v="3"/>
    <x v="2"/>
    <x v="6"/>
    <n v="5"/>
    <x v="0"/>
  </r>
  <r>
    <d v="2022-10-05T00:00:00"/>
    <x v="2"/>
    <x v="1"/>
    <x v="2"/>
    <n v="7505"/>
    <x v="2"/>
    <x v="1"/>
    <x v="2"/>
    <x v="3"/>
    <x v="2"/>
    <x v="2"/>
    <x v="3"/>
    <x v="2"/>
    <x v="6"/>
    <n v="5"/>
    <x v="0"/>
  </r>
  <r>
    <d v="2022-10-05T00:00:00"/>
    <x v="2"/>
    <x v="1"/>
    <x v="0"/>
    <n v="81605120.700000003"/>
    <x v="2"/>
    <x v="1"/>
    <x v="0"/>
    <x v="5"/>
    <x v="2"/>
    <x v="2"/>
    <x v="3"/>
    <x v="2"/>
    <x v="6"/>
    <n v="5"/>
    <x v="0"/>
  </r>
  <r>
    <d v="2022-10-05T00:00:00"/>
    <x v="3"/>
    <x v="3"/>
    <x v="0"/>
    <n v="2171876801.8899999"/>
    <x v="3"/>
    <x v="3"/>
    <x v="0"/>
    <x v="6"/>
    <x v="2"/>
    <x v="2"/>
    <x v="3"/>
    <x v="2"/>
    <x v="6"/>
    <n v="5"/>
    <x v="0"/>
  </r>
  <r>
    <d v="2022-10-05T00:00:00"/>
    <x v="2"/>
    <x v="1"/>
    <x v="1"/>
    <n v="388625710.32999998"/>
    <x v="2"/>
    <x v="1"/>
    <x v="1"/>
    <x v="7"/>
    <x v="2"/>
    <x v="2"/>
    <x v="3"/>
    <x v="2"/>
    <x v="6"/>
    <n v="5"/>
    <x v="0"/>
  </r>
  <r>
    <d v="2022-10-05T00:00:00"/>
    <x v="1"/>
    <x v="0"/>
    <x v="0"/>
    <n v="79854149.859999999"/>
    <x v="1"/>
    <x v="0"/>
    <x v="0"/>
    <x v="8"/>
    <x v="2"/>
    <x v="2"/>
    <x v="3"/>
    <x v="2"/>
    <x v="6"/>
    <n v="5"/>
    <x v="0"/>
  </r>
  <r>
    <d v="2022-10-05T00:00:00"/>
    <x v="3"/>
    <x v="2"/>
    <x v="0"/>
    <n v="469016816.91000003"/>
    <x v="3"/>
    <x v="2"/>
    <x v="0"/>
    <x v="10"/>
    <x v="2"/>
    <x v="2"/>
    <x v="3"/>
    <x v="2"/>
    <x v="6"/>
    <n v="5"/>
    <x v="0"/>
  </r>
  <r>
    <d v="2022-10-05T00:00:00"/>
    <x v="3"/>
    <x v="1"/>
    <x v="0"/>
    <n v="15024695.52"/>
    <x v="3"/>
    <x v="1"/>
    <x v="0"/>
    <x v="11"/>
    <x v="2"/>
    <x v="2"/>
    <x v="3"/>
    <x v="2"/>
    <x v="6"/>
    <n v="5"/>
    <x v="0"/>
  </r>
  <r>
    <d v="2022-10-05T00:00:00"/>
    <x v="3"/>
    <x v="2"/>
    <x v="1"/>
    <n v="13392978765.290001"/>
    <x v="3"/>
    <x v="2"/>
    <x v="1"/>
    <x v="12"/>
    <x v="2"/>
    <x v="2"/>
    <x v="3"/>
    <x v="2"/>
    <x v="6"/>
    <n v="5"/>
    <x v="0"/>
  </r>
  <r>
    <d v="2022-10-04T00:00:00"/>
    <x v="3"/>
    <x v="2"/>
    <x v="2"/>
    <n v="209463.79"/>
    <x v="3"/>
    <x v="2"/>
    <x v="2"/>
    <x v="5"/>
    <x v="2"/>
    <x v="2"/>
    <x v="3"/>
    <x v="2"/>
    <x v="6"/>
    <n v="4"/>
    <x v="0"/>
  </r>
  <r>
    <d v="2022-10-04T00:00:00"/>
    <x v="3"/>
    <x v="3"/>
    <x v="0"/>
    <n v="2047672703.1400001"/>
    <x v="3"/>
    <x v="3"/>
    <x v="0"/>
    <x v="6"/>
    <x v="2"/>
    <x v="2"/>
    <x v="3"/>
    <x v="2"/>
    <x v="6"/>
    <n v="4"/>
    <x v="0"/>
  </r>
  <r>
    <d v="2022-10-04T00:00:00"/>
    <x v="1"/>
    <x v="1"/>
    <x v="0"/>
    <n v="634.5"/>
    <x v="1"/>
    <x v="1"/>
    <x v="0"/>
    <x v="0"/>
    <x v="2"/>
    <x v="2"/>
    <x v="3"/>
    <x v="2"/>
    <x v="6"/>
    <n v="4"/>
    <x v="0"/>
  </r>
  <r>
    <d v="2022-10-04T00:00:00"/>
    <x v="0"/>
    <x v="1"/>
    <x v="0"/>
    <n v="5307570.04"/>
    <x v="0"/>
    <x v="1"/>
    <x v="0"/>
    <x v="1"/>
    <x v="2"/>
    <x v="2"/>
    <x v="3"/>
    <x v="2"/>
    <x v="6"/>
    <n v="4"/>
    <x v="0"/>
  </r>
  <r>
    <d v="2022-10-04T00:00:00"/>
    <x v="2"/>
    <x v="1"/>
    <x v="2"/>
    <n v="274786.39"/>
    <x v="2"/>
    <x v="1"/>
    <x v="2"/>
    <x v="2"/>
    <x v="2"/>
    <x v="2"/>
    <x v="3"/>
    <x v="2"/>
    <x v="6"/>
    <n v="4"/>
    <x v="0"/>
  </r>
  <r>
    <d v="2022-10-04T00:00:00"/>
    <x v="1"/>
    <x v="0"/>
    <x v="1"/>
    <n v="500544303.22000003"/>
    <x v="1"/>
    <x v="0"/>
    <x v="1"/>
    <x v="9"/>
    <x v="2"/>
    <x v="2"/>
    <x v="3"/>
    <x v="2"/>
    <x v="6"/>
    <n v="4"/>
    <x v="0"/>
  </r>
  <r>
    <d v="2022-10-04T00:00:00"/>
    <x v="3"/>
    <x v="3"/>
    <x v="1"/>
    <n v="21796.76"/>
    <x v="3"/>
    <x v="3"/>
    <x v="1"/>
    <x v="3"/>
    <x v="2"/>
    <x v="2"/>
    <x v="3"/>
    <x v="2"/>
    <x v="6"/>
    <n v="4"/>
    <x v="0"/>
  </r>
  <r>
    <d v="2022-10-04T00:00:00"/>
    <x v="0"/>
    <x v="1"/>
    <x v="1"/>
    <n v="7055181.0999999996"/>
    <x v="0"/>
    <x v="1"/>
    <x v="1"/>
    <x v="4"/>
    <x v="2"/>
    <x v="2"/>
    <x v="3"/>
    <x v="2"/>
    <x v="6"/>
    <n v="4"/>
    <x v="0"/>
  </r>
  <r>
    <d v="2022-10-04T00:00:00"/>
    <x v="2"/>
    <x v="1"/>
    <x v="0"/>
    <n v="81325818.010000005"/>
    <x v="2"/>
    <x v="1"/>
    <x v="0"/>
    <x v="7"/>
    <x v="2"/>
    <x v="2"/>
    <x v="3"/>
    <x v="2"/>
    <x v="6"/>
    <n v="4"/>
    <x v="0"/>
  </r>
  <r>
    <d v="2022-10-04T00:00:00"/>
    <x v="2"/>
    <x v="1"/>
    <x v="1"/>
    <n v="193000443.30000001"/>
    <x v="2"/>
    <x v="1"/>
    <x v="1"/>
    <x v="8"/>
    <x v="2"/>
    <x v="2"/>
    <x v="3"/>
    <x v="2"/>
    <x v="6"/>
    <n v="4"/>
    <x v="0"/>
  </r>
  <r>
    <d v="2022-10-04T00:00:00"/>
    <x v="1"/>
    <x v="0"/>
    <x v="0"/>
    <n v="63276858.659999996"/>
    <x v="1"/>
    <x v="0"/>
    <x v="0"/>
    <x v="10"/>
    <x v="2"/>
    <x v="2"/>
    <x v="3"/>
    <x v="2"/>
    <x v="6"/>
    <n v="4"/>
    <x v="0"/>
  </r>
  <r>
    <d v="2022-10-04T00:00:00"/>
    <x v="3"/>
    <x v="2"/>
    <x v="0"/>
    <n v="403771602.32999998"/>
    <x v="3"/>
    <x v="2"/>
    <x v="0"/>
    <x v="11"/>
    <x v="2"/>
    <x v="2"/>
    <x v="3"/>
    <x v="2"/>
    <x v="6"/>
    <n v="4"/>
    <x v="0"/>
  </r>
  <r>
    <d v="2022-10-04T00:00:00"/>
    <x v="3"/>
    <x v="1"/>
    <x v="0"/>
    <n v="11407823.210000001"/>
    <x v="3"/>
    <x v="1"/>
    <x v="0"/>
    <x v="12"/>
    <x v="2"/>
    <x v="2"/>
    <x v="3"/>
    <x v="2"/>
    <x v="6"/>
    <n v="4"/>
    <x v="0"/>
  </r>
  <r>
    <d v="2022-10-04T00:00:00"/>
    <x v="3"/>
    <x v="2"/>
    <x v="1"/>
    <n v="4714722291.1700001"/>
    <x v="3"/>
    <x v="2"/>
    <x v="1"/>
    <x v="13"/>
    <x v="2"/>
    <x v="2"/>
    <x v="3"/>
    <x v="2"/>
    <x v="6"/>
    <n v="4"/>
    <x v="0"/>
  </r>
  <r>
    <d v="2022-10-03T00:00:00"/>
    <x v="2"/>
    <x v="1"/>
    <x v="2"/>
    <n v="108131.59"/>
    <x v="2"/>
    <x v="1"/>
    <x v="2"/>
    <x v="2"/>
    <x v="2"/>
    <x v="2"/>
    <x v="3"/>
    <x v="2"/>
    <x v="6"/>
    <n v="3"/>
    <x v="0"/>
  </r>
  <r>
    <d v="2022-10-03T00:00:00"/>
    <x v="0"/>
    <x v="0"/>
    <x v="0"/>
    <n v="20"/>
    <x v="0"/>
    <x v="0"/>
    <x v="0"/>
    <x v="0"/>
    <x v="2"/>
    <x v="2"/>
    <x v="3"/>
    <x v="2"/>
    <x v="6"/>
    <n v="3"/>
    <x v="0"/>
  </r>
  <r>
    <d v="2022-10-03T00:00:00"/>
    <x v="0"/>
    <x v="1"/>
    <x v="0"/>
    <n v="9328084.2899999991"/>
    <x v="0"/>
    <x v="1"/>
    <x v="0"/>
    <x v="1"/>
    <x v="2"/>
    <x v="2"/>
    <x v="3"/>
    <x v="2"/>
    <x v="6"/>
    <n v="3"/>
    <x v="0"/>
  </r>
  <r>
    <d v="2022-10-03T00:00:00"/>
    <x v="3"/>
    <x v="3"/>
    <x v="0"/>
    <n v="2653190798.77"/>
    <x v="3"/>
    <x v="3"/>
    <x v="0"/>
    <x v="5"/>
    <x v="2"/>
    <x v="2"/>
    <x v="3"/>
    <x v="2"/>
    <x v="6"/>
    <n v="3"/>
    <x v="0"/>
  </r>
  <r>
    <d v="2022-10-03T00:00:00"/>
    <x v="1"/>
    <x v="0"/>
    <x v="0"/>
    <n v="51228044.200000003"/>
    <x v="1"/>
    <x v="0"/>
    <x v="0"/>
    <x v="8"/>
    <x v="2"/>
    <x v="2"/>
    <x v="3"/>
    <x v="2"/>
    <x v="6"/>
    <n v="3"/>
    <x v="0"/>
  </r>
  <r>
    <d v="2022-10-03T00:00:00"/>
    <x v="0"/>
    <x v="1"/>
    <x v="1"/>
    <n v="6061685.9000000004"/>
    <x v="0"/>
    <x v="1"/>
    <x v="1"/>
    <x v="4"/>
    <x v="2"/>
    <x v="2"/>
    <x v="3"/>
    <x v="2"/>
    <x v="6"/>
    <n v="3"/>
    <x v="0"/>
  </r>
  <r>
    <d v="2022-10-03T00:00:00"/>
    <x v="3"/>
    <x v="2"/>
    <x v="2"/>
    <n v="260758.68"/>
    <x v="3"/>
    <x v="2"/>
    <x v="2"/>
    <x v="3"/>
    <x v="2"/>
    <x v="2"/>
    <x v="3"/>
    <x v="2"/>
    <x v="6"/>
    <n v="3"/>
    <x v="0"/>
  </r>
  <r>
    <d v="2022-10-03T00:00:00"/>
    <x v="2"/>
    <x v="1"/>
    <x v="1"/>
    <n v="120010813.13"/>
    <x v="2"/>
    <x v="1"/>
    <x v="1"/>
    <x v="7"/>
    <x v="2"/>
    <x v="2"/>
    <x v="3"/>
    <x v="2"/>
    <x v="6"/>
    <n v="3"/>
    <x v="0"/>
  </r>
  <r>
    <d v="2022-10-03T00:00:00"/>
    <x v="2"/>
    <x v="1"/>
    <x v="0"/>
    <n v="110188999.51000001"/>
    <x v="2"/>
    <x v="1"/>
    <x v="0"/>
    <x v="6"/>
    <x v="2"/>
    <x v="2"/>
    <x v="3"/>
    <x v="2"/>
    <x v="6"/>
    <n v="3"/>
    <x v="0"/>
  </r>
  <r>
    <d v="2022-10-03T00:00:00"/>
    <x v="1"/>
    <x v="0"/>
    <x v="1"/>
    <n v="355509758.11000001"/>
    <x v="1"/>
    <x v="0"/>
    <x v="1"/>
    <x v="9"/>
    <x v="2"/>
    <x v="2"/>
    <x v="3"/>
    <x v="2"/>
    <x v="6"/>
    <n v="3"/>
    <x v="0"/>
  </r>
  <r>
    <d v="2022-10-03T00:00:00"/>
    <x v="3"/>
    <x v="2"/>
    <x v="0"/>
    <n v="1261653864.9400001"/>
    <x v="3"/>
    <x v="2"/>
    <x v="0"/>
    <x v="10"/>
    <x v="2"/>
    <x v="2"/>
    <x v="3"/>
    <x v="2"/>
    <x v="6"/>
    <n v="3"/>
    <x v="0"/>
  </r>
  <r>
    <d v="2022-10-03T00:00:00"/>
    <x v="3"/>
    <x v="2"/>
    <x v="1"/>
    <n v="45153087785.739998"/>
    <x v="3"/>
    <x v="2"/>
    <x v="1"/>
    <x v="11"/>
    <x v="2"/>
    <x v="2"/>
    <x v="3"/>
    <x v="2"/>
    <x v="6"/>
    <n v="3"/>
    <x v="0"/>
  </r>
  <r>
    <d v="2022-10-03T00:00:00"/>
    <x v="3"/>
    <x v="1"/>
    <x v="0"/>
    <n v="49183531.299999997"/>
    <x v="3"/>
    <x v="1"/>
    <x v="0"/>
    <x v="12"/>
    <x v="2"/>
    <x v="2"/>
    <x v="3"/>
    <x v="2"/>
    <x v="6"/>
    <n v="3"/>
    <x v="0"/>
  </r>
  <r>
    <d v="2022-09-30T00:00:00"/>
    <x v="3"/>
    <x v="2"/>
    <x v="2"/>
    <n v="554307"/>
    <x v="3"/>
    <x v="2"/>
    <x v="2"/>
    <x v="2"/>
    <x v="3"/>
    <x v="3"/>
    <x v="3"/>
    <x v="3"/>
    <x v="7"/>
    <n v="30"/>
    <x v="0"/>
  </r>
  <r>
    <d v="2022-09-30T00:00:00"/>
    <x v="2"/>
    <x v="1"/>
    <x v="0"/>
    <n v="76506512.629999995"/>
    <x v="2"/>
    <x v="1"/>
    <x v="0"/>
    <x v="6"/>
    <x v="3"/>
    <x v="3"/>
    <x v="3"/>
    <x v="3"/>
    <x v="7"/>
    <n v="30"/>
    <x v="0"/>
  </r>
  <r>
    <d v="2022-09-30T00:00:00"/>
    <x v="3"/>
    <x v="3"/>
    <x v="0"/>
    <n v="5897792407.96"/>
    <x v="3"/>
    <x v="3"/>
    <x v="0"/>
    <x v="7"/>
    <x v="3"/>
    <x v="3"/>
    <x v="3"/>
    <x v="3"/>
    <x v="7"/>
    <n v="30"/>
    <x v="0"/>
  </r>
  <r>
    <d v="2022-09-30T00:00:00"/>
    <x v="1"/>
    <x v="1"/>
    <x v="0"/>
    <n v="1496"/>
    <x v="1"/>
    <x v="1"/>
    <x v="0"/>
    <x v="0"/>
    <x v="3"/>
    <x v="3"/>
    <x v="3"/>
    <x v="3"/>
    <x v="7"/>
    <n v="30"/>
    <x v="0"/>
  </r>
  <r>
    <d v="2022-09-30T00:00:00"/>
    <x v="0"/>
    <x v="1"/>
    <x v="0"/>
    <n v="8228655.6200000001"/>
    <x v="0"/>
    <x v="1"/>
    <x v="0"/>
    <x v="1"/>
    <x v="3"/>
    <x v="3"/>
    <x v="3"/>
    <x v="3"/>
    <x v="7"/>
    <n v="30"/>
    <x v="0"/>
  </r>
  <r>
    <d v="2022-09-30T00:00:00"/>
    <x v="3"/>
    <x v="3"/>
    <x v="1"/>
    <n v="64694.11"/>
    <x v="3"/>
    <x v="3"/>
    <x v="1"/>
    <x v="3"/>
    <x v="3"/>
    <x v="3"/>
    <x v="3"/>
    <x v="3"/>
    <x v="7"/>
    <n v="30"/>
    <x v="0"/>
  </r>
  <r>
    <d v="2022-09-30T00:00:00"/>
    <x v="0"/>
    <x v="1"/>
    <x v="1"/>
    <n v="6812225.04"/>
    <x v="0"/>
    <x v="1"/>
    <x v="1"/>
    <x v="4"/>
    <x v="3"/>
    <x v="3"/>
    <x v="3"/>
    <x v="3"/>
    <x v="7"/>
    <n v="30"/>
    <x v="0"/>
  </r>
  <r>
    <d v="2022-09-30T00:00:00"/>
    <x v="1"/>
    <x v="0"/>
    <x v="1"/>
    <n v="222286714.28999999"/>
    <x v="1"/>
    <x v="0"/>
    <x v="1"/>
    <x v="10"/>
    <x v="3"/>
    <x v="3"/>
    <x v="3"/>
    <x v="3"/>
    <x v="7"/>
    <n v="30"/>
    <x v="0"/>
  </r>
  <r>
    <d v="2022-09-30T00:00:00"/>
    <x v="2"/>
    <x v="1"/>
    <x v="2"/>
    <n v="7098.71"/>
    <x v="2"/>
    <x v="1"/>
    <x v="2"/>
    <x v="5"/>
    <x v="3"/>
    <x v="3"/>
    <x v="3"/>
    <x v="3"/>
    <x v="7"/>
    <n v="30"/>
    <x v="0"/>
  </r>
  <r>
    <d v="2022-09-30T00:00:00"/>
    <x v="2"/>
    <x v="1"/>
    <x v="1"/>
    <n v="343908629.67000002"/>
    <x v="2"/>
    <x v="1"/>
    <x v="1"/>
    <x v="8"/>
    <x v="3"/>
    <x v="3"/>
    <x v="3"/>
    <x v="3"/>
    <x v="7"/>
    <n v="30"/>
    <x v="0"/>
  </r>
  <r>
    <d v="2022-09-30T00:00:00"/>
    <x v="1"/>
    <x v="0"/>
    <x v="0"/>
    <n v="40842729.439999998"/>
    <x v="1"/>
    <x v="0"/>
    <x v="0"/>
    <x v="9"/>
    <x v="3"/>
    <x v="3"/>
    <x v="3"/>
    <x v="3"/>
    <x v="7"/>
    <n v="30"/>
    <x v="0"/>
  </r>
  <r>
    <d v="2022-09-30T00:00:00"/>
    <x v="3"/>
    <x v="2"/>
    <x v="0"/>
    <n v="1757718340.0699999"/>
    <x v="3"/>
    <x v="2"/>
    <x v="0"/>
    <x v="11"/>
    <x v="3"/>
    <x v="3"/>
    <x v="3"/>
    <x v="3"/>
    <x v="7"/>
    <n v="30"/>
    <x v="0"/>
  </r>
  <r>
    <d v="2022-09-30T00:00:00"/>
    <x v="3"/>
    <x v="1"/>
    <x v="0"/>
    <n v="15835353.039999999"/>
    <x v="3"/>
    <x v="1"/>
    <x v="0"/>
    <x v="12"/>
    <x v="3"/>
    <x v="3"/>
    <x v="3"/>
    <x v="3"/>
    <x v="7"/>
    <n v="30"/>
    <x v="0"/>
  </r>
  <r>
    <d v="2022-09-30T00:00:00"/>
    <x v="3"/>
    <x v="2"/>
    <x v="1"/>
    <n v="14543973324.450001"/>
    <x v="3"/>
    <x v="2"/>
    <x v="1"/>
    <x v="13"/>
    <x v="3"/>
    <x v="3"/>
    <x v="3"/>
    <x v="3"/>
    <x v="7"/>
    <n v="30"/>
    <x v="0"/>
  </r>
  <r>
    <d v="2022-09-29T00:00:00"/>
    <x v="2"/>
    <x v="1"/>
    <x v="0"/>
    <n v="83596756.219999999"/>
    <x v="2"/>
    <x v="1"/>
    <x v="0"/>
    <x v="5"/>
    <x v="3"/>
    <x v="3"/>
    <x v="3"/>
    <x v="3"/>
    <x v="7"/>
    <n v="29"/>
    <x v="0"/>
  </r>
  <r>
    <d v="2022-09-29T00:00:00"/>
    <x v="1"/>
    <x v="1"/>
    <x v="0"/>
    <n v="856.5"/>
    <x v="1"/>
    <x v="1"/>
    <x v="0"/>
    <x v="0"/>
    <x v="3"/>
    <x v="3"/>
    <x v="3"/>
    <x v="3"/>
    <x v="7"/>
    <n v="29"/>
    <x v="0"/>
  </r>
  <r>
    <d v="2022-09-29T00:00:00"/>
    <x v="0"/>
    <x v="1"/>
    <x v="0"/>
    <n v="11860835.890000001"/>
    <x v="0"/>
    <x v="1"/>
    <x v="0"/>
    <x v="1"/>
    <x v="3"/>
    <x v="3"/>
    <x v="3"/>
    <x v="3"/>
    <x v="7"/>
    <n v="29"/>
    <x v="0"/>
  </r>
  <r>
    <d v="2022-09-29T00:00:00"/>
    <x v="2"/>
    <x v="1"/>
    <x v="1"/>
    <n v="216737094.47"/>
    <x v="2"/>
    <x v="1"/>
    <x v="1"/>
    <x v="6"/>
    <x v="3"/>
    <x v="3"/>
    <x v="3"/>
    <x v="3"/>
    <x v="7"/>
    <n v="29"/>
    <x v="0"/>
  </r>
  <r>
    <d v="2022-09-29T00:00:00"/>
    <x v="0"/>
    <x v="1"/>
    <x v="1"/>
    <n v="5405899.9100000001"/>
    <x v="0"/>
    <x v="1"/>
    <x v="1"/>
    <x v="3"/>
    <x v="3"/>
    <x v="3"/>
    <x v="3"/>
    <x v="3"/>
    <x v="7"/>
    <n v="29"/>
    <x v="0"/>
  </r>
  <r>
    <d v="2022-09-29T00:00:00"/>
    <x v="3"/>
    <x v="2"/>
    <x v="2"/>
    <n v="238335.66"/>
    <x v="3"/>
    <x v="2"/>
    <x v="2"/>
    <x v="4"/>
    <x v="3"/>
    <x v="3"/>
    <x v="3"/>
    <x v="3"/>
    <x v="7"/>
    <n v="29"/>
    <x v="0"/>
  </r>
  <r>
    <d v="2022-09-29T00:00:00"/>
    <x v="2"/>
    <x v="1"/>
    <x v="2"/>
    <n v="8483.9500000000007"/>
    <x v="2"/>
    <x v="1"/>
    <x v="2"/>
    <x v="2"/>
    <x v="3"/>
    <x v="3"/>
    <x v="3"/>
    <x v="3"/>
    <x v="7"/>
    <n v="29"/>
    <x v="0"/>
  </r>
  <r>
    <d v="2022-09-29T00:00:00"/>
    <x v="3"/>
    <x v="3"/>
    <x v="0"/>
    <n v="2744364360.1700001"/>
    <x v="3"/>
    <x v="3"/>
    <x v="0"/>
    <x v="7"/>
    <x v="3"/>
    <x v="3"/>
    <x v="3"/>
    <x v="3"/>
    <x v="7"/>
    <n v="29"/>
    <x v="0"/>
  </r>
  <r>
    <d v="2022-09-29T00:00:00"/>
    <x v="1"/>
    <x v="0"/>
    <x v="0"/>
    <n v="53323101.210000001"/>
    <x v="1"/>
    <x v="0"/>
    <x v="0"/>
    <x v="8"/>
    <x v="3"/>
    <x v="3"/>
    <x v="3"/>
    <x v="3"/>
    <x v="7"/>
    <n v="29"/>
    <x v="0"/>
  </r>
  <r>
    <d v="2022-09-29T00:00:00"/>
    <x v="1"/>
    <x v="0"/>
    <x v="1"/>
    <n v="572379535.45000005"/>
    <x v="1"/>
    <x v="0"/>
    <x v="1"/>
    <x v="9"/>
    <x v="3"/>
    <x v="3"/>
    <x v="3"/>
    <x v="3"/>
    <x v="7"/>
    <n v="29"/>
    <x v="0"/>
  </r>
  <r>
    <d v="2022-09-29T00:00:00"/>
    <x v="3"/>
    <x v="2"/>
    <x v="0"/>
    <n v="758713549.74000001"/>
    <x v="3"/>
    <x v="2"/>
    <x v="0"/>
    <x v="10"/>
    <x v="3"/>
    <x v="3"/>
    <x v="3"/>
    <x v="3"/>
    <x v="7"/>
    <n v="29"/>
    <x v="0"/>
  </r>
  <r>
    <d v="2022-09-29T00:00:00"/>
    <x v="3"/>
    <x v="1"/>
    <x v="0"/>
    <n v="13406150.779999999"/>
    <x v="3"/>
    <x v="1"/>
    <x v="0"/>
    <x v="11"/>
    <x v="3"/>
    <x v="3"/>
    <x v="3"/>
    <x v="3"/>
    <x v="7"/>
    <n v="29"/>
    <x v="0"/>
  </r>
  <r>
    <d v="2022-09-29T00:00:00"/>
    <x v="3"/>
    <x v="2"/>
    <x v="1"/>
    <n v="7225847049.7700005"/>
    <x v="3"/>
    <x v="2"/>
    <x v="1"/>
    <x v="12"/>
    <x v="3"/>
    <x v="3"/>
    <x v="3"/>
    <x v="3"/>
    <x v="7"/>
    <n v="29"/>
    <x v="0"/>
  </r>
  <r>
    <d v="2022-09-28T00:00:00"/>
    <x v="2"/>
    <x v="1"/>
    <x v="0"/>
    <n v="100614329.47"/>
    <x v="2"/>
    <x v="1"/>
    <x v="0"/>
    <x v="7"/>
    <x v="3"/>
    <x v="3"/>
    <x v="3"/>
    <x v="3"/>
    <x v="7"/>
    <n v="28"/>
    <x v="0"/>
  </r>
  <r>
    <d v="2022-09-28T00:00:00"/>
    <x v="2"/>
    <x v="1"/>
    <x v="2"/>
    <n v="66903.28"/>
    <x v="2"/>
    <x v="1"/>
    <x v="2"/>
    <x v="3"/>
    <x v="3"/>
    <x v="3"/>
    <x v="3"/>
    <x v="3"/>
    <x v="7"/>
    <n v="28"/>
    <x v="0"/>
  </r>
  <r>
    <d v="2022-09-28T00:00:00"/>
    <x v="1"/>
    <x v="1"/>
    <x v="0"/>
    <n v="731.5"/>
    <x v="1"/>
    <x v="1"/>
    <x v="0"/>
    <x v="1"/>
    <x v="3"/>
    <x v="3"/>
    <x v="3"/>
    <x v="3"/>
    <x v="7"/>
    <n v="28"/>
    <x v="0"/>
  </r>
  <r>
    <d v="2022-09-28T00:00:00"/>
    <x v="0"/>
    <x v="1"/>
    <x v="0"/>
    <n v="34079094.229999997"/>
    <x v="0"/>
    <x v="1"/>
    <x v="0"/>
    <x v="2"/>
    <x v="3"/>
    <x v="3"/>
    <x v="3"/>
    <x v="3"/>
    <x v="7"/>
    <n v="28"/>
    <x v="0"/>
  </r>
  <r>
    <d v="2022-09-28T00:00:00"/>
    <x v="2"/>
    <x v="1"/>
    <x v="1"/>
    <n v="317019044.85000002"/>
    <x v="2"/>
    <x v="1"/>
    <x v="1"/>
    <x v="9"/>
    <x v="3"/>
    <x v="3"/>
    <x v="3"/>
    <x v="3"/>
    <x v="7"/>
    <n v="28"/>
    <x v="0"/>
  </r>
  <r>
    <d v="2022-09-28T00:00:00"/>
    <x v="1"/>
    <x v="0"/>
    <x v="0"/>
    <n v="89114865.400000006"/>
    <x v="1"/>
    <x v="0"/>
    <x v="0"/>
    <x v="10"/>
    <x v="3"/>
    <x v="3"/>
    <x v="3"/>
    <x v="3"/>
    <x v="7"/>
    <n v="28"/>
    <x v="0"/>
  </r>
  <r>
    <d v="2022-09-28T00:00:00"/>
    <x v="3"/>
    <x v="3"/>
    <x v="1"/>
    <n v="2307.08"/>
    <x v="3"/>
    <x v="3"/>
    <x v="1"/>
    <x v="4"/>
    <x v="3"/>
    <x v="3"/>
    <x v="3"/>
    <x v="3"/>
    <x v="7"/>
    <n v="28"/>
    <x v="0"/>
  </r>
  <r>
    <d v="2022-09-28T00:00:00"/>
    <x v="0"/>
    <x v="1"/>
    <x v="1"/>
    <n v="9556636.9600000009"/>
    <x v="0"/>
    <x v="1"/>
    <x v="1"/>
    <x v="5"/>
    <x v="3"/>
    <x v="3"/>
    <x v="3"/>
    <x v="3"/>
    <x v="7"/>
    <n v="28"/>
    <x v="0"/>
  </r>
  <r>
    <d v="2022-09-28T00:00:00"/>
    <x v="3"/>
    <x v="2"/>
    <x v="2"/>
    <n v="295955.78999999998"/>
    <x v="3"/>
    <x v="2"/>
    <x v="2"/>
    <x v="6"/>
    <x v="3"/>
    <x v="3"/>
    <x v="3"/>
    <x v="3"/>
    <x v="7"/>
    <n v="28"/>
    <x v="0"/>
  </r>
  <r>
    <d v="2022-09-28T00:00:00"/>
    <x v="0"/>
    <x v="0"/>
    <x v="0"/>
    <n v="4250"/>
    <x v="0"/>
    <x v="0"/>
    <x v="0"/>
    <x v="0"/>
    <x v="3"/>
    <x v="3"/>
    <x v="3"/>
    <x v="3"/>
    <x v="7"/>
    <n v="28"/>
    <x v="0"/>
  </r>
  <r>
    <d v="2022-09-28T00:00:00"/>
    <x v="3"/>
    <x v="3"/>
    <x v="0"/>
    <n v="2357716220.8899999"/>
    <x v="3"/>
    <x v="3"/>
    <x v="0"/>
    <x v="8"/>
    <x v="3"/>
    <x v="3"/>
    <x v="3"/>
    <x v="3"/>
    <x v="7"/>
    <n v="28"/>
    <x v="0"/>
  </r>
  <r>
    <d v="2022-09-28T00:00:00"/>
    <x v="1"/>
    <x v="0"/>
    <x v="1"/>
    <n v="1263861313.6199999"/>
    <x v="1"/>
    <x v="0"/>
    <x v="1"/>
    <x v="11"/>
    <x v="3"/>
    <x v="3"/>
    <x v="3"/>
    <x v="3"/>
    <x v="7"/>
    <n v="28"/>
    <x v="0"/>
  </r>
  <r>
    <d v="2022-09-28T00:00:00"/>
    <x v="3"/>
    <x v="2"/>
    <x v="0"/>
    <n v="653380518.69000006"/>
    <x v="3"/>
    <x v="2"/>
    <x v="0"/>
    <x v="12"/>
    <x v="3"/>
    <x v="3"/>
    <x v="3"/>
    <x v="3"/>
    <x v="7"/>
    <n v="28"/>
    <x v="0"/>
  </r>
  <r>
    <d v="2022-09-28T00:00:00"/>
    <x v="3"/>
    <x v="1"/>
    <x v="0"/>
    <n v="14676267.380000001"/>
    <x v="3"/>
    <x v="1"/>
    <x v="0"/>
    <x v="13"/>
    <x v="3"/>
    <x v="3"/>
    <x v="3"/>
    <x v="3"/>
    <x v="7"/>
    <n v="28"/>
    <x v="0"/>
  </r>
  <r>
    <d v="2022-09-28T00:00:00"/>
    <x v="3"/>
    <x v="2"/>
    <x v="1"/>
    <n v="11896513694.85"/>
    <x v="3"/>
    <x v="2"/>
    <x v="1"/>
    <x v="14"/>
    <x v="3"/>
    <x v="3"/>
    <x v="3"/>
    <x v="3"/>
    <x v="7"/>
    <n v="28"/>
    <x v="0"/>
  </r>
  <r>
    <d v="2022-09-27T00:00:00"/>
    <x v="2"/>
    <x v="1"/>
    <x v="2"/>
    <n v="49329.56"/>
    <x v="2"/>
    <x v="1"/>
    <x v="2"/>
    <x v="2"/>
    <x v="3"/>
    <x v="3"/>
    <x v="3"/>
    <x v="3"/>
    <x v="7"/>
    <n v="27"/>
    <x v="0"/>
  </r>
  <r>
    <d v="2022-09-27T00:00:00"/>
    <x v="1"/>
    <x v="1"/>
    <x v="0"/>
    <n v="619"/>
    <x v="1"/>
    <x v="1"/>
    <x v="0"/>
    <x v="0"/>
    <x v="3"/>
    <x v="3"/>
    <x v="3"/>
    <x v="3"/>
    <x v="7"/>
    <n v="27"/>
    <x v="0"/>
  </r>
  <r>
    <d v="2022-09-27T00:00:00"/>
    <x v="0"/>
    <x v="1"/>
    <x v="0"/>
    <n v="8523524.9100000001"/>
    <x v="0"/>
    <x v="1"/>
    <x v="0"/>
    <x v="1"/>
    <x v="3"/>
    <x v="3"/>
    <x v="3"/>
    <x v="3"/>
    <x v="7"/>
    <n v="27"/>
    <x v="0"/>
  </r>
  <r>
    <d v="2022-09-27T00:00:00"/>
    <x v="2"/>
    <x v="1"/>
    <x v="1"/>
    <n v="469462825.86000001"/>
    <x v="2"/>
    <x v="1"/>
    <x v="1"/>
    <x v="7"/>
    <x v="3"/>
    <x v="3"/>
    <x v="3"/>
    <x v="3"/>
    <x v="7"/>
    <n v="27"/>
    <x v="0"/>
  </r>
  <r>
    <d v="2022-09-27T00:00:00"/>
    <x v="0"/>
    <x v="1"/>
    <x v="1"/>
    <n v="8596273.25"/>
    <x v="0"/>
    <x v="1"/>
    <x v="1"/>
    <x v="3"/>
    <x v="3"/>
    <x v="3"/>
    <x v="3"/>
    <x v="3"/>
    <x v="7"/>
    <n v="27"/>
    <x v="0"/>
  </r>
  <r>
    <d v="2022-09-27T00:00:00"/>
    <x v="3"/>
    <x v="2"/>
    <x v="2"/>
    <n v="348193.1"/>
    <x v="3"/>
    <x v="2"/>
    <x v="2"/>
    <x v="4"/>
    <x v="3"/>
    <x v="3"/>
    <x v="3"/>
    <x v="3"/>
    <x v="7"/>
    <n v="27"/>
    <x v="0"/>
  </r>
  <r>
    <d v="2022-09-27T00:00:00"/>
    <x v="3"/>
    <x v="3"/>
    <x v="0"/>
    <n v="1739626537.6099999"/>
    <x v="3"/>
    <x v="3"/>
    <x v="0"/>
    <x v="5"/>
    <x v="3"/>
    <x v="3"/>
    <x v="3"/>
    <x v="3"/>
    <x v="7"/>
    <n v="27"/>
    <x v="0"/>
  </r>
  <r>
    <d v="2022-09-27T00:00:00"/>
    <x v="2"/>
    <x v="1"/>
    <x v="0"/>
    <n v="95248398.480000004"/>
    <x v="2"/>
    <x v="1"/>
    <x v="0"/>
    <x v="6"/>
    <x v="3"/>
    <x v="3"/>
    <x v="3"/>
    <x v="3"/>
    <x v="7"/>
    <n v="27"/>
    <x v="0"/>
  </r>
  <r>
    <d v="2022-09-27T00:00:00"/>
    <x v="1"/>
    <x v="0"/>
    <x v="0"/>
    <n v="57550394.530000001"/>
    <x v="1"/>
    <x v="0"/>
    <x v="0"/>
    <x v="8"/>
    <x v="3"/>
    <x v="3"/>
    <x v="3"/>
    <x v="3"/>
    <x v="7"/>
    <n v="27"/>
    <x v="0"/>
  </r>
  <r>
    <d v="2022-09-27T00:00:00"/>
    <x v="1"/>
    <x v="0"/>
    <x v="1"/>
    <n v="976043411.24000001"/>
    <x v="1"/>
    <x v="0"/>
    <x v="1"/>
    <x v="9"/>
    <x v="3"/>
    <x v="3"/>
    <x v="3"/>
    <x v="3"/>
    <x v="7"/>
    <n v="27"/>
    <x v="0"/>
  </r>
  <r>
    <d v="2022-09-27T00:00:00"/>
    <x v="3"/>
    <x v="2"/>
    <x v="0"/>
    <n v="427712145.72000003"/>
    <x v="3"/>
    <x v="2"/>
    <x v="0"/>
    <x v="10"/>
    <x v="3"/>
    <x v="3"/>
    <x v="3"/>
    <x v="3"/>
    <x v="7"/>
    <n v="27"/>
    <x v="0"/>
  </r>
  <r>
    <d v="2022-09-27T00:00:00"/>
    <x v="3"/>
    <x v="1"/>
    <x v="0"/>
    <n v="11098197.67"/>
    <x v="3"/>
    <x v="1"/>
    <x v="0"/>
    <x v="11"/>
    <x v="3"/>
    <x v="3"/>
    <x v="3"/>
    <x v="3"/>
    <x v="7"/>
    <n v="27"/>
    <x v="0"/>
  </r>
  <r>
    <d v="2022-09-27T00:00:00"/>
    <x v="3"/>
    <x v="2"/>
    <x v="1"/>
    <n v="3407461794.5599999"/>
    <x v="3"/>
    <x v="2"/>
    <x v="1"/>
    <x v="12"/>
    <x v="3"/>
    <x v="3"/>
    <x v="3"/>
    <x v="3"/>
    <x v="7"/>
    <n v="27"/>
    <x v="0"/>
  </r>
  <r>
    <d v="2022-09-26T00:00:00"/>
    <x v="0"/>
    <x v="0"/>
    <x v="0"/>
    <n v="40"/>
    <x v="0"/>
    <x v="0"/>
    <x v="0"/>
    <x v="0"/>
    <x v="3"/>
    <x v="3"/>
    <x v="3"/>
    <x v="3"/>
    <x v="7"/>
    <n v="26"/>
    <x v="0"/>
  </r>
  <r>
    <d v="2022-09-26T00:00:00"/>
    <x v="2"/>
    <x v="1"/>
    <x v="0"/>
    <n v="69687980.069999993"/>
    <x v="2"/>
    <x v="1"/>
    <x v="0"/>
    <x v="6"/>
    <x v="3"/>
    <x v="3"/>
    <x v="3"/>
    <x v="3"/>
    <x v="7"/>
    <n v="26"/>
    <x v="0"/>
  </r>
  <r>
    <d v="2022-09-26T00:00:00"/>
    <x v="3"/>
    <x v="3"/>
    <x v="0"/>
    <n v="1261274428.3299999"/>
    <x v="3"/>
    <x v="3"/>
    <x v="0"/>
    <x v="7"/>
    <x v="3"/>
    <x v="3"/>
    <x v="3"/>
    <x v="3"/>
    <x v="7"/>
    <n v="26"/>
    <x v="0"/>
  </r>
  <r>
    <d v="2022-09-26T00:00:00"/>
    <x v="1"/>
    <x v="1"/>
    <x v="0"/>
    <n v="192"/>
    <x v="1"/>
    <x v="1"/>
    <x v="0"/>
    <x v="1"/>
    <x v="3"/>
    <x v="3"/>
    <x v="3"/>
    <x v="3"/>
    <x v="7"/>
    <n v="26"/>
    <x v="0"/>
  </r>
  <r>
    <d v="2022-09-26T00:00:00"/>
    <x v="0"/>
    <x v="1"/>
    <x v="0"/>
    <n v="11013054.470000001"/>
    <x v="0"/>
    <x v="1"/>
    <x v="0"/>
    <x v="2"/>
    <x v="3"/>
    <x v="3"/>
    <x v="3"/>
    <x v="3"/>
    <x v="7"/>
    <n v="26"/>
    <x v="0"/>
  </r>
  <r>
    <d v="2022-09-26T00:00:00"/>
    <x v="2"/>
    <x v="1"/>
    <x v="2"/>
    <n v="70781.88"/>
    <x v="2"/>
    <x v="1"/>
    <x v="2"/>
    <x v="4"/>
    <x v="3"/>
    <x v="3"/>
    <x v="3"/>
    <x v="3"/>
    <x v="7"/>
    <n v="26"/>
    <x v="0"/>
  </r>
  <r>
    <d v="2022-09-26T00:00:00"/>
    <x v="1"/>
    <x v="0"/>
    <x v="0"/>
    <n v="68005937.810000002"/>
    <x v="1"/>
    <x v="0"/>
    <x v="0"/>
    <x v="9"/>
    <x v="3"/>
    <x v="3"/>
    <x v="3"/>
    <x v="3"/>
    <x v="7"/>
    <n v="26"/>
    <x v="0"/>
  </r>
  <r>
    <d v="2022-09-26T00:00:00"/>
    <x v="0"/>
    <x v="1"/>
    <x v="1"/>
    <n v="17267336.539999999"/>
    <x v="0"/>
    <x v="1"/>
    <x v="1"/>
    <x v="3"/>
    <x v="3"/>
    <x v="3"/>
    <x v="3"/>
    <x v="3"/>
    <x v="7"/>
    <n v="26"/>
    <x v="0"/>
  </r>
  <r>
    <d v="2022-09-26T00:00:00"/>
    <x v="3"/>
    <x v="2"/>
    <x v="2"/>
    <n v="152054.01"/>
    <x v="3"/>
    <x v="2"/>
    <x v="2"/>
    <x v="5"/>
    <x v="3"/>
    <x v="3"/>
    <x v="3"/>
    <x v="3"/>
    <x v="7"/>
    <n v="26"/>
    <x v="0"/>
  </r>
  <r>
    <d v="2022-09-26T00:00:00"/>
    <x v="2"/>
    <x v="1"/>
    <x v="1"/>
    <n v="170275445.88"/>
    <x v="2"/>
    <x v="1"/>
    <x v="1"/>
    <x v="8"/>
    <x v="3"/>
    <x v="3"/>
    <x v="3"/>
    <x v="3"/>
    <x v="7"/>
    <n v="26"/>
    <x v="0"/>
  </r>
  <r>
    <d v="2022-09-26T00:00:00"/>
    <x v="1"/>
    <x v="0"/>
    <x v="1"/>
    <n v="1031418782.8099999"/>
    <x v="1"/>
    <x v="0"/>
    <x v="1"/>
    <x v="10"/>
    <x v="3"/>
    <x v="3"/>
    <x v="3"/>
    <x v="3"/>
    <x v="7"/>
    <n v="26"/>
    <x v="0"/>
  </r>
  <r>
    <d v="2022-09-26T00:00:00"/>
    <x v="3"/>
    <x v="2"/>
    <x v="0"/>
    <n v="389257178.31999999"/>
    <x v="3"/>
    <x v="2"/>
    <x v="0"/>
    <x v="11"/>
    <x v="3"/>
    <x v="3"/>
    <x v="3"/>
    <x v="3"/>
    <x v="7"/>
    <n v="26"/>
    <x v="0"/>
  </r>
  <r>
    <d v="2022-09-26T00:00:00"/>
    <x v="3"/>
    <x v="2"/>
    <x v="1"/>
    <n v="20110880199.470001"/>
    <x v="3"/>
    <x v="2"/>
    <x v="1"/>
    <x v="12"/>
    <x v="3"/>
    <x v="3"/>
    <x v="3"/>
    <x v="3"/>
    <x v="7"/>
    <n v="26"/>
    <x v="0"/>
  </r>
  <r>
    <d v="2022-09-26T00:00:00"/>
    <x v="3"/>
    <x v="1"/>
    <x v="0"/>
    <n v="41993973.5"/>
    <x v="3"/>
    <x v="1"/>
    <x v="0"/>
    <x v="13"/>
    <x v="3"/>
    <x v="3"/>
    <x v="3"/>
    <x v="3"/>
    <x v="7"/>
    <n v="26"/>
    <x v="0"/>
  </r>
  <r>
    <d v="2022-09-23T00:00:00"/>
    <x v="0"/>
    <x v="1"/>
    <x v="0"/>
    <n v="76127409.099999994"/>
    <x v="0"/>
    <x v="1"/>
    <x v="0"/>
    <x v="1"/>
    <x v="3"/>
    <x v="3"/>
    <x v="3"/>
    <x v="3"/>
    <x v="7"/>
    <n v="23"/>
    <x v="0"/>
  </r>
  <r>
    <d v="2022-09-23T00:00:00"/>
    <x v="3"/>
    <x v="2"/>
    <x v="2"/>
    <n v="428558.02"/>
    <x v="3"/>
    <x v="2"/>
    <x v="2"/>
    <x v="3"/>
    <x v="3"/>
    <x v="3"/>
    <x v="3"/>
    <x v="3"/>
    <x v="7"/>
    <n v="23"/>
    <x v="0"/>
  </r>
  <r>
    <d v="2022-09-23T00:00:00"/>
    <x v="3"/>
    <x v="3"/>
    <x v="1"/>
    <n v="2522770.04"/>
    <x v="3"/>
    <x v="3"/>
    <x v="1"/>
    <x v="4"/>
    <x v="3"/>
    <x v="3"/>
    <x v="3"/>
    <x v="3"/>
    <x v="7"/>
    <n v="23"/>
    <x v="0"/>
  </r>
  <r>
    <d v="2022-09-23T00:00:00"/>
    <x v="2"/>
    <x v="1"/>
    <x v="0"/>
    <n v="71872187"/>
    <x v="2"/>
    <x v="1"/>
    <x v="0"/>
    <x v="6"/>
    <x v="3"/>
    <x v="3"/>
    <x v="3"/>
    <x v="3"/>
    <x v="7"/>
    <n v="23"/>
    <x v="0"/>
  </r>
  <r>
    <d v="2022-09-23T00:00:00"/>
    <x v="3"/>
    <x v="3"/>
    <x v="0"/>
    <n v="5731109597.0600004"/>
    <x v="3"/>
    <x v="3"/>
    <x v="0"/>
    <x v="7"/>
    <x v="3"/>
    <x v="3"/>
    <x v="3"/>
    <x v="3"/>
    <x v="7"/>
    <n v="23"/>
    <x v="0"/>
  </r>
  <r>
    <d v="2022-09-23T00:00:00"/>
    <x v="0"/>
    <x v="1"/>
    <x v="1"/>
    <n v="4505050.92"/>
    <x v="0"/>
    <x v="1"/>
    <x v="1"/>
    <x v="5"/>
    <x v="3"/>
    <x v="3"/>
    <x v="3"/>
    <x v="3"/>
    <x v="7"/>
    <n v="23"/>
    <x v="0"/>
  </r>
  <r>
    <d v="2022-09-23T00:00:00"/>
    <x v="2"/>
    <x v="1"/>
    <x v="2"/>
    <n v="124575.25"/>
    <x v="2"/>
    <x v="1"/>
    <x v="2"/>
    <x v="2"/>
    <x v="3"/>
    <x v="3"/>
    <x v="3"/>
    <x v="3"/>
    <x v="7"/>
    <n v="23"/>
    <x v="0"/>
  </r>
  <r>
    <d v="2022-09-23T00:00:00"/>
    <x v="1"/>
    <x v="1"/>
    <x v="0"/>
    <n v="5451.65"/>
    <x v="1"/>
    <x v="1"/>
    <x v="0"/>
    <x v="0"/>
    <x v="3"/>
    <x v="3"/>
    <x v="3"/>
    <x v="3"/>
    <x v="7"/>
    <n v="23"/>
    <x v="0"/>
  </r>
  <r>
    <d v="2022-09-23T00:00:00"/>
    <x v="1"/>
    <x v="0"/>
    <x v="0"/>
    <n v="63877224.509999998"/>
    <x v="1"/>
    <x v="0"/>
    <x v="0"/>
    <x v="9"/>
    <x v="3"/>
    <x v="3"/>
    <x v="3"/>
    <x v="3"/>
    <x v="7"/>
    <n v="23"/>
    <x v="0"/>
  </r>
  <r>
    <d v="2022-09-23T00:00:00"/>
    <x v="2"/>
    <x v="1"/>
    <x v="1"/>
    <n v="354093328.37"/>
    <x v="2"/>
    <x v="1"/>
    <x v="1"/>
    <x v="8"/>
    <x v="3"/>
    <x v="3"/>
    <x v="3"/>
    <x v="3"/>
    <x v="7"/>
    <n v="23"/>
    <x v="0"/>
  </r>
  <r>
    <d v="2022-09-23T00:00:00"/>
    <x v="1"/>
    <x v="0"/>
    <x v="1"/>
    <n v="4225417303.9000001"/>
    <x v="1"/>
    <x v="0"/>
    <x v="1"/>
    <x v="10"/>
    <x v="3"/>
    <x v="3"/>
    <x v="3"/>
    <x v="3"/>
    <x v="7"/>
    <n v="23"/>
    <x v="0"/>
  </r>
  <r>
    <d v="2022-09-23T00:00:00"/>
    <x v="3"/>
    <x v="2"/>
    <x v="0"/>
    <n v="7415053712.6700001"/>
    <x v="3"/>
    <x v="2"/>
    <x v="0"/>
    <x v="11"/>
    <x v="3"/>
    <x v="3"/>
    <x v="3"/>
    <x v="3"/>
    <x v="7"/>
    <n v="23"/>
    <x v="0"/>
  </r>
  <r>
    <d v="2022-09-23T00:00:00"/>
    <x v="3"/>
    <x v="2"/>
    <x v="1"/>
    <n v="10832951833.76"/>
    <x v="3"/>
    <x v="2"/>
    <x v="1"/>
    <x v="12"/>
    <x v="3"/>
    <x v="3"/>
    <x v="3"/>
    <x v="3"/>
    <x v="7"/>
    <n v="23"/>
    <x v="0"/>
  </r>
  <r>
    <d v="2022-09-23T00:00:00"/>
    <x v="3"/>
    <x v="1"/>
    <x v="0"/>
    <n v="13533534.939999999"/>
    <x v="3"/>
    <x v="1"/>
    <x v="0"/>
    <x v="13"/>
    <x v="3"/>
    <x v="3"/>
    <x v="3"/>
    <x v="3"/>
    <x v="7"/>
    <n v="23"/>
    <x v="0"/>
  </r>
  <r>
    <d v="2022-09-22T00:00:00"/>
    <x v="2"/>
    <x v="1"/>
    <x v="2"/>
    <n v="6608"/>
    <x v="2"/>
    <x v="1"/>
    <x v="2"/>
    <x v="2"/>
    <x v="3"/>
    <x v="3"/>
    <x v="3"/>
    <x v="3"/>
    <x v="7"/>
    <n v="22"/>
    <x v="0"/>
  </r>
  <r>
    <d v="2022-09-22T00:00:00"/>
    <x v="2"/>
    <x v="1"/>
    <x v="0"/>
    <n v="110135279.89"/>
    <x v="2"/>
    <x v="1"/>
    <x v="0"/>
    <x v="6"/>
    <x v="3"/>
    <x v="3"/>
    <x v="3"/>
    <x v="3"/>
    <x v="7"/>
    <n v="22"/>
    <x v="0"/>
  </r>
  <r>
    <d v="2022-09-22T00:00:00"/>
    <x v="2"/>
    <x v="1"/>
    <x v="1"/>
    <n v="377562195.13"/>
    <x v="2"/>
    <x v="1"/>
    <x v="1"/>
    <x v="7"/>
    <x v="3"/>
    <x v="3"/>
    <x v="3"/>
    <x v="3"/>
    <x v="7"/>
    <n v="22"/>
    <x v="0"/>
  </r>
  <r>
    <d v="2022-09-22T00:00:00"/>
    <x v="3"/>
    <x v="3"/>
    <x v="0"/>
    <n v="1907086656.5999999"/>
    <x v="3"/>
    <x v="3"/>
    <x v="0"/>
    <x v="8"/>
    <x v="3"/>
    <x v="3"/>
    <x v="3"/>
    <x v="3"/>
    <x v="7"/>
    <n v="22"/>
    <x v="0"/>
  </r>
  <r>
    <d v="2022-09-22T00:00:00"/>
    <x v="1"/>
    <x v="0"/>
    <x v="0"/>
    <n v="76311043.909999996"/>
    <x v="1"/>
    <x v="0"/>
    <x v="0"/>
    <x v="9"/>
    <x v="3"/>
    <x v="3"/>
    <x v="3"/>
    <x v="3"/>
    <x v="7"/>
    <n v="22"/>
    <x v="0"/>
  </r>
  <r>
    <d v="2022-09-22T00:00:00"/>
    <x v="3"/>
    <x v="3"/>
    <x v="1"/>
    <n v="3004198.62"/>
    <x v="3"/>
    <x v="3"/>
    <x v="1"/>
    <x v="3"/>
    <x v="3"/>
    <x v="3"/>
    <x v="3"/>
    <x v="3"/>
    <x v="7"/>
    <n v="22"/>
    <x v="0"/>
  </r>
  <r>
    <d v="2022-09-22T00:00:00"/>
    <x v="0"/>
    <x v="1"/>
    <x v="1"/>
    <n v="7863394.4900000002"/>
    <x v="0"/>
    <x v="1"/>
    <x v="1"/>
    <x v="4"/>
    <x v="3"/>
    <x v="3"/>
    <x v="3"/>
    <x v="3"/>
    <x v="7"/>
    <n v="22"/>
    <x v="0"/>
  </r>
  <r>
    <d v="2022-09-22T00:00:00"/>
    <x v="3"/>
    <x v="2"/>
    <x v="2"/>
    <n v="86754.79"/>
    <x v="3"/>
    <x v="2"/>
    <x v="2"/>
    <x v="5"/>
    <x v="3"/>
    <x v="3"/>
    <x v="3"/>
    <x v="3"/>
    <x v="7"/>
    <n v="22"/>
    <x v="0"/>
  </r>
  <r>
    <d v="2022-09-22T00:00:00"/>
    <x v="1"/>
    <x v="1"/>
    <x v="0"/>
    <n v="413"/>
    <x v="1"/>
    <x v="1"/>
    <x v="0"/>
    <x v="0"/>
    <x v="3"/>
    <x v="3"/>
    <x v="3"/>
    <x v="3"/>
    <x v="7"/>
    <n v="22"/>
    <x v="0"/>
  </r>
  <r>
    <d v="2022-09-22T00:00:00"/>
    <x v="0"/>
    <x v="1"/>
    <x v="0"/>
    <n v="14482797.25"/>
    <x v="0"/>
    <x v="1"/>
    <x v="0"/>
    <x v="1"/>
    <x v="3"/>
    <x v="3"/>
    <x v="3"/>
    <x v="3"/>
    <x v="7"/>
    <n v="22"/>
    <x v="0"/>
  </r>
  <r>
    <d v="2022-09-22T00:00:00"/>
    <x v="1"/>
    <x v="0"/>
    <x v="1"/>
    <n v="13747881925.059999"/>
    <x v="1"/>
    <x v="0"/>
    <x v="1"/>
    <x v="10"/>
    <x v="3"/>
    <x v="3"/>
    <x v="3"/>
    <x v="3"/>
    <x v="7"/>
    <n v="22"/>
    <x v="0"/>
  </r>
  <r>
    <d v="2022-09-22T00:00:00"/>
    <x v="3"/>
    <x v="2"/>
    <x v="0"/>
    <n v="323291316.01999998"/>
    <x v="3"/>
    <x v="2"/>
    <x v="0"/>
    <x v="11"/>
    <x v="3"/>
    <x v="3"/>
    <x v="3"/>
    <x v="3"/>
    <x v="7"/>
    <n v="22"/>
    <x v="0"/>
  </r>
  <r>
    <d v="2022-09-22T00:00:00"/>
    <x v="3"/>
    <x v="1"/>
    <x v="0"/>
    <n v="14020499.710000001"/>
    <x v="3"/>
    <x v="1"/>
    <x v="0"/>
    <x v="12"/>
    <x v="3"/>
    <x v="3"/>
    <x v="3"/>
    <x v="3"/>
    <x v="7"/>
    <n v="22"/>
    <x v="0"/>
  </r>
  <r>
    <d v="2022-09-22T00:00:00"/>
    <x v="3"/>
    <x v="2"/>
    <x v="1"/>
    <n v="3611241996.4299998"/>
    <x v="3"/>
    <x v="2"/>
    <x v="1"/>
    <x v="13"/>
    <x v="3"/>
    <x v="3"/>
    <x v="3"/>
    <x v="3"/>
    <x v="7"/>
    <n v="22"/>
    <x v="0"/>
  </r>
  <r>
    <d v="2022-09-21T00:00:00"/>
    <x v="2"/>
    <x v="1"/>
    <x v="0"/>
    <n v="74028781.519999996"/>
    <x v="2"/>
    <x v="1"/>
    <x v="0"/>
    <x v="5"/>
    <x v="3"/>
    <x v="3"/>
    <x v="3"/>
    <x v="3"/>
    <x v="7"/>
    <n v="21"/>
    <x v="0"/>
  </r>
  <r>
    <d v="2022-09-21T00:00:00"/>
    <x v="3"/>
    <x v="3"/>
    <x v="0"/>
    <n v="2059544604.1300001"/>
    <x v="3"/>
    <x v="3"/>
    <x v="0"/>
    <x v="6"/>
    <x v="3"/>
    <x v="3"/>
    <x v="3"/>
    <x v="3"/>
    <x v="7"/>
    <n v="21"/>
    <x v="0"/>
  </r>
  <r>
    <d v="2022-09-21T00:00:00"/>
    <x v="2"/>
    <x v="1"/>
    <x v="2"/>
    <n v="40039.919999999998"/>
    <x v="2"/>
    <x v="1"/>
    <x v="2"/>
    <x v="3"/>
    <x v="3"/>
    <x v="3"/>
    <x v="3"/>
    <x v="3"/>
    <x v="7"/>
    <n v="21"/>
    <x v="0"/>
  </r>
  <r>
    <d v="2022-09-21T00:00:00"/>
    <x v="1"/>
    <x v="0"/>
    <x v="0"/>
    <n v="87525923.489999995"/>
    <x v="1"/>
    <x v="0"/>
    <x v="0"/>
    <x v="8"/>
    <x v="3"/>
    <x v="3"/>
    <x v="3"/>
    <x v="3"/>
    <x v="7"/>
    <n v="21"/>
    <x v="0"/>
  </r>
  <r>
    <d v="2022-09-21T00:00:00"/>
    <x v="0"/>
    <x v="1"/>
    <x v="1"/>
    <n v="9040498.3000000007"/>
    <x v="0"/>
    <x v="1"/>
    <x v="1"/>
    <x v="2"/>
    <x v="3"/>
    <x v="3"/>
    <x v="3"/>
    <x v="3"/>
    <x v="7"/>
    <n v="21"/>
    <x v="0"/>
  </r>
  <r>
    <d v="2022-09-21T00:00:00"/>
    <x v="3"/>
    <x v="2"/>
    <x v="2"/>
    <n v="140100.35999999999"/>
    <x v="3"/>
    <x v="2"/>
    <x v="2"/>
    <x v="4"/>
    <x v="3"/>
    <x v="3"/>
    <x v="3"/>
    <x v="3"/>
    <x v="7"/>
    <n v="21"/>
    <x v="0"/>
  </r>
  <r>
    <d v="2022-09-21T00:00:00"/>
    <x v="1"/>
    <x v="1"/>
    <x v="0"/>
    <n v="18738"/>
    <x v="1"/>
    <x v="1"/>
    <x v="0"/>
    <x v="0"/>
    <x v="3"/>
    <x v="3"/>
    <x v="3"/>
    <x v="3"/>
    <x v="7"/>
    <n v="21"/>
    <x v="0"/>
  </r>
  <r>
    <d v="2022-09-21T00:00:00"/>
    <x v="0"/>
    <x v="1"/>
    <x v="0"/>
    <n v="13085647.25"/>
    <x v="0"/>
    <x v="1"/>
    <x v="0"/>
    <x v="1"/>
    <x v="3"/>
    <x v="3"/>
    <x v="3"/>
    <x v="3"/>
    <x v="7"/>
    <n v="21"/>
    <x v="0"/>
  </r>
  <r>
    <d v="2022-09-21T00:00:00"/>
    <x v="2"/>
    <x v="1"/>
    <x v="1"/>
    <n v="346726366.77999997"/>
    <x v="2"/>
    <x v="1"/>
    <x v="1"/>
    <x v="7"/>
    <x v="3"/>
    <x v="3"/>
    <x v="3"/>
    <x v="3"/>
    <x v="7"/>
    <n v="21"/>
    <x v="0"/>
  </r>
  <r>
    <d v="2022-09-21T00:00:00"/>
    <x v="1"/>
    <x v="0"/>
    <x v="1"/>
    <n v="15455251702.870001"/>
    <x v="1"/>
    <x v="0"/>
    <x v="1"/>
    <x v="9"/>
    <x v="3"/>
    <x v="3"/>
    <x v="3"/>
    <x v="3"/>
    <x v="7"/>
    <n v="21"/>
    <x v="0"/>
  </r>
  <r>
    <d v="2022-09-21T00:00:00"/>
    <x v="3"/>
    <x v="2"/>
    <x v="0"/>
    <n v="367476037.51999998"/>
    <x v="3"/>
    <x v="2"/>
    <x v="0"/>
    <x v="10"/>
    <x v="3"/>
    <x v="3"/>
    <x v="3"/>
    <x v="3"/>
    <x v="7"/>
    <n v="21"/>
    <x v="0"/>
  </r>
  <r>
    <d v="2022-09-21T00:00:00"/>
    <x v="3"/>
    <x v="1"/>
    <x v="0"/>
    <n v="14336970.960000001"/>
    <x v="3"/>
    <x v="1"/>
    <x v="0"/>
    <x v="11"/>
    <x v="3"/>
    <x v="3"/>
    <x v="3"/>
    <x v="3"/>
    <x v="7"/>
    <n v="21"/>
    <x v="0"/>
  </r>
  <r>
    <d v="2022-09-21T00:00:00"/>
    <x v="3"/>
    <x v="2"/>
    <x v="1"/>
    <n v="12161368211.190001"/>
    <x v="3"/>
    <x v="2"/>
    <x v="1"/>
    <x v="12"/>
    <x v="3"/>
    <x v="3"/>
    <x v="3"/>
    <x v="3"/>
    <x v="7"/>
    <n v="21"/>
    <x v="0"/>
  </r>
  <r>
    <d v="2022-09-20T00:00:00"/>
    <x v="3"/>
    <x v="2"/>
    <x v="2"/>
    <n v="70480.990000000005"/>
    <x v="3"/>
    <x v="2"/>
    <x v="2"/>
    <x v="4"/>
    <x v="3"/>
    <x v="3"/>
    <x v="3"/>
    <x v="3"/>
    <x v="7"/>
    <n v="20"/>
    <x v="0"/>
  </r>
  <r>
    <d v="2022-09-20T00:00:00"/>
    <x v="2"/>
    <x v="1"/>
    <x v="0"/>
    <n v="81162106.010000005"/>
    <x v="2"/>
    <x v="1"/>
    <x v="0"/>
    <x v="5"/>
    <x v="3"/>
    <x v="3"/>
    <x v="3"/>
    <x v="3"/>
    <x v="7"/>
    <n v="20"/>
    <x v="0"/>
  </r>
  <r>
    <d v="2022-09-20T00:00:00"/>
    <x v="1"/>
    <x v="0"/>
    <x v="0"/>
    <n v="61166931.530000001"/>
    <x v="1"/>
    <x v="0"/>
    <x v="0"/>
    <x v="8"/>
    <x v="3"/>
    <x v="3"/>
    <x v="3"/>
    <x v="3"/>
    <x v="7"/>
    <n v="20"/>
    <x v="0"/>
  </r>
  <r>
    <d v="2022-09-20T00:00:00"/>
    <x v="0"/>
    <x v="1"/>
    <x v="1"/>
    <n v="4361552.67"/>
    <x v="0"/>
    <x v="1"/>
    <x v="1"/>
    <x v="2"/>
    <x v="3"/>
    <x v="3"/>
    <x v="3"/>
    <x v="3"/>
    <x v="7"/>
    <n v="20"/>
    <x v="0"/>
  </r>
  <r>
    <d v="2022-09-20T00:00:00"/>
    <x v="2"/>
    <x v="1"/>
    <x v="2"/>
    <n v="35734.620000000003"/>
    <x v="2"/>
    <x v="1"/>
    <x v="2"/>
    <x v="3"/>
    <x v="3"/>
    <x v="3"/>
    <x v="3"/>
    <x v="3"/>
    <x v="7"/>
    <n v="20"/>
    <x v="0"/>
  </r>
  <r>
    <d v="2022-09-20T00:00:00"/>
    <x v="0"/>
    <x v="1"/>
    <x v="0"/>
    <n v="25573248.16"/>
    <x v="0"/>
    <x v="1"/>
    <x v="0"/>
    <x v="1"/>
    <x v="3"/>
    <x v="3"/>
    <x v="3"/>
    <x v="3"/>
    <x v="7"/>
    <n v="20"/>
    <x v="0"/>
  </r>
  <r>
    <d v="2022-09-20T00:00:00"/>
    <x v="1"/>
    <x v="1"/>
    <x v="0"/>
    <n v="1575.5"/>
    <x v="1"/>
    <x v="1"/>
    <x v="0"/>
    <x v="0"/>
    <x v="3"/>
    <x v="3"/>
    <x v="3"/>
    <x v="3"/>
    <x v="7"/>
    <n v="20"/>
    <x v="0"/>
  </r>
  <r>
    <d v="2022-09-20T00:00:00"/>
    <x v="3"/>
    <x v="3"/>
    <x v="0"/>
    <n v="3865649991.1199999"/>
    <x v="3"/>
    <x v="3"/>
    <x v="0"/>
    <x v="6"/>
    <x v="3"/>
    <x v="3"/>
    <x v="3"/>
    <x v="3"/>
    <x v="7"/>
    <n v="20"/>
    <x v="0"/>
  </r>
  <r>
    <d v="2022-09-20T00:00:00"/>
    <x v="2"/>
    <x v="1"/>
    <x v="1"/>
    <n v="397251711.06999999"/>
    <x v="2"/>
    <x v="1"/>
    <x v="1"/>
    <x v="7"/>
    <x v="3"/>
    <x v="3"/>
    <x v="3"/>
    <x v="3"/>
    <x v="7"/>
    <n v="20"/>
    <x v="0"/>
  </r>
  <r>
    <d v="2022-09-20T00:00:00"/>
    <x v="1"/>
    <x v="0"/>
    <x v="1"/>
    <n v="7360242083.2700005"/>
    <x v="1"/>
    <x v="0"/>
    <x v="1"/>
    <x v="9"/>
    <x v="3"/>
    <x v="3"/>
    <x v="3"/>
    <x v="3"/>
    <x v="7"/>
    <n v="20"/>
    <x v="0"/>
  </r>
  <r>
    <d v="2022-09-20T00:00:00"/>
    <x v="3"/>
    <x v="2"/>
    <x v="0"/>
    <n v="640080379.48000002"/>
    <x v="3"/>
    <x v="2"/>
    <x v="0"/>
    <x v="10"/>
    <x v="3"/>
    <x v="3"/>
    <x v="3"/>
    <x v="3"/>
    <x v="7"/>
    <n v="20"/>
    <x v="0"/>
  </r>
  <r>
    <d v="2022-09-20T00:00:00"/>
    <x v="3"/>
    <x v="1"/>
    <x v="0"/>
    <n v="12100924.289999999"/>
    <x v="3"/>
    <x v="1"/>
    <x v="0"/>
    <x v="11"/>
    <x v="3"/>
    <x v="3"/>
    <x v="3"/>
    <x v="3"/>
    <x v="7"/>
    <n v="20"/>
    <x v="0"/>
  </r>
  <r>
    <d v="2022-09-20T00:00:00"/>
    <x v="3"/>
    <x v="2"/>
    <x v="1"/>
    <n v="3701497541.1700001"/>
    <x v="3"/>
    <x v="2"/>
    <x v="1"/>
    <x v="12"/>
    <x v="3"/>
    <x v="3"/>
    <x v="3"/>
    <x v="3"/>
    <x v="7"/>
    <n v="20"/>
    <x v="0"/>
  </r>
  <r>
    <d v="2022-09-19T00:00:00"/>
    <x v="2"/>
    <x v="1"/>
    <x v="2"/>
    <n v="16337.34"/>
    <x v="2"/>
    <x v="1"/>
    <x v="2"/>
    <x v="3"/>
    <x v="3"/>
    <x v="3"/>
    <x v="3"/>
    <x v="3"/>
    <x v="7"/>
    <n v="19"/>
    <x v="0"/>
  </r>
  <r>
    <d v="2022-09-19T00:00:00"/>
    <x v="2"/>
    <x v="1"/>
    <x v="0"/>
    <n v="73917879.370000005"/>
    <x v="2"/>
    <x v="1"/>
    <x v="0"/>
    <x v="7"/>
    <x v="3"/>
    <x v="3"/>
    <x v="3"/>
    <x v="3"/>
    <x v="7"/>
    <n v="19"/>
    <x v="0"/>
  </r>
  <r>
    <d v="2022-09-19T00:00:00"/>
    <x v="3"/>
    <x v="3"/>
    <x v="0"/>
    <n v="870569992.57000005"/>
    <x v="3"/>
    <x v="3"/>
    <x v="0"/>
    <x v="9"/>
    <x v="3"/>
    <x v="3"/>
    <x v="3"/>
    <x v="3"/>
    <x v="7"/>
    <n v="19"/>
    <x v="0"/>
  </r>
  <r>
    <d v="2022-09-19T00:00:00"/>
    <x v="3"/>
    <x v="2"/>
    <x v="2"/>
    <n v="101166.53"/>
    <x v="3"/>
    <x v="2"/>
    <x v="2"/>
    <x v="6"/>
    <x v="3"/>
    <x v="3"/>
    <x v="3"/>
    <x v="3"/>
    <x v="7"/>
    <n v="19"/>
    <x v="0"/>
  </r>
  <r>
    <d v="2022-09-19T00:00:00"/>
    <x v="3"/>
    <x v="3"/>
    <x v="1"/>
    <n v="6904209.3499999996"/>
    <x v="3"/>
    <x v="3"/>
    <x v="1"/>
    <x v="4"/>
    <x v="3"/>
    <x v="3"/>
    <x v="3"/>
    <x v="3"/>
    <x v="7"/>
    <n v="19"/>
    <x v="0"/>
  </r>
  <r>
    <d v="2022-09-19T00:00:00"/>
    <x v="1"/>
    <x v="0"/>
    <x v="0"/>
    <n v="68890287.670000002"/>
    <x v="1"/>
    <x v="0"/>
    <x v="0"/>
    <x v="10"/>
    <x v="3"/>
    <x v="3"/>
    <x v="3"/>
    <x v="3"/>
    <x v="7"/>
    <n v="19"/>
    <x v="0"/>
  </r>
  <r>
    <d v="2022-09-19T00:00:00"/>
    <x v="0"/>
    <x v="1"/>
    <x v="1"/>
    <n v="7002667.6100000003"/>
    <x v="0"/>
    <x v="1"/>
    <x v="1"/>
    <x v="5"/>
    <x v="3"/>
    <x v="3"/>
    <x v="3"/>
    <x v="3"/>
    <x v="7"/>
    <n v="19"/>
    <x v="0"/>
  </r>
  <r>
    <d v="2022-09-19T00:00:00"/>
    <x v="0"/>
    <x v="0"/>
    <x v="0"/>
    <n v="462.78"/>
    <x v="0"/>
    <x v="0"/>
    <x v="0"/>
    <x v="0"/>
    <x v="3"/>
    <x v="3"/>
    <x v="3"/>
    <x v="3"/>
    <x v="7"/>
    <n v="19"/>
    <x v="0"/>
  </r>
  <r>
    <d v="2022-09-19T00:00:00"/>
    <x v="1"/>
    <x v="1"/>
    <x v="0"/>
    <n v="1095.19"/>
    <x v="1"/>
    <x v="1"/>
    <x v="0"/>
    <x v="1"/>
    <x v="3"/>
    <x v="3"/>
    <x v="3"/>
    <x v="3"/>
    <x v="7"/>
    <n v="19"/>
    <x v="0"/>
  </r>
  <r>
    <d v="2022-09-19T00:00:00"/>
    <x v="0"/>
    <x v="1"/>
    <x v="0"/>
    <n v="16490411.800000001"/>
    <x v="0"/>
    <x v="1"/>
    <x v="0"/>
    <x v="2"/>
    <x v="3"/>
    <x v="3"/>
    <x v="3"/>
    <x v="3"/>
    <x v="7"/>
    <n v="19"/>
    <x v="0"/>
  </r>
  <r>
    <d v="2022-09-19T00:00:00"/>
    <x v="2"/>
    <x v="1"/>
    <x v="1"/>
    <n v="566907614.14999998"/>
    <x v="2"/>
    <x v="1"/>
    <x v="1"/>
    <x v="8"/>
    <x v="3"/>
    <x v="3"/>
    <x v="3"/>
    <x v="3"/>
    <x v="7"/>
    <n v="19"/>
    <x v="0"/>
  </r>
  <r>
    <d v="2022-09-19T00:00:00"/>
    <x v="1"/>
    <x v="0"/>
    <x v="1"/>
    <n v="5392036563.8900003"/>
    <x v="1"/>
    <x v="0"/>
    <x v="1"/>
    <x v="11"/>
    <x v="3"/>
    <x v="3"/>
    <x v="3"/>
    <x v="3"/>
    <x v="7"/>
    <n v="19"/>
    <x v="0"/>
  </r>
  <r>
    <d v="2022-09-19T00:00:00"/>
    <x v="3"/>
    <x v="2"/>
    <x v="0"/>
    <n v="464021666.92000002"/>
    <x v="3"/>
    <x v="2"/>
    <x v="0"/>
    <x v="12"/>
    <x v="3"/>
    <x v="3"/>
    <x v="3"/>
    <x v="3"/>
    <x v="7"/>
    <n v="19"/>
    <x v="0"/>
  </r>
  <r>
    <d v="2022-09-19T00:00:00"/>
    <x v="3"/>
    <x v="1"/>
    <x v="0"/>
    <n v="46507404.759999998"/>
    <x v="3"/>
    <x v="1"/>
    <x v="0"/>
    <x v="13"/>
    <x v="3"/>
    <x v="3"/>
    <x v="3"/>
    <x v="3"/>
    <x v="7"/>
    <n v="19"/>
    <x v="0"/>
  </r>
  <r>
    <d v="2022-09-19T00:00:00"/>
    <x v="3"/>
    <x v="2"/>
    <x v="1"/>
    <n v="22966497719.560001"/>
    <x v="3"/>
    <x v="2"/>
    <x v="1"/>
    <x v="14"/>
    <x v="3"/>
    <x v="3"/>
    <x v="3"/>
    <x v="3"/>
    <x v="7"/>
    <n v="19"/>
    <x v="0"/>
  </r>
  <r>
    <d v="2022-09-16T00:00:00"/>
    <x v="2"/>
    <x v="1"/>
    <x v="0"/>
    <n v="83737112.079999998"/>
    <x v="2"/>
    <x v="1"/>
    <x v="0"/>
    <x v="7"/>
    <x v="3"/>
    <x v="3"/>
    <x v="3"/>
    <x v="3"/>
    <x v="7"/>
    <n v="16"/>
    <x v="0"/>
  </r>
  <r>
    <d v="2022-09-16T00:00:00"/>
    <x v="2"/>
    <x v="1"/>
    <x v="2"/>
    <n v="8131.34"/>
    <x v="2"/>
    <x v="1"/>
    <x v="2"/>
    <x v="5"/>
    <x v="3"/>
    <x v="3"/>
    <x v="3"/>
    <x v="3"/>
    <x v="7"/>
    <n v="16"/>
    <x v="0"/>
  </r>
  <r>
    <d v="2022-09-16T00:00:00"/>
    <x v="3"/>
    <x v="3"/>
    <x v="0"/>
    <n v="1197806315.3499999"/>
    <x v="3"/>
    <x v="3"/>
    <x v="0"/>
    <x v="8"/>
    <x v="3"/>
    <x v="3"/>
    <x v="3"/>
    <x v="3"/>
    <x v="7"/>
    <n v="16"/>
    <x v="0"/>
  </r>
  <r>
    <d v="2022-09-16T00:00:00"/>
    <x v="2"/>
    <x v="1"/>
    <x v="1"/>
    <n v="205876336.43000001"/>
    <x v="2"/>
    <x v="1"/>
    <x v="1"/>
    <x v="9"/>
    <x v="3"/>
    <x v="3"/>
    <x v="3"/>
    <x v="3"/>
    <x v="7"/>
    <n v="16"/>
    <x v="0"/>
  </r>
  <r>
    <d v="2022-09-16T00:00:00"/>
    <x v="3"/>
    <x v="3"/>
    <x v="1"/>
    <n v="5898180.5999999996"/>
    <x v="3"/>
    <x v="3"/>
    <x v="1"/>
    <x v="3"/>
    <x v="3"/>
    <x v="3"/>
    <x v="3"/>
    <x v="3"/>
    <x v="7"/>
    <n v="16"/>
    <x v="0"/>
  </r>
  <r>
    <d v="2022-09-16T00:00:00"/>
    <x v="0"/>
    <x v="1"/>
    <x v="1"/>
    <n v="8866377.0099999998"/>
    <x v="0"/>
    <x v="1"/>
    <x v="1"/>
    <x v="4"/>
    <x v="3"/>
    <x v="3"/>
    <x v="3"/>
    <x v="3"/>
    <x v="7"/>
    <n v="16"/>
    <x v="0"/>
  </r>
  <r>
    <d v="2022-09-16T00:00:00"/>
    <x v="3"/>
    <x v="2"/>
    <x v="2"/>
    <n v="643048.09"/>
    <x v="3"/>
    <x v="2"/>
    <x v="2"/>
    <x v="6"/>
    <x v="3"/>
    <x v="3"/>
    <x v="3"/>
    <x v="3"/>
    <x v="7"/>
    <n v="16"/>
    <x v="0"/>
  </r>
  <r>
    <d v="2022-09-16T00:00:00"/>
    <x v="0"/>
    <x v="0"/>
    <x v="0"/>
    <n v="30"/>
    <x v="0"/>
    <x v="0"/>
    <x v="0"/>
    <x v="0"/>
    <x v="3"/>
    <x v="3"/>
    <x v="3"/>
    <x v="3"/>
    <x v="7"/>
    <n v="16"/>
    <x v="0"/>
  </r>
  <r>
    <d v="2022-09-16T00:00:00"/>
    <x v="1"/>
    <x v="1"/>
    <x v="0"/>
    <n v="4649.07"/>
    <x v="1"/>
    <x v="1"/>
    <x v="0"/>
    <x v="1"/>
    <x v="3"/>
    <x v="3"/>
    <x v="3"/>
    <x v="3"/>
    <x v="7"/>
    <n v="16"/>
    <x v="0"/>
  </r>
  <r>
    <d v="2022-09-16T00:00:00"/>
    <x v="0"/>
    <x v="1"/>
    <x v="0"/>
    <n v="17144730.219999999"/>
    <x v="0"/>
    <x v="1"/>
    <x v="0"/>
    <x v="2"/>
    <x v="3"/>
    <x v="3"/>
    <x v="3"/>
    <x v="3"/>
    <x v="7"/>
    <n v="16"/>
    <x v="0"/>
  </r>
  <r>
    <d v="2022-09-16T00:00:00"/>
    <x v="1"/>
    <x v="0"/>
    <x v="0"/>
    <n v="64779004.640000001"/>
    <x v="1"/>
    <x v="0"/>
    <x v="0"/>
    <x v="10"/>
    <x v="3"/>
    <x v="3"/>
    <x v="3"/>
    <x v="3"/>
    <x v="7"/>
    <n v="16"/>
    <x v="0"/>
  </r>
  <r>
    <d v="2022-09-16T00:00:00"/>
    <x v="1"/>
    <x v="0"/>
    <x v="1"/>
    <n v="2688806949.2600002"/>
    <x v="1"/>
    <x v="0"/>
    <x v="1"/>
    <x v="11"/>
    <x v="3"/>
    <x v="3"/>
    <x v="3"/>
    <x v="3"/>
    <x v="7"/>
    <n v="16"/>
    <x v="0"/>
  </r>
  <r>
    <d v="2022-09-16T00:00:00"/>
    <x v="3"/>
    <x v="2"/>
    <x v="0"/>
    <n v="419720563.81"/>
    <x v="3"/>
    <x v="2"/>
    <x v="0"/>
    <x v="12"/>
    <x v="3"/>
    <x v="3"/>
    <x v="3"/>
    <x v="3"/>
    <x v="7"/>
    <n v="16"/>
    <x v="0"/>
  </r>
  <r>
    <d v="2022-09-16T00:00:00"/>
    <x v="3"/>
    <x v="1"/>
    <x v="0"/>
    <n v="17171374.23"/>
    <x v="3"/>
    <x v="1"/>
    <x v="0"/>
    <x v="13"/>
    <x v="3"/>
    <x v="3"/>
    <x v="3"/>
    <x v="3"/>
    <x v="7"/>
    <n v="16"/>
    <x v="0"/>
  </r>
  <r>
    <d v="2022-09-16T00:00:00"/>
    <x v="3"/>
    <x v="2"/>
    <x v="1"/>
    <n v="27880490076.790001"/>
    <x v="3"/>
    <x v="2"/>
    <x v="1"/>
    <x v="14"/>
    <x v="3"/>
    <x v="3"/>
    <x v="3"/>
    <x v="3"/>
    <x v="7"/>
    <n v="16"/>
    <x v="0"/>
  </r>
  <r>
    <d v="2022-09-15T00:00:00"/>
    <x v="2"/>
    <x v="1"/>
    <x v="2"/>
    <n v="4631.17"/>
    <x v="2"/>
    <x v="1"/>
    <x v="2"/>
    <x v="3"/>
    <x v="3"/>
    <x v="3"/>
    <x v="3"/>
    <x v="3"/>
    <x v="7"/>
    <n v="15"/>
    <x v="0"/>
  </r>
  <r>
    <d v="2022-09-15T00:00:00"/>
    <x v="3"/>
    <x v="3"/>
    <x v="0"/>
    <n v="1248842304.0899999"/>
    <x v="3"/>
    <x v="3"/>
    <x v="0"/>
    <x v="7"/>
    <x v="3"/>
    <x v="3"/>
    <x v="3"/>
    <x v="3"/>
    <x v="7"/>
    <n v="15"/>
    <x v="0"/>
  </r>
  <r>
    <d v="2022-09-15T00:00:00"/>
    <x v="0"/>
    <x v="1"/>
    <x v="1"/>
    <n v="28535391.66"/>
    <x v="0"/>
    <x v="1"/>
    <x v="1"/>
    <x v="4"/>
    <x v="3"/>
    <x v="3"/>
    <x v="3"/>
    <x v="3"/>
    <x v="7"/>
    <n v="15"/>
    <x v="0"/>
  </r>
  <r>
    <d v="2022-09-15T00:00:00"/>
    <x v="3"/>
    <x v="2"/>
    <x v="2"/>
    <n v="105907"/>
    <x v="3"/>
    <x v="2"/>
    <x v="2"/>
    <x v="5"/>
    <x v="3"/>
    <x v="3"/>
    <x v="3"/>
    <x v="3"/>
    <x v="7"/>
    <n v="15"/>
    <x v="0"/>
  </r>
  <r>
    <d v="2022-09-15T00:00:00"/>
    <x v="0"/>
    <x v="0"/>
    <x v="0"/>
    <n v="40"/>
    <x v="0"/>
    <x v="0"/>
    <x v="0"/>
    <x v="0"/>
    <x v="3"/>
    <x v="3"/>
    <x v="3"/>
    <x v="3"/>
    <x v="7"/>
    <n v="15"/>
    <x v="0"/>
  </r>
  <r>
    <d v="2022-09-15T00:00:00"/>
    <x v="1"/>
    <x v="1"/>
    <x v="0"/>
    <n v="5376.57"/>
    <x v="1"/>
    <x v="1"/>
    <x v="0"/>
    <x v="1"/>
    <x v="3"/>
    <x v="3"/>
    <x v="3"/>
    <x v="3"/>
    <x v="7"/>
    <n v="15"/>
    <x v="0"/>
  </r>
  <r>
    <d v="2022-09-15T00:00:00"/>
    <x v="0"/>
    <x v="1"/>
    <x v="0"/>
    <n v="23610285.989999998"/>
    <x v="0"/>
    <x v="1"/>
    <x v="0"/>
    <x v="2"/>
    <x v="3"/>
    <x v="3"/>
    <x v="3"/>
    <x v="3"/>
    <x v="7"/>
    <n v="15"/>
    <x v="0"/>
  </r>
  <r>
    <d v="2022-09-15T00:00:00"/>
    <x v="2"/>
    <x v="1"/>
    <x v="1"/>
    <n v="184936964.69"/>
    <x v="2"/>
    <x v="1"/>
    <x v="1"/>
    <x v="8"/>
    <x v="3"/>
    <x v="3"/>
    <x v="3"/>
    <x v="3"/>
    <x v="7"/>
    <n v="15"/>
    <x v="0"/>
  </r>
  <r>
    <d v="2022-09-15T00:00:00"/>
    <x v="2"/>
    <x v="1"/>
    <x v="0"/>
    <n v="79157094.260000005"/>
    <x v="2"/>
    <x v="1"/>
    <x v="0"/>
    <x v="6"/>
    <x v="3"/>
    <x v="3"/>
    <x v="3"/>
    <x v="3"/>
    <x v="7"/>
    <n v="15"/>
    <x v="0"/>
  </r>
  <r>
    <d v="2022-09-15T00:00:00"/>
    <x v="1"/>
    <x v="0"/>
    <x v="0"/>
    <n v="80933751.209999993"/>
    <x v="1"/>
    <x v="0"/>
    <x v="0"/>
    <x v="9"/>
    <x v="3"/>
    <x v="3"/>
    <x v="3"/>
    <x v="3"/>
    <x v="7"/>
    <n v="15"/>
    <x v="0"/>
  </r>
  <r>
    <d v="2022-09-15T00:00:00"/>
    <x v="1"/>
    <x v="0"/>
    <x v="1"/>
    <n v="3820914096.6100001"/>
    <x v="1"/>
    <x v="0"/>
    <x v="1"/>
    <x v="10"/>
    <x v="3"/>
    <x v="3"/>
    <x v="3"/>
    <x v="3"/>
    <x v="7"/>
    <n v="15"/>
    <x v="0"/>
  </r>
  <r>
    <d v="2022-09-15T00:00:00"/>
    <x v="3"/>
    <x v="2"/>
    <x v="0"/>
    <n v="543401248.54999995"/>
    <x v="3"/>
    <x v="2"/>
    <x v="0"/>
    <x v="11"/>
    <x v="3"/>
    <x v="3"/>
    <x v="3"/>
    <x v="3"/>
    <x v="7"/>
    <n v="15"/>
    <x v="0"/>
  </r>
  <r>
    <d v="2022-09-15T00:00:00"/>
    <x v="3"/>
    <x v="1"/>
    <x v="0"/>
    <n v="14438519.380000001"/>
    <x v="3"/>
    <x v="1"/>
    <x v="0"/>
    <x v="12"/>
    <x v="3"/>
    <x v="3"/>
    <x v="3"/>
    <x v="3"/>
    <x v="7"/>
    <n v="15"/>
    <x v="0"/>
  </r>
  <r>
    <d v="2022-09-15T00:00:00"/>
    <x v="3"/>
    <x v="2"/>
    <x v="1"/>
    <n v="90805492983.869995"/>
    <x v="3"/>
    <x v="2"/>
    <x v="1"/>
    <x v="13"/>
    <x v="3"/>
    <x v="3"/>
    <x v="3"/>
    <x v="3"/>
    <x v="7"/>
    <n v="15"/>
    <x v="0"/>
  </r>
  <r>
    <d v="2022-09-14T00:00:00"/>
    <x v="2"/>
    <x v="1"/>
    <x v="0"/>
    <n v="91038417.680000007"/>
    <x v="2"/>
    <x v="1"/>
    <x v="0"/>
    <x v="5"/>
    <x v="3"/>
    <x v="3"/>
    <x v="3"/>
    <x v="3"/>
    <x v="7"/>
    <n v="14"/>
    <x v="0"/>
  </r>
  <r>
    <d v="2022-09-14T00:00:00"/>
    <x v="3"/>
    <x v="3"/>
    <x v="0"/>
    <n v="2825760537.5500002"/>
    <x v="3"/>
    <x v="3"/>
    <x v="0"/>
    <x v="6"/>
    <x v="3"/>
    <x v="3"/>
    <x v="3"/>
    <x v="3"/>
    <x v="7"/>
    <n v="14"/>
    <x v="0"/>
  </r>
  <r>
    <d v="2022-09-14T00:00:00"/>
    <x v="2"/>
    <x v="1"/>
    <x v="1"/>
    <n v="649770410.84000003"/>
    <x v="2"/>
    <x v="1"/>
    <x v="1"/>
    <x v="7"/>
    <x v="3"/>
    <x v="3"/>
    <x v="3"/>
    <x v="3"/>
    <x v="7"/>
    <n v="14"/>
    <x v="0"/>
  </r>
  <r>
    <d v="2022-09-14T00:00:00"/>
    <x v="1"/>
    <x v="0"/>
    <x v="0"/>
    <n v="86316879.939999998"/>
    <x v="1"/>
    <x v="0"/>
    <x v="0"/>
    <x v="8"/>
    <x v="3"/>
    <x v="3"/>
    <x v="3"/>
    <x v="3"/>
    <x v="7"/>
    <n v="14"/>
    <x v="0"/>
  </r>
  <r>
    <d v="2022-09-14T00:00:00"/>
    <x v="0"/>
    <x v="1"/>
    <x v="1"/>
    <n v="9986177.6500000004"/>
    <x v="0"/>
    <x v="1"/>
    <x v="1"/>
    <x v="2"/>
    <x v="3"/>
    <x v="3"/>
    <x v="3"/>
    <x v="3"/>
    <x v="7"/>
    <n v="14"/>
    <x v="0"/>
  </r>
  <r>
    <d v="2022-09-14T00:00:00"/>
    <x v="1"/>
    <x v="0"/>
    <x v="1"/>
    <n v="5798342824.5500002"/>
    <x v="1"/>
    <x v="0"/>
    <x v="1"/>
    <x v="9"/>
    <x v="3"/>
    <x v="3"/>
    <x v="3"/>
    <x v="3"/>
    <x v="7"/>
    <n v="14"/>
    <x v="0"/>
  </r>
  <r>
    <d v="2022-09-14T00:00:00"/>
    <x v="3"/>
    <x v="2"/>
    <x v="2"/>
    <n v="472256.86"/>
    <x v="3"/>
    <x v="2"/>
    <x v="2"/>
    <x v="4"/>
    <x v="3"/>
    <x v="3"/>
    <x v="3"/>
    <x v="3"/>
    <x v="7"/>
    <n v="14"/>
    <x v="0"/>
  </r>
  <r>
    <d v="2022-09-14T00:00:00"/>
    <x v="2"/>
    <x v="1"/>
    <x v="2"/>
    <n v="72825.66"/>
    <x v="2"/>
    <x v="1"/>
    <x v="2"/>
    <x v="3"/>
    <x v="3"/>
    <x v="3"/>
    <x v="3"/>
    <x v="3"/>
    <x v="7"/>
    <n v="14"/>
    <x v="0"/>
  </r>
  <r>
    <d v="2022-09-14T00:00:00"/>
    <x v="1"/>
    <x v="1"/>
    <x v="0"/>
    <n v="454.5"/>
    <x v="1"/>
    <x v="1"/>
    <x v="0"/>
    <x v="0"/>
    <x v="3"/>
    <x v="3"/>
    <x v="3"/>
    <x v="3"/>
    <x v="7"/>
    <n v="14"/>
    <x v="0"/>
  </r>
  <r>
    <d v="2022-09-14T00:00:00"/>
    <x v="0"/>
    <x v="1"/>
    <x v="0"/>
    <n v="17034020.600000001"/>
    <x v="0"/>
    <x v="1"/>
    <x v="0"/>
    <x v="1"/>
    <x v="3"/>
    <x v="3"/>
    <x v="3"/>
    <x v="3"/>
    <x v="7"/>
    <n v="14"/>
    <x v="0"/>
  </r>
  <r>
    <d v="2022-09-14T00:00:00"/>
    <x v="3"/>
    <x v="2"/>
    <x v="0"/>
    <n v="692488371.70000005"/>
    <x v="3"/>
    <x v="2"/>
    <x v="0"/>
    <x v="10"/>
    <x v="3"/>
    <x v="3"/>
    <x v="3"/>
    <x v="3"/>
    <x v="7"/>
    <n v="14"/>
    <x v="0"/>
  </r>
  <r>
    <d v="2022-09-14T00:00:00"/>
    <x v="3"/>
    <x v="1"/>
    <x v="0"/>
    <n v="13821020.09"/>
    <x v="3"/>
    <x v="1"/>
    <x v="0"/>
    <x v="11"/>
    <x v="3"/>
    <x v="3"/>
    <x v="3"/>
    <x v="3"/>
    <x v="7"/>
    <n v="14"/>
    <x v="0"/>
  </r>
  <r>
    <d v="2022-09-14T00:00:00"/>
    <x v="3"/>
    <x v="2"/>
    <x v="1"/>
    <n v="44046070091.919998"/>
    <x v="3"/>
    <x v="2"/>
    <x v="1"/>
    <x v="12"/>
    <x v="3"/>
    <x v="3"/>
    <x v="3"/>
    <x v="3"/>
    <x v="7"/>
    <n v="14"/>
    <x v="0"/>
  </r>
  <r>
    <d v="2022-09-13T00:00:00"/>
    <x v="2"/>
    <x v="1"/>
    <x v="0"/>
    <n v="80230225.769999996"/>
    <x v="2"/>
    <x v="1"/>
    <x v="0"/>
    <x v="5"/>
    <x v="3"/>
    <x v="3"/>
    <x v="3"/>
    <x v="3"/>
    <x v="7"/>
    <n v="13"/>
    <x v="0"/>
  </r>
  <r>
    <d v="2022-09-13T00:00:00"/>
    <x v="3"/>
    <x v="3"/>
    <x v="0"/>
    <n v="1938433430.8199999"/>
    <x v="3"/>
    <x v="3"/>
    <x v="0"/>
    <x v="6"/>
    <x v="3"/>
    <x v="3"/>
    <x v="3"/>
    <x v="3"/>
    <x v="7"/>
    <n v="13"/>
    <x v="0"/>
  </r>
  <r>
    <d v="2022-09-13T00:00:00"/>
    <x v="1"/>
    <x v="0"/>
    <x v="0"/>
    <n v="49810159.740000002"/>
    <x v="1"/>
    <x v="0"/>
    <x v="0"/>
    <x v="8"/>
    <x v="3"/>
    <x v="3"/>
    <x v="3"/>
    <x v="3"/>
    <x v="7"/>
    <n v="13"/>
    <x v="0"/>
  </r>
  <r>
    <d v="2022-09-13T00:00:00"/>
    <x v="0"/>
    <x v="1"/>
    <x v="1"/>
    <n v="2309358.5099999998"/>
    <x v="0"/>
    <x v="1"/>
    <x v="1"/>
    <x v="2"/>
    <x v="3"/>
    <x v="3"/>
    <x v="3"/>
    <x v="3"/>
    <x v="7"/>
    <n v="13"/>
    <x v="0"/>
  </r>
  <r>
    <d v="2022-09-13T00:00:00"/>
    <x v="2"/>
    <x v="1"/>
    <x v="2"/>
    <n v="83479"/>
    <x v="2"/>
    <x v="1"/>
    <x v="2"/>
    <x v="3"/>
    <x v="3"/>
    <x v="3"/>
    <x v="3"/>
    <x v="3"/>
    <x v="7"/>
    <n v="13"/>
    <x v="0"/>
  </r>
  <r>
    <d v="2022-09-13T00:00:00"/>
    <x v="1"/>
    <x v="1"/>
    <x v="0"/>
    <n v="10507"/>
    <x v="1"/>
    <x v="1"/>
    <x v="0"/>
    <x v="0"/>
    <x v="3"/>
    <x v="3"/>
    <x v="3"/>
    <x v="3"/>
    <x v="7"/>
    <n v="13"/>
    <x v="0"/>
  </r>
  <r>
    <d v="2022-09-13T00:00:00"/>
    <x v="0"/>
    <x v="1"/>
    <x v="0"/>
    <n v="14895934.029999999"/>
    <x v="0"/>
    <x v="1"/>
    <x v="0"/>
    <x v="1"/>
    <x v="3"/>
    <x v="3"/>
    <x v="3"/>
    <x v="3"/>
    <x v="7"/>
    <n v="13"/>
    <x v="0"/>
  </r>
  <r>
    <d v="2022-09-13T00:00:00"/>
    <x v="3"/>
    <x v="2"/>
    <x v="2"/>
    <n v="109864.54"/>
    <x v="3"/>
    <x v="2"/>
    <x v="2"/>
    <x v="4"/>
    <x v="3"/>
    <x v="3"/>
    <x v="3"/>
    <x v="3"/>
    <x v="7"/>
    <n v="13"/>
    <x v="0"/>
  </r>
  <r>
    <d v="2022-09-13T00:00:00"/>
    <x v="2"/>
    <x v="1"/>
    <x v="1"/>
    <n v="103745982.48"/>
    <x v="2"/>
    <x v="1"/>
    <x v="1"/>
    <x v="7"/>
    <x v="3"/>
    <x v="3"/>
    <x v="3"/>
    <x v="3"/>
    <x v="7"/>
    <n v="13"/>
    <x v="0"/>
  </r>
  <r>
    <d v="2022-09-13T00:00:00"/>
    <x v="1"/>
    <x v="0"/>
    <x v="1"/>
    <n v="2331859182.29"/>
    <x v="1"/>
    <x v="0"/>
    <x v="1"/>
    <x v="9"/>
    <x v="3"/>
    <x v="3"/>
    <x v="3"/>
    <x v="3"/>
    <x v="7"/>
    <n v="13"/>
    <x v="0"/>
  </r>
  <r>
    <d v="2022-09-13T00:00:00"/>
    <x v="3"/>
    <x v="2"/>
    <x v="0"/>
    <n v="428691480.14999998"/>
    <x v="3"/>
    <x v="2"/>
    <x v="0"/>
    <x v="10"/>
    <x v="3"/>
    <x v="3"/>
    <x v="3"/>
    <x v="3"/>
    <x v="7"/>
    <n v="13"/>
    <x v="0"/>
  </r>
  <r>
    <d v="2022-09-13T00:00:00"/>
    <x v="3"/>
    <x v="1"/>
    <x v="0"/>
    <n v="10615887.42"/>
    <x v="3"/>
    <x v="1"/>
    <x v="0"/>
    <x v="11"/>
    <x v="3"/>
    <x v="3"/>
    <x v="3"/>
    <x v="3"/>
    <x v="7"/>
    <n v="13"/>
    <x v="0"/>
  </r>
  <r>
    <d v="2022-09-13T00:00:00"/>
    <x v="3"/>
    <x v="2"/>
    <x v="1"/>
    <n v="17201272339.669998"/>
    <x v="3"/>
    <x v="2"/>
    <x v="1"/>
    <x v="12"/>
    <x v="3"/>
    <x v="3"/>
    <x v="3"/>
    <x v="3"/>
    <x v="7"/>
    <n v="13"/>
    <x v="0"/>
  </r>
  <r>
    <d v="2022-09-12T00:00:00"/>
    <x v="2"/>
    <x v="1"/>
    <x v="2"/>
    <n v="5804.47"/>
    <x v="2"/>
    <x v="1"/>
    <x v="2"/>
    <x v="2"/>
    <x v="3"/>
    <x v="3"/>
    <x v="3"/>
    <x v="3"/>
    <x v="7"/>
    <n v="12"/>
    <x v="0"/>
  </r>
  <r>
    <d v="2022-09-12T00:00:00"/>
    <x v="2"/>
    <x v="1"/>
    <x v="1"/>
    <n v="129678005.94"/>
    <x v="2"/>
    <x v="1"/>
    <x v="1"/>
    <x v="7"/>
    <x v="3"/>
    <x v="3"/>
    <x v="3"/>
    <x v="3"/>
    <x v="7"/>
    <n v="12"/>
    <x v="0"/>
  </r>
  <r>
    <d v="2022-09-12T00:00:00"/>
    <x v="1"/>
    <x v="0"/>
    <x v="0"/>
    <n v="55030483.409999996"/>
    <x v="1"/>
    <x v="0"/>
    <x v="0"/>
    <x v="8"/>
    <x v="3"/>
    <x v="3"/>
    <x v="3"/>
    <x v="3"/>
    <x v="7"/>
    <n v="12"/>
    <x v="0"/>
  </r>
  <r>
    <d v="2022-09-12T00:00:00"/>
    <x v="0"/>
    <x v="1"/>
    <x v="1"/>
    <n v="7759634.1500000004"/>
    <x v="0"/>
    <x v="1"/>
    <x v="1"/>
    <x v="3"/>
    <x v="3"/>
    <x v="3"/>
    <x v="3"/>
    <x v="3"/>
    <x v="7"/>
    <n v="12"/>
    <x v="0"/>
  </r>
  <r>
    <d v="2022-09-12T00:00:00"/>
    <x v="3"/>
    <x v="2"/>
    <x v="2"/>
    <n v="139260.93"/>
    <x v="3"/>
    <x v="2"/>
    <x v="2"/>
    <x v="4"/>
    <x v="3"/>
    <x v="3"/>
    <x v="3"/>
    <x v="3"/>
    <x v="7"/>
    <n v="12"/>
    <x v="0"/>
  </r>
  <r>
    <d v="2022-09-12T00:00:00"/>
    <x v="1"/>
    <x v="1"/>
    <x v="0"/>
    <n v="269"/>
    <x v="1"/>
    <x v="1"/>
    <x v="0"/>
    <x v="0"/>
    <x v="3"/>
    <x v="3"/>
    <x v="3"/>
    <x v="3"/>
    <x v="7"/>
    <n v="12"/>
    <x v="0"/>
  </r>
  <r>
    <d v="2022-09-12T00:00:00"/>
    <x v="0"/>
    <x v="1"/>
    <x v="0"/>
    <n v="10520614"/>
    <x v="0"/>
    <x v="1"/>
    <x v="0"/>
    <x v="1"/>
    <x v="3"/>
    <x v="3"/>
    <x v="3"/>
    <x v="3"/>
    <x v="7"/>
    <n v="12"/>
    <x v="0"/>
  </r>
  <r>
    <d v="2022-09-12T00:00:00"/>
    <x v="3"/>
    <x v="3"/>
    <x v="0"/>
    <n v="1142039291.6500001"/>
    <x v="3"/>
    <x v="3"/>
    <x v="0"/>
    <x v="6"/>
    <x v="3"/>
    <x v="3"/>
    <x v="3"/>
    <x v="3"/>
    <x v="7"/>
    <n v="12"/>
    <x v="0"/>
  </r>
  <r>
    <d v="2022-09-12T00:00:00"/>
    <x v="2"/>
    <x v="1"/>
    <x v="0"/>
    <n v="74543443.519999996"/>
    <x v="2"/>
    <x v="1"/>
    <x v="0"/>
    <x v="5"/>
    <x v="3"/>
    <x v="3"/>
    <x v="3"/>
    <x v="3"/>
    <x v="7"/>
    <n v="12"/>
    <x v="0"/>
  </r>
  <r>
    <d v="2022-09-12T00:00:00"/>
    <x v="1"/>
    <x v="0"/>
    <x v="1"/>
    <n v="590497698.19000006"/>
    <x v="1"/>
    <x v="0"/>
    <x v="1"/>
    <x v="9"/>
    <x v="3"/>
    <x v="3"/>
    <x v="3"/>
    <x v="3"/>
    <x v="7"/>
    <n v="12"/>
    <x v="0"/>
  </r>
  <r>
    <d v="2022-09-12T00:00:00"/>
    <x v="3"/>
    <x v="2"/>
    <x v="0"/>
    <n v="404419080.20999998"/>
    <x v="3"/>
    <x v="2"/>
    <x v="0"/>
    <x v="10"/>
    <x v="3"/>
    <x v="3"/>
    <x v="3"/>
    <x v="3"/>
    <x v="7"/>
    <n v="12"/>
    <x v="0"/>
  </r>
  <r>
    <d v="2022-09-12T00:00:00"/>
    <x v="3"/>
    <x v="2"/>
    <x v="1"/>
    <n v="28452170271.099998"/>
    <x v="3"/>
    <x v="2"/>
    <x v="1"/>
    <x v="11"/>
    <x v="3"/>
    <x v="3"/>
    <x v="3"/>
    <x v="3"/>
    <x v="7"/>
    <n v="12"/>
    <x v="0"/>
  </r>
  <r>
    <d v="2022-09-12T00:00:00"/>
    <x v="3"/>
    <x v="1"/>
    <x v="0"/>
    <n v="42944020.340000004"/>
    <x v="3"/>
    <x v="1"/>
    <x v="0"/>
    <x v="12"/>
    <x v="3"/>
    <x v="3"/>
    <x v="3"/>
    <x v="3"/>
    <x v="7"/>
    <n v="12"/>
    <x v="0"/>
  </r>
  <r>
    <d v="2022-09-09T00:00:00"/>
    <x v="2"/>
    <x v="1"/>
    <x v="2"/>
    <n v="133726.92000000001"/>
    <x v="2"/>
    <x v="1"/>
    <x v="2"/>
    <x v="3"/>
    <x v="3"/>
    <x v="3"/>
    <x v="3"/>
    <x v="3"/>
    <x v="7"/>
    <n v="9"/>
    <x v="0"/>
  </r>
  <r>
    <d v="2022-09-09T00:00:00"/>
    <x v="2"/>
    <x v="1"/>
    <x v="0"/>
    <n v="78930777.450000003"/>
    <x v="2"/>
    <x v="1"/>
    <x v="0"/>
    <x v="7"/>
    <x v="3"/>
    <x v="3"/>
    <x v="3"/>
    <x v="3"/>
    <x v="7"/>
    <n v="9"/>
    <x v="0"/>
  </r>
  <r>
    <d v="2022-09-09T00:00:00"/>
    <x v="3"/>
    <x v="3"/>
    <x v="1"/>
    <n v="543350.32999999996"/>
    <x v="3"/>
    <x v="3"/>
    <x v="1"/>
    <x v="4"/>
    <x v="3"/>
    <x v="3"/>
    <x v="3"/>
    <x v="3"/>
    <x v="7"/>
    <n v="9"/>
    <x v="0"/>
  </r>
  <r>
    <d v="2022-09-09T00:00:00"/>
    <x v="0"/>
    <x v="1"/>
    <x v="1"/>
    <n v="3632131.72"/>
    <x v="0"/>
    <x v="1"/>
    <x v="1"/>
    <x v="5"/>
    <x v="3"/>
    <x v="3"/>
    <x v="3"/>
    <x v="3"/>
    <x v="7"/>
    <n v="9"/>
    <x v="0"/>
  </r>
  <r>
    <d v="2022-09-09T00:00:00"/>
    <x v="1"/>
    <x v="1"/>
    <x v="0"/>
    <n v="2351.89"/>
    <x v="1"/>
    <x v="1"/>
    <x v="0"/>
    <x v="1"/>
    <x v="3"/>
    <x v="3"/>
    <x v="3"/>
    <x v="3"/>
    <x v="7"/>
    <n v="9"/>
    <x v="0"/>
  </r>
  <r>
    <d v="2022-09-09T00:00:00"/>
    <x v="0"/>
    <x v="1"/>
    <x v="0"/>
    <n v="56275432.630000003"/>
    <x v="0"/>
    <x v="1"/>
    <x v="0"/>
    <x v="2"/>
    <x v="3"/>
    <x v="3"/>
    <x v="3"/>
    <x v="3"/>
    <x v="7"/>
    <n v="9"/>
    <x v="0"/>
  </r>
  <r>
    <d v="2022-09-09T00:00:00"/>
    <x v="3"/>
    <x v="2"/>
    <x v="2"/>
    <n v="402207.19"/>
    <x v="3"/>
    <x v="2"/>
    <x v="2"/>
    <x v="6"/>
    <x v="3"/>
    <x v="3"/>
    <x v="3"/>
    <x v="3"/>
    <x v="7"/>
    <n v="9"/>
    <x v="0"/>
  </r>
  <r>
    <d v="2022-09-09T00:00:00"/>
    <x v="0"/>
    <x v="0"/>
    <x v="0"/>
    <n v="100.98"/>
    <x v="0"/>
    <x v="0"/>
    <x v="0"/>
    <x v="0"/>
    <x v="3"/>
    <x v="3"/>
    <x v="3"/>
    <x v="3"/>
    <x v="7"/>
    <n v="9"/>
    <x v="0"/>
  </r>
  <r>
    <d v="2022-09-09T00:00:00"/>
    <x v="2"/>
    <x v="1"/>
    <x v="1"/>
    <n v="307193363.54000002"/>
    <x v="2"/>
    <x v="1"/>
    <x v="1"/>
    <x v="8"/>
    <x v="3"/>
    <x v="3"/>
    <x v="3"/>
    <x v="3"/>
    <x v="7"/>
    <n v="9"/>
    <x v="0"/>
  </r>
  <r>
    <d v="2022-09-09T00:00:00"/>
    <x v="3"/>
    <x v="3"/>
    <x v="0"/>
    <n v="1524314194.6199999"/>
    <x v="3"/>
    <x v="3"/>
    <x v="0"/>
    <x v="10"/>
    <x v="3"/>
    <x v="3"/>
    <x v="3"/>
    <x v="3"/>
    <x v="7"/>
    <n v="9"/>
    <x v="0"/>
  </r>
  <r>
    <d v="2022-09-09T00:00:00"/>
    <x v="1"/>
    <x v="0"/>
    <x v="0"/>
    <n v="50976340.810000002"/>
    <x v="1"/>
    <x v="0"/>
    <x v="0"/>
    <x v="9"/>
    <x v="3"/>
    <x v="3"/>
    <x v="3"/>
    <x v="3"/>
    <x v="7"/>
    <n v="9"/>
    <x v="0"/>
  </r>
  <r>
    <d v="2022-09-09T00:00:00"/>
    <x v="1"/>
    <x v="0"/>
    <x v="1"/>
    <n v="914394405.44000006"/>
    <x v="1"/>
    <x v="0"/>
    <x v="1"/>
    <x v="11"/>
    <x v="3"/>
    <x v="3"/>
    <x v="3"/>
    <x v="3"/>
    <x v="7"/>
    <n v="9"/>
    <x v="0"/>
  </r>
  <r>
    <d v="2022-09-09T00:00:00"/>
    <x v="3"/>
    <x v="2"/>
    <x v="0"/>
    <n v="573561623.71000004"/>
    <x v="3"/>
    <x v="2"/>
    <x v="0"/>
    <x v="12"/>
    <x v="3"/>
    <x v="3"/>
    <x v="3"/>
    <x v="3"/>
    <x v="7"/>
    <n v="9"/>
    <x v="0"/>
  </r>
  <r>
    <d v="2022-09-09T00:00:00"/>
    <x v="3"/>
    <x v="2"/>
    <x v="1"/>
    <n v="12321830416.34"/>
    <x v="3"/>
    <x v="2"/>
    <x v="1"/>
    <x v="13"/>
    <x v="3"/>
    <x v="3"/>
    <x v="3"/>
    <x v="3"/>
    <x v="7"/>
    <n v="9"/>
    <x v="0"/>
  </r>
  <r>
    <d v="2022-09-09T00:00:00"/>
    <x v="3"/>
    <x v="1"/>
    <x v="0"/>
    <n v="13868242.32"/>
    <x v="3"/>
    <x v="1"/>
    <x v="0"/>
    <x v="14"/>
    <x v="3"/>
    <x v="3"/>
    <x v="3"/>
    <x v="3"/>
    <x v="7"/>
    <n v="9"/>
    <x v="0"/>
  </r>
  <r>
    <d v="2022-09-08T00:00:00"/>
    <x v="2"/>
    <x v="1"/>
    <x v="2"/>
    <n v="51851.74"/>
    <x v="2"/>
    <x v="1"/>
    <x v="2"/>
    <x v="2"/>
    <x v="3"/>
    <x v="3"/>
    <x v="3"/>
    <x v="3"/>
    <x v="7"/>
    <n v="8"/>
    <x v="0"/>
  </r>
  <r>
    <d v="2022-09-08T00:00:00"/>
    <x v="2"/>
    <x v="1"/>
    <x v="1"/>
    <n v="249586284.63999999"/>
    <x v="2"/>
    <x v="1"/>
    <x v="1"/>
    <x v="6"/>
    <x v="3"/>
    <x v="3"/>
    <x v="3"/>
    <x v="3"/>
    <x v="7"/>
    <n v="8"/>
    <x v="0"/>
  </r>
  <r>
    <d v="2022-09-08T00:00:00"/>
    <x v="1"/>
    <x v="0"/>
    <x v="0"/>
    <n v="70800115.75"/>
    <x v="1"/>
    <x v="0"/>
    <x v="0"/>
    <x v="8"/>
    <x v="3"/>
    <x v="3"/>
    <x v="3"/>
    <x v="3"/>
    <x v="7"/>
    <n v="8"/>
    <x v="0"/>
  </r>
  <r>
    <d v="2022-09-08T00:00:00"/>
    <x v="0"/>
    <x v="1"/>
    <x v="1"/>
    <n v="7444257.96"/>
    <x v="0"/>
    <x v="1"/>
    <x v="1"/>
    <x v="3"/>
    <x v="3"/>
    <x v="3"/>
    <x v="3"/>
    <x v="3"/>
    <x v="7"/>
    <n v="8"/>
    <x v="0"/>
  </r>
  <r>
    <d v="2022-09-08T00:00:00"/>
    <x v="1"/>
    <x v="0"/>
    <x v="1"/>
    <n v="3253222096.8200002"/>
    <x v="1"/>
    <x v="0"/>
    <x v="1"/>
    <x v="9"/>
    <x v="3"/>
    <x v="3"/>
    <x v="3"/>
    <x v="3"/>
    <x v="7"/>
    <n v="8"/>
    <x v="0"/>
  </r>
  <r>
    <d v="2022-09-08T00:00:00"/>
    <x v="1"/>
    <x v="1"/>
    <x v="0"/>
    <n v="5015.25"/>
    <x v="1"/>
    <x v="1"/>
    <x v="0"/>
    <x v="0"/>
    <x v="3"/>
    <x v="3"/>
    <x v="3"/>
    <x v="3"/>
    <x v="7"/>
    <n v="8"/>
    <x v="0"/>
  </r>
  <r>
    <d v="2022-09-08T00:00:00"/>
    <x v="0"/>
    <x v="1"/>
    <x v="0"/>
    <n v="10848512.91"/>
    <x v="0"/>
    <x v="1"/>
    <x v="0"/>
    <x v="1"/>
    <x v="3"/>
    <x v="3"/>
    <x v="3"/>
    <x v="3"/>
    <x v="7"/>
    <n v="8"/>
    <x v="0"/>
  </r>
  <r>
    <d v="2022-09-08T00:00:00"/>
    <x v="3"/>
    <x v="2"/>
    <x v="2"/>
    <n v="252250.79"/>
    <x v="3"/>
    <x v="2"/>
    <x v="2"/>
    <x v="4"/>
    <x v="3"/>
    <x v="3"/>
    <x v="3"/>
    <x v="3"/>
    <x v="7"/>
    <n v="8"/>
    <x v="0"/>
  </r>
  <r>
    <d v="2022-09-08T00:00:00"/>
    <x v="2"/>
    <x v="1"/>
    <x v="0"/>
    <n v="94516395.489999995"/>
    <x v="2"/>
    <x v="1"/>
    <x v="0"/>
    <x v="5"/>
    <x v="3"/>
    <x v="3"/>
    <x v="3"/>
    <x v="3"/>
    <x v="7"/>
    <n v="8"/>
    <x v="0"/>
  </r>
  <r>
    <d v="2022-09-08T00:00:00"/>
    <x v="3"/>
    <x v="3"/>
    <x v="0"/>
    <n v="1041616064.1900001"/>
    <x v="3"/>
    <x v="3"/>
    <x v="0"/>
    <x v="7"/>
    <x v="3"/>
    <x v="3"/>
    <x v="3"/>
    <x v="3"/>
    <x v="7"/>
    <n v="8"/>
    <x v="0"/>
  </r>
  <r>
    <d v="2022-09-08T00:00:00"/>
    <x v="3"/>
    <x v="2"/>
    <x v="0"/>
    <n v="394068604.63"/>
    <x v="3"/>
    <x v="2"/>
    <x v="0"/>
    <x v="10"/>
    <x v="3"/>
    <x v="3"/>
    <x v="3"/>
    <x v="3"/>
    <x v="7"/>
    <n v="8"/>
    <x v="0"/>
  </r>
  <r>
    <d v="2022-09-08T00:00:00"/>
    <x v="3"/>
    <x v="2"/>
    <x v="1"/>
    <n v="13618837191.25"/>
    <x v="3"/>
    <x v="2"/>
    <x v="1"/>
    <x v="11"/>
    <x v="3"/>
    <x v="3"/>
    <x v="3"/>
    <x v="3"/>
    <x v="7"/>
    <n v="8"/>
    <x v="0"/>
  </r>
  <r>
    <d v="2022-09-08T00:00:00"/>
    <x v="3"/>
    <x v="1"/>
    <x v="0"/>
    <n v="13904965.85"/>
    <x v="3"/>
    <x v="1"/>
    <x v="0"/>
    <x v="12"/>
    <x v="3"/>
    <x v="3"/>
    <x v="3"/>
    <x v="3"/>
    <x v="7"/>
    <n v="8"/>
    <x v="0"/>
  </r>
  <r>
    <d v="2022-09-07T00:00:00"/>
    <x v="3"/>
    <x v="2"/>
    <x v="2"/>
    <n v="173447.48"/>
    <x v="3"/>
    <x v="2"/>
    <x v="2"/>
    <x v="3"/>
    <x v="3"/>
    <x v="3"/>
    <x v="3"/>
    <x v="3"/>
    <x v="7"/>
    <n v="7"/>
    <x v="0"/>
  </r>
  <r>
    <d v="2022-09-07T00:00:00"/>
    <x v="2"/>
    <x v="1"/>
    <x v="0"/>
    <n v="107512226.08"/>
    <x v="2"/>
    <x v="1"/>
    <x v="0"/>
    <x v="5"/>
    <x v="3"/>
    <x v="3"/>
    <x v="3"/>
    <x v="3"/>
    <x v="7"/>
    <n v="7"/>
    <x v="0"/>
  </r>
  <r>
    <d v="2022-09-07T00:00:00"/>
    <x v="2"/>
    <x v="1"/>
    <x v="2"/>
    <n v="119342.98"/>
    <x v="2"/>
    <x v="1"/>
    <x v="2"/>
    <x v="2"/>
    <x v="3"/>
    <x v="3"/>
    <x v="3"/>
    <x v="3"/>
    <x v="7"/>
    <n v="7"/>
    <x v="0"/>
  </r>
  <r>
    <d v="2022-09-07T00:00:00"/>
    <x v="2"/>
    <x v="1"/>
    <x v="1"/>
    <n v="193369375.19999999"/>
    <x v="2"/>
    <x v="1"/>
    <x v="1"/>
    <x v="6"/>
    <x v="3"/>
    <x v="3"/>
    <x v="3"/>
    <x v="3"/>
    <x v="7"/>
    <n v="7"/>
    <x v="0"/>
  </r>
  <r>
    <d v="2022-09-07T00:00:00"/>
    <x v="3"/>
    <x v="3"/>
    <x v="0"/>
    <n v="1710354680.4400001"/>
    <x v="3"/>
    <x v="3"/>
    <x v="0"/>
    <x v="7"/>
    <x v="3"/>
    <x v="3"/>
    <x v="3"/>
    <x v="3"/>
    <x v="7"/>
    <n v="7"/>
    <x v="0"/>
  </r>
  <r>
    <d v="2022-09-07T00:00:00"/>
    <x v="1"/>
    <x v="0"/>
    <x v="1"/>
    <n v="751416344.54999995"/>
    <x v="1"/>
    <x v="0"/>
    <x v="1"/>
    <x v="8"/>
    <x v="3"/>
    <x v="3"/>
    <x v="3"/>
    <x v="3"/>
    <x v="7"/>
    <n v="7"/>
    <x v="0"/>
  </r>
  <r>
    <d v="2022-09-07T00:00:00"/>
    <x v="1"/>
    <x v="1"/>
    <x v="0"/>
    <n v="387"/>
    <x v="1"/>
    <x v="1"/>
    <x v="0"/>
    <x v="0"/>
    <x v="3"/>
    <x v="3"/>
    <x v="3"/>
    <x v="3"/>
    <x v="7"/>
    <n v="7"/>
    <x v="0"/>
  </r>
  <r>
    <d v="2022-09-07T00:00:00"/>
    <x v="0"/>
    <x v="1"/>
    <x v="0"/>
    <n v="51521674.68"/>
    <x v="0"/>
    <x v="1"/>
    <x v="0"/>
    <x v="1"/>
    <x v="3"/>
    <x v="3"/>
    <x v="3"/>
    <x v="3"/>
    <x v="7"/>
    <n v="7"/>
    <x v="0"/>
  </r>
  <r>
    <d v="2022-09-07T00:00:00"/>
    <x v="0"/>
    <x v="1"/>
    <x v="1"/>
    <n v="16199194.26"/>
    <x v="0"/>
    <x v="1"/>
    <x v="1"/>
    <x v="4"/>
    <x v="3"/>
    <x v="3"/>
    <x v="3"/>
    <x v="3"/>
    <x v="7"/>
    <n v="7"/>
    <x v="0"/>
  </r>
  <r>
    <d v="2022-09-07T00:00:00"/>
    <x v="1"/>
    <x v="0"/>
    <x v="0"/>
    <n v="57416522.729999997"/>
    <x v="1"/>
    <x v="0"/>
    <x v="0"/>
    <x v="9"/>
    <x v="3"/>
    <x v="3"/>
    <x v="3"/>
    <x v="3"/>
    <x v="7"/>
    <n v="7"/>
    <x v="0"/>
  </r>
  <r>
    <d v="2022-09-07T00:00:00"/>
    <x v="3"/>
    <x v="2"/>
    <x v="0"/>
    <n v="825789733.63"/>
    <x v="3"/>
    <x v="2"/>
    <x v="0"/>
    <x v="10"/>
    <x v="3"/>
    <x v="3"/>
    <x v="3"/>
    <x v="3"/>
    <x v="7"/>
    <n v="7"/>
    <x v="0"/>
  </r>
  <r>
    <d v="2022-09-07T00:00:00"/>
    <x v="3"/>
    <x v="2"/>
    <x v="1"/>
    <n v="6138185381.3500004"/>
    <x v="3"/>
    <x v="2"/>
    <x v="1"/>
    <x v="11"/>
    <x v="3"/>
    <x v="3"/>
    <x v="3"/>
    <x v="3"/>
    <x v="7"/>
    <n v="7"/>
    <x v="0"/>
  </r>
  <r>
    <d v="2022-09-07T00:00:00"/>
    <x v="3"/>
    <x v="1"/>
    <x v="0"/>
    <n v="14339703.6"/>
    <x v="3"/>
    <x v="1"/>
    <x v="0"/>
    <x v="12"/>
    <x v="3"/>
    <x v="3"/>
    <x v="3"/>
    <x v="3"/>
    <x v="7"/>
    <n v="7"/>
    <x v="0"/>
  </r>
  <r>
    <d v="2022-09-06T00:00:00"/>
    <x v="3"/>
    <x v="3"/>
    <x v="1"/>
    <n v="674.68"/>
    <x v="3"/>
    <x v="3"/>
    <x v="1"/>
    <x v="3"/>
    <x v="3"/>
    <x v="3"/>
    <x v="3"/>
    <x v="3"/>
    <x v="7"/>
    <n v="6"/>
    <x v="0"/>
  </r>
  <r>
    <d v="2022-09-06T00:00:00"/>
    <x v="2"/>
    <x v="1"/>
    <x v="0"/>
    <n v="104711719.36"/>
    <x v="2"/>
    <x v="1"/>
    <x v="0"/>
    <x v="7"/>
    <x v="3"/>
    <x v="3"/>
    <x v="3"/>
    <x v="3"/>
    <x v="7"/>
    <n v="6"/>
    <x v="0"/>
  </r>
  <r>
    <d v="2022-09-06T00:00:00"/>
    <x v="2"/>
    <x v="1"/>
    <x v="1"/>
    <n v="161908835.84999999"/>
    <x v="2"/>
    <x v="1"/>
    <x v="1"/>
    <x v="9"/>
    <x v="3"/>
    <x v="3"/>
    <x v="3"/>
    <x v="3"/>
    <x v="7"/>
    <n v="6"/>
    <x v="0"/>
  </r>
  <r>
    <d v="2022-09-06T00:00:00"/>
    <x v="1"/>
    <x v="0"/>
    <x v="1"/>
    <n v="572407070.62"/>
    <x v="1"/>
    <x v="0"/>
    <x v="1"/>
    <x v="10"/>
    <x v="3"/>
    <x v="3"/>
    <x v="3"/>
    <x v="3"/>
    <x v="7"/>
    <n v="6"/>
    <x v="0"/>
  </r>
  <r>
    <d v="2022-09-06T00:00:00"/>
    <x v="1"/>
    <x v="0"/>
    <x v="0"/>
    <n v="54131864.350000001"/>
    <x v="1"/>
    <x v="0"/>
    <x v="0"/>
    <x v="11"/>
    <x v="3"/>
    <x v="3"/>
    <x v="3"/>
    <x v="3"/>
    <x v="7"/>
    <n v="6"/>
    <x v="0"/>
  </r>
  <r>
    <d v="2022-09-06T00:00:00"/>
    <x v="1"/>
    <x v="1"/>
    <x v="0"/>
    <n v="676"/>
    <x v="1"/>
    <x v="1"/>
    <x v="0"/>
    <x v="1"/>
    <x v="3"/>
    <x v="3"/>
    <x v="3"/>
    <x v="3"/>
    <x v="7"/>
    <n v="6"/>
    <x v="0"/>
  </r>
  <r>
    <d v="2022-09-06T00:00:00"/>
    <x v="0"/>
    <x v="1"/>
    <x v="0"/>
    <n v="7641997.5300000003"/>
    <x v="0"/>
    <x v="1"/>
    <x v="0"/>
    <x v="2"/>
    <x v="3"/>
    <x v="3"/>
    <x v="3"/>
    <x v="3"/>
    <x v="7"/>
    <n v="6"/>
    <x v="0"/>
  </r>
  <r>
    <d v="2022-09-06T00:00:00"/>
    <x v="0"/>
    <x v="1"/>
    <x v="1"/>
    <n v="4332013.76"/>
    <x v="0"/>
    <x v="1"/>
    <x v="1"/>
    <x v="4"/>
    <x v="3"/>
    <x v="3"/>
    <x v="3"/>
    <x v="3"/>
    <x v="7"/>
    <n v="6"/>
    <x v="0"/>
  </r>
  <r>
    <d v="2022-09-06T00:00:00"/>
    <x v="2"/>
    <x v="1"/>
    <x v="2"/>
    <n v="7899.31"/>
    <x v="2"/>
    <x v="1"/>
    <x v="2"/>
    <x v="6"/>
    <x v="3"/>
    <x v="3"/>
    <x v="3"/>
    <x v="3"/>
    <x v="7"/>
    <n v="6"/>
    <x v="0"/>
  </r>
  <r>
    <d v="2022-09-06T00:00:00"/>
    <x v="3"/>
    <x v="2"/>
    <x v="2"/>
    <n v="123451.14"/>
    <x v="3"/>
    <x v="2"/>
    <x v="2"/>
    <x v="5"/>
    <x v="3"/>
    <x v="3"/>
    <x v="3"/>
    <x v="3"/>
    <x v="7"/>
    <n v="6"/>
    <x v="0"/>
  </r>
  <r>
    <d v="2022-09-06T00:00:00"/>
    <x v="0"/>
    <x v="0"/>
    <x v="0"/>
    <n v="370"/>
    <x v="0"/>
    <x v="0"/>
    <x v="0"/>
    <x v="0"/>
    <x v="3"/>
    <x v="3"/>
    <x v="3"/>
    <x v="3"/>
    <x v="7"/>
    <n v="6"/>
    <x v="0"/>
  </r>
  <r>
    <d v="2022-09-06T00:00:00"/>
    <x v="3"/>
    <x v="3"/>
    <x v="0"/>
    <n v="2317335435.4200001"/>
    <x v="3"/>
    <x v="3"/>
    <x v="0"/>
    <x v="8"/>
    <x v="3"/>
    <x v="3"/>
    <x v="3"/>
    <x v="3"/>
    <x v="7"/>
    <n v="6"/>
    <x v="0"/>
  </r>
  <r>
    <d v="2022-09-06T00:00:00"/>
    <x v="3"/>
    <x v="2"/>
    <x v="0"/>
    <n v="547041990.82000005"/>
    <x v="3"/>
    <x v="2"/>
    <x v="0"/>
    <x v="12"/>
    <x v="3"/>
    <x v="3"/>
    <x v="3"/>
    <x v="3"/>
    <x v="7"/>
    <n v="6"/>
    <x v="0"/>
  </r>
  <r>
    <d v="2022-09-06T00:00:00"/>
    <x v="3"/>
    <x v="2"/>
    <x v="1"/>
    <n v="23398829624.810001"/>
    <x v="3"/>
    <x v="2"/>
    <x v="1"/>
    <x v="13"/>
    <x v="3"/>
    <x v="3"/>
    <x v="3"/>
    <x v="3"/>
    <x v="7"/>
    <n v="6"/>
    <x v="0"/>
  </r>
  <r>
    <d v="2022-09-06T00:00:00"/>
    <x v="3"/>
    <x v="1"/>
    <x v="0"/>
    <n v="56326681.280000001"/>
    <x v="3"/>
    <x v="1"/>
    <x v="0"/>
    <x v="14"/>
    <x v="3"/>
    <x v="3"/>
    <x v="3"/>
    <x v="3"/>
    <x v="7"/>
    <n v="6"/>
    <x v="0"/>
  </r>
  <r>
    <d v="2022-09-02T00:00:00"/>
    <x v="1"/>
    <x v="1"/>
    <x v="0"/>
    <n v="676.5"/>
    <x v="1"/>
    <x v="1"/>
    <x v="0"/>
    <x v="0"/>
    <x v="3"/>
    <x v="3"/>
    <x v="3"/>
    <x v="3"/>
    <x v="7"/>
    <n v="2"/>
    <x v="0"/>
  </r>
  <r>
    <d v="2022-09-02T00:00:00"/>
    <x v="2"/>
    <x v="1"/>
    <x v="1"/>
    <n v="94058147.019999996"/>
    <x v="2"/>
    <x v="1"/>
    <x v="1"/>
    <x v="6"/>
    <x v="3"/>
    <x v="3"/>
    <x v="3"/>
    <x v="3"/>
    <x v="7"/>
    <n v="2"/>
    <x v="0"/>
  </r>
  <r>
    <d v="2022-09-02T00:00:00"/>
    <x v="0"/>
    <x v="1"/>
    <x v="0"/>
    <n v="10874298.75"/>
    <x v="0"/>
    <x v="1"/>
    <x v="0"/>
    <x v="1"/>
    <x v="3"/>
    <x v="3"/>
    <x v="3"/>
    <x v="3"/>
    <x v="7"/>
    <n v="2"/>
    <x v="0"/>
  </r>
  <r>
    <d v="2022-09-02T00:00:00"/>
    <x v="0"/>
    <x v="1"/>
    <x v="1"/>
    <n v="4496361.37"/>
    <x v="0"/>
    <x v="1"/>
    <x v="1"/>
    <x v="2"/>
    <x v="3"/>
    <x v="3"/>
    <x v="3"/>
    <x v="3"/>
    <x v="7"/>
    <n v="2"/>
    <x v="0"/>
  </r>
  <r>
    <d v="2022-09-02T00:00:00"/>
    <x v="2"/>
    <x v="1"/>
    <x v="2"/>
    <n v="40681.54"/>
    <x v="2"/>
    <x v="1"/>
    <x v="2"/>
    <x v="4"/>
    <x v="3"/>
    <x v="3"/>
    <x v="3"/>
    <x v="3"/>
    <x v="7"/>
    <n v="2"/>
    <x v="0"/>
  </r>
  <r>
    <d v="2022-09-02T00:00:00"/>
    <x v="3"/>
    <x v="2"/>
    <x v="2"/>
    <n v="220862"/>
    <x v="3"/>
    <x v="2"/>
    <x v="2"/>
    <x v="3"/>
    <x v="3"/>
    <x v="3"/>
    <x v="3"/>
    <x v="3"/>
    <x v="7"/>
    <n v="2"/>
    <x v="0"/>
  </r>
  <r>
    <d v="2022-09-02T00:00:00"/>
    <x v="2"/>
    <x v="1"/>
    <x v="0"/>
    <n v="85899766.109999999"/>
    <x v="2"/>
    <x v="1"/>
    <x v="0"/>
    <x v="5"/>
    <x v="3"/>
    <x v="3"/>
    <x v="3"/>
    <x v="3"/>
    <x v="7"/>
    <n v="2"/>
    <x v="0"/>
  </r>
  <r>
    <d v="2022-09-02T00:00:00"/>
    <x v="1"/>
    <x v="0"/>
    <x v="0"/>
    <n v="38487065.899999999"/>
    <x v="1"/>
    <x v="0"/>
    <x v="0"/>
    <x v="9"/>
    <x v="3"/>
    <x v="3"/>
    <x v="3"/>
    <x v="3"/>
    <x v="7"/>
    <n v="2"/>
    <x v="0"/>
  </r>
  <r>
    <d v="2022-09-02T00:00:00"/>
    <x v="1"/>
    <x v="0"/>
    <x v="1"/>
    <n v="171153282.00999999"/>
    <x v="1"/>
    <x v="0"/>
    <x v="1"/>
    <x v="8"/>
    <x v="3"/>
    <x v="3"/>
    <x v="3"/>
    <x v="3"/>
    <x v="7"/>
    <n v="2"/>
    <x v="0"/>
  </r>
  <r>
    <d v="2022-09-02T00:00:00"/>
    <x v="3"/>
    <x v="3"/>
    <x v="0"/>
    <n v="939258787.65999997"/>
    <x v="3"/>
    <x v="3"/>
    <x v="0"/>
    <x v="7"/>
    <x v="3"/>
    <x v="3"/>
    <x v="3"/>
    <x v="3"/>
    <x v="7"/>
    <n v="2"/>
    <x v="0"/>
  </r>
  <r>
    <d v="2022-09-02T00:00:00"/>
    <x v="3"/>
    <x v="2"/>
    <x v="0"/>
    <n v="1202767937.52"/>
    <x v="3"/>
    <x v="2"/>
    <x v="0"/>
    <x v="10"/>
    <x v="3"/>
    <x v="3"/>
    <x v="3"/>
    <x v="3"/>
    <x v="7"/>
    <n v="2"/>
    <x v="0"/>
  </r>
  <r>
    <d v="2022-09-02T00:00:00"/>
    <x v="3"/>
    <x v="2"/>
    <x v="1"/>
    <n v="16706383299.870001"/>
    <x v="3"/>
    <x v="2"/>
    <x v="1"/>
    <x v="11"/>
    <x v="3"/>
    <x v="3"/>
    <x v="3"/>
    <x v="3"/>
    <x v="7"/>
    <n v="2"/>
    <x v="0"/>
  </r>
  <r>
    <d v="2022-09-02T00:00:00"/>
    <x v="3"/>
    <x v="1"/>
    <x v="0"/>
    <n v="17351340.199999999"/>
    <x v="3"/>
    <x v="1"/>
    <x v="0"/>
    <x v="12"/>
    <x v="3"/>
    <x v="3"/>
    <x v="3"/>
    <x v="3"/>
    <x v="7"/>
    <n v="2"/>
    <x v="0"/>
  </r>
  <r>
    <d v="2022-09-01T00:00:00"/>
    <x v="2"/>
    <x v="1"/>
    <x v="2"/>
    <n v="11647.45"/>
    <x v="2"/>
    <x v="1"/>
    <x v="2"/>
    <x v="3"/>
    <x v="3"/>
    <x v="3"/>
    <x v="3"/>
    <x v="3"/>
    <x v="7"/>
    <n v="1"/>
    <x v="0"/>
  </r>
  <r>
    <d v="2022-09-01T00:00:00"/>
    <x v="1"/>
    <x v="1"/>
    <x v="0"/>
    <n v="313"/>
    <x v="1"/>
    <x v="1"/>
    <x v="0"/>
    <x v="1"/>
    <x v="3"/>
    <x v="3"/>
    <x v="3"/>
    <x v="3"/>
    <x v="7"/>
    <n v="1"/>
    <x v="0"/>
  </r>
  <r>
    <d v="2022-09-01T00:00:00"/>
    <x v="0"/>
    <x v="1"/>
    <x v="0"/>
    <n v="12568278.220000001"/>
    <x v="0"/>
    <x v="1"/>
    <x v="0"/>
    <x v="2"/>
    <x v="3"/>
    <x v="3"/>
    <x v="3"/>
    <x v="3"/>
    <x v="7"/>
    <n v="1"/>
    <x v="0"/>
  </r>
  <r>
    <d v="2022-09-01T00:00:00"/>
    <x v="2"/>
    <x v="1"/>
    <x v="1"/>
    <n v="191648141.84999999"/>
    <x v="2"/>
    <x v="1"/>
    <x v="1"/>
    <x v="8"/>
    <x v="3"/>
    <x v="3"/>
    <x v="3"/>
    <x v="3"/>
    <x v="7"/>
    <n v="1"/>
    <x v="0"/>
  </r>
  <r>
    <d v="2022-09-01T00:00:00"/>
    <x v="0"/>
    <x v="1"/>
    <x v="1"/>
    <n v="121786591.66"/>
    <x v="0"/>
    <x v="1"/>
    <x v="1"/>
    <x v="4"/>
    <x v="3"/>
    <x v="3"/>
    <x v="3"/>
    <x v="3"/>
    <x v="7"/>
    <n v="1"/>
    <x v="0"/>
  </r>
  <r>
    <d v="2022-09-01T00:00:00"/>
    <x v="3"/>
    <x v="2"/>
    <x v="2"/>
    <n v="332838.68"/>
    <x v="3"/>
    <x v="2"/>
    <x v="2"/>
    <x v="5"/>
    <x v="3"/>
    <x v="3"/>
    <x v="3"/>
    <x v="3"/>
    <x v="7"/>
    <n v="1"/>
    <x v="0"/>
  </r>
  <r>
    <d v="2022-09-01T00:00:00"/>
    <x v="0"/>
    <x v="0"/>
    <x v="0"/>
    <n v="-810"/>
    <x v="0"/>
    <x v="0"/>
    <x v="0"/>
    <x v="0"/>
    <x v="3"/>
    <x v="3"/>
    <x v="3"/>
    <x v="3"/>
    <x v="7"/>
    <n v="1"/>
    <x v="1"/>
  </r>
  <r>
    <d v="2022-09-01T00:00:00"/>
    <x v="3"/>
    <x v="3"/>
    <x v="0"/>
    <n v="2567674077.7199998"/>
    <x v="3"/>
    <x v="3"/>
    <x v="0"/>
    <x v="6"/>
    <x v="3"/>
    <x v="3"/>
    <x v="3"/>
    <x v="3"/>
    <x v="7"/>
    <n v="1"/>
    <x v="0"/>
  </r>
  <r>
    <d v="2022-09-01T00:00:00"/>
    <x v="2"/>
    <x v="1"/>
    <x v="0"/>
    <n v="100927266.54000001"/>
    <x v="2"/>
    <x v="1"/>
    <x v="0"/>
    <x v="7"/>
    <x v="3"/>
    <x v="3"/>
    <x v="3"/>
    <x v="3"/>
    <x v="7"/>
    <n v="1"/>
    <x v="0"/>
  </r>
  <r>
    <d v="2022-09-01T00:00:00"/>
    <x v="1"/>
    <x v="0"/>
    <x v="1"/>
    <n v="378816586.80000001"/>
    <x v="1"/>
    <x v="0"/>
    <x v="1"/>
    <x v="9"/>
    <x v="3"/>
    <x v="3"/>
    <x v="3"/>
    <x v="3"/>
    <x v="7"/>
    <n v="1"/>
    <x v="0"/>
  </r>
  <r>
    <d v="2022-09-01T00:00:00"/>
    <x v="1"/>
    <x v="0"/>
    <x v="0"/>
    <n v="56807490.979999997"/>
    <x v="1"/>
    <x v="0"/>
    <x v="0"/>
    <x v="10"/>
    <x v="3"/>
    <x v="3"/>
    <x v="3"/>
    <x v="3"/>
    <x v="7"/>
    <n v="1"/>
    <x v="0"/>
  </r>
  <r>
    <d v="2022-09-01T00:00:00"/>
    <x v="3"/>
    <x v="2"/>
    <x v="0"/>
    <n v="440623494.62"/>
    <x v="3"/>
    <x v="2"/>
    <x v="0"/>
    <x v="11"/>
    <x v="3"/>
    <x v="3"/>
    <x v="3"/>
    <x v="3"/>
    <x v="7"/>
    <n v="1"/>
    <x v="0"/>
  </r>
  <r>
    <d v="2022-09-01T00:00:00"/>
    <x v="3"/>
    <x v="2"/>
    <x v="1"/>
    <n v="21684671729.91"/>
    <x v="3"/>
    <x v="2"/>
    <x v="1"/>
    <x v="12"/>
    <x v="3"/>
    <x v="3"/>
    <x v="3"/>
    <x v="3"/>
    <x v="7"/>
    <n v="1"/>
    <x v="0"/>
  </r>
  <r>
    <d v="2022-09-01T00:00:00"/>
    <x v="3"/>
    <x v="1"/>
    <x v="0"/>
    <n v="16712703.800000001"/>
    <x v="3"/>
    <x v="1"/>
    <x v="0"/>
    <x v="13"/>
    <x v="3"/>
    <x v="3"/>
    <x v="3"/>
    <x v="3"/>
    <x v="7"/>
    <n v="1"/>
    <x v="0"/>
  </r>
  <r>
    <d v="2022-08-31T00:00:00"/>
    <x v="2"/>
    <x v="1"/>
    <x v="2"/>
    <n v="76064.69"/>
    <x v="2"/>
    <x v="1"/>
    <x v="2"/>
    <x v="2"/>
    <x v="3"/>
    <x v="3"/>
    <x v="3"/>
    <x v="3"/>
    <x v="8"/>
    <n v="31"/>
    <x v="0"/>
  </r>
  <r>
    <d v="2022-08-31T00:00:00"/>
    <x v="1"/>
    <x v="1"/>
    <x v="0"/>
    <n v="563"/>
    <x v="1"/>
    <x v="1"/>
    <x v="0"/>
    <x v="0"/>
    <x v="3"/>
    <x v="3"/>
    <x v="3"/>
    <x v="3"/>
    <x v="8"/>
    <n v="31"/>
    <x v="0"/>
  </r>
  <r>
    <d v="2022-08-31T00:00:00"/>
    <x v="2"/>
    <x v="1"/>
    <x v="1"/>
    <n v="197133348.71000001"/>
    <x v="2"/>
    <x v="1"/>
    <x v="1"/>
    <x v="8"/>
    <x v="3"/>
    <x v="3"/>
    <x v="3"/>
    <x v="3"/>
    <x v="8"/>
    <n v="31"/>
    <x v="0"/>
  </r>
  <r>
    <d v="2022-08-31T00:00:00"/>
    <x v="0"/>
    <x v="1"/>
    <x v="0"/>
    <n v="20003946.84"/>
    <x v="0"/>
    <x v="1"/>
    <x v="0"/>
    <x v="1"/>
    <x v="3"/>
    <x v="3"/>
    <x v="3"/>
    <x v="3"/>
    <x v="8"/>
    <n v="31"/>
    <x v="0"/>
  </r>
  <r>
    <d v="2022-08-31T00:00:00"/>
    <x v="3"/>
    <x v="3"/>
    <x v="1"/>
    <n v="29230.26"/>
    <x v="3"/>
    <x v="3"/>
    <x v="1"/>
    <x v="3"/>
    <x v="3"/>
    <x v="3"/>
    <x v="3"/>
    <x v="3"/>
    <x v="8"/>
    <n v="31"/>
    <x v="0"/>
  </r>
  <r>
    <d v="2022-08-31T00:00:00"/>
    <x v="1"/>
    <x v="0"/>
    <x v="0"/>
    <n v="73856199.010000005"/>
    <x v="1"/>
    <x v="0"/>
    <x v="0"/>
    <x v="10"/>
    <x v="3"/>
    <x v="3"/>
    <x v="3"/>
    <x v="3"/>
    <x v="8"/>
    <n v="31"/>
    <x v="0"/>
  </r>
  <r>
    <d v="2022-08-31T00:00:00"/>
    <x v="0"/>
    <x v="1"/>
    <x v="1"/>
    <n v="34721067.990000002"/>
    <x v="0"/>
    <x v="1"/>
    <x v="1"/>
    <x v="4"/>
    <x v="3"/>
    <x v="3"/>
    <x v="3"/>
    <x v="3"/>
    <x v="8"/>
    <n v="31"/>
    <x v="0"/>
  </r>
  <r>
    <d v="2022-08-31T00:00:00"/>
    <x v="3"/>
    <x v="2"/>
    <x v="2"/>
    <n v="119417.95"/>
    <x v="3"/>
    <x v="2"/>
    <x v="2"/>
    <x v="5"/>
    <x v="3"/>
    <x v="3"/>
    <x v="3"/>
    <x v="3"/>
    <x v="8"/>
    <n v="31"/>
    <x v="0"/>
  </r>
  <r>
    <d v="2022-08-31T00:00:00"/>
    <x v="3"/>
    <x v="3"/>
    <x v="0"/>
    <n v="3050468368.8600001"/>
    <x v="3"/>
    <x v="3"/>
    <x v="0"/>
    <x v="6"/>
    <x v="3"/>
    <x v="3"/>
    <x v="3"/>
    <x v="3"/>
    <x v="8"/>
    <n v="31"/>
    <x v="0"/>
  </r>
  <r>
    <d v="2022-08-31T00:00:00"/>
    <x v="2"/>
    <x v="1"/>
    <x v="0"/>
    <n v="110353743.34999999"/>
    <x v="2"/>
    <x v="1"/>
    <x v="0"/>
    <x v="7"/>
    <x v="3"/>
    <x v="3"/>
    <x v="3"/>
    <x v="3"/>
    <x v="8"/>
    <n v="31"/>
    <x v="0"/>
  </r>
  <r>
    <d v="2022-08-31T00:00:00"/>
    <x v="1"/>
    <x v="0"/>
    <x v="1"/>
    <n v="1054980813.51"/>
    <x v="1"/>
    <x v="0"/>
    <x v="1"/>
    <x v="9"/>
    <x v="3"/>
    <x v="3"/>
    <x v="3"/>
    <x v="3"/>
    <x v="8"/>
    <n v="31"/>
    <x v="0"/>
  </r>
  <r>
    <d v="2022-08-31T00:00:00"/>
    <x v="3"/>
    <x v="2"/>
    <x v="0"/>
    <n v="932873481.71000004"/>
    <x v="3"/>
    <x v="2"/>
    <x v="0"/>
    <x v="11"/>
    <x v="3"/>
    <x v="3"/>
    <x v="3"/>
    <x v="3"/>
    <x v="8"/>
    <n v="31"/>
    <x v="0"/>
  </r>
  <r>
    <d v="2022-08-31T00:00:00"/>
    <x v="3"/>
    <x v="1"/>
    <x v="0"/>
    <n v="14277103.279999999"/>
    <x v="3"/>
    <x v="1"/>
    <x v="0"/>
    <x v="12"/>
    <x v="3"/>
    <x v="3"/>
    <x v="3"/>
    <x v="3"/>
    <x v="8"/>
    <n v="31"/>
    <x v="0"/>
  </r>
  <r>
    <d v="2022-08-31T00:00:00"/>
    <x v="3"/>
    <x v="2"/>
    <x v="1"/>
    <n v="12502406449.969999"/>
    <x v="3"/>
    <x v="2"/>
    <x v="1"/>
    <x v="13"/>
    <x v="3"/>
    <x v="3"/>
    <x v="3"/>
    <x v="3"/>
    <x v="8"/>
    <n v="31"/>
    <x v="0"/>
  </r>
  <r>
    <d v="2022-08-30T00:00:00"/>
    <x v="2"/>
    <x v="1"/>
    <x v="2"/>
    <n v="693555.99"/>
    <x v="2"/>
    <x v="1"/>
    <x v="2"/>
    <x v="3"/>
    <x v="3"/>
    <x v="3"/>
    <x v="3"/>
    <x v="3"/>
    <x v="8"/>
    <n v="30"/>
    <x v="0"/>
  </r>
  <r>
    <d v="2022-08-30T00:00:00"/>
    <x v="1"/>
    <x v="1"/>
    <x v="0"/>
    <n v="23"/>
    <x v="1"/>
    <x v="1"/>
    <x v="0"/>
    <x v="0"/>
    <x v="3"/>
    <x v="3"/>
    <x v="3"/>
    <x v="3"/>
    <x v="8"/>
    <n v="30"/>
    <x v="0"/>
  </r>
  <r>
    <d v="2022-08-30T00:00:00"/>
    <x v="0"/>
    <x v="1"/>
    <x v="0"/>
    <n v="13942290.41"/>
    <x v="0"/>
    <x v="1"/>
    <x v="0"/>
    <x v="2"/>
    <x v="3"/>
    <x v="3"/>
    <x v="3"/>
    <x v="3"/>
    <x v="8"/>
    <n v="30"/>
    <x v="0"/>
  </r>
  <r>
    <d v="2022-08-30T00:00:00"/>
    <x v="1"/>
    <x v="0"/>
    <x v="1"/>
    <n v="332613314"/>
    <x v="1"/>
    <x v="0"/>
    <x v="1"/>
    <x v="10"/>
    <x v="3"/>
    <x v="3"/>
    <x v="3"/>
    <x v="3"/>
    <x v="8"/>
    <n v="30"/>
    <x v="0"/>
  </r>
  <r>
    <d v="2022-08-30T00:00:00"/>
    <x v="3"/>
    <x v="3"/>
    <x v="1"/>
    <n v="300656.21999999997"/>
    <x v="3"/>
    <x v="3"/>
    <x v="1"/>
    <x v="4"/>
    <x v="3"/>
    <x v="3"/>
    <x v="3"/>
    <x v="3"/>
    <x v="8"/>
    <n v="30"/>
    <x v="0"/>
  </r>
  <r>
    <d v="2022-08-30T00:00:00"/>
    <x v="0"/>
    <x v="1"/>
    <x v="1"/>
    <n v="1668520.78"/>
    <x v="0"/>
    <x v="1"/>
    <x v="1"/>
    <x v="5"/>
    <x v="3"/>
    <x v="3"/>
    <x v="3"/>
    <x v="3"/>
    <x v="8"/>
    <n v="30"/>
    <x v="0"/>
  </r>
  <r>
    <d v="2022-08-30T00:00:00"/>
    <x v="1"/>
    <x v="0"/>
    <x v="0"/>
    <n v="60806536.939999998"/>
    <x v="1"/>
    <x v="0"/>
    <x v="0"/>
    <x v="11"/>
    <x v="3"/>
    <x v="3"/>
    <x v="3"/>
    <x v="3"/>
    <x v="8"/>
    <n v="30"/>
    <x v="0"/>
  </r>
  <r>
    <d v="2022-08-30T00:00:00"/>
    <x v="3"/>
    <x v="2"/>
    <x v="2"/>
    <n v="325471.65000000002"/>
    <x v="3"/>
    <x v="2"/>
    <x v="2"/>
    <x v="6"/>
    <x v="3"/>
    <x v="3"/>
    <x v="3"/>
    <x v="3"/>
    <x v="8"/>
    <n v="30"/>
    <x v="0"/>
  </r>
  <r>
    <d v="2022-08-30T00:00:00"/>
    <x v="0"/>
    <x v="0"/>
    <x v="0"/>
    <n v="750"/>
    <x v="0"/>
    <x v="0"/>
    <x v="0"/>
    <x v="1"/>
    <x v="3"/>
    <x v="3"/>
    <x v="3"/>
    <x v="3"/>
    <x v="8"/>
    <n v="30"/>
    <x v="0"/>
  </r>
  <r>
    <d v="2022-08-30T00:00:00"/>
    <x v="3"/>
    <x v="3"/>
    <x v="0"/>
    <n v="3616821457.4499998"/>
    <x v="3"/>
    <x v="3"/>
    <x v="0"/>
    <x v="7"/>
    <x v="3"/>
    <x v="3"/>
    <x v="3"/>
    <x v="3"/>
    <x v="8"/>
    <n v="30"/>
    <x v="0"/>
  </r>
  <r>
    <d v="2022-08-30T00:00:00"/>
    <x v="2"/>
    <x v="1"/>
    <x v="0"/>
    <n v="102500407.73"/>
    <x v="2"/>
    <x v="1"/>
    <x v="0"/>
    <x v="8"/>
    <x v="3"/>
    <x v="3"/>
    <x v="3"/>
    <x v="3"/>
    <x v="8"/>
    <n v="30"/>
    <x v="0"/>
  </r>
  <r>
    <d v="2022-08-30T00:00:00"/>
    <x v="2"/>
    <x v="1"/>
    <x v="1"/>
    <n v="109666429.84"/>
    <x v="2"/>
    <x v="1"/>
    <x v="1"/>
    <x v="9"/>
    <x v="3"/>
    <x v="3"/>
    <x v="3"/>
    <x v="3"/>
    <x v="8"/>
    <n v="30"/>
    <x v="0"/>
  </r>
  <r>
    <d v="2022-08-30T00:00:00"/>
    <x v="3"/>
    <x v="2"/>
    <x v="0"/>
    <n v="3315271703.7399998"/>
    <x v="3"/>
    <x v="2"/>
    <x v="0"/>
    <x v="12"/>
    <x v="3"/>
    <x v="3"/>
    <x v="3"/>
    <x v="3"/>
    <x v="8"/>
    <n v="30"/>
    <x v="0"/>
  </r>
  <r>
    <d v="2022-08-30T00:00:00"/>
    <x v="3"/>
    <x v="1"/>
    <x v="0"/>
    <n v="11097376.76"/>
    <x v="3"/>
    <x v="1"/>
    <x v="0"/>
    <x v="13"/>
    <x v="3"/>
    <x v="3"/>
    <x v="3"/>
    <x v="3"/>
    <x v="8"/>
    <n v="30"/>
    <x v="0"/>
  </r>
  <r>
    <d v="2022-08-30T00:00:00"/>
    <x v="3"/>
    <x v="2"/>
    <x v="1"/>
    <n v="4224947947.1700001"/>
    <x v="3"/>
    <x v="2"/>
    <x v="1"/>
    <x v="14"/>
    <x v="3"/>
    <x v="3"/>
    <x v="3"/>
    <x v="3"/>
    <x v="8"/>
    <n v="30"/>
    <x v="0"/>
  </r>
  <r>
    <d v="2022-08-29T00:00:00"/>
    <x v="2"/>
    <x v="1"/>
    <x v="2"/>
    <n v="14056"/>
    <x v="2"/>
    <x v="1"/>
    <x v="2"/>
    <x v="2"/>
    <x v="3"/>
    <x v="3"/>
    <x v="3"/>
    <x v="3"/>
    <x v="8"/>
    <n v="29"/>
    <x v="0"/>
  </r>
  <r>
    <d v="2022-08-29T00:00:00"/>
    <x v="1"/>
    <x v="1"/>
    <x v="0"/>
    <n v="753"/>
    <x v="1"/>
    <x v="1"/>
    <x v="0"/>
    <x v="0"/>
    <x v="3"/>
    <x v="3"/>
    <x v="3"/>
    <x v="3"/>
    <x v="8"/>
    <n v="29"/>
    <x v="0"/>
  </r>
  <r>
    <d v="2022-08-29T00:00:00"/>
    <x v="2"/>
    <x v="1"/>
    <x v="0"/>
    <n v="109802294.79000001"/>
    <x v="2"/>
    <x v="1"/>
    <x v="0"/>
    <x v="5"/>
    <x v="3"/>
    <x v="3"/>
    <x v="3"/>
    <x v="3"/>
    <x v="8"/>
    <n v="29"/>
    <x v="0"/>
  </r>
  <r>
    <d v="2022-08-29T00:00:00"/>
    <x v="3"/>
    <x v="3"/>
    <x v="0"/>
    <n v="1457035577.73"/>
    <x v="3"/>
    <x v="3"/>
    <x v="0"/>
    <x v="6"/>
    <x v="3"/>
    <x v="3"/>
    <x v="3"/>
    <x v="3"/>
    <x v="8"/>
    <n v="29"/>
    <x v="0"/>
  </r>
  <r>
    <d v="2022-08-29T00:00:00"/>
    <x v="0"/>
    <x v="1"/>
    <x v="0"/>
    <n v="8740585.5199999996"/>
    <x v="0"/>
    <x v="1"/>
    <x v="0"/>
    <x v="1"/>
    <x v="3"/>
    <x v="3"/>
    <x v="3"/>
    <x v="3"/>
    <x v="8"/>
    <n v="29"/>
    <x v="0"/>
  </r>
  <r>
    <d v="2022-08-29T00:00:00"/>
    <x v="2"/>
    <x v="1"/>
    <x v="1"/>
    <n v="107295154.40000001"/>
    <x v="2"/>
    <x v="1"/>
    <x v="1"/>
    <x v="7"/>
    <x v="3"/>
    <x v="3"/>
    <x v="3"/>
    <x v="3"/>
    <x v="8"/>
    <n v="29"/>
    <x v="0"/>
  </r>
  <r>
    <d v="2022-08-29T00:00:00"/>
    <x v="1"/>
    <x v="0"/>
    <x v="1"/>
    <n v="318714004"/>
    <x v="1"/>
    <x v="0"/>
    <x v="1"/>
    <x v="8"/>
    <x v="3"/>
    <x v="3"/>
    <x v="3"/>
    <x v="3"/>
    <x v="8"/>
    <n v="29"/>
    <x v="0"/>
  </r>
  <r>
    <d v="2022-08-29T00:00:00"/>
    <x v="3"/>
    <x v="2"/>
    <x v="2"/>
    <n v="74205.75"/>
    <x v="3"/>
    <x v="2"/>
    <x v="2"/>
    <x v="4"/>
    <x v="3"/>
    <x v="3"/>
    <x v="3"/>
    <x v="3"/>
    <x v="8"/>
    <n v="29"/>
    <x v="0"/>
  </r>
  <r>
    <d v="2022-08-29T00:00:00"/>
    <x v="0"/>
    <x v="1"/>
    <x v="1"/>
    <n v="13427524.1"/>
    <x v="0"/>
    <x v="1"/>
    <x v="1"/>
    <x v="3"/>
    <x v="3"/>
    <x v="3"/>
    <x v="3"/>
    <x v="3"/>
    <x v="8"/>
    <n v="29"/>
    <x v="0"/>
  </r>
  <r>
    <d v="2022-08-29T00:00:00"/>
    <x v="1"/>
    <x v="0"/>
    <x v="0"/>
    <n v="52998549.780000001"/>
    <x v="1"/>
    <x v="0"/>
    <x v="0"/>
    <x v="9"/>
    <x v="3"/>
    <x v="3"/>
    <x v="3"/>
    <x v="3"/>
    <x v="8"/>
    <n v="29"/>
    <x v="0"/>
  </r>
  <r>
    <d v="2022-08-29T00:00:00"/>
    <x v="3"/>
    <x v="2"/>
    <x v="0"/>
    <n v="966219905.25999999"/>
    <x v="3"/>
    <x v="2"/>
    <x v="0"/>
    <x v="10"/>
    <x v="3"/>
    <x v="3"/>
    <x v="3"/>
    <x v="3"/>
    <x v="8"/>
    <n v="29"/>
    <x v="0"/>
  </r>
  <r>
    <d v="2022-08-29T00:00:00"/>
    <x v="3"/>
    <x v="2"/>
    <x v="1"/>
    <n v="21396028285.740002"/>
    <x v="3"/>
    <x v="2"/>
    <x v="1"/>
    <x v="11"/>
    <x v="3"/>
    <x v="3"/>
    <x v="3"/>
    <x v="3"/>
    <x v="8"/>
    <n v="29"/>
    <x v="0"/>
  </r>
  <r>
    <d v="2022-08-29T00:00:00"/>
    <x v="3"/>
    <x v="1"/>
    <x v="0"/>
    <n v="44251943.07"/>
    <x v="3"/>
    <x v="1"/>
    <x v="0"/>
    <x v="12"/>
    <x v="3"/>
    <x v="3"/>
    <x v="3"/>
    <x v="3"/>
    <x v="8"/>
    <n v="29"/>
    <x v="0"/>
  </r>
  <r>
    <d v="2022-08-26T00:00:00"/>
    <x v="3"/>
    <x v="2"/>
    <x v="2"/>
    <n v="146094.66"/>
    <x v="3"/>
    <x v="2"/>
    <x v="2"/>
    <x v="3"/>
    <x v="3"/>
    <x v="3"/>
    <x v="3"/>
    <x v="3"/>
    <x v="8"/>
    <n v="26"/>
    <x v="0"/>
  </r>
  <r>
    <d v="2022-08-26T00:00:00"/>
    <x v="1"/>
    <x v="1"/>
    <x v="0"/>
    <n v="4966.59"/>
    <x v="1"/>
    <x v="1"/>
    <x v="0"/>
    <x v="0"/>
    <x v="3"/>
    <x v="3"/>
    <x v="3"/>
    <x v="3"/>
    <x v="8"/>
    <n v="26"/>
    <x v="0"/>
  </r>
  <r>
    <d v="2022-08-26T00:00:00"/>
    <x v="0"/>
    <x v="1"/>
    <x v="0"/>
    <n v="36058354.140000001"/>
    <x v="0"/>
    <x v="1"/>
    <x v="0"/>
    <x v="1"/>
    <x v="3"/>
    <x v="3"/>
    <x v="3"/>
    <x v="3"/>
    <x v="8"/>
    <n v="26"/>
    <x v="0"/>
  </r>
  <r>
    <d v="2022-08-26T00:00:00"/>
    <x v="2"/>
    <x v="1"/>
    <x v="2"/>
    <n v="32080.6"/>
    <x v="2"/>
    <x v="1"/>
    <x v="2"/>
    <x v="2"/>
    <x v="3"/>
    <x v="3"/>
    <x v="3"/>
    <x v="3"/>
    <x v="8"/>
    <n v="26"/>
    <x v="0"/>
  </r>
  <r>
    <d v="2022-08-26T00:00:00"/>
    <x v="2"/>
    <x v="1"/>
    <x v="0"/>
    <n v="81062619.400000006"/>
    <x v="2"/>
    <x v="1"/>
    <x v="0"/>
    <x v="6"/>
    <x v="3"/>
    <x v="3"/>
    <x v="3"/>
    <x v="3"/>
    <x v="8"/>
    <n v="26"/>
    <x v="0"/>
  </r>
  <r>
    <d v="2022-08-26T00:00:00"/>
    <x v="2"/>
    <x v="1"/>
    <x v="1"/>
    <n v="87213807.879999995"/>
    <x v="2"/>
    <x v="1"/>
    <x v="1"/>
    <x v="8"/>
    <x v="3"/>
    <x v="3"/>
    <x v="3"/>
    <x v="3"/>
    <x v="8"/>
    <n v="26"/>
    <x v="0"/>
  </r>
  <r>
    <d v="2022-08-26T00:00:00"/>
    <x v="1"/>
    <x v="0"/>
    <x v="0"/>
    <n v="56142201.25"/>
    <x v="1"/>
    <x v="0"/>
    <x v="0"/>
    <x v="9"/>
    <x v="3"/>
    <x v="3"/>
    <x v="3"/>
    <x v="3"/>
    <x v="8"/>
    <n v="26"/>
    <x v="0"/>
  </r>
  <r>
    <d v="2022-08-26T00:00:00"/>
    <x v="3"/>
    <x v="3"/>
    <x v="1"/>
    <n v="12609.56"/>
    <x v="3"/>
    <x v="3"/>
    <x v="1"/>
    <x v="4"/>
    <x v="3"/>
    <x v="3"/>
    <x v="3"/>
    <x v="3"/>
    <x v="8"/>
    <n v="26"/>
    <x v="0"/>
  </r>
  <r>
    <d v="2022-08-26T00:00:00"/>
    <x v="0"/>
    <x v="1"/>
    <x v="1"/>
    <n v="8715397.6300000008"/>
    <x v="0"/>
    <x v="1"/>
    <x v="1"/>
    <x v="5"/>
    <x v="3"/>
    <x v="3"/>
    <x v="3"/>
    <x v="3"/>
    <x v="8"/>
    <n v="26"/>
    <x v="0"/>
  </r>
  <r>
    <d v="2022-08-26T00:00:00"/>
    <x v="3"/>
    <x v="3"/>
    <x v="0"/>
    <n v="1101286414.46"/>
    <x v="3"/>
    <x v="3"/>
    <x v="0"/>
    <x v="7"/>
    <x v="3"/>
    <x v="3"/>
    <x v="3"/>
    <x v="3"/>
    <x v="8"/>
    <n v="26"/>
    <x v="0"/>
  </r>
  <r>
    <d v="2022-08-26T00:00:00"/>
    <x v="1"/>
    <x v="0"/>
    <x v="1"/>
    <n v="143339436.46000001"/>
    <x v="1"/>
    <x v="0"/>
    <x v="1"/>
    <x v="10"/>
    <x v="3"/>
    <x v="3"/>
    <x v="3"/>
    <x v="3"/>
    <x v="8"/>
    <n v="26"/>
    <x v="0"/>
  </r>
  <r>
    <d v="2022-08-26T00:00:00"/>
    <x v="3"/>
    <x v="2"/>
    <x v="0"/>
    <n v="1067131362.1799999"/>
    <x v="3"/>
    <x v="2"/>
    <x v="0"/>
    <x v="11"/>
    <x v="3"/>
    <x v="3"/>
    <x v="3"/>
    <x v="3"/>
    <x v="8"/>
    <n v="26"/>
    <x v="0"/>
  </r>
  <r>
    <d v="2022-08-26T00:00:00"/>
    <x v="3"/>
    <x v="2"/>
    <x v="1"/>
    <n v="8562767178.5600004"/>
    <x v="3"/>
    <x v="2"/>
    <x v="1"/>
    <x v="12"/>
    <x v="3"/>
    <x v="3"/>
    <x v="3"/>
    <x v="3"/>
    <x v="8"/>
    <n v="26"/>
    <x v="0"/>
  </r>
  <r>
    <d v="2022-08-26T00:00:00"/>
    <x v="3"/>
    <x v="1"/>
    <x v="0"/>
    <n v="13717126.550000001"/>
    <x v="3"/>
    <x v="1"/>
    <x v="0"/>
    <x v="13"/>
    <x v="3"/>
    <x v="3"/>
    <x v="3"/>
    <x v="3"/>
    <x v="8"/>
    <n v="26"/>
    <x v="0"/>
  </r>
  <r>
    <d v="2022-08-25T00:00:00"/>
    <x v="3"/>
    <x v="3"/>
    <x v="2"/>
    <n v="27702"/>
    <x v="3"/>
    <x v="3"/>
    <x v="2"/>
    <x v="2"/>
    <x v="3"/>
    <x v="3"/>
    <x v="3"/>
    <x v="3"/>
    <x v="8"/>
    <n v="25"/>
    <x v="0"/>
  </r>
  <r>
    <d v="2022-08-25T00:00:00"/>
    <x v="1"/>
    <x v="1"/>
    <x v="0"/>
    <n v="305.16000000000003"/>
    <x v="1"/>
    <x v="1"/>
    <x v="0"/>
    <x v="0"/>
    <x v="3"/>
    <x v="3"/>
    <x v="3"/>
    <x v="3"/>
    <x v="8"/>
    <n v="25"/>
    <x v="0"/>
  </r>
  <r>
    <d v="2022-08-25T00:00:00"/>
    <x v="0"/>
    <x v="1"/>
    <x v="0"/>
    <n v="16021071.470000001"/>
    <x v="0"/>
    <x v="1"/>
    <x v="0"/>
    <x v="1"/>
    <x v="3"/>
    <x v="3"/>
    <x v="3"/>
    <x v="3"/>
    <x v="8"/>
    <n v="25"/>
    <x v="0"/>
  </r>
  <r>
    <d v="2022-08-25T00:00:00"/>
    <x v="2"/>
    <x v="1"/>
    <x v="0"/>
    <n v="85621883.900000006"/>
    <x v="2"/>
    <x v="1"/>
    <x v="0"/>
    <x v="6"/>
    <x v="3"/>
    <x v="3"/>
    <x v="3"/>
    <x v="3"/>
    <x v="8"/>
    <n v="25"/>
    <x v="0"/>
  </r>
  <r>
    <d v="2022-08-25T00:00:00"/>
    <x v="2"/>
    <x v="1"/>
    <x v="1"/>
    <n v="818004997.12"/>
    <x v="2"/>
    <x v="1"/>
    <x v="1"/>
    <x v="7"/>
    <x v="3"/>
    <x v="3"/>
    <x v="3"/>
    <x v="3"/>
    <x v="8"/>
    <n v="25"/>
    <x v="0"/>
  </r>
  <r>
    <d v="2022-08-25T00:00:00"/>
    <x v="2"/>
    <x v="1"/>
    <x v="2"/>
    <n v="25336.76"/>
    <x v="2"/>
    <x v="1"/>
    <x v="2"/>
    <x v="4"/>
    <x v="3"/>
    <x v="3"/>
    <x v="3"/>
    <x v="3"/>
    <x v="8"/>
    <n v="25"/>
    <x v="0"/>
  </r>
  <r>
    <d v="2022-08-25T00:00:00"/>
    <x v="3"/>
    <x v="2"/>
    <x v="2"/>
    <n v="506573.54"/>
    <x v="3"/>
    <x v="2"/>
    <x v="2"/>
    <x v="5"/>
    <x v="3"/>
    <x v="3"/>
    <x v="3"/>
    <x v="3"/>
    <x v="8"/>
    <n v="25"/>
    <x v="0"/>
  </r>
  <r>
    <d v="2022-08-25T00:00:00"/>
    <x v="1"/>
    <x v="0"/>
    <x v="1"/>
    <n v="243968964.63999999"/>
    <x v="1"/>
    <x v="0"/>
    <x v="1"/>
    <x v="9"/>
    <x v="3"/>
    <x v="3"/>
    <x v="3"/>
    <x v="3"/>
    <x v="8"/>
    <n v="25"/>
    <x v="0"/>
  </r>
  <r>
    <d v="2022-08-25T00:00:00"/>
    <x v="0"/>
    <x v="1"/>
    <x v="1"/>
    <n v="4230248.6399999997"/>
    <x v="0"/>
    <x v="1"/>
    <x v="1"/>
    <x v="3"/>
    <x v="3"/>
    <x v="3"/>
    <x v="3"/>
    <x v="3"/>
    <x v="8"/>
    <n v="25"/>
    <x v="0"/>
  </r>
  <r>
    <d v="2022-08-25T00:00:00"/>
    <x v="3"/>
    <x v="3"/>
    <x v="0"/>
    <n v="1439271375.4100001"/>
    <x v="3"/>
    <x v="3"/>
    <x v="0"/>
    <x v="8"/>
    <x v="3"/>
    <x v="3"/>
    <x v="3"/>
    <x v="3"/>
    <x v="8"/>
    <n v="25"/>
    <x v="0"/>
  </r>
  <r>
    <d v="2022-08-25T00:00:00"/>
    <x v="1"/>
    <x v="0"/>
    <x v="0"/>
    <n v="79799820.969999999"/>
    <x v="1"/>
    <x v="0"/>
    <x v="0"/>
    <x v="10"/>
    <x v="3"/>
    <x v="3"/>
    <x v="3"/>
    <x v="3"/>
    <x v="8"/>
    <n v="25"/>
    <x v="0"/>
  </r>
  <r>
    <d v="2022-08-25T00:00:00"/>
    <x v="3"/>
    <x v="2"/>
    <x v="0"/>
    <n v="764236045.70000005"/>
    <x v="3"/>
    <x v="2"/>
    <x v="0"/>
    <x v="11"/>
    <x v="3"/>
    <x v="3"/>
    <x v="3"/>
    <x v="3"/>
    <x v="8"/>
    <n v="25"/>
    <x v="0"/>
  </r>
  <r>
    <d v="2022-08-25T00:00:00"/>
    <x v="3"/>
    <x v="2"/>
    <x v="1"/>
    <n v="3620292533.6100001"/>
    <x v="3"/>
    <x v="2"/>
    <x v="1"/>
    <x v="12"/>
    <x v="3"/>
    <x v="3"/>
    <x v="3"/>
    <x v="3"/>
    <x v="8"/>
    <n v="25"/>
    <x v="0"/>
  </r>
  <r>
    <d v="2022-08-25T00:00:00"/>
    <x v="3"/>
    <x v="1"/>
    <x v="0"/>
    <n v="13863941.41"/>
    <x v="3"/>
    <x v="1"/>
    <x v="0"/>
    <x v="13"/>
    <x v="3"/>
    <x v="3"/>
    <x v="3"/>
    <x v="3"/>
    <x v="8"/>
    <n v="25"/>
    <x v="0"/>
  </r>
  <r>
    <d v="2022-08-24T00:00:00"/>
    <x v="0"/>
    <x v="1"/>
    <x v="0"/>
    <n v="14132794.119999999"/>
    <x v="0"/>
    <x v="1"/>
    <x v="0"/>
    <x v="1"/>
    <x v="3"/>
    <x v="3"/>
    <x v="3"/>
    <x v="3"/>
    <x v="8"/>
    <n v="24"/>
    <x v="0"/>
  </r>
  <r>
    <d v="2022-08-24T00:00:00"/>
    <x v="3"/>
    <x v="3"/>
    <x v="1"/>
    <n v="2874.31"/>
    <x v="3"/>
    <x v="3"/>
    <x v="1"/>
    <x v="3"/>
    <x v="3"/>
    <x v="3"/>
    <x v="3"/>
    <x v="3"/>
    <x v="8"/>
    <n v="24"/>
    <x v="0"/>
  </r>
  <r>
    <d v="2022-08-24T00:00:00"/>
    <x v="2"/>
    <x v="1"/>
    <x v="0"/>
    <n v="102228723.84"/>
    <x v="2"/>
    <x v="1"/>
    <x v="0"/>
    <x v="6"/>
    <x v="3"/>
    <x v="3"/>
    <x v="3"/>
    <x v="3"/>
    <x v="8"/>
    <n v="24"/>
    <x v="0"/>
  </r>
  <r>
    <d v="2022-08-24T00:00:00"/>
    <x v="2"/>
    <x v="1"/>
    <x v="2"/>
    <n v="36501.910000000003"/>
    <x v="2"/>
    <x v="1"/>
    <x v="2"/>
    <x v="2"/>
    <x v="3"/>
    <x v="3"/>
    <x v="3"/>
    <x v="3"/>
    <x v="8"/>
    <n v="24"/>
    <x v="0"/>
  </r>
  <r>
    <d v="2022-08-24T00:00:00"/>
    <x v="2"/>
    <x v="1"/>
    <x v="1"/>
    <n v="336591240.49000001"/>
    <x v="2"/>
    <x v="1"/>
    <x v="1"/>
    <x v="8"/>
    <x v="3"/>
    <x v="3"/>
    <x v="3"/>
    <x v="3"/>
    <x v="8"/>
    <n v="24"/>
    <x v="0"/>
  </r>
  <r>
    <d v="2022-08-24T00:00:00"/>
    <x v="3"/>
    <x v="2"/>
    <x v="2"/>
    <n v="360493.5"/>
    <x v="3"/>
    <x v="2"/>
    <x v="2"/>
    <x v="5"/>
    <x v="3"/>
    <x v="3"/>
    <x v="3"/>
    <x v="3"/>
    <x v="8"/>
    <n v="24"/>
    <x v="0"/>
  </r>
  <r>
    <d v="2022-08-24T00:00:00"/>
    <x v="1"/>
    <x v="0"/>
    <x v="0"/>
    <n v="77671314.730000004"/>
    <x v="1"/>
    <x v="0"/>
    <x v="0"/>
    <x v="9"/>
    <x v="3"/>
    <x v="3"/>
    <x v="3"/>
    <x v="3"/>
    <x v="8"/>
    <n v="24"/>
    <x v="0"/>
  </r>
  <r>
    <d v="2022-08-24T00:00:00"/>
    <x v="0"/>
    <x v="1"/>
    <x v="1"/>
    <n v="43944.25"/>
    <x v="0"/>
    <x v="1"/>
    <x v="1"/>
    <x v="4"/>
    <x v="3"/>
    <x v="3"/>
    <x v="3"/>
    <x v="3"/>
    <x v="8"/>
    <n v="24"/>
    <x v="0"/>
  </r>
  <r>
    <d v="2022-08-24T00:00:00"/>
    <x v="1"/>
    <x v="0"/>
    <x v="1"/>
    <n v="778761339.16999996"/>
    <x v="1"/>
    <x v="0"/>
    <x v="1"/>
    <x v="10"/>
    <x v="3"/>
    <x v="3"/>
    <x v="3"/>
    <x v="3"/>
    <x v="8"/>
    <n v="24"/>
    <x v="0"/>
  </r>
  <r>
    <d v="2022-08-24T00:00:00"/>
    <x v="1"/>
    <x v="1"/>
    <x v="0"/>
    <n v="23732.84"/>
    <x v="1"/>
    <x v="1"/>
    <x v="0"/>
    <x v="0"/>
    <x v="3"/>
    <x v="3"/>
    <x v="3"/>
    <x v="3"/>
    <x v="8"/>
    <n v="24"/>
    <x v="0"/>
  </r>
  <r>
    <d v="2022-08-24T00:00:00"/>
    <x v="3"/>
    <x v="3"/>
    <x v="0"/>
    <n v="1434682047.72"/>
    <x v="3"/>
    <x v="3"/>
    <x v="0"/>
    <x v="7"/>
    <x v="3"/>
    <x v="3"/>
    <x v="3"/>
    <x v="3"/>
    <x v="8"/>
    <n v="24"/>
    <x v="0"/>
  </r>
  <r>
    <d v="2022-08-24T00:00:00"/>
    <x v="3"/>
    <x v="2"/>
    <x v="0"/>
    <n v="543876563.39999998"/>
    <x v="3"/>
    <x v="2"/>
    <x v="0"/>
    <x v="11"/>
    <x v="3"/>
    <x v="3"/>
    <x v="3"/>
    <x v="3"/>
    <x v="8"/>
    <n v="24"/>
    <x v="0"/>
  </r>
  <r>
    <d v="2022-08-24T00:00:00"/>
    <x v="3"/>
    <x v="1"/>
    <x v="0"/>
    <n v="14119678.99"/>
    <x v="3"/>
    <x v="1"/>
    <x v="0"/>
    <x v="12"/>
    <x v="3"/>
    <x v="3"/>
    <x v="3"/>
    <x v="3"/>
    <x v="8"/>
    <n v="24"/>
    <x v="0"/>
  </r>
  <r>
    <d v="2022-08-24T00:00:00"/>
    <x v="3"/>
    <x v="2"/>
    <x v="1"/>
    <n v="9637992934.7299995"/>
    <x v="3"/>
    <x v="2"/>
    <x v="1"/>
    <x v="13"/>
    <x v="3"/>
    <x v="3"/>
    <x v="3"/>
    <x v="3"/>
    <x v="8"/>
    <n v="24"/>
    <x v="0"/>
  </r>
  <r>
    <d v="2022-08-23T00:00:00"/>
    <x v="0"/>
    <x v="1"/>
    <x v="0"/>
    <n v="10790956.939999999"/>
    <x v="0"/>
    <x v="1"/>
    <x v="0"/>
    <x v="0"/>
    <x v="3"/>
    <x v="3"/>
    <x v="3"/>
    <x v="3"/>
    <x v="8"/>
    <n v="23"/>
    <x v="0"/>
  </r>
  <r>
    <d v="2022-08-23T00:00:00"/>
    <x v="2"/>
    <x v="1"/>
    <x v="2"/>
    <n v="39450.449999999997"/>
    <x v="2"/>
    <x v="1"/>
    <x v="2"/>
    <x v="1"/>
    <x v="3"/>
    <x v="3"/>
    <x v="3"/>
    <x v="3"/>
    <x v="8"/>
    <n v="23"/>
    <x v="0"/>
  </r>
  <r>
    <d v="2022-08-23T00:00:00"/>
    <x v="2"/>
    <x v="1"/>
    <x v="0"/>
    <n v="81432891.840000004"/>
    <x v="2"/>
    <x v="1"/>
    <x v="0"/>
    <x v="5"/>
    <x v="3"/>
    <x v="3"/>
    <x v="3"/>
    <x v="3"/>
    <x v="8"/>
    <n v="23"/>
    <x v="0"/>
  </r>
  <r>
    <d v="2022-08-23T00:00:00"/>
    <x v="1"/>
    <x v="0"/>
    <x v="1"/>
    <n v="307089743.49000001"/>
    <x v="1"/>
    <x v="0"/>
    <x v="1"/>
    <x v="7"/>
    <x v="3"/>
    <x v="3"/>
    <x v="3"/>
    <x v="3"/>
    <x v="8"/>
    <n v="23"/>
    <x v="0"/>
  </r>
  <r>
    <d v="2022-08-23T00:00:00"/>
    <x v="0"/>
    <x v="1"/>
    <x v="1"/>
    <n v="2402991.96"/>
    <x v="0"/>
    <x v="1"/>
    <x v="1"/>
    <x v="3"/>
    <x v="3"/>
    <x v="3"/>
    <x v="3"/>
    <x v="3"/>
    <x v="8"/>
    <n v="23"/>
    <x v="0"/>
  </r>
  <r>
    <d v="2022-08-23T00:00:00"/>
    <x v="2"/>
    <x v="1"/>
    <x v="1"/>
    <n v="209473209.22"/>
    <x v="2"/>
    <x v="1"/>
    <x v="1"/>
    <x v="6"/>
    <x v="3"/>
    <x v="3"/>
    <x v="3"/>
    <x v="3"/>
    <x v="8"/>
    <n v="23"/>
    <x v="0"/>
  </r>
  <r>
    <d v="2022-08-23T00:00:00"/>
    <x v="3"/>
    <x v="2"/>
    <x v="2"/>
    <n v="121164.71"/>
    <x v="3"/>
    <x v="2"/>
    <x v="2"/>
    <x v="2"/>
    <x v="3"/>
    <x v="3"/>
    <x v="3"/>
    <x v="3"/>
    <x v="8"/>
    <n v="23"/>
    <x v="0"/>
  </r>
  <r>
    <d v="2022-08-23T00:00:00"/>
    <x v="3"/>
    <x v="3"/>
    <x v="0"/>
    <n v="1264501723.4400001"/>
    <x v="3"/>
    <x v="3"/>
    <x v="0"/>
    <x v="4"/>
    <x v="3"/>
    <x v="3"/>
    <x v="3"/>
    <x v="3"/>
    <x v="8"/>
    <n v="23"/>
    <x v="0"/>
  </r>
  <r>
    <d v="2022-08-23T00:00:00"/>
    <x v="1"/>
    <x v="0"/>
    <x v="0"/>
    <n v="67870776.420000002"/>
    <x v="1"/>
    <x v="0"/>
    <x v="0"/>
    <x v="8"/>
    <x v="3"/>
    <x v="3"/>
    <x v="3"/>
    <x v="3"/>
    <x v="8"/>
    <n v="23"/>
    <x v="0"/>
  </r>
  <r>
    <d v="2022-08-23T00:00:00"/>
    <x v="3"/>
    <x v="2"/>
    <x v="0"/>
    <n v="438689472.75999999"/>
    <x v="3"/>
    <x v="2"/>
    <x v="0"/>
    <x v="9"/>
    <x v="3"/>
    <x v="3"/>
    <x v="3"/>
    <x v="3"/>
    <x v="8"/>
    <n v="23"/>
    <x v="0"/>
  </r>
  <r>
    <d v="2022-08-23T00:00:00"/>
    <x v="3"/>
    <x v="1"/>
    <x v="0"/>
    <n v="10893857.460000001"/>
    <x v="3"/>
    <x v="1"/>
    <x v="0"/>
    <x v="10"/>
    <x v="3"/>
    <x v="3"/>
    <x v="3"/>
    <x v="3"/>
    <x v="8"/>
    <n v="23"/>
    <x v="0"/>
  </r>
  <r>
    <d v="2022-08-23T00:00:00"/>
    <x v="3"/>
    <x v="2"/>
    <x v="1"/>
    <n v="2983950116.3699999"/>
    <x v="3"/>
    <x v="2"/>
    <x v="1"/>
    <x v="11"/>
    <x v="3"/>
    <x v="3"/>
    <x v="3"/>
    <x v="3"/>
    <x v="8"/>
    <n v="23"/>
    <x v="0"/>
  </r>
  <r>
    <d v="2022-08-22T00:00:00"/>
    <x v="1"/>
    <x v="1"/>
    <x v="0"/>
    <n v="313"/>
    <x v="1"/>
    <x v="1"/>
    <x v="0"/>
    <x v="0"/>
    <x v="3"/>
    <x v="3"/>
    <x v="3"/>
    <x v="3"/>
    <x v="8"/>
    <n v="22"/>
    <x v="0"/>
  </r>
  <r>
    <d v="2022-08-22T00:00:00"/>
    <x v="0"/>
    <x v="1"/>
    <x v="0"/>
    <n v="23300899.449999999"/>
    <x v="0"/>
    <x v="1"/>
    <x v="0"/>
    <x v="1"/>
    <x v="3"/>
    <x v="3"/>
    <x v="3"/>
    <x v="3"/>
    <x v="8"/>
    <n v="22"/>
    <x v="0"/>
  </r>
  <r>
    <d v="2022-08-22T00:00:00"/>
    <x v="2"/>
    <x v="1"/>
    <x v="2"/>
    <n v="39402.71"/>
    <x v="2"/>
    <x v="1"/>
    <x v="2"/>
    <x v="2"/>
    <x v="3"/>
    <x v="3"/>
    <x v="3"/>
    <x v="3"/>
    <x v="8"/>
    <n v="22"/>
    <x v="0"/>
  </r>
  <r>
    <d v="2022-08-22T00:00:00"/>
    <x v="2"/>
    <x v="1"/>
    <x v="0"/>
    <n v="78352666.019999996"/>
    <x v="2"/>
    <x v="1"/>
    <x v="0"/>
    <x v="6"/>
    <x v="3"/>
    <x v="3"/>
    <x v="3"/>
    <x v="3"/>
    <x v="8"/>
    <n v="22"/>
    <x v="0"/>
  </r>
  <r>
    <d v="2022-08-22T00:00:00"/>
    <x v="2"/>
    <x v="1"/>
    <x v="1"/>
    <n v="118943226.22"/>
    <x v="2"/>
    <x v="1"/>
    <x v="1"/>
    <x v="7"/>
    <x v="3"/>
    <x v="3"/>
    <x v="3"/>
    <x v="3"/>
    <x v="8"/>
    <n v="22"/>
    <x v="0"/>
  </r>
  <r>
    <d v="2022-08-22T00:00:00"/>
    <x v="1"/>
    <x v="0"/>
    <x v="1"/>
    <n v="323879656.91000003"/>
    <x v="1"/>
    <x v="0"/>
    <x v="1"/>
    <x v="8"/>
    <x v="3"/>
    <x v="3"/>
    <x v="3"/>
    <x v="3"/>
    <x v="8"/>
    <n v="22"/>
    <x v="0"/>
  </r>
  <r>
    <d v="2022-08-22T00:00:00"/>
    <x v="0"/>
    <x v="1"/>
    <x v="1"/>
    <n v="833693.89"/>
    <x v="0"/>
    <x v="1"/>
    <x v="1"/>
    <x v="3"/>
    <x v="3"/>
    <x v="3"/>
    <x v="3"/>
    <x v="3"/>
    <x v="8"/>
    <n v="22"/>
    <x v="0"/>
  </r>
  <r>
    <d v="2022-08-22T00:00:00"/>
    <x v="1"/>
    <x v="0"/>
    <x v="0"/>
    <n v="43919789.450000003"/>
    <x v="1"/>
    <x v="0"/>
    <x v="0"/>
    <x v="9"/>
    <x v="3"/>
    <x v="3"/>
    <x v="3"/>
    <x v="3"/>
    <x v="8"/>
    <n v="22"/>
    <x v="0"/>
  </r>
  <r>
    <d v="2022-08-22T00:00:00"/>
    <x v="3"/>
    <x v="2"/>
    <x v="2"/>
    <n v="144681.10999999999"/>
    <x v="3"/>
    <x v="2"/>
    <x v="2"/>
    <x v="4"/>
    <x v="3"/>
    <x v="3"/>
    <x v="3"/>
    <x v="3"/>
    <x v="8"/>
    <n v="22"/>
    <x v="0"/>
  </r>
  <r>
    <d v="2022-08-22T00:00:00"/>
    <x v="3"/>
    <x v="3"/>
    <x v="0"/>
    <n v="1965811078.1099999"/>
    <x v="3"/>
    <x v="3"/>
    <x v="0"/>
    <x v="5"/>
    <x v="3"/>
    <x v="3"/>
    <x v="3"/>
    <x v="3"/>
    <x v="8"/>
    <n v="22"/>
    <x v="0"/>
  </r>
  <r>
    <d v="2022-08-22T00:00:00"/>
    <x v="3"/>
    <x v="2"/>
    <x v="0"/>
    <n v="7388631604.8000002"/>
    <x v="3"/>
    <x v="2"/>
    <x v="0"/>
    <x v="10"/>
    <x v="3"/>
    <x v="3"/>
    <x v="3"/>
    <x v="3"/>
    <x v="8"/>
    <n v="22"/>
    <x v="0"/>
  </r>
  <r>
    <d v="2022-08-22T00:00:00"/>
    <x v="3"/>
    <x v="2"/>
    <x v="1"/>
    <n v="23068321787.07"/>
    <x v="3"/>
    <x v="2"/>
    <x v="1"/>
    <x v="11"/>
    <x v="3"/>
    <x v="3"/>
    <x v="3"/>
    <x v="3"/>
    <x v="8"/>
    <n v="22"/>
    <x v="0"/>
  </r>
  <r>
    <d v="2022-08-22T00:00:00"/>
    <x v="3"/>
    <x v="1"/>
    <x v="0"/>
    <n v="45756749.850000001"/>
    <x v="3"/>
    <x v="1"/>
    <x v="0"/>
    <x v="12"/>
    <x v="3"/>
    <x v="3"/>
    <x v="3"/>
    <x v="3"/>
    <x v="8"/>
    <n v="22"/>
    <x v="0"/>
  </r>
  <r>
    <d v="2022-08-19T00:00:00"/>
    <x v="0"/>
    <x v="1"/>
    <x v="0"/>
    <n v="11693047.810000001"/>
    <x v="0"/>
    <x v="1"/>
    <x v="0"/>
    <x v="2"/>
    <x v="3"/>
    <x v="3"/>
    <x v="3"/>
    <x v="3"/>
    <x v="8"/>
    <n v="19"/>
    <x v="0"/>
  </r>
  <r>
    <d v="2022-08-19T00:00:00"/>
    <x v="3"/>
    <x v="2"/>
    <x v="2"/>
    <n v="394343.71"/>
    <x v="3"/>
    <x v="2"/>
    <x v="2"/>
    <x v="3"/>
    <x v="3"/>
    <x v="3"/>
    <x v="3"/>
    <x v="3"/>
    <x v="8"/>
    <n v="19"/>
    <x v="0"/>
  </r>
  <r>
    <d v="2022-08-19T00:00:00"/>
    <x v="0"/>
    <x v="0"/>
    <x v="0"/>
    <n v="462.78"/>
    <x v="0"/>
    <x v="0"/>
    <x v="0"/>
    <x v="0"/>
    <x v="3"/>
    <x v="3"/>
    <x v="3"/>
    <x v="3"/>
    <x v="8"/>
    <n v="19"/>
    <x v="0"/>
  </r>
  <r>
    <d v="2022-08-19T00:00:00"/>
    <x v="1"/>
    <x v="1"/>
    <x v="0"/>
    <n v="5308.16"/>
    <x v="1"/>
    <x v="1"/>
    <x v="0"/>
    <x v="1"/>
    <x v="3"/>
    <x v="3"/>
    <x v="3"/>
    <x v="3"/>
    <x v="8"/>
    <n v="19"/>
    <x v="0"/>
  </r>
  <r>
    <d v="2022-08-19T00:00:00"/>
    <x v="2"/>
    <x v="1"/>
    <x v="0"/>
    <n v="86759025.620000005"/>
    <x v="2"/>
    <x v="1"/>
    <x v="0"/>
    <x v="9"/>
    <x v="3"/>
    <x v="3"/>
    <x v="3"/>
    <x v="3"/>
    <x v="8"/>
    <n v="19"/>
    <x v="0"/>
  </r>
  <r>
    <d v="2022-08-19T00:00:00"/>
    <x v="3"/>
    <x v="3"/>
    <x v="1"/>
    <n v="3377614.16"/>
    <x v="3"/>
    <x v="3"/>
    <x v="1"/>
    <x v="4"/>
    <x v="3"/>
    <x v="3"/>
    <x v="3"/>
    <x v="3"/>
    <x v="8"/>
    <n v="19"/>
    <x v="0"/>
  </r>
  <r>
    <d v="2022-08-19T00:00:00"/>
    <x v="0"/>
    <x v="1"/>
    <x v="1"/>
    <n v="7800547.2199999997"/>
    <x v="0"/>
    <x v="1"/>
    <x v="1"/>
    <x v="5"/>
    <x v="3"/>
    <x v="3"/>
    <x v="3"/>
    <x v="3"/>
    <x v="8"/>
    <n v="19"/>
    <x v="0"/>
  </r>
  <r>
    <d v="2022-08-19T00:00:00"/>
    <x v="1"/>
    <x v="0"/>
    <x v="0"/>
    <n v="45414801.289999999"/>
    <x v="1"/>
    <x v="0"/>
    <x v="0"/>
    <x v="11"/>
    <x v="3"/>
    <x v="3"/>
    <x v="3"/>
    <x v="3"/>
    <x v="8"/>
    <n v="19"/>
    <x v="0"/>
  </r>
  <r>
    <d v="2022-08-19T00:00:00"/>
    <x v="2"/>
    <x v="1"/>
    <x v="2"/>
    <n v="35892.949999999997"/>
    <x v="2"/>
    <x v="1"/>
    <x v="2"/>
    <x v="6"/>
    <x v="3"/>
    <x v="3"/>
    <x v="3"/>
    <x v="3"/>
    <x v="8"/>
    <n v="19"/>
    <x v="0"/>
  </r>
  <r>
    <d v="2022-08-19T00:00:00"/>
    <x v="3"/>
    <x v="3"/>
    <x v="0"/>
    <n v="3436119292.3600001"/>
    <x v="3"/>
    <x v="3"/>
    <x v="0"/>
    <x v="8"/>
    <x v="3"/>
    <x v="3"/>
    <x v="3"/>
    <x v="3"/>
    <x v="8"/>
    <n v="19"/>
    <x v="0"/>
  </r>
  <r>
    <d v="2022-08-19T00:00:00"/>
    <x v="2"/>
    <x v="1"/>
    <x v="1"/>
    <n v="129667182.53"/>
    <x v="2"/>
    <x v="1"/>
    <x v="1"/>
    <x v="7"/>
    <x v="3"/>
    <x v="3"/>
    <x v="3"/>
    <x v="3"/>
    <x v="8"/>
    <n v="19"/>
    <x v="0"/>
  </r>
  <r>
    <d v="2022-08-19T00:00:00"/>
    <x v="1"/>
    <x v="0"/>
    <x v="1"/>
    <n v="108217621.31"/>
    <x v="1"/>
    <x v="0"/>
    <x v="1"/>
    <x v="10"/>
    <x v="3"/>
    <x v="3"/>
    <x v="3"/>
    <x v="3"/>
    <x v="8"/>
    <n v="19"/>
    <x v="0"/>
  </r>
  <r>
    <d v="2022-08-19T00:00:00"/>
    <x v="3"/>
    <x v="2"/>
    <x v="0"/>
    <n v="478726666.25999999"/>
    <x v="3"/>
    <x v="2"/>
    <x v="0"/>
    <x v="12"/>
    <x v="3"/>
    <x v="3"/>
    <x v="3"/>
    <x v="3"/>
    <x v="8"/>
    <n v="19"/>
    <x v="0"/>
  </r>
  <r>
    <d v="2022-08-19T00:00:00"/>
    <x v="3"/>
    <x v="2"/>
    <x v="1"/>
    <n v="11198623532.49"/>
    <x v="3"/>
    <x v="2"/>
    <x v="1"/>
    <x v="13"/>
    <x v="3"/>
    <x v="3"/>
    <x v="3"/>
    <x v="3"/>
    <x v="8"/>
    <n v="19"/>
    <x v="0"/>
  </r>
  <r>
    <d v="2022-08-19T00:00:00"/>
    <x v="3"/>
    <x v="1"/>
    <x v="0"/>
    <n v="14157127.84"/>
    <x v="3"/>
    <x v="1"/>
    <x v="0"/>
    <x v="14"/>
    <x v="3"/>
    <x v="3"/>
    <x v="3"/>
    <x v="3"/>
    <x v="8"/>
    <n v="19"/>
    <x v="0"/>
  </r>
  <r>
    <d v="2022-08-18T00:00:00"/>
    <x v="3"/>
    <x v="3"/>
    <x v="0"/>
    <n v="994146955.16999996"/>
    <x v="3"/>
    <x v="3"/>
    <x v="0"/>
    <x v="6"/>
    <x v="3"/>
    <x v="3"/>
    <x v="3"/>
    <x v="3"/>
    <x v="8"/>
    <n v="18"/>
    <x v="0"/>
  </r>
  <r>
    <d v="2022-08-18T00:00:00"/>
    <x v="0"/>
    <x v="1"/>
    <x v="0"/>
    <n v="31223816.52"/>
    <x v="0"/>
    <x v="1"/>
    <x v="0"/>
    <x v="2"/>
    <x v="3"/>
    <x v="3"/>
    <x v="3"/>
    <x v="3"/>
    <x v="8"/>
    <n v="18"/>
    <x v="0"/>
  </r>
  <r>
    <d v="2022-08-18T00:00:00"/>
    <x v="2"/>
    <x v="1"/>
    <x v="0"/>
    <n v="79861815.909999996"/>
    <x v="2"/>
    <x v="1"/>
    <x v="0"/>
    <x v="7"/>
    <x v="3"/>
    <x v="3"/>
    <x v="3"/>
    <x v="3"/>
    <x v="8"/>
    <n v="18"/>
    <x v="0"/>
  </r>
  <r>
    <d v="2022-08-18T00:00:00"/>
    <x v="3"/>
    <x v="2"/>
    <x v="2"/>
    <n v="277912.09999999998"/>
    <x v="3"/>
    <x v="2"/>
    <x v="2"/>
    <x v="5"/>
    <x v="3"/>
    <x v="3"/>
    <x v="3"/>
    <x v="3"/>
    <x v="8"/>
    <n v="18"/>
    <x v="0"/>
  </r>
  <r>
    <d v="2022-08-18T00:00:00"/>
    <x v="0"/>
    <x v="1"/>
    <x v="1"/>
    <n v="8253272.6200000001"/>
    <x v="0"/>
    <x v="1"/>
    <x v="1"/>
    <x v="3"/>
    <x v="3"/>
    <x v="3"/>
    <x v="3"/>
    <x v="3"/>
    <x v="8"/>
    <n v="18"/>
    <x v="0"/>
  </r>
  <r>
    <d v="2022-08-18T00:00:00"/>
    <x v="1"/>
    <x v="0"/>
    <x v="1"/>
    <n v="204822764"/>
    <x v="1"/>
    <x v="0"/>
    <x v="1"/>
    <x v="9"/>
    <x v="3"/>
    <x v="3"/>
    <x v="3"/>
    <x v="3"/>
    <x v="8"/>
    <n v="18"/>
    <x v="0"/>
  </r>
  <r>
    <d v="2022-08-18T00:00:00"/>
    <x v="2"/>
    <x v="1"/>
    <x v="2"/>
    <n v="506696.23"/>
    <x v="2"/>
    <x v="1"/>
    <x v="2"/>
    <x v="4"/>
    <x v="3"/>
    <x v="3"/>
    <x v="3"/>
    <x v="3"/>
    <x v="8"/>
    <n v="18"/>
    <x v="0"/>
  </r>
  <r>
    <d v="2022-08-18T00:00:00"/>
    <x v="1"/>
    <x v="1"/>
    <x v="0"/>
    <n v="6921.34"/>
    <x v="1"/>
    <x v="1"/>
    <x v="0"/>
    <x v="1"/>
    <x v="3"/>
    <x v="3"/>
    <x v="3"/>
    <x v="3"/>
    <x v="8"/>
    <n v="18"/>
    <x v="0"/>
  </r>
  <r>
    <d v="2022-08-18T00:00:00"/>
    <x v="0"/>
    <x v="0"/>
    <x v="0"/>
    <n v="150"/>
    <x v="0"/>
    <x v="0"/>
    <x v="0"/>
    <x v="0"/>
    <x v="3"/>
    <x v="3"/>
    <x v="3"/>
    <x v="3"/>
    <x v="8"/>
    <n v="18"/>
    <x v="0"/>
  </r>
  <r>
    <d v="2022-08-18T00:00:00"/>
    <x v="2"/>
    <x v="1"/>
    <x v="1"/>
    <n v="284721339.14999998"/>
    <x v="2"/>
    <x v="1"/>
    <x v="1"/>
    <x v="8"/>
    <x v="3"/>
    <x v="3"/>
    <x v="3"/>
    <x v="3"/>
    <x v="8"/>
    <n v="18"/>
    <x v="0"/>
  </r>
  <r>
    <d v="2022-08-18T00:00:00"/>
    <x v="1"/>
    <x v="0"/>
    <x v="0"/>
    <n v="160959927.44"/>
    <x v="1"/>
    <x v="0"/>
    <x v="0"/>
    <x v="10"/>
    <x v="3"/>
    <x v="3"/>
    <x v="3"/>
    <x v="3"/>
    <x v="8"/>
    <n v="18"/>
    <x v="0"/>
  </r>
  <r>
    <d v="2022-08-18T00:00:00"/>
    <x v="3"/>
    <x v="2"/>
    <x v="0"/>
    <n v="384853949.38"/>
    <x v="3"/>
    <x v="2"/>
    <x v="0"/>
    <x v="11"/>
    <x v="3"/>
    <x v="3"/>
    <x v="3"/>
    <x v="3"/>
    <x v="8"/>
    <n v="18"/>
    <x v="0"/>
  </r>
  <r>
    <d v="2022-08-18T00:00:00"/>
    <x v="3"/>
    <x v="2"/>
    <x v="1"/>
    <n v="3639463509.8000002"/>
    <x v="3"/>
    <x v="2"/>
    <x v="1"/>
    <x v="12"/>
    <x v="3"/>
    <x v="3"/>
    <x v="3"/>
    <x v="3"/>
    <x v="8"/>
    <n v="18"/>
    <x v="0"/>
  </r>
  <r>
    <d v="2022-08-18T00:00:00"/>
    <x v="3"/>
    <x v="1"/>
    <x v="0"/>
    <n v="13934674.01"/>
    <x v="3"/>
    <x v="1"/>
    <x v="0"/>
    <x v="13"/>
    <x v="3"/>
    <x v="3"/>
    <x v="3"/>
    <x v="3"/>
    <x v="8"/>
    <n v="18"/>
    <x v="0"/>
  </r>
  <r>
    <d v="2022-08-17T00:00:00"/>
    <x v="3"/>
    <x v="2"/>
    <x v="2"/>
    <n v="241074.76"/>
    <x v="3"/>
    <x v="2"/>
    <x v="2"/>
    <x v="2"/>
    <x v="3"/>
    <x v="3"/>
    <x v="3"/>
    <x v="3"/>
    <x v="8"/>
    <n v="17"/>
    <x v="0"/>
  </r>
  <r>
    <d v="2022-08-17T00:00:00"/>
    <x v="3"/>
    <x v="3"/>
    <x v="0"/>
    <n v="1516728485.99"/>
    <x v="3"/>
    <x v="3"/>
    <x v="0"/>
    <x v="5"/>
    <x v="3"/>
    <x v="3"/>
    <x v="3"/>
    <x v="3"/>
    <x v="8"/>
    <n v="17"/>
    <x v="0"/>
  </r>
  <r>
    <d v="2022-08-17T00:00:00"/>
    <x v="2"/>
    <x v="1"/>
    <x v="1"/>
    <n v="127783838"/>
    <x v="2"/>
    <x v="1"/>
    <x v="1"/>
    <x v="6"/>
    <x v="3"/>
    <x v="3"/>
    <x v="3"/>
    <x v="3"/>
    <x v="8"/>
    <n v="17"/>
    <x v="0"/>
  </r>
  <r>
    <d v="2022-08-17T00:00:00"/>
    <x v="0"/>
    <x v="1"/>
    <x v="1"/>
    <n v="12829832.789999999"/>
    <x v="0"/>
    <x v="1"/>
    <x v="1"/>
    <x v="3"/>
    <x v="3"/>
    <x v="3"/>
    <x v="3"/>
    <x v="3"/>
    <x v="8"/>
    <n v="17"/>
    <x v="0"/>
  </r>
  <r>
    <d v="2022-08-17T00:00:00"/>
    <x v="1"/>
    <x v="0"/>
    <x v="1"/>
    <n v="679542852.30999994"/>
    <x v="1"/>
    <x v="0"/>
    <x v="1"/>
    <x v="8"/>
    <x v="3"/>
    <x v="3"/>
    <x v="3"/>
    <x v="3"/>
    <x v="8"/>
    <n v="17"/>
    <x v="0"/>
  </r>
  <r>
    <d v="2022-08-17T00:00:00"/>
    <x v="1"/>
    <x v="0"/>
    <x v="0"/>
    <n v="87484701.810000002"/>
    <x v="1"/>
    <x v="0"/>
    <x v="0"/>
    <x v="9"/>
    <x v="3"/>
    <x v="3"/>
    <x v="3"/>
    <x v="3"/>
    <x v="8"/>
    <n v="17"/>
    <x v="0"/>
  </r>
  <r>
    <d v="2022-08-17T00:00:00"/>
    <x v="2"/>
    <x v="1"/>
    <x v="2"/>
    <n v="45987.78"/>
    <x v="2"/>
    <x v="1"/>
    <x v="2"/>
    <x v="4"/>
    <x v="3"/>
    <x v="3"/>
    <x v="3"/>
    <x v="3"/>
    <x v="8"/>
    <n v="17"/>
    <x v="0"/>
  </r>
  <r>
    <d v="2022-08-17T00:00:00"/>
    <x v="1"/>
    <x v="1"/>
    <x v="0"/>
    <n v="1054.5"/>
    <x v="1"/>
    <x v="1"/>
    <x v="0"/>
    <x v="0"/>
    <x v="3"/>
    <x v="3"/>
    <x v="3"/>
    <x v="3"/>
    <x v="8"/>
    <n v="17"/>
    <x v="0"/>
  </r>
  <r>
    <d v="2022-08-17T00:00:00"/>
    <x v="0"/>
    <x v="1"/>
    <x v="0"/>
    <n v="13342947.050000001"/>
    <x v="0"/>
    <x v="1"/>
    <x v="0"/>
    <x v="1"/>
    <x v="3"/>
    <x v="3"/>
    <x v="3"/>
    <x v="3"/>
    <x v="8"/>
    <n v="17"/>
    <x v="0"/>
  </r>
  <r>
    <d v="2022-08-17T00:00:00"/>
    <x v="2"/>
    <x v="1"/>
    <x v="0"/>
    <n v="87197071.760000005"/>
    <x v="2"/>
    <x v="1"/>
    <x v="0"/>
    <x v="7"/>
    <x v="3"/>
    <x v="3"/>
    <x v="3"/>
    <x v="3"/>
    <x v="8"/>
    <n v="17"/>
    <x v="0"/>
  </r>
  <r>
    <d v="2022-08-17T00:00:00"/>
    <x v="3"/>
    <x v="2"/>
    <x v="0"/>
    <n v="337128150.04000002"/>
    <x v="3"/>
    <x v="2"/>
    <x v="0"/>
    <x v="10"/>
    <x v="3"/>
    <x v="3"/>
    <x v="3"/>
    <x v="3"/>
    <x v="8"/>
    <n v="17"/>
    <x v="0"/>
  </r>
  <r>
    <d v="2022-08-17T00:00:00"/>
    <x v="3"/>
    <x v="1"/>
    <x v="0"/>
    <n v="15417462.630000001"/>
    <x v="3"/>
    <x v="1"/>
    <x v="0"/>
    <x v="11"/>
    <x v="3"/>
    <x v="3"/>
    <x v="3"/>
    <x v="3"/>
    <x v="8"/>
    <n v="17"/>
    <x v="0"/>
  </r>
  <r>
    <d v="2022-08-17T00:00:00"/>
    <x v="3"/>
    <x v="2"/>
    <x v="1"/>
    <n v="11093652225.57"/>
    <x v="3"/>
    <x v="2"/>
    <x v="1"/>
    <x v="12"/>
    <x v="3"/>
    <x v="3"/>
    <x v="3"/>
    <x v="3"/>
    <x v="8"/>
    <n v="17"/>
    <x v="0"/>
  </r>
  <r>
    <d v="2022-08-16T00:00:00"/>
    <x v="1"/>
    <x v="1"/>
    <x v="0"/>
    <n v="86"/>
    <x v="1"/>
    <x v="1"/>
    <x v="0"/>
    <x v="0"/>
    <x v="3"/>
    <x v="3"/>
    <x v="3"/>
    <x v="3"/>
    <x v="8"/>
    <n v="16"/>
    <x v="0"/>
  </r>
  <r>
    <d v="2022-08-16T00:00:00"/>
    <x v="3"/>
    <x v="3"/>
    <x v="0"/>
    <n v="1005162239.85"/>
    <x v="3"/>
    <x v="3"/>
    <x v="0"/>
    <x v="6"/>
    <x v="3"/>
    <x v="3"/>
    <x v="3"/>
    <x v="3"/>
    <x v="8"/>
    <n v="16"/>
    <x v="0"/>
  </r>
  <r>
    <d v="2022-08-16T00:00:00"/>
    <x v="2"/>
    <x v="1"/>
    <x v="1"/>
    <n v="136932956.87"/>
    <x v="2"/>
    <x v="1"/>
    <x v="1"/>
    <x v="7"/>
    <x v="3"/>
    <x v="3"/>
    <x v="3"/>
    <x v="3"/>
    <x v="8"/>
    <n v="16"/>
    <x v="0"/>
  </r>
  <r>
    <d v="2022-08-16T00:00:00"/>
    <x v="1"/>
    <x v="0"/>
    <x v="1"/>
    <n v="212117305.12"/>
    <x v="1"/>
    <x v="0"/>
    <x v="1"/>
    <x v="8"/>
    <x v="3"/>
    <x v="3"/>
    <x v="3"/>
    <x v="3"/>
    <x v="8"/>
    <n v="16"/>
    <x v="0"/>
  </r>
  <r>
    <d v="2022-08-16T00:00:00"/>
    <x v="0"/>
    <x v="1"/>
    <x v="1"/>
    <n v="771073.59"/>
    <x v="0"/>
    <x v="1"/>
    <x v="1"/>
    <x v="2"/>
    <x v="3"/>
    <x v="3"/>
    <x v="3"/>
    <x v="3"/>
    <x v="8"/>
    <n v="16"/>
    <x v="0"/>
  </r>
  <r>
    <d v="2022-08-16T00:00:00"/>
    <x v="1"/>
    <x v="0"/>
    <x v="0"/>
    <n v="75192049.370000005"/>
    <x v="1"/>
    <x v="0"/>
    <x v="0"/>
    <x v="9"/>
    <x v="3"/>
    <x v="3"/>
    <x v="3"/>
    <x v="3"/>
    <x v="8"/>
    <n v="16"/>
    <x v="0"/>
  </r>
  <r>
    <d v="2022-08-16T00:00:00"/>
    <x v="2"/>
    <x v="1"/>
    <x v="2"/>
    <n v="128906.07"/>
    <x v="2"/>
    <x v="1"/>
    <x v="2"/>
    <x v="3"/>
    <x v="3"/>
    <x v="3"/>
    <x v="3"/>
    <x v="3"/>
    <x v="8"/>
    <n v="16"/>
    <x v="0"/>
  </r>
  <r>
    <d v="2022-08-16T00:00:00"/>
    <x v="3"/>
    <x v="2"/>
    <x v="2"/>
    <n v="239658.72"/>
    <x v="3"/>
    <x v="2"/>
    <x v="2"/>
    <x v="4"/>
    <x v="3"/>
    <x v="3"/>
    <x v="3"/>
    <x v="3"/>
    <x v="8"/>
    <n v="16"/>
    <x v="0"/>
  </r>
  <r>
    <d v="2022-08-16T00:00:00"/>
    <x v="0"/>
    <x v="1"/>
    <x v="0"/>
    <n v="18345907.710000001"/>
    <x v="0"/>
    <x v="1"/>
    <x v="0"/>
    <x v="1"/>
    <x v="3"/>
    <x v="3"/>
    <x v="3"/>
    <x v="3"/>
    <x v="8"/>
    <n v="16"/>
    <x v="0"/>
  </r>
  <r>
    <d v="2022-08-16T00:00:00"/>
    <x v="2"/>
    <x v="1"/>
    <x v="0"/>
    <n v="83024709.950000003"/>
    <x v="2"/>
    <x v="1"/>
    <x v="0"/>
    <x v="5"/>
    <x v="3"/>
    <x v="3"/>
    <x v="3"/>
    <x v="3"/>
    <x v="8"/>
    <n v="16"/>
    <x v="0"/>
  </r>
  <r>
    <d v="2022-08-16T00:00:00"/>
    <x v="3"/>
    <x v="2"/>
    <x v="0"/>
    <n v="437936282.86000001"/>
    <x v="3"/>
    <x v="2"/>
    <x v="0"/>
    <x v="10"/>
    <x v="3"/>
    <x v="3"/>
    <x v="3"/>
    <x v="3"/>
    <x v="8"/>
    <n v="16"/>
    <x v="0"/>
  </r>
  <r>
    <d v="2022-08-16T00:00:00"/>
    <x v="3"/>
    <x v="1"/>
    <x v="0"/>
    <n v="12426092.859999999"/>
    <x v="3"/>
    <x v="1"/>
    <x v="0"/>
    <x v="11"/>
    <x v="3"/>
    <x v="3"/>
    <x v="3"/>
    <x v="3"/>
    <x v="8"/>
    <n v="16"/>
    <x v="0"/>
  </r>
  <r>
    <d v="2022-08-16T00:00:00"/>
    <x v="3"/>
    <x v="2"/>
    <x v="1"/>
    <n v="14651255793.83"/>
    <x v="3"/>
    <x v="2"/>
    <x v="1"/>
    <x v="12"/>
    <x v="3"/>
    <x v="3"/>
    <x v="3"/>
    <x v="3"/>
    <x v="8"/>
    <n v="16"/>
    <x v="0"/>
  </r>
  <r>
    <d v="2022-08-15T00:00:00"/>
    <x v="3"/>
    <x v="3"/>
    <x v="2"/>
    <n v="216393.84"/>
    <x v="3"/>
    <x v="3"/>
    <x v="2"/>
    <x v="2"/>
    <x v="3"/>
    <x v="3"/>
    <x v="3"/>
    <x v="3"/>
    <x v="8"/>
    <n v="15"/>
    <x v="0"/>
  </r>
  <r>
    <d v="2022-08-15T00:00:00"/>
    <x v="3"/>
    <x v="2"/>
    <x v="2"/>
    <n v="196169.38"/>
    <x v="3"/>
    <x v="2"/>
    <x v="2"/>
    <x v="4"/>
    <x v="3"/>
    <x v="3"/>
    <x v="3"/>
    <x v="3"/>
    <x v="8"/>
    <n v="15"/>
    <x v="0"/>
  </r>
  <r>
    <d v="2022-08-15T00:00:00"/>
    <x v="2"/>
    <x v="1"/>
    <x v="2"/>
    <n v="34807.07"/>
    <x v="2"/>
    <x v="1"/>
    <x v="2"/>
    <x v="3"/>
    <x v="3"/>
    <x v="3"/>
    <x v="3"/>
    <x v="3"/>
    <x v="8"/>
    <n v="15"/>
    <x v="0"/>
  </r>
  <r>
    <d v="2022-08-15T00:00:00"/>
    <x v="2"/>
    <x v="1"/>
    <x v="0"/>
    <n v="71656210.400000006"/>
    <x v="2"/>
    <x v="1"/>
    <x v="0"/>
    <x v="7"/>
    <x v="3"/>
    <x v="3"/>
    <x v="3"/>
    <x v="3"/>
    <x v="8"/>
    <n v="15"/>
    <x v="0"/>
  </r>
  <r>
    <d v="2022-08-15T00:00:00"/>
    <x v="0"/>
    <x v="1"/>
    <x v="1"/>
    <n v="9535589.7200000007"/>
    <x v="0"/>
    <x v="1"/>
    <x v="1"/>
    <x v="5"/>
    <x v="3"/>
    <x v="3"/>
    <x v="3"/>
    <x v="3"/>
    <x v="8"/>
    <n v="15"/>
    <x v="0"/>
  </r>
  <r>
    <d v="2022-08-15T00:00:00"/>
    <x v="1"/>
    <x v="0"/>
    <x v="1"/>
    <n v="237150678.09999999"/>
    <x v="1"/>
    <x v="0"/>
    <x v="1"/>
    <x v="9"/>
    <x v="3"/>
    <x v="3"/>
    <x v="3"/>
    <x v="3"/>
    <x v="8"/>
    <n v="15"/>
    <x v="0"/>
  </r>
  <r>
    <d v="2022-08-15T00:00:00"/>
    <x v="1"/>
    <x v="0"/>
    <x v="0"/>
    <n v="48978395.68"/>
    <x v="1"/>
    <x v="0"/>
    <x v="0"/>
    <x v="10"/>
    <x v="3"/>
    <x v="3"/>
    <x v="3"/>
    <x v="3"/>
    <x v="8"/>
    <n v="15"/>
    <x v="0"/>
  </r>
  <r>
    <d v="2022-08-15T00:00:00"/>
    <x v="1"/>
    <x v="1"/>
    <x v="0"/>
    <n v="163.5"/>
    <x v="1"/>
    <x v="1"/>
    <x v="0"/>
    <x v="0"/>
    <x v="3"/>
    <x v="3"/>
    <x v="3"/>
    <x v="3"/>
    <x v="8"/>
    <n v="15"/>
    <x v="0"/>
  </r>
  <r>
    <d v="2022-08-15T00:00:00"/>
    <x v="0"/>
    <x v="1"/>
    <x v="0"/>
    <n v="8826287.7200000007"/>
    <x v="0"/>
    <x v="1"/>
    <x v="0"/>
    <x v="1"/>
    <x v="3"/>
    <x v="3"/>
    <x v="3"/>
    <x v="3"/>
    <x v="8"/>
    <n v="15"/>
    <x v="0"/>
  </r>
  <r>
    <d v="2022-08-15T00:00:00"/>
    <x v="3"/>
    <x v="3"/>
    <x v="0"/>
    <n v="2377714575.9400001"/>
    <x v="3"/>
    <x v="3"/>
    <x v="0"/>
    <x v="6"/>
    <x v="3"/>
    <x v="3"/>
    <x v="3"/>
    <x v="3"/>
    <x v="8"/>
    <n v="15"/>
    <x v="0"/>
  </r>
  <r>
    <d v="2022-08-15T00:00:00"/>
    <x v="2"/>
    <x v="1"/>
    <x v="1"/>
    <n v="159020461.22999999"/>
    <x v="2"/>
    <x v="1"/>
    <x v="1"/>
    <x v="8"/>
    <x v="3"/>
    <x v="3"/>
    <x v="3"/>
    <x v="3"/>
    <x v="8"/>
    <n v="15"/>
    <x v="0"/>
  </r>
  <r>
    <d v="2022-08-15T00:00:00"/>
    <x v="3"/>
    <x v="2"/>
    <x v="0"/>
    <n v="533909598.86000001"/>
    <x v="3"/>
    <x v="2"/>
    <x v="0"/>
    <x v="11"/>
    <x v="3"/>
    <x v="3"/>
    <x v="3"/>
    <x v="3"/>
    <x v="8"/>
    <n v="15"/>
    <x v="0"/>
  </r>
  <r>
    <d v="2022-08-15T00:00:00"/>
    <x v="3"/>
    <x v="2"/>
    <x v="1"/>
    <n v="24276105776.400002"/>
    <x v="3"/>
    <x v="2"/>
    <x v="1"/>
    <x v="12"/>
    <x v="3"/>
    <x v="3"/>
    <x v="3"/>
    <x v="3"/>
    <x v="8"/>
    <n v="15"/>
    <x v="0"/>
  </r>
  <r>
    <d v="2022-08-15T00:00:00"/>
    <x v="3"/>
    <x v="1"/>
    <x v="0"/>
    <n v="48029189.68"/>
    <x v="3"/>
    <x v="1"/>
    <x v="0"/>
    <x v="13"/>
    <x v="3"/>
    <x v="3"/>
    <x v="3"/>
    <x v="3"/>
    <x v="8"/>
    <n v="15"/>
    <x v="0"/>
  </r>
  <r>
    <d v="2022-08-12T00:00:00"/>
    <x v="0"/>
    <x v="1"/>
    <x v="1"/>
    <n v="82367644.310000002"/>
    <x v="0"/>
    <x v="1"/>
    <x v="1"/>
    <x v="4"/>
    <x v="3"/>
    <x v="3"/>
    <x v="3"/>
    <x v="3"/>
    <x v="8"/>
    <n v="12"/>
    <x v="0"/>
  </r>
  <r>
    <d v="2022-08-12T00:00:00"/>
    <x v="2"/>
    <x v="1"/>
    <x v="2"/>
    <n v="10300.01"/>
    <x v="2"/>
    <x v="1"/>
    <x v="2"/>
    <x v="2"/>
    <x v="3"/>
    <x v="3"/>
    <x v="3"/>
    <x v="3"/>
    <x v="8"/>
    <n v="12"/>
    <x v="0"/>
  </r>
  <r>
    <d v="2022-08-12T00:00:00"/>
    <x v="3"/>
    <x v="3"/>
    <x v="0"/>
    <n v="1409554398.45"/>
    <x v="3"/>
    <x v="3"/>
    <x v="0"/>
    <x v="6"/>
    <x v="3"/>
    <x v="3"/>
    <x v="3"/>
    <x v="3"/>
    <x v="8"/>
    <n v="12"/>
    <x v="0"/>
  </r>
  <r>
    <d v="2022-08-12T00:00:00"/>
    <x v="2"/>
    <x v="1"/>
    <x v="1"/>
    <n v="194884794.53"/>
    <x v="2"/>
    <x v="1"/>
    <x v="1"/>
    <x v="7"/>
    <x v="3"/>
    <x v="3"/>
    <x v="3"/>
    <x v="3"/>
    <x v="8"/>
    <n v="12"/>
    <x v="0"/>
  </r>
  <r>
    <d v="2022-08-12T00:00:00"/>
    <x v="2"/>
    <x v="1"/>
    <x v="0"/>
    <n v="67862615.310000002"/>
    <x v="2"/>
    <x v="1"/>
    <x v="0"/>
    <x v="8"/>
    <x v="3"/>
    <x v="3"/>
    <x v="3"/>
    <x v="3"/>
    <x v="8"/>
    <n v="12"/>
    <x v="0"/>
  </r>
  <r>
    <d v="2022-08-12T00:00:00"/>
    <x v="1"/>
    <x v="0"/>
    <x v="1"/>
    <n v="122908386.73"/>
    <x v="1"/>
    <x v="0"/>
    <x v="1"/>
    <x v="10"/>
    <x v="3"/>
    <x v="3"/>
    <x v="3"/>
    <x v="3"/>
    <x v="8"/>
    <n v="12"/>
    <x v="0"/>
  </r>
  <r>
    <d v="2022-08-12T00:00:00"/>
    <x v="3"/>
    <x v="2"/>
    <x v="2"/>
    <n v="224453.47"/>
    <x v="3"/>
    <x v="2"/>
    <x v="2"/>
    <x v="5"/>
    <x v="3"/>
    <x v="3"/>
    <x v="3"/>
    <x v="3"/>
    <x v="8"/>
    <n v="12"/>
    <x v="0"/>
  </r>
  <r>
    <d v="2022-08-12T00:00:00"/>
    <x v="1"/>
    <x v="1"/>
    <x v="0"/>
    <n v="2491.6799999999998"/>
    <x v="1"/>
    <x v="1"/>
    <x v="0"/>
    <x v="0"/>
    <x v="3"/>
    <x v="3"/>
    <x v="3"/>
    <x v="3"/>
    <x v="8"/>
    <n v="12"/>
    <x v="0"/>
  </r>
  <r>
    <d v="2022-08-12T00:00:00"/>
    <x v="0"/>
    <x v="1"/>
    <x v="0"/>
    <n v="24630117.789999999"/>
    <x v="0"/>
    <x v="1"/>
    <x v="0"/>
    <x v="1"/>
    <x v="3"/>
    <x v="3"/>
    <x v="3"/>
    <x v="3"/>
    <x v="8"/>
    <n v="12"/>
    <x v="0"/>
  </r>
  <r>
    <d v="2022-08-12T00:00:00"/>
    <x v="3"/>
    <x v="3"/>
    <x v="1"/>
    <n v="62863.33"/>
    <x v="3"/>
    <x v="3"/>
    <x v="1"/>
    <x v="3"/>
    <x v="3"/>
    <x v="3"/>
    <x v="3"/>
    <x v="3"/>
    <x v="8"/>
    <n v="12"/>
    <x v="0"/>
  </r>
  <r>
    <d v="2022-08-12T00:00:00"/>
    <x v="1"/>
    <x v="0"/>
    <x v="0"/>
    <n v="81659726.439999998"/>
    <x v="1"/>
    <x v="0"/>
    <x v="0"/>
    <x v="9"/>
    <x v="3"/>
    <x v="3"/>
    <x v="3"/>
    <x v="3"/>
    <x v="8"/>
    <n v="12"/>
    <x v="0"/>
  </r>
  <r>
    <d v="2022-08-12T00:00:00"/>
    <x v="3"/>
    <x v="2"/>
    <x v="0"/>
    <n v="642369246.74000001"/>
    <x v="3"/>
    <x v="2"/>
    <x v="0"/>
    <x v="11"/>
    <x v="3"/>
    <x v="3"/>
    <x v="3"/>
    <x v="3"/>
    <x v="8"/>
    <n v="12"/>
    <x v="0"/>
  </r>
  <r>
    <d v="2022-08-12T00:00:00"/>
    <x v="3"/>
    <x v="2"/>
    <x v="1"/>
    <n v="9554268283.4200001"/>
    <x v="3"/>
    <x v="2"/>
    <x v="1"/>
    <x v="12"/>
    <x v="3"/>
    <x v="3"/>
    <x v="3"/>
    <x v="3"/>
    <x v="8"/>
    <n v="12"/>
    <x v="0"/>
  </r>
  <r>
    <d v="2022-08-12T00:00:00"/>
    <x v="3"/>
    <x v="1"/>
    <x v="0"/>
    <n v="13813374.119999999"/>
    <x v="3"/>
    <x v="1"/>
    <x v="0"/>
    <x v="13"/>
    <x v="3"/>
    <x v="3"/>
    <x v="3"/>
    <x v="3"/>
    <x v="8"/>
    <n v="12"/>
    <x v="0"/>
  </r>
  <r>
    <d v="2022-08-11T00:00:00"/>
    <x v="2"/>
    <x v="1"/>
    <x v="0"/>
    <n v="96548865.75"/>
    <x v="2"/>
    <x v="1"/>
    <x v="0"/>
    <x v="5"/>
    <x v="3"/>
    <x v="3"/>
    <x v="3"/>
    <x v="3"/>
    <x v="8"/>
    <n v="11"/>
    <x v="0"/>
  </r>
  <r>
    <d v="2022-08-11T00:00:00"/>
    <x v="2"/>
    <x v="1"/>
    <x v="2"/>
    <n v="61993.919999999998"/>
    <x v="2"/>
    <x v="1"/>
    <x v="2"/>
    <x v="2"/>
    <x v="3"/>
    <x v="3"/>
    <x v="3"/>
    <x v="3"/>
    <x v="8"/>
    <n v="11"/>
    <x v="0"/>
  </r>
  <r>
    <d v="2022-08-11T00:00:00"/>
    <x v="2"/>
    <x v="1"/>
    <x v="1"/>
    <n v="236959552.87"/>
    <x v="2"/>
    <x v="1"/>
    <x v="1"/>
    <x v="6"/>
    <x v="3"/>
    <x v="3"/>
    <x v="3"/>
    <x v="3"/>
    <x v="8"/>
    <n v="11"/>
    <x v="0"/>
  </r>
  <r>
    <d v="2022-08-11T00:00:00"/>
    <x v="0"/>
    <x v="1"/>
    <x v="1"/>
    <n v="40135861.159999996"/>
    <x v="0"/>
    <x v="1"/>
    <x v="1"/>
    <x v="3"/>
    <x v="3"/>
    <x v="3"/>
    <x v="3"/>
    <x v="3"/>
    <x v="8"/>
    <n v="11"/>
    <x v="0"/>
  </r>
  <r>
    <d v="2022-08-11T00:00:00"/>
    <x v="1"/>
    <x v="0"/>
    <x v="0"/>
    <n v="62636800.93"/>
    <x v="1"/>
    <x v="0"/>
    <x v="0"/>
    <x v="8"/>
    <x v="3"/>
    <x v="3"/>
    <x v="3"/>
    <x v="3"/>
    <x v="8"/>
    <n v="11"/>
    <x v="0"/>
  </r>
  <r>
    <d v="2022-08-11T00:00:00"/>
    <x v="3"/>
    <x v="2"/>
    <x v="2"/>
    <n v="261321"/>
    <x v="3"/>
    <x v="2"/>
    <x v="2"/>
    <x v="4"/>
    <x v="3"/>
    <x v="3"/>
    <x v="3"/>
    <x v="3"/>
    <x v="8"/>
    <n v="11"/>
    <x v="0"/>
  </r>
  <r>
    <d v="2022-08-11T00:00:00"/>
    <x v="1"/>
    <x v="1"/>
    <x v="0"/>
    <n v="12165"/>
    <x v="1"/>
    <x v="1"/>
    <x v="0"/>
    <x v="0"/>
    <x v="3"/>
    <x v="3"/>
    <x v="3"/>
    <x v="3"/>
    <x v="8"/>
    <n v="11"/>
    <x v="0"/>
  </r>
  <r>
    <d v="2022-08-11T00:00:00"/>
    <x v="0"/>
    <x v="1"/>
    <x v="0"/>
    <n v="27596336.789999999"/>
    <x v="0"/>
    <x v="1"/>
    <x v="0"/>
    <x v="1"/>
    <x v="3"/>
    <x v="3"/>
    <x v="3"/>
    <x v="3"/>
    <x v="8"/>
    <n v="11"/>
    <x v="0"/>
  </r>
  <r>
    <d v="2022-08-11T00:00:00"/>
    <x v="3"/>
    <x v="3"/>
    <x v="0"/>
    <n v="863107205.74000001"/>
    <x v="3"/>
    <x v="3"/>
    <x v="0"/>
    <x v="7"/>
    <x v="3"/>
    <x v="3"/>
    <x v="3"/>
    <x v="3"/>
    <x v="8"/>
    <n v="11"/>
    <x v="0"/>
  </r>
  <r>
    <d v="2022-08-11T00:00:00"/>
    <x v="1"/>
    <x v="0"/>
    <x v="1"/>
    <n v="262382804"/>
    <x v="1"/>
    <x v="0"/>
    <x v="1"/>
    <x v="9"/>
    <x v="3"/>
    <x v="3"/>
    <x v="3"/>
    <x v="3"/>
    <x v="8"/>
    <n v="11"/>
    <x v="0"/>
  </r>
  <r>
    <d v="2022-08-11T00:00:00"/>
    <x v="3"/>
    <x v="2"/>
    <x v="0"/>
    <n v="402014072.55000001"/>
    <x v="3"/>
    <x v="2"/>
    <x v="0"/>
    <x v="10"/>
    <x v="3"/>
    <x v="3"/>
    <x v="3"/>
    <x v="3"/>
    <x v="8"/>
    <n v="11"/>
    <x v="0"/>
  </r>
  <r>
    <d v="2022-08-11T00:00:00"/>
    <x v="3"/>
    <x v="2"/>
    <x v="1"/>
    <n v="4915447332.7299995"/>
    <x v="3"/>
    <x v="2"/>
    <x v="1"/>
    <x v="11"/>
    <x v="3"/>
    <x v="3"/>
    <x v="3"/>
    <x v="3"/>
    <x v="8"/>
    <n v="11"/>
    <x v="0"/>
  </r>
  <r>
    <d v="2022-08-11T00:00:00"/>
    <x v="3"/>
    <x v="1"/>
    <x v="0"/>
    <n v="14537604.66"/>
    <x v="3"/>
    <x v="1"/>
    <x v="0"/>
    <x v="12"/>
    <x v="3"/>
    <x v="3"/>
    <x v="3"/>
    <x v="3"/>
    <x v="8"/>
    <n v="11"/>
    <x v="0"/>
  </r>
  <r>
    <d v="2022-08-10T00:00:00"/>
    <x v="3"/>
    <x v="2"/>
    <x v="2"/>
    <n v="97323.95"/>
    <x v="3"/>
    <x v="2"/>
    <x v="2"/>
    <x v="3"/>
    <x v="3"/>
    <x v="3"/>
    <x v="3"/>
    <x v="3"/>
    <x v="8"/>
    <n v="10"/>
    <x v="0"/>
  </r>
  <r>
    <d v="2022-08-10T00:00:00"/>
    <x v="2"/>
    <x v="1"/>
    <x v="2"/>
    <n v="13122.48"/>
    <x v="2"/>
    <x v="1"/>
    <x v="2"/>
    <x v="2"/>
    <x v="3"/>
    <x v="3"/>
    <x v="3"/>
    <x v="3"/>
    <x v="8"/>
    <n v="10"/>
    <x v="0"/>
  </r>
  <r>
    <d v="2022-08-10T00:00:00"/>
    <x v="2"/>
    <x v="1"/>
    <x v="0"/>
    <n v="105550886.64"/>
    <x v="2"/>
    <x v="1"/>
    <x v="0"/>
    <x v="5"/>
    <x v="3"/>
    <x v="3"/>
    <x v="3"/>
    <x v="3"/>
    <x v="8"/>
    <n v="10"/>
    <x v="0"/>
  </r>
  <r>
    <d v="2022-08-10T00:00:00"/>
    <x v="3"/>
    <x v="3"/>
    <x v="0"/>
    <n v="1383262853.8599999"/>
    <x v="3"/>
    <x v="3"/>
    <x v="0"/>
    <x v="6"/>
    <x v="3"/>
    <x v="3"/>
    <x v="3"/>
    <x v="3"/>
    <x v="8"/>
    <n v="10"/>
    <x v="0"/>
  </r>
  <r>
    <d v="2022-08-10T00:00:00"/>
    <x v="2"/>
    <x v="1"/>
    <x v="1"/>
    <n v="134076422.84"/>
    <x v="2"/>
    <x v="1"/>
    <x v="1"/>
    <x v="7"/>
    <x v="3"/>
    <x v="3"/>
    <x v="3"/>
    <x v="3"/>
    <x v="8"/>
    <n v="10"/>
    <x v="0"/>
  </r>
  <r>
    <d v="2022-08-10T00:00:00"/>
    <x v="0"/>
    <x v="1"/>
    <x v="1"/>
    <n v="11618241.49"/>
    <x v="0"/>
    <x v="1"/>
    <x v="1"/>
    <x v="4"/>
    <x v="3"/>
    <x v="3"/>
    <x v="3"/>
    <x v="3"/>
    <x v="8"/>
    <n v="10"/>
    <x v="0"/>
  </r>
  <r>
    <d v="2022-08-10T00:00:00"/>
    <x v="1"/>
    <x v="0"/>
    <x v="1"/>
    <n v="569403472.42999995"/>
    <x v="1"/>
    <x v="0"/>
    <x v="1"/>
    <x v="9"/>
    <x v="3"/>
    <x v="3"/>
    <x v="3"/>
    <x v="3"/>
    <x v="8"/>
    <n v="10"/>
    <x v="0"/>
  </r>
  <r>
    <d v="2022-08-10T00:00:00"/>
    <x v="1"/>
    <x v="1"/>
    <x v="0"/>
    <n v="128.44"/>
    <x v="1"/>
    <x v="1"/>
    <x v="0"/>
    <x v="0"/>
    <x v="3"/>
    <x v="3"/>
    <x v="3"/>
    <x v="3"/>
    <x v="8"/>
    <n v="10"/>
    <x v="0"/>
  </r>
  <r>
    <d v="2022-08-10T00:00:00"/>
    <x v="0"/>
    <x v="1"/>
    <x v="0"/>
    <n v="22203495.18"/>
    <x v="0"/>
    <x v="1"/>
    <x v="0"/>
    <x v="1"/>
    <x v="3"/>
    <x v="3"/>
    <x v="3"/>
    <x v="3"/>
    <x v="8"/>
    <n v="10"/>
    <x v="0"/>
  </r>
  <r>
    <d v="2022-08-10T00:00:00"/>
    <x v="1"/>
    <x v="0"/>
    <x v="0"/>
    <n v="73388005.25"/>
    <x v="1"/>
    <x v="0"/>
    <x v="0"/>
    <x v="8"/>
    <x v="3"/>
    <x v="3"/>
    <x v="3"/>
    <x v="3"/>
    <x v="8"/>
    <n v="10"/>
    <x v="0"/>
  </r>
  <r>
    <d v="2022-08-10T00:00:00"/>
    <x v="3"/>
    <x v="2"/>
    <x v="0"/>
    <n v="437464471.13"/>
    <x v="3"/>
    <x v="2"/>
    <x v="0"/>
    <x v="10"/>
    <x v="3"/>
    <x v="3"/>
    <x v="3"/>
    <x v="3"/>
    <x v="8"/>
    <n v="10"/>
    <x v="0"/>
  </r>
  <r>
    <d v="2022-08-10T00:00:00"/>
    <x v="3"/>
    <x v="2"/>
    <x v="1"/>
    <n v="10390489032.24"/>
    <x v="3"/>
    <x v="2"/>
    <x v="1"/>
    <x v="11"/>
    <x v="3"/>
    <x v="3"/>
    <x v="3"/>
    <x v="3"/>
    <x v="8"/>
    <n v="10"/>
    <x v="0"/>
  </r>
  <r>
    <d v="2022-08-10T00:00:00"/>
    <x v="3"/>
    <x v="1"/>
    <x v="0"/>
    <n v="15292755.23"/>
    <x v="3"/>
    <x v="1"/>
    <x v="0"/>
    <x v="12"/>
    <x v="3"/>
    <x v="3"/>
    <x v="3"/>
    <x v="3"/>
    <x v="8"/>
    <n v="10"/>
    <x v="0"/>
  </r>
  <r>
    <d v="2022-08-09T00:00:00"/>
    <x v="0"/>
    <x v="1"/>
    <x v="1"/>
    <n v="5166009.82"/>
    <x v="0"/>
    <x v="1"/>
    <x v="1"/>
    <x v="3"/>
    <x v="3"/>
    <x v="3"/>
    <x v="3"/>
    <x v="3"/>
    <x v="8"/>
    <n v="9"/>
    <x v="0"/>
  </r>
  <r>
    <d v="2022-08-09T00:00:00"/>
    <x v="1"/>
    <x v="0"/>
    <x v="1"/>
    <n v="231986857.94999999"/>
    <x v="1"/>
    <x v="0"/>
    <x v="1"/>
    <x v="10"/>
    <x v="3"/>
    <x v="3"/>
    <x v="3"/>
    <x v="3"/>
    <x v="8"/>
    <n v="9"/>
    <x v="0"/>
  </r>
  <r>
    <d v="2022-08-09T00:00:00"/>
    <x v="2"/>
    <x v="1"/>
    <x v="2"/>
    <n v="100374.16"/>
    <x v="2"/>
    <x v="1"/>
    <x v="2"/>
    <x v="4"/>
    <x v="3"/>
    <x v="3"/>
    <x v="3"/>
    <x v="3"/>
    <x v="8"/>
    <n v="9"/>
    <x v="0"/>
  </r>
  <r>
    <d v="2022-08-09T00:00:00"/>
    <x v="3"/>
    <x v="2"/>
    <x v="2"/>
    <n v="150262.91"/>
    <x v="3"/>
    <x v="2"/>
    <x v="2"/>
    <x v="5"/>
    <x v="3"/>
    <x v="3"/>
    <x v="3"/>
    <x v="3"/>
    <x v="8"/>
    <n v="9"/>
    <x v="0"/>
  </r>
  <r>
    <d v="2022-08-09T00:00:00"/>
    <x v="1"/>
    <x v="1"/>
    <x v="0"/>
    <n v="1550.5"/>
    <x v="1"/>
    <x v="1"/>
    <x v="0"/>
    <x v="0"/>
    <x v="3"/>
    <x v="3"/>
    <x v="3"/>
    <x v="3"/>
    <x v="8"/>
    <n v="9"/>
    <x v="0"/>
  </r>
  <r>
    <d v="2022-08-09T00:00:00"/>
    <x v="0"/>
    <x v="1"/>
    <x v="0"/>
    <n v="32673303.52"/>
    <x v="0"/>
    <x v="1"/>
    <x v="0"/>
    <x v="1"/>
    <x v="3"/>
    <x v="3"/>
    <x v="3"/>
    <x v="3"/>
    <x v="8"/>
    <n v="9"/>
    <x v="0"/>
  </r>
  <r>
    <d v="2022-08-09T00:00:00"/>
    <x v="3"/>
    <x v="3"/>
    <x v="0"/>
    <n v="1043833233.83"/>
    <x v="3"/>
    <x v="3"/>
    <x v="0"/>
    <x v="7"/>
    <x v="3"/>
    <x v="3"/>
    <x v="3"/>
    <x v="3"/>
    <x v="8"/>
    <n v="9"/>
    <x v="0"/>
  </r>
  <r>
    <d v="2022-08-09T00:00:00"/>
    <x v="2"/>
    <x v="1"/>
    <x v="1"/>
    <n v="98966752.629999995"/>
    <x v="2"/>
    <x v="1"/>
    <x v="1"/>
    <x v="8"/>
    <x v="3"/>
    <x v="3"/>
    <x v="3"/>
    <x v="3"/>
    <x v="8"/>
    <n v="9"/>
    <x v="0"/>
  </r>
  <r>
    <d v="2022-08-09T00:00:00"/>
    <x v="3"/>
    <x v="3"/>
    <x v="1"/>
    <n v="224458"/>
    <x v="3"/>
    <x v="3"/>
    <x v="1"/>
    <x v="2"/>
    <x v="3"/>
    <x v="3"/>
    <x v="3"/>
    <x v="3"/>
    <x v="8"/>
    <n v="9"/>
    <x v="0"/>
  </r>
  <r>
    <d v="2022-08-09T00:00:00"/>
    <x v="1"/>
    <x v="0"/>
    <x v="0"/>
    <n v="58292899.560000002"/>
    <x v="1"/>
    <x v="0"/>
    <x v="0"/>
    <x v="9"/>
    <x v="3"/>
    <x v="3"/>
    <x v="3"/>
    <x v="3"/>
    <x v="8"/>
    <n v="9"/>
    <x v="0"/>
  </r>
  <r>
    <d v="2022-08-09T00:00:00"/>
    <x v="2"/>
    <x v="1"/>
    <x v="0"/>
    <n v="71100424.579999998"/>
    <x v="2"/>
    <x v="1"/>
    <x v="0"/>
    <x v="6"/>
    <x v="3"/>
    <x v="3"/>
    <x v="3"/>
    <x v="3"/>
    <x v="8"/>
    <n v="9"/>
    <x v="0"/>
  </r>
  <r>
    <d v="2022-08-09T00:00:00"/>
    <x v="3"/>
    <x v="2"/>
    <x v="0"/>
    <n v="608169678.03999996"/>
    <x v="3"/>
    <x v="2"/>
    <x v="0"/>
    <x v="11"/>
    <x v="3"/>
    <x v="3"/>
    <x v="3"/>
    <x v="3"/>
    <x v="8"/>
    <n v="9"/>
    <x v="0"/>
  </r>
  <r>
    <d v="2022-08-09T00:00:00"/>
    <x v="3"/>
    <x v="2"/>
    <x v="1"/>
    <n v="2684832030.1999998"/>
    <x v="3"/>
    <x v="2"/>
    <x v="1"/>
    <x v="12"/>
    <x v="3"/>
    <x v="3"/>
    <x v="3"/>
    <x v="3"/>
    <x v="8"/>
    <n v="9"/>
    <x v="0"/>
  </r>
  <r>
    <d v="2022-08-09T00:00:00"/>
    <x v="3"/>
    <x v="1"/>
    <x v="0"/>
    <n v="11699859.43"/>
    <x v="3"/>
    <x v="1"/>
    <x v="0"/>
    <x v="13"/>
    <x v="3"/>
    <x v="3"/>
    <x v="3"/>
    <x v="3"/>
    <x v="8"/>
    <n v="9"/>
    <x v="0"/>
  </r>
  <r>
    <d v="2022-08-08T00:00:00"/>
    <x v="3"/>
    <x v="2"/>
    <x v="2"/>
    <n v="-33934.93"/>
    <x v="3"/>
    <x v="2"/>
    <x v="2"/>
    <x v="4"/>
    <x v="3"/>
    <x v="3"/>
    <x v="3"/>
    <x v="3"/>
    <x v="8"/>
    <n v="8"/>
    <x v="1"/>
  </r>
  <r>
    <d v="2022-08-08T00:00:00"/>
    <x v="3"/>
    <x v="3"/>
    <x v="0"/>
    <n v="1373755862.3699999"/>
    <x v="3"/>
    <x v="3"/>
    <x v="0"/>
    <x v="5"/>
    <x v="3"/>
    <x v="3"/>
    <x v="3"/>
    <x v="3"/>
    <x v="8"/>
    <n v="8"/>
    <x v="0"/>
  </r>
  <r>
    <d v="2022-08-08T00:00:00"/>
    <x v="2"/>
    <x v="1"/>
    <x v="2"/>
    <n v="39379.08"/>
    <x v="2"/>
    <x v="1"/>
    <x v="2"/>
    <x v="2"/>
    <x v="3"/>
    <x v="3"/>
    <x v="3"/>
    <x v="3"/>
    <x v="8"/>
    <n v="8"/>
    <x v="0"/>
  </r>
  <r>
    <d v="2022-08-08T00:00:00"/>
    <x v="2"/>
    <x v="1"/>
    <x v="0"/>
    <n v="110587751.22"/>
    <x v="2"/>
    <x v="1"/>
    <x v="0"/>
    <x v="6"/>
    <x v="3"/>
    <x v="3"/>
    <x v="3"/>
    <x v="3"/>
    <x v="8"/>
    <n v="8"/>
    <x v="0"/>
  </r>
  <r>
    <d v="2022-08-08T00:00:00"/>
    <x v="0"/>
    <x v="1"/>
    <x v="1"/>
    <n v="9457209.7699999996"/>
    <x v="0"/>
    <x v="1"/>
    <x v="1"/>
    <x v="3"/>
    <x v="3"/>
    <x v="3"/>
    <x v="3"/>
    <x v="3"/>
    <x v="8"/>
    <n v="8"/>
    <x v="0"/>
  </r>
  <r>
    <d v="2022-08-08T00:00:00"/>
    <x v="1"/>
    <x v="0"/>
    <x v="0"/>
    <n v="50042516.25"/>
    <x v="1"/>
    <x v="0"/>
    <x v="0"/>
    <x v="8"/>
    <x v="3"/>
    <x v="3"/>
    <x v="3"/>
    <x v="3"/>
    <x v="8"/>
    <n v="8"/>
    <x v="0"/>
  </r>
  <r>
    <d v="2022-08-08T00:00:00"/>
    <x v="1"/>
    <x v="0"/>
    <x v="1"/>
    <n v="257398899.84"/>
    <x v="1"/>
    <x v="0"/>
    <x v="1"/>
    <x v="9"/>
    <x v="3"/>
    <x v="3"/>
    <x v="3"/>
    <x v="3"/>
    <x v="8"/>
    <n v="8"/>
    <x v="0"/>
  </r>
  <r>
    <d v="2022-08-08T00:00:00"/>
    <x v="1"/>
    <x v="1"/>
    <x v="0"/>
    <n v="84.5"/>
    <x v="1"/>
    <x v="1"/>
    <x v="0"/>
    <x v="0"/>
    <x v="3"/>
    <x v="3"/>
    <x v="3"/>
    <x v="3"/>
    <x v="8"/>
    <n v="8"/>
    <x v="0"/>
  </r>
  <r>
    <d v="2022-08-08T00:00:00"/>
    <x v="0"/>
    <x v="1"/>
    <x v="0"/>
    <n v="13537977.34"/>
    <x v="0"/>
    <x v="1"/>
    <x v="0"/>
    <x v="1"/>
    <x v="3"/>
    <x v="3"/>
    <x v="3"/>
    <x v="3"/>
    <x v="8"/>
    <n v="8"/>
    <x v="0"/>
  </r>
  <r>
    <d v="2022-08-08T00:00:00"/>
    <x v="2"/>
    <x v="1"/>
    <x v="1"/>
    <n v="112554230.25"/>
    <x v="2"/>
    <x v="1"/>
    <x v="1"/>
    <x v="7"/>
    <x v="3"/>
    <x v="3"/>
    <x v="3"/>
    <x v="3"/>
    <x v="8"/>
    <n v="8"/>
    <x v="0"/>
  </r>
  <r>
    <d v="2022-08-08T00:00:00"/>
    <x v="3"/>
    <x v="2"/>
    <x v="0"/>
    <n v="461085318.64999998"/>
    <x v="3"/>
    <x v="2"/>
    <x v="0"/>
    <x v="10"/>
    <x v="3"/>
    <x v="3"/>
    <x v="3"/>
    <x v="3"/>
    <x v="8"/>
    <n v="8"/>
    <x v="0"/>
  </r>
  <r>
    <d v="2022-08-08T00:00:00"/>
    <x v="3"/>
    <x v="2"/>
    <x v="1"/>
    <n v="23103799039.98"/>
    <x v="3"/>
    <x v="2"/>
    <x v="1"/>
    <x v="11"/>
    <x v="3"/>
    <x v="3"/>
    <x v="3"/>
    <x v="3"/>
    <x v="8"/>
    <n v="8"/>
    <x v="0"/>
  </r>
  <r>
    <d v="2022-08-08T00:00:00"/>
    <x v="3"/>
    <x v="1"/>
    <x v="0"/>
    <n v="46136362.140000001"/>
    <x v="3"/>
    <x v="1"/>
    <x v="0"/>
    <x v="12"/>
    <x v="3"/>
    <x v="3"/>
    <x v="3"/>
    <x v="3"/>
    <x v="8"/>
    <n v="8"/>
    <x v="0"/>
  </r>
  <r>
    <d v="2022-08-05T00:00:00"/>
    <x v="3"/>
    <x v="2"/>
    <x v="2"/>
    <n v="278125"/>
    <x v="3"/>
    <x v="2"/>
    <x v="2"/>
    <x v="5"/>
    <x v="3"/>
    <x v="3"/>
    <x v="3"/>
    <x v="3"/>
    <x v="8"/>
    <n v="5"/>
    <x v="0"/>
  </r>
  <r>
    <d v="2022-08-05T00:00:00"/>
    <x v="2"/>
    <x v="1"/>
    <x v="2"/>
    <n v="160839.51999999999"/>
    <x v="2"/>
    <x v="1"/>
    <x v="2"/>
    <x v="2"/>
    <x v="3"/>
    <x v="3"/>
    <x v="3"/>
    <x v="3"/>
    <x v="8"/>
    <n v="5"/>
    <x v="0"/>
  </r>
  <r>
    <d v="2022-08-05T00:00:00"/>
    <x v="1"/>
    <x v="0"/>
    <x v="0"/>
    <n v="92054963.829999998"/>
    <x v="1"/>
    <x v="0"/>
    <x v="0"/>
    <x v="9"/>
    <x v="3"/>
    <x v="3"/>
    <x v="3"/>
    <x v="3"/>
    <x v="8"/>
    <n v="5"/>
    <x v="0"/>
  </r>
  <r>
    <d v="2022-08-05T00:00:00"/>
    <x v="3"/>
    <x v="3"/>
    <x v="1"/>
    <n v="35859.120000000003"/>
    <x v="3"/>
    <x v="3"/>
    <x v="1"/>
    <x v="3"/>
    <x v="3"/>
    <x v="3"/>
    <x v="3"/>
    <x v="3"/>
    <x v="8"/>
    <n v="5"/>
    <x v="0"/>
  </r>
  <r>
    <d v="2022-08-05T00:00:00"/>
    <x v="0"/>
    <x v="1"/>
    <x v="1"/>
    <n v="6026412.4699999997"/>
    <x v="0"/>
    <x v="1"/>
    <x v="1"/>
    <x v="4"/>
    <x v="3"/>
    <x v="3"/>
    <x v="3"/>
    <x v="3"/>
    <x v="8"/>
    <n v="5"/>
    <x v="0"/>
  </r>
  <r>
    <d v="2022-08-05T00:00:00"/>
    <x v="1"/>
    <x v="1"/>
    <x v="0"/>
    <n v="1704.08"/>
    <x v="1"/>
    <x v="1"/>
    <x v="0"/>
    <x v="0"/>
    <x v="3"/>
    <x v="3"/>
    <x v="3"/>
    <x v="3"/>
    <x v="8"/>
    <n v="5"/>
    <x v="0"/>
  </r>
  <r>
    <d v="2022-08-05T00:00:00"/>
    <x v="0"/>
    <x v="1"/>
    <x v="0"/>
    <n v="20018816.449999999"/>
    <x v="0"/>
    <x v="1"/>
    <x v="0"/>
    <x v="1"/>
    <x v="3"/>
    <x v="3"/>
    <x v="3"/>
    <x v="3"/>
    <x v="8"/>
    <n v="5"/>
    <x v="0"/>
  </r>
  <r>
    <d v="2022-08-05T00:00:00"/>
    <x v="2"/>
    <x v="1"/>
    <x v="0"/>
    <n v="76673573.459999993"/>
    <x v="2"/>
    <x v="1"/>
    <x v="0"/>
    <x v="6"/>
    <x v="3"/>
    <x v="3"/>
    <x v="3"/>
    <x v="3"/>
    <x v="8"/>
    <n v="5"/>
    <x v="0"/>
  </r>
  <r>
    <d v="2022-08-05T00:00:00"/>
    <x v="2"/>
    <x v="1"/>
    <x v="1"/>
    <n v="98230918.040000007"/>
    <x v="2"/>
    <x v="1"/>
    <x v="1"/>
    <x v="8"/>
    <x v="3"/>
    <x v="3"/>
    <x v="3"/>
    <x v="3"/>
    <x v="8"/>
    <n v="5"/>
    <x v="0"/>
  </r>
  <r>
    <d v="2022-08-05T00:00:00"/>
    <x v="3"/>
    <x v="3"/>
    <x v="0"/>
    <n v="1277267128.8499999"/>
    <x v="3"/>
    <x v="3"/>
    <x v="0"/>
    <x v="7"/>
    <x v="3"/>
    <x v="3"/>
    <x v="3"/>
    <x v="3"/>
    <x v="8"/>
    <n v="5"/>
    <x v="0"/>
  </r>
  <r>
    <d v="2022-08-05T00:00:00"/>
    <x v="1"/>
    <x v="0"/>
    <x v="1"/>
    <n v="75779653.939999998"/>
    <x v="1"/>
    <x v="0"/>
    <x v="1"/>
    <x v="10"/>
    <x v="3"/>
    <x v="3"/>
    <x v="3"/>
    <x v="3"/>
    <x v="8"/>
    <n v="5"/>
    <x v="0"/>
  </r>
  <r>
    <d v="2022-08-05T00:00:00"/>
    <x v="3"/>
    <x v="2"/>
    <x v="0"/>
    <n v="453060560.92000002"/>
    <x v="3"/>
    <x v="2"/>
    <x v="0"/>
    <x v="11"/>
    <x v="3"/>
    <x v="3"/>
    <x v="3"/>
    <x v="3"/>
    <x v="8"/>
    <n v="5"/>
    <x v="0"/>
  </r>
  <r>
    <d v="2022-08-05T00:00:00"/>
    <x v="3"/>
    <x v="2"/>
    <x v="1"/>
    <n v="9550962826.3299999"/>
    <x v="3"/>
    <x v="2"/>
    <x v="1"/>
    <x v="12"/>
    <x v="3"/>
    <x v="3"/>
    <x v="3"/>
    <x v="3"/>
    <x v="8"/>
    <n v="5"/>
    <x v="0"/>
  </r>
  <r>
    <d v="2022-08-05T00:00:00"/>
    <x v="3"/>
    <x v="1"/>
    <x v="0"/>
    <n v="14452236.789999999"/>
    <x v="3"/>
    <x v="1"/>
    <x v="0"/>
    <x v="13"/>
    <x v="3"/>
    <x v="3"/>
    <x v="3"/>
    <x v="3"/>
    <x v="8"/>
    <n v="5"/>
    <x v="0"/>
  </r>
  <r>
    <d v="2022-08-04T00:00:00"/>
    <x v="3"/>
    <x v="2"/>
    <x v="2"/>
    <n v="150257.03"/>
    <x v="3"/>
    <x v="2"/>
    <x v="2"/>
    <x v="5"/>
    <x v="3"/>
    <x v="3"/>
    <x v="3"/>
    <x v="3"/>
    <x v="8"/>
    <n v="4"/>
    <x v="0"/>
  </r>
  <r>
    <d v="2022-08-04T00:00:00"/>
    <x v="2"/>
    <x v="1"/>
    <x v="0"/>
    <n v="82367849.290000007"/>
    <x v="2"/>
    <x v="1"/>
    <x v="0"/>
    <x v="6"/>
    <x v="3"/>
    <x v="3"/>
    <x v="3"/>
    <x v="3"/>
    <x v="8"/>
    <n v="4"/>
    <x v="0"/>
  </r>
  <r>
    <d v="2022-08-04T00:00:00"/>
    <x v="3"/>
    <x v="3"/>
    <x v="0"/>
    <n v="1589835617.29"/>
    <x v="3"/>
    <x v="3"/>
    <x v="0"/>
    <x v="7"/>
    <x v="3"/>
    <x v="3"/>
    <x v="3"/>
    <x v="3"/>
    <x v="8"/>
    <n v="4"/>
    <x v="0"/>
  </r>
  <r>
    <d v="2022-08-04T00:00:00"/>
    <x v="2"/>
    <x v="1"/>
    <x v="1"/>
    <n v="205620782.03"/>
    <x v="2"/>
    <x v="1"/>
    <x v="1"/>
    <x v="8"/>
    <x v="3"/>
    <x v="3"/>
    <x v="3"/>
    <x v="3"/>
    <x v="8"/>
    <n v="4"/>
    <x v="0"/>
  </r>
  <r>
    <d v="2022-08-04T00:00:00"/>
    <x v="1"/>
    <x v="0"/>
    <x v="0"/>
    <n v="90974121.659999996"/>
    <x v="1"/>
    <x v="0"/>
    <x v="0"/>
    <x v="9"/>
    <x v="3"/>
    <x v="3"/>
    <x v="3"/>
    <x v="3"/>
    <x v="8"/>
    <n v="4"/>
    <x v="0"/>
  </r>
  <r>
    <d v="2022-08-04T00:00:00"/>
    <x v="1"/>
    <x v="1"/>
    <x v="0"/>
    <n v="1061.5"/>
    <x v="1"/>
    <x v="1"/>
    <x v="0"/>
    <x v="0"/>
    <x v="3"/>
    <x v="3"/>
    <x v="3"/>
    <x v="3"/>
    <x v="8"/>
    <n v="4"/>
    <x v="0"/>
  </r>
  <r>
    <d v="2022-08-04T00:00:00"/>
    <x v="3"/>
    <x v="3"/>
    <x v="1"/>
    <n v="47325.56"/>
    <x v="3"/>
    <x v="3"/>
    <x v="1"/>
    <x v="2"/>
    <x v="3"/>
    <x v="3"/>
    <x v="3"/>
    <x v="3"/>
    <x v="8"/>
    <n v="4"/>
    <x v="0"/>
  </r>
  <r>
    <d v="2022-08-04T00:00:00"/>
    <x v="0"/>
    <x v="1"/>
    <x v="1"/>
    <n v="17938524.68"/>
    <x v="0"/>
    <x v="1"/>
    <x v="1"/>
    <x v="3"/>
    <x v="3"/>
    <x v="3"/>
    <x v="3"/>
    <x v="3"/>
    <x v="8"/>
    <n v="4"/>
    <x v="0"/>
  </r>
  <r>
    <d v="2022-08-04T00:00:00"/>
    <x v="1"/>
    <x v="0"/>
    <x v="1"/>
    <n v="199041083.53"/>
    <x v="1"/>
    <x v="0"/>
    <x v="1"/>
    <x v="10"/>
    <x v="3"/>
    <x v="3"/>
    <x v="3"/>
    <x v="3"/>
    <x v="8"/>
    <n v="4"/>
    <x v="0"/>
  </r>
  <r>
    <d v="2022-08-04T00:00:00"/>
    <x v="0"/>
    <x v="1"/>
    <x v="0"/>
    <n v="13718668.27"/>
    <x v="0"/>
    <x v="1"/>
    <x v="0"/>
    <x v="1"/>
    <x v="3"/>
    <x v="3"/>
    <x v="3"/>
    <x v="3"/>
    <x v="8"/>
    <n v="4"/>
    <x v="0"/>
  </r>
  <r>
    <d v="2022-08-04T00:00:00"/>
    <x v="2"/>
    <x v="1"/>
    <x v="2"/>
    <n v="3537"/>
    <x v="2"/>
    <x v="1"/>
    <x v="2"/>
    <x v="4"/>
    <x v="3"/>
    <x v="3"/>
    <x v="3"/>
    <x v="3"/>
    <x v="8"/>
    <n v="4"/>
    <x v="0"/>
  </r>
  <r>
    <d v="2022-08-04T00:00:00"/>
    <x v="3"/>
    <x v="2"/>
    <x v="0"/>
    <n v="406101165.35000002"/>
    <x v="3"/>
    <x v="2"/>
    <x v="0"/>
    <x v="11"/>
    <x v="3"/>
    <x v="3"/>
    <x v="3"/>
    <x v="3"/>
    <x v="8"/>
    <n v="4"/>
    <x v="0"/>
  </r>
  <r>
    <d v="2022-08-04T00:00:00"/>
    <x v="3"/>
    <x v="2"/>
    <x v="1"/>
    <n v="2758603013.71"/>
    <x v="3"/>
    <x v="2"/>
    <x v="1"/>
    <x v="12"/>
    <x v="3"/>
    <x v="3"/>
    <x v="3"/>
    <x v="3"/>
    <x v="8"/>
    <n v="4"/>
    <x v="0"/>
  </r>
  <r>
    <d v="2022-08-04T00:00:00"/>
    <x v="3"/>
    <x v="1"/>
    <x v="0"/>
    <n v="15122901.09"/>
    <x v="3"/>
    <x v="1"/>
    <x v="0"/>
    <x v="13"/>
    <x v="3"/>
    <x v="3"/>
    <x v="3"/>
    <x v="3"/>
    <x v="8"/>
    <n v="4"/>
    <x v="0"/>
  </r>
  <r>
    <d v="2022-08-03T00:00:00"/>
    <x v="2"/>
    <x v="1"/>
    <x v="2"/>
    <n v="15683.15"/>
    <x v="2"/>
    <x v="1"/>
    <x v="2"/>
    <x v="2"/>
    <x v="3"/>
    <x v="3"/>
    <x v="3"/>
    <x v="3"/>
    <x v="8"/>
    <n v="3"/>
    <x v="0"/>
  </r>
  <r>
    <d v="2022-08-03T00:00:00"/>
    <x v="2"/>
    <x v="1"/>
    <x v="0"/>
    <n v="125335999.40000001"/>
    <x v="2"/>
    <x v="1"/>
    <x v="0"/>
    <x v="6"/>
    <x v="3"/>
    <x v="3"/>
    <x v="3"/>
    <x v="3"/>
    <x v="8"/>
    <n v="3"/>
    <x v="0"/>
  </r>
  <r>
    <d v="2022-08-03T00:00:00"/>
    <x v="1"/>
    <x v="1"/>
    <x v="0"/>
    <n v="1162"/>
    <x v="1"/>
    <x v="1"/>
    <x v="0"/>
    <x v="0"/>
    <x v="3"/>
    <x v="3"/>
    <x v="3"/>
    <x v="3"/>
    <x v="8"/>
    <n v="3"/>
    <x v="0"/>
  </r>
  <r>
    <d v="2022-08-03T00:00:00"/>
    <x v="2"/>
    <x v="1"/>
    <x v="1"/>
    <n v="123953067.58"/>
    <x v="2"/>
    <x v="1"/>
    <x v="1"/>
    <x v="7"/>
    <x v="3"/>
    <x v="3"/>
    <x v="3"/>
    <x v="3"/>
    <x v="8"/>
    <n v="3"/>
    <x v="0"/>
  </r>
  <r>
    <d v="2022-08-03T00:00:00"/>
    <x v="0"/>
    <x v="1"/>
    <x v="0"/>
    <n v="21863754.75"/>
    <x v="0"/>
    <x v="1"/>
    <x v="0"/>
    <x v="1"/>
    <x v="3"/>
    <x v="3"/>
    <x v="3"/>
    <x v="3"/>
    <x v="8"/>
    <n v="3"/>
    <x v="0"/>
  </r>
  <r>
    <d v="2022-08-03T00:00:00"/>
    <x v="1"/>
    <x v="0"/>
    <x v="1"/>
    <n v="605318915.80999994"/>
    <x v="1"/>
    <x v="0"/>
    <x v="1"/>
    <x v="8"/>
    <x v="3"/>
    <x v="3"/>
    <x v="3"/>
    <x v="3"/>
    <x v="8"/>
    <n v="3"/>
    <x v="0"/>
  </r>
  <r>
    <d v="2022-08-03T00:00:00"/>
    <x v="0"/>
    <x v="1"/>
    <x v="1"/>
    <n v="5428803.4800000004"/>
    <x v="0"/>
    <x v="1"/>
    <x v="1"/>
    <x v="3"/>
    <x v="3"/>
    <x v="3"/>
    <x v="3"/>
    <x v="3"/>
    <x v="8"/>
    <n v="3"/>
    <x v="0"/>
  </r>
  <r>
    <d v="2022-08-03T00:00:00"/>
    <x v="3"/>
    <x v="2"/>
    <x v="2"/>
    <n v="116076"/>
    <x v="3"/>
    <x v="2"/>
    <x v="2"/>
    <x v="4"/>
    <x v="3"/>
    <x v="3"/>
    <x v="3"/>
    <x v="3"/>
    <x v="8"/>
    <n v="3"/>
    <x v="0"/>
  </r>
  <r>
    <d v="2022-08-03T00:00:00"/>
    <x v="3"/>
    <x v="3"/>
    <x v="0"/>
    <n v="3434907232.1100001"/>
    <x v="3"/>
    <x v="3"/>
    <x v="0"/>
    <x v="5"/>
    <x v="3"/>
    <x v="3"/>
    <x v="3"/>
    <x v="3"/>
    <x v="8"/>
    <n v="3"/>
    <x v="0"/>
  </r>
  <r>
    <d v="2022-08-03T00:00:00"/>
    <x v="1"/>
    <x v="0"/>
    <x v="0"/>
    <n v="98425233.980000004"/>
    <x v="1"/>
    <x v="0"/>
    <x v="0"/>
    <x v="9"/>
    <x v="3"/>
    <x v="3"/>
    <x v="3"/>
    <x v="3"/>
    <x v="8"/>
    <n v="3"/>
    <x v="0"/>
  </r>
  <r>
    <d v="2022-08-03T00:00:00"/>
    <x v="3"/>
    <x v="2"/>
    <x v="0"/>
    <n v="422788225.88"/>
    <x v="3"/>
    <x v="2"/>
    <x v="0"/>
    <x v="10"/>
    <x v="3"/>
    <x v="3"/>
    <x v="3"/>
    <x v="3"/>
    <x v="8"/>
    <n v="3"/>
    <x v="0"/>
  </r>
  <r>
    <d v="2022-08-03T00:00:00"/>
    <x v="3"/>
    <x v="1"/>
    <x v="0"/>
    <n v="16013783.25"/>
    <x v="3"/>
    <x v="1"/>
    <x v="0"/>
    <x v="11"/>
    <x v="3"/>
    <x v="3"/>
    <x v="3"/>
    <x v="3"/>
    <x v="8"/>
    <n v="3"/>
    <x v="0"/>
  </r>
  <r>
    <d v="2022-08-03T00:00:00"/>
    <x v="3"/>
    <x v="2"/>
    <x v="1"/>
    <n v="13957232013.139999"/>
    <x v="3"/>
    <x v="2"/>
    <x v="1"/>
    <x v="12"/>
    <x v="3"/>
    <x v="3"/>
    <x v="3"/>
    <x v="3"/>
    <x v="8"/>
    <n v="3"/>
    <x v="0"/>
  </r>
  <r>
    <d v="2022-08-02T00:00:00"/>
    <x v="3"/>
    <x v="3"/>
    <x v="0"/>
    <n v="1823138414.72"/>
    <x v="3"/>
    <x v="3"/>
    <x v="0"/>
    <x v="5"/>
    <x v="3"/>
    <x v="3"/>
    <x v="3"/>
    <x v="3"/>
    <x v="8"/>
    <n v="2"/>
    <x v="0"/>
  </r>
  <r>
    <d v="2022-08-02T00:00:00"/>
    <x v="0"/>
    <x v="1"/>
    <x v="0"/>
    <n v="6674445.46"/>
    <x v="0"/>
    <x v="1"/>
    <x v="0"/>
    <x v="1"/>
    <x v="3"/>
    <x v="3"/>
    <x v="3"/>
    <x v="3"/>
    <x v="8"/>
    <n v="2"/>
    <x v="0"/>
  </r>
  <r>
    <d v="2022-08-02T00:00:00"/>
    <x v="0"/>
    <x v="1"/>
    <x v="1"/>
    <n v="18729066.440000001"/>
    <x v="0"/>
    <x v="1"/>
    <x v="1"/>
    <x v="2"/>
    <x v="3"/>
    <x v="3"/>
    <x v="3"/>
    <x v="3"/>
    <x v="8"/>
    <n v="2"/>
    <x v="0"/>
  </r>
  <r>
    <d v="2022-08-02T00:00:00"/>
    <x v="1"/>
    <x v="0"/>
    <x v="1"/>
    <n v="235292527.36000001"/>
    <x v="1"/>
    <x v="0"/>
    <x v="1"/>
    <x v="8"/>
    <x v="3"/>
    <x v="3"/>
    <x v="3"/>
    <x v="3"/>
    <x v="8"/>
    <n v="2"/>
    <x v="0"/>
  </r>
  <r>
    <d v="2022-08-02T00:00:00"/>
    <x v="1"/>
    <x v="1"/>
    <x v="0"/>
    <n v="1109.5"/>
    <x v="1"/>
    <x v="1"/>
    <x v="0"/>
    <x v="0"/>
    <x v="3"/>
    <x v="3"/>
    <x v="3"/>
    <x v="3"/>
    <x v="8"/>
    <n v="2"/>
    <x v="0"/>
  </r>
  <r>
    <d v="2022-08-02T00:00:00"/>
    <x v="2"/>
    <x v="1"/>
    <x v="2"/>
    <n v="42826.26"/>
    <x v="2"/>
    <x v="1"/>
    <x v="2"/>
    <x v="3"/>
    <x v="3"/>
    <x v="3"/>
    <x v="3"/>
    <x v="3"/>
    <x v="8"/>
    <n v="2"/>
    <x v="0"/>
  </r>
  <r>
    <d v="2022-08-02T00:00:00"/>
    <x v="3"/>
    <x v="2"/>
    <x v="2"/>
    <n v="339847.06"/>
    <x v="3"/>
    <x v="2"/>
    <x v="2"/>
    <x v="4"/>
    <x v="3"/>
    <x v="3"/>
    <x v="3"/>
    <x v="3"/>
    <x v="8"/>
    <n v="2"/>
    <x v="0"/>
  </r>
  <r>
    <d v="2022-08-02T00:00:00"/>
    <x v="2"/>
    <x v="1"/>
    <x v="1"/>
    <n v="187096270.59999999"/>
    <x v="2"/>
    <x v="1"/>
    <x v="1"/>
    <x v="7"/>
    <x v="3"/>
    <x v="3"/>
    <x v="3"/>
    <x v="3"/>
    <x v="8"/>
    <n v="2"/>
    <x v="0"/>
  </r>
  <r>
    <d v="2022-08-02T00:00:00"/>
    <x v="2"/>
    <x v="1"/>
    <x v="0"/>
    <n v="82190822.609999999"/>
    <x v="2"/>
    <x v="1"/>
    <x v="0"/>
    <x v="6"/>
    <x v="3"/>
    <x v="3"/>
    <x v="3"/>
    <x v="3"/>
    <x v="8"/>
    <n v="2"/>
    <x v="0"/>
  </r>
  <r>
    <d v="2022-08-02T00:00:00"/>
    <x v="1"/>
    <x v="0"/>
    <x v="0"/>
    <n v="59069341.219999999"/>
    <x v="1"/>
    <x v="0"/>
    <x v="0"/>
    <x v="9"/>
    <x v="3"/>
    <x v="3"/>
    <x v="3"/>
    <x v="3"/>
    <x v="8"/>
    <n v="2"/>
    <x v="0"/>
  </r>
  <r>
    <d v="2022-08-02T00:00:00"/>
    <x v="3"/>
    <x v="2"/>
    <x v="0"/>
    <n v="1058641776.52"/>
    <x v="3"/>
    <x v="2"/>
    <x v="0"/>
    <x v="10"/>
    <x v="3"/>
    <x v="3"/>
    <x v="3"/>
    <x v="3"/>
    <x v="8"/>
    <n v="2"/>
    <x v="0"/>
  </r>
  <r>
    <d v="2022-08-02T00:00:00"/>
    <x v="3"/>
    <x v="2"/>
    <x v="1"/>
    <n v="7242924689.96"/>
    <x v="3"/>
    <x v="2"/>
    <x v="1"/>
    <x v="11"/>
    <x v="3"/>
    <x v="3"/>
    <x v="3"/>
    <x v="3"/>
    <x v="8"/>
    <n v="2"/>
    <x v="0"/>
  </r>
  <r>
    <d v="2022-08-02T00:00:00"/>
    <x v="3"/>
    <x v="1"/>
    <x v="0"/>
    <n v="13110557.369999999"/>
    <x v="3"/>
    <x v="1"/>
    <x v="0"/>
    <x v="12"/>
    <x v="3"/>
    <x v="3"/>
    <x v="3"/>
    <x v="3"/>
    <x v="8"/>
    <n v="2"/>
    <x v="0"/>
  </r>
  <r>
    <d v="2022-08-01T00:00:00"/>
    <x v="2"/>
    <x v="1"/>
    <x v="2"/>
    <n v="54474.17"/>
    <x v="2"/>
    <x v="1"/>
    <x v="2"/>
    <x v="3"/>
    <x v="3"/>
    <x v="3"/>
    <x v="3"/>
    <x v="3"/>
    <x v="8"/>
    <n v="1"/>
    <x v="0"/>
  </r>
  <r>
    <d v="2022-08-01T00:00:00"/>
    <x v="0"/>
    <x v="0"/>
    <x v="0"/>
    <n v="21.38"/>
    <x v="0"/>
    <x v="0"/>
    <x v="0"/>
    <x v="0"/>
    <x v="3"/>
    <x v="3"/>
    <x v="3"/>
    <x v="3"/>
    <x v="8"/>
    <n v="1"/>
    <x v="0"/>
  </r>
  <r>
    <d v="2022-08-01T00:00:00"/>
    <x v="1"/>
    <x v="1"/>
    <x v="0"/>
    <n v="322"/>
    <x v="1"/>
    <x v="1"/>
    <x v="0"/>
    <x v="1"/>
    <x v="3"/>
    <x v="3"/>
    <x v="3"/>
    <x v="3"/>
    <x v="8"/>
    <n v="1"/>
    <x v="0"/>
  </r>
  <r>
    <d v="2022-08-01T00:00:00"/>
    <x v="3"/>
    <x v="3"/>
    <x v="0"/>
    <n v="5919349992.6300001"/>
    <x v="3"/>
    <x v="3"/>
    <x v="0"/>
    <x v="8"/>
    <x v="3"/>
    <x v="3"/>
    <x v="3"/>
    <x v="3"/>
    <x v="8"/>
    <n v="1"/>
    <x v="0"/>
  </r>
  <r>
    <d v="2022-08-01T00:00:00"/>
    <x v="0"/>
    <x v="1"/>
    <x v="0"/>
    <n v="8820663.8100000005"/>
    <x v="0"/>
    <x v="1"/>
    <x v="0"/>
    <x v="2"/>
    <x v="3"/>
    <x v="3"/>
    <x v="3"/>
    <x v="3"/>
    <x v="8"/>
    <n v="1"/>
    <x v="0"/>
  </r>
  <r>
    <d v="2022-08-01T00:00:00"/>
    <x v="2"/>
    <x v="1"/>
    <x v="0"/>
    <n v="162063856.94999999"/>
    <x v="2"/>
    <x v="1"/>
    <x v="0"/>
    <x v="9"/>
    <x v="3"/>
    <x v="3"/>
    <x v="3"/>
    <x v="3"/>
    <x v="8"/>
    <n v="1"/>
    <x v="0"/>
  </r>
  <r>
    <d v="2022-08-01T00:00:00"/>
    <x v="3"/>
    <x v="2"/>
    <x v="2"/>
    <n v="353264.64000000001"/>
    <x v="3"/>
    <x v="2"/>
    <x v="2"/>
    <x v="5"/>
    <x v="3"/>
    <x v="3"/>
    <x v="3"/>
    <x v="3"/>
    <x v="8"/>
    <n v="1"/>
    <x v="0"/>
  </r>
  <r>
    <d v="2022-08-01T00:00:00"/>
    <x v="0"/>
    <x v="1"/>
    <x v="1"/>
    <n v="1113438.58"/>
    <x v="0"/>
    <x v="1"/>
    <x v="1"/>
    <x v="4"/>
    <x v="3"/>
    <x v="3"/>
    <x v="3"/>
    <x v="3"/>
    <x v="8"/>
    <n v="1"/>
    <x v="0"/>
  </r>
  <r>
    <d v="2022-08-01T00:00:00"/>
    <x v="2"/>
    <x v="1"/>
    <x v="1"/>
    <n v="138909074.65000001"/>
    <x v="2"/>
    <x v="1"/>
    <x v="1"/>
    <x v="10"/>
    <x v="3"/>
    <x v="3"/>
    <x v="3"/>
    <x v="3"/>
    <x v="8"/>
    <n v="1"/>
    <x v="0"/>
  </r>
  <r>
    <d v="2022-08-01T00:00:00"/>
    <x v="1"/>
    <x v="0"/>
    <x v="1"/>
    <n v="180127949.66999999"/>
    <x v="1"/>
    <x v="0"/>
    <x v="1"/>
    <x v="7"/>
    <x v="3"/>
    <x v="3"/>
    <x v="3"/>
    <x v="3"/>
    <x v="8"/>
    <n v="1"/>
    <x v="0"/>
  </r>
  <r>
    <d v="2022-08-01T00:00:00"/>
    <x v="1"/>
    <x v="0"/>
    <x v="0"/>
    <n v="47925011.75"/>
    <x v="1"/>
    <x v="0"/>
    <x v="0"/>
    <x v="6"/>
    <x v="3"/>
    <x v="3"/>
    <x v="3"/>
    <x v="3"/>
    <x v="8"/>
    <n v="1"/>
    <x v="0"/>
  </r>
  <r>
    <d v="2022-08-01T00:00:00"/>
    <x v="3"/>
    <x v="2"/>
    <x v="0"/>
    <n v="542984794.20000005"/>
    <x v="3"/>
    <x v="2"/>
    <x v="0"/>
    <x v="11"/>
    <x v="3"/>
    <x v="3"/>
    <x v="3"/>
    <x v="3"/>
    <x v="8"/>
    <n v="1"/>
    <x v="0"/>
  </r>
  <r>
    <d v="2022-08-01T00:00:00"/>
    <x v="3"/>
    <x v="2"/>
    <x v="1"/>
    <n v="39449034149.5"/>
    <x v="3"/>
    <x v="2"/>
    <x v="1"/>
    <x v="12"/>
    <x v="3"/>
    <x v="3"/>
    <x v="3"/>
    <x v="3"/>
    <x v="8"/>
    <n v="1"/>
    <x v="0"/>
  </r>
  <r>
    <d v="2022-08-01T00:00:00"/>
    <x v="3"/>
    <x v="1"/>
    <x v="0"/>
    <n v="49555344.280000001"/>
    <x v="3"/>
    <x v="1"/>
    <x v="0"/>
    <x v="13"/>
    <x v="3"/>
    <x v="3"/>
    <x v="3"/>
    <x v="3"/>
    <x v="8"/>
    <n v="1"/>
    <x v="0"/>
  </r>
  <r>
    <d v="2022-07-29T00:00:00"/>
    <x v="2"/>
    <x v="1"/>
    <x v="2"/>
    <n v="3110"/>
    <x v="2"/>
    <x v="1"/>
    <x v="2"/>
    <x v="2"/>
    <x v="3"/>
    <x v="3"/>
    <x v="3"/>
    <x v="3"/>
    <x v="9"/>
    <n v="29"/>
    <x v="0"/>
  </r>
  <r>
    <d v="2022-07-29T00:00:00"/>
    <x v="2"/>
    <x v="1"/>
    <x v="0"/>
    <n v="117045411.84"/>
    <x v="2"/>
    <x v="1"/>
    <x v="0"/>
    <x v="6"/>
    <x v="3"/>
    <x v="3"/>
    <x v="3"/>
    <x v="3"/>
    <x v="9"/>
    <n v="29"/>
    <x v="0"/>
  </r>
  <r>
    <d v="2022-07-29T00:00:00"/>
    <x v="2"/>
    <x v="1"/>
    <x v="1"/>
    <n v="153406598.53"/>
    <x v="2"/>
    <x v="1"/>
    <x v="1"/>
    <x v="7"/>
    <x v="3"/>
    <x v="3"/>
    <x v="3"/>
    <x v="3"/>
    <x v="9"/>
    <n v="29"/>
    <x v="0"/>
  </r>
  <r>
    <d v="2022-07-29T00:00:00"/>
    <x v="1"/>
    <x v="0"/>
    <x v="1"/>
    <n v="75666172.459999993"/>
    <x v="1"/>
    <x v="0"/>
    <x v="1"/>
    <x v="8"/>
    <x v="3"/>
    <x v="3"/>
    <x v="3"/>
    <x v="3"/>
    <x v="9"/>
    <n v="29"/>
    <x v="0"/>
  </r>
  <r>
    <d v="2022-07-29T00:00:00"/>
    <x v="0"/>
    <x v="1"/>
    <x v="1"/>
    <n v="1684385.96"/>
    <x v="0"/>
    <x v="1"/>
    <x v="1"/>
    <x v="4"/>
    <x v="3"/>
    <x v="3"/>
    <x v="3"/>
    <x v="3"/>
    <x v="9"/>
    <n v="29"/>
    <x v="0"/>
  </r>
  <r>
    <d v="2022-07-29T00:00:00"/>
    <x v="1"/>
    <x v="0"/>
    <x v="0"/>
    <n v="67366436.519999996"/>
    <x v="1"/>
    <x v="0"/>
    <x v="0"/>
    <x v="9"/>
    <x v="3"/>
    <x v="3"/>
    <x v="3"/>
    <x v="3"/>
    <x v="9"/>
    <n v="29"/>
    <x v="0"/>
  </r>
  <r>
    <d v="2022-07-29T00:00:00"/>
    <x v="1"/>
    <x v="1"/>
    <x v="0"/>
    <n v="2164"/>
    <x v="1"/>
    <x v="1"/>
    <x v="0"/>
    <x v="0"/>
    <x v="3"/>
    <x v="3"/>
    <x v="3"/>
    <x v="3"/>
    <x v="9"/>
    <n v="29"/>
    <x v="0"/>
  </r>
  <r>
    <d v="2022-07-29T00:00:00"/>
    <x v="0"/>
    <x v="1"/>
    <x v="0"/>
    <n v="29919046.43"/>
    <x v="0"/>
    <x v="1"/>
    <x v="0"/>
    <x v="1"/>
    <x v="3"/>
    <x v="3"/>
    <x v="3"/>
    <x v="3"/>
    <x v="9"/>
    <n v="29"/>
    <x v="0"/>
  </r>
  <r>
    <d v="2022-07-29T00:00:00"/>
    <x v="3"/>
    <x v="3"/>
    <x v="0"/>
    <n v="4382611990"/>
    <x v="3"/>
    <x v="3"/>
    <x v="0"/>
    <x v="5"/>
    <x v="3"/>
    <x v="3"/>
    <x v="3"/>
    <x v="3"/>
    <x v="9"/>
    <n v="29"/>
    <x v="0"/>
  </r>
  <r>
    <d v="2022-07-29T00:00:00"/>
    <x v="3"/>
    <x v="2"/>
    <x v="2"/>
    <n v="530696.97"/>
    <x v="3"/>
    <x v="2"/>
    <x v="2"/>
    <x v="3"/>
    <x v="3"/>
    <x v="3"/>
    <x v="3"/>
    <x v="3"/>
    <x v="9"/>
    <n v="29"/>
    <x v="0"/>
  </r>
  <r>
    <d v="2022-07-29T00:00:00"/>
    <x v="3"/>
    <x v="2"/>
    <x v="0"/>
    <n v="1173882796.54"/>
    <x v="3"/>
    <x v="2"/>
    <x v="0"/>
    <x v="10"/>
    <x v="3"/>
    <x v="3"/>
    <x v="3"/>
    <x v="3"/>
    <x v="9"/>
    <n v="29"/>
    <x v="0"/>
  </r>
  <r>
    <d v="2022-07-29T00:00:00"/>
    <x v="3"/>
    <x v="1"/>
    <x v="0"/>
    <n v="14277662.220000001"/>
    <x v="3"/>
    <x v="1"/>
    <x v="0"/>
    <x v="11"/>
    <x v="3"/>
    <x v="3"/>
    <x v="3"/>
    <x v="3"/>
    <x v="9"/>
    <n v="29"/>
    <x v="0"/>
  </r>
  <r>
    <d v="2022-07-29T00:00:00"/>
    <x v="3"/>
    <x v="2"/>
    <x v="1"/>
    <n v="12402300074.799999"/>
    <x v="3"/>
    <x v="2"/>
    <x v="1"/>
    <x v="12"/>
    <x v="3"/>
    <x v="3"/>
    <x v="3"/>
    <x v="3"/>
    <x v="9"/>
    <n v="29"/>
    <x v="0"/>
  </r>
  <r>
    <d v="2022-07-28T00:00:00"/>
    <x v="0"/>
    <x v="1"/>
    <x v="0"/>
    <n v="8599506.4800000004"/>
    <x v="0"/>
    <x v="1"/>
    <x v="0"/>
    <x v="1"/>
    <x v="3"/>
    <x v="3"/>
    <x v="3"/>
    <x v="3"/>
    <x v="9"/>
    <n v="28"/>
    <x v="0"/>
  </r>
  <r>
    <d v="2022-07-28T00:00:00"/>
    <x v="2"/>
    <x v="1"/>
    <x v="0"/>
    <n v="88200526.349999994"/>
    <x v="2"/>
    <x v="1"/>
    <x v="0"/>
    <x v="5"/>
    <x v="3"/>
    <x v="3"/>
    <x v="3"/>
    <x v="3"/>
    <x v="9"/>
    <n v="28"/>
    <x v="0"/>
  </r>
  <r>
    <d v="2022-07-28T00:00:00"/>
    <x v="1"/>
    <x v="1"/>
    <x v="0"/>
    <n v="522.5"/>
    <x v="1"/>
    <x v="1"/>
    <x v="0"/>
    <x v="0"/>
    <x v="3"/>
    <x v="3"/>
    <x v="3"/>
    <x v="3"/>
    <x v="9"/>
    <n v="28"/>
    <x v="0"/>
  </r>
  <r>
    <d v="2022-07-28T00:00:00"/>
    <x v="2"/>
    <x v="1"/>
    <x v="1"/>
    <n v="344173895.25999999"/>
    <x v="2"/>
    <x v="1"/>
    <x v="1"/>
    <x v="6"/>
    <x v="3"/>
    <x v="3"/>
    <x v="3"/>
    <x v="3"/>
    <x v="9"/>
    <n v="28"/>
    <x v="0"/>
  </r>
  <r>
    <d v="2022-07-28T00:00:00"/>
    <x v="3"/>
    <x v="3"/>
    <x v="0"/>
    <n v="1398214429.6099999"/>
    <x v="3"/>
    <x v="3"/>
    <x v="0"/>
    <x v="7"/>
    <x v="3"/>
    <x v="3"/>
    <x v="3"/>
    <x v="3"/>
    <x v="9"/>
    <n v="28"/>
    <x v="0"/>
  </r>
  <r>
    <d v="2022-07-28T00:00:00"/>
    <x v="0"/>
    <x v="1"/>
    <x v="1"/>
    <n v="9386720.0999999996"/>
    <x v="0"/>
    <x v="1"/>
    <x v="1"/>
    <x v="3"/>
    <x v="3"/>
    <x v="3"/>
    <x v="3"/>
    <x v="3"/>
    <x v="9"/>
    <n v="28"/>
    <x v="0"/>
  </r>
  <r>
    <d v="2022-07-28T00:00:00"/>
    <x v="1"/>
    <x v="0"/>
    <x v="1"/>
    <n v="169093355.78"/>
    <x v="1"/>
    <x v="0"/>
    <x v="1"/>
    <x v="9"/>
    <x v="3"/>
    <x v="3"/>
    <x v="3"/>
    <x v="3"/>
    <x v="9"/>
    <n v="28"/>
    <x v="0"/>
  </r>
  <r>
    <d v="2022-07-28T00:00:00"/>
    <x v="3"/>
    <x v="2"/>
    <x v="2"/>
    <n v="271017"/>
    <x v="3"/>
    <x v="2"/>
    <x v="2"/>
    <x v="4"/>
    <x v="3"/>
    <x v="3"/>
    <x v="3"/>
    <x v="3"/>
    <x v="9"/>
    <n v="28"/>
    <x v="0"/>
  </r>
  <r>
    <d v="2022-07-28T00:00:00"/>
    <x v="2"/>
    <x v="1"/>
    <x v="2"/>
    <n v="7507"/>
    <x v="2"/>
    <x v="1"/>
    <x v="2"/>
    <x v="2"/>
    <x v="3"/>
    <x v="3"/>
    <x v="3"/>
    <x v="3"/>
    <x v="9"/>
    <n v="28"/>
    <x v="0"/>
  </r>
  <r>
    <d v="2022-07-28T00:00:00"/>
    <x v="1"/>
    <x v="0"/>
    <x v="0"/>
    <n v="62785072.57"/>
    <x v="1"/>
    <x v="0"/>
    <x v="0"/>
    <x v="8"/>
    <x v="3"/>
    <x v="3"/>
    <x v="3"/>
    <x v="3"/>
    <x v="9"/>
    <n v="28"/>
    <x v="0"/>
  </r>
  <r>
    <d v="2022-07-28T00:00:00"/>
    <x v="3"/>
    <x v="2"/>
    <x v="0"/>
    <n v="545463880.12"/>
    <x v="3"/>
    <x v="2"/>
    <x v="0"/>
    <x v="10"/>
    <x v="3"/>
    <x v="3"/>
    <x v="3"/>
    <x v="3"/>
    <x v="9"/>
    <n v="28"/>
    <x v="0"/>
  </r>
  <r>
    <d v="2022-07-28T00:00:00"/>
    <x v="3"/>
    <x v="2"/>
    <x v="1"/>
    <n v="3822932906.8899999"/>
    <x v="3"/>
    <x v="2"/>
    <x v="1"/>
    <x v="11"/>
    <x v="3"/>
    <x v="3"/>
    <x v="3"/>
    <x v="3"/>
    <x v="9"/>
    <n v="28"/>
    <x v="0"/>
  </r>
  <r>
    <d v="2022-07-28T00:00:00"/>
    <x v="3"/>
    <x v="1"/>
    <x v="0"/>
    <n v="14380480.5"/>
    <x v="3"/>
    <x v="1"/>
    <x v="0"/>
    <x v="12"/>
    <x v="3"/>
    <x v="3"/>
    <x v="3"/>
    <x v="3"/>
    <x v="9"/>
    <n v="28"/>
    <x v="0"/>
  </r>
  <r>
    <d v="2022-07-27T00:00:00"/>
    <x v="3"/>
    <x v="3"/>
    <x v="0"/>
    <n v="1573523116.21"/>
    <x v="3"/>
    <x v="3"/>
    <x v="0"/>
    <x v="5"/>
    <x v="3"/>
    <x v="3"/>
    <x v="3"/>
    <x v="3"/>
    <x v="9"/>
    <n v="27"/>
    <x v="0"/>
  </r>
  <r>
    <d v="2022-07-27T00:00:00"/>
    <x v="1"/>
    <x v="1"/>
    <x v="0"/>
    <n v="642.5"/>
    <x v="1"/>
    <x v="1"/>
    <x v="0"/>
    <x v="0"/>
    <x v="3"/>
    <x v="3"/>
    <x v="3"/>
    <x v="3"/>
    <x v="9"/>
    <n v="27"/>
    <x v="0"/>
  </r>
  <r>
    <d v="2022-07-27T00:00:00"/>
    <x v="2"/>
    <x v="1"/>
    <x v="2"/>
    <n v="18142.22"/>
    <x v="2"/>
    <x v="1"/>
    <x v="2"/>
    <x v="2"/>
    <x v="3"/>
    <x v="3"/>
    <x v="3"/>
    <x v="3"/>
    <x v="9"/>
    <n v="27"/>
    <x v="0"/>
  </r>
  <r>
    <d v="2022-07-27T00:00:00"/>
    <x v="2"/>
    <x v="1"/>
    <x v="0"/>
    <n v="103049617.97"/>
    <x v="2"/>
    <x v="1"/>
    <x v="0"/>
    <x v="6"/>
    <x v="3"/>
    <x v="3"/>
    <x v="3"/>
    <x v="3"/>
    <x v="9"/>
    <n v="27"/>
    <x v="0"/>
  </r>
  <r>
    <d v="2022-07-27T00:00:00"/>
    <x v="0"/>
    <x v="1"/>
    <x v="0"/>
    <n v="9481502.2599999998"/>
    <x v="0"/>
    <x v="1"/>
    <x v="0"/>
    <x v="1"/>
    <x v="3"/>
    <x v="3"/>
    <x v="3"/>
    <x v="3"/>
    <x v="9"/>
    <n v="27"/>
    <x v="0"/>
  </r>
  <r>
    <d v="2022-07-27T00:00:00"/>
    <x v="3"/>
    <x v="2"/>
    <x v="2"/>
    <n v="192248.52"/>
    <x v="3"/>
    <x v="2"/>
    <x v="2"/>
    <x v="4"/>
    <x v="3"/>
    <x v="3"/>
    <x v="3"/>
    <x v="3"/>
    <x v="9"/>
    <n v="27"/>
    <x v="0"/>
  </r>
  <r>
    <d v="2022-07-27T00:00:00"/>
    <x v="1"/>
    <x v="0"/>
    <x v="0"/>
    <n v="71432058.569999993"/>
    <x v="1"/>
    <x v="0"/>
    <x v="0"/>
    <x v="8"/>
    <x v="3"/>
    <x v="3"/>
    <x v="3"/>
    <x v="3"/>
    <x v="9"/>
    <n v="27"/>
    <x v="0"/>
  </r>
  <r>
    <d v="2022-07-27T00:00:00"/>
    <x v="0"/>
    <x v="1"/>
    <x v="1"/>
    <n v="13965630"/>
    <x v="0"/>
    <x v="1"/>
    <x v="1"/>
    <x v="3"/>
    <x v="3"/>
    <x v="3"/>
    <x v="3"/>
    <x v="3"/>
    <x v="9"/>
    <n v="27"/>
    <x v="0"/>
  </r>
  <r>
    <d v="2022-07-27T00:00:00"/>
    <x v="2"/>
    <x v="1"/>
    <x v="1"/>
    <n v="308265293.16000003"/>
    <x v="2"/>
    <x v="1"/>
    <x v="1"/>
    <x v="7"/>
    <x v="3"/>
    <x v="3"/>
    <x v="3"/>
    <x v="3"/>
    <x v="9"/>
    <n v="27"/>
    <x v="0"/>
  </r>
  <r>
    <d v="2022-07-27T00:00:00"/>
    <x v="1"/>
    <x v="0"/>
    <x v="1"/>
    <n v="623131928.58000004"/>
    <x v="1"/>
    <x v="0"/>
    <x v="1"/>
    <x v="9"/>
    <x v="3"/>
    <x v="3"/>
    <x v="3"/>
    <x v="3"/>
    <x v="9"/>
    <n v="27"/>
    <x v="0"/>
  </r>
  <r>
    <d v="2022-07-27T00:00:00"/>
    <x v="3"/>
    <x v="2"/>
    <x v="0"/>
    <n v="463371956.32999998"/>
    <x v="3"/>
    <x v="2"/>
    <x v="0"/>
    <x v="10"/>
    <x v="3"/>
    <x v="3"/>
    <x v="3"/>
    <x v="3"/>
    <x v="9"/>
    <n v="27"/>
    <x v="0"/>
  </r>
  <r>
    <d v="2022-07-27T00:00:00"/>
    <x v="3"/>
    <x v="2"/>
    <x v="1"/>
    <n v="10714104615.879999"/>
    <x v="3"/>
    <x v="2"/>
    <x v="1"/>
    <x v="11"/>
    <x v="3"/>
    <x v="3"/>
    <x v="3"/>
    <x v="3"/>
    <x v="9"/>
    <n v="27"/>
    <x v="0"/>
  </r>
  <r>
    <d v="2022-07-27T00:00:00"/>
    <x v="3"/>
    <x v="1"/>
    <x v="0"/>
    <n v="14356073.439999999"/>
    <x v="3"/>
    <x v="1"/>
    <x v="0"/>
    <x v="12"/>
    <x v="3"/>
    <x v="3"/>
    <x v="3"/>
    <x v="3"/>
    <x v="9"/>
    <n v="27"/>
    <x v="0"/>
  </r>
  <r>
    <d v="2022-07-26T00:00:00"/>
    <x v="2"/>
    <x v="1"/>
    <x v="2"/>
    <n v="11885"/>
    <x v="2"/>
    <x v="1"/>
    <x v="2"/>
    <x v="2"/>
    <x v="3"/>
    <x v="3"/>
    <x v="3"/>
    <x v="3"/>
    <x v="9"/>
    <n v="26"/>
    <x v="0"/>
  </r>
  <r>
    <d v="2022-07-26T00:00:00"/>
    <x v="0"/>
    <x v="1"/>
    <x v="0"/>
    <n v="16290111.1"/>
    <x v="0"/>
    <x v="1"/>
    <x v="0"/>
    <x v="1"/>
    <x v="3"/>
    <x v="3"/>
    <x v="3"/>
    <x v="3"/>
    <x v="9"/>
    <n v="26"/>
    <x v="0"/>
  </r>
  <r>
    <d v="2022-07-26T00:00:00"/>
    <x v="3"/>
    <x v="3"/>
    <x v="0"/>
    <n v="1875344170.6900001"/>
    <x v="3"/>
    <x v="3"/>
    <x v="0"/>
    <x v="6"/>
    <x v="3"/>
    <x v="3"/>
    <x v="3"/>
    <x v="3"/>
    <x v="9"/>
    <n v="26"/>
    <x v="0"/>
  </r>
  <r>
    <d v="2022-07-26T00:00:00"/>
    <x v="2"/>
    <x v="1"/>
    <x v="0"/>
    <n v="94984439.370000005"/>
    <x v="2"/>
    <x v="1"/>
    <x v="0"/>
    <x v="7"/>
    <x v="3"/>
    <x v="3"/>
    <x v="3"/>
    <x v="3"/>
    <x v="9"/>
    <n v="26"/>
    <x v="0"/>
  </r>
  <r>
    <d v="2022-07-26T00:00:00"/>
    <x v="1"/>
    <x v="1"/>
    <x v="0"/>
    <n v="169"/>
    <x v="1"/>
    <x v="1"/>
    <x v="0"/>
    <x v="0"/>
    <x v="3"/>
    <x v="3"/>
    <x v="3"/>
    <x v="3"/>
    <x v="9"/>
    <n v="26"/>
    <x v="0"/>
  </r>
  <r>
    <d v="2022-07-26T00:00:00"/>
    <x v="2"/>
    <x v="1"/>
    <x v="1"/>
    <n v="116101188.41"/>
    <x v="2"/>
    <x v="1"/>
    <x v="1"/>
    <x v="8"/>
    <x v="3"/>
    <x v="3"/>
    <x v="3"/>
    <x v="3"/>
    <x v="9"/>
    <n v="26"/>
    <x v="0"/>
  </r>
  <r>
    <d v="2022-07-26T00:00:00"/>
    <x v="1"/>
    <x v="0"/>
    <x v="1"/>
    <n v="256685605.08000001"/>
    <x v="1"/>
    <x v="0"/>
    <x v="1"/>
    <x v="9"/>
    <x v="3"/>
    <x v="3"/>
    <x v="3"/>
    <x v="3"/>
    <x v="9"/>
    <n v="26"/>
    <x v="0"/>
  </r>
  <r>
    <d v="2022-07-26T00:00:00"/>
    <x v="3"/>
    <x v="3"/>
    <x v="1"/>
    <n v="13627.53"/>
    <x v="3"/>
    <x v="3"/>
    <x v="1"/>
    <x v="3"/>
    <x v="3"/>
    <x v="3"/>
    <x v="3"/>
    <x v="3"/>
    <x v="9"/>
    <n v="26"/>
    <x v="0"/>
  </r>
  <r>
    <d v="2022-07-26T00:00:00"/>
    <x v="0"/>
    <x v="1"/>
    <x v="1"/>
    <n v="12760487.039999999"/>
    <x v="0"/>
    <x v="1"/>
    <x v="1"/>
    <x v="4"/>
    <x v="3"/>
    <x v="3"/>
    <x v="3"/>
    <x v="3"/>
    <x v="9"/>
    <n v="26"/>
    <x v="0"/>
  </r>
  <r>
    <d v="2022-07-26T00:00:00"/>
    <x v="1"/>
    <x v="0"/>
    <x v="0"/>
    <n v="79202381"/>
    <x v="1"/>
    <x v="0"/>
    <x v="0"/>
    <x v="10"/>
    <x v="3"/>
    <x v="3"/>
    <x v="3"/>
    <x v="3"/>
    <x v="9"/>
    <n v="26"/>
    <x v="0"/>
  </r>
  <r>
    <d v="2022-07-26T00:00:00"/>
    <x v="3"/>
    <x v="2"/>
    <x v="2"/>
    <n v="116066.41"/>
    <x v="3"/>
    <x v="2"/>
    <x v="2"/>
    <x v="5"/>
    <x v="3"/>
    <x v="3"/>
    <x v="3"/>
    <x v="3"/>
    <x v="9"/>
    <n v="26"/>
    <x v="0"/>
  </r>
  <r>
    <d v="2022-07-26T00:00:00"/>
    <x v="3"/>
    <x v="2"/>
    <x v="0"/>
    <n v="439994665.89999998"/>
    <x v="3"/>
    <x v="2"/>
    <x v="0"/>
    <x v="11"/>
    <x v="3"/>
    <x v="3"/>
    <x v="3"/>
    <x v="3"/>
    <x v="9"/>
    <n v="26"/>
    <x v="0"/>
  </r>
  <r>
    <d v="2022-07-26T00:00:00"/>
    <x v="3"/>
    <x v="2"/>
    <x v="1"/>
    <n v="3443563599.3099999"/>
    <x v="3"/>
    <x v="2"/>
    <x v="1"/>
    <x v="12"/>
    <x v="3"/>
    <x v="3"/>
    <x v="3"/>
    <x v="3"/>
    <x v="9"/>
    <n v="26"/>
    <x v="0"/>
  </r>
  <r>
    <d v="2022-07-26T00:00:00"/>
    <x v="3"/>
    <x v="1"/>
    <x v="0"/>
    <n v="11133617.17"/>
    <x v="3"/>
    <x v="1"/>
    <x v="0"/>
    <x v="13"/>
    <x v="3"/>
    <x v="3"/>
    <x v="3"/>
    <x v="3"/>
    <x v="9"/>
    <n v="26"/>
    <x v="0"/>
  </r>
  <r>
    <d v="2022-07-25T00:00:00"/>
    <x v="0"/>
    <x v="1"/>
    <x v="0"/>
    <n v="18592061.870000001"/>
    <x v="0"/>
    <x v="1"/>
    <x v="0"/>
    <x v="2"/>
    <x v="3"/>
    <x v="3"/>
    <x v="3"/>
    <x v="3"/>
    <x v="9"/>
    <n v="25"/>
    <x v="0"/>
  </r>
  <r>
    <d v="2022-07-25T00:00:00"/>
    <x v="3"/>
    <x v="2"/>
    <x v="2"/>
    <n v="114860.41"/>
    <x v="3"/>
    <x v="2"/>
    <x v="2"/>
    <x v="4"/>
    <x v="3"/>
    <x v="3"/>
    <x v="3"/>
    <x v="3"/>
    <x v="9"/>
    <n v="25"/>
    <x v="0"/>
  </r>
  <r>
    <d v="2022-07-25T00:00:00"/>
    <x v="2"/>
    <x v="1"/>
    <x v="2"/>
    <n v="41123.019999999997"/>
    <x v="2"/>
    <x v="1"/>
    <x v="2"/>
    <x v="3"/>
    <x v="3"/>
    <x v="3"/>
    <x v="3"/>
    <x v="3"/>
    <x v="9"/>
    <n v="25"/>
    <x v="0"/>
  </r>
  <r>
    <d v="2022-07-25T00:00:00"/>
    <x v="3"/>
    <x v="3"/>
    <x v="0"/>
    <n v="1725645777.3800001"/>
    <x v="3"/>
    <x v="3"/>
    <x v="0"/>
    <x v="6"/>
    <x v="3"/>
    <x v="3"/>
    <x v="3"/>
    <x v="3"/>
    <x v="9"/>
    <n v="25"/>
    <x v="0"/>
  </r>
  <r>
    <d v="2022-07-25T00:00:00"/>
    <x v="2"/>
    <x v="1"/>
    <x v="0"/>
    <n v="89205708.489999995"/>
    <x v="2"/>
    <x v="1"/>
    <x v="0"/>
    <x v="7"/>
    <x v="3"/>
    <x v="3"/>
    <x v="3"/>
    <x v="3"/>
    <x v="9"/>
    <n v="25"/>
    <x v="0"/>
  </r>
  <r>
    <d v="2022-07-25T00:00:00"/>
    <x v="2"/>
    <x v="1"/>
    <x v="1"/>
    <n v="220117304"/>
    <x v="2"/>
    <x v="1"/>
    <x v="1"/>
    <x v="8"/>
    <x v="3"/>
    <x v="3"/>
    <x v="3"/>
    <x v="3"/>
    <x v="9"/>
    <n v="25"/>
    <x v="0"/>
  </r>
  <r>
    <d v="2022-07-25T00:00:00"/>
    <x v="1"/>
    <x v="0"/>
    <x v="1"/>
    <n v="225384319.71000001"/>
    <x v="1"/>
    <x v="0"/>
    <x v="1"/>
    <x v="9"/>
    <x v="3"/>
    <x v="3"/>
    <x v="3"/>
    <x v="3"/>
    <x v="9"/>
    <n v="25"/>
    <x v="0"/>
  </r>
  <r>
    <d v="2022-07-25T00:00:00"/>
    <x v="0"/>
    <x v="1"/>
    <x v="1"/>
    <n v="6545078.2199999997"/>
    <x v="0"/>
    <x v="1"/>
    <x v="1"/>
    <x v="5"/>
    <x v="3"/>
    <x v="3"/>
    <x v="3"/>
    <x v="3"/>
    <x v="9"/>
    <n v="25"/>
    <x v="0"/>
  </r>
  <r>
    <d v="2022-07-25T00:00:00"/>
    <x v="1"/>
    <x v="1"/>
    <x v="0"/>
    <n v="50"/>
    <x v="1"/>
    <x v="1"/>
    <x v="0"/>
    <x v="1"/>
    <x v="3"/>
    <x v="3"/>
    <x v="3"/>
    <x v="3"/>
    <x v="9"/>
    <n v="25"/>
    <x v="0"/>
  </r>
  <r>
    <d v="2022-07-25T00:00:00"/>
    <x v="0"/>
    <x v="0"/>
    <x v="0"/>
    <n v="2448"/>
    <x v="0"/>
    <x v="0"/>
    <x v="0"/>
    <x v="0"/>
    <x v="3"/>
    <x v="3"/>
    <x v="3"/>
    <x v="3"/>
    <x v="9"/>
    <n v="25"/>
    <x v="0"/>
  </r>
  <r>
    <d v="2022-07-25T00:00:00"/>
    <x v="1"/>
    <x v="0"/>
    <x v="0"/>
    <n v="134095314.92"/>
    <x v="1"/>
    <x v="0"/>
    <x v="0"/>
    <x v="10"/>
    <x v="3"/>
    <x v="3"/>
    <x v="3"/>
    <x v="3"/>
    <x v="9"/>
    <n v="25"/>
    <x v="0"/>
  </r>
  <r>
    <d v="2022-07-25T00:00:00"/>
    <x v="3"/>
    <x v="2"/>
    <x v="0"/>
    <n v="7022063866.8800001"/>
    <x v="3"/>
    <x v="2"/>
    <x v="0"/>
    <x v="11"/>
    <x v="3"/>
    <x v="3"/>
    <x v="3"/>
    <x v="3"/>
    <x v="9"/>
    <n v="25"/>
    <x v="0"/>
  </r>
  <r>
    <d v="2022-07-25T00:00:00"/>
    <x v="3"/>
    <x v="2"/>
    <x v="1"/>
    <n v="23269791603.560001"/>
    <x v="3"/>
    <x v="2"/>
    <x v="1"/>
    <x v="12"/>
    <x v="3"/>
    <x v="3"/>
    <x v="3"/>
    <x v="3"/>
    <x v="9"/>
    <n v="25"/>
    <x v="0"/>
  </r>
  <r>
    <d v="2022-07-25T00:00:00"/>
    <x v="3"/>
    <x v="1"/>
    <x v="0"/>
    <n v="44403159.439999998"/>
    <x v="3"/>
    <x v="1"/>
    <x v="0"/>
    <x v="13"/>
    <x v="3"/>
    <x v="3"/>
    <x v="3"/>
    <x v="3"/>
    <x v="9"/>
    <n v="25"/>
    <x v="0"/>
  </r>
  <r>
    <d v="2022-07-22T00:00:00"/>
    <x v="2"/>
    <x v="1"/>
    <x v="2"/>
    <n v="2485"/>
    <x v="2"/>
    <x v="1"/>
    <x v="2"/>
    <x v="2"/>
    <x v="3"/>
    <x v="3"/>
    <x v="3"/>
    <x v="3"/>
    <x v="9"/>
    <n v="22"/>
    <x v="0"/>
  </r>
  <r>
    <d v="2022-07-22T00:00:00"/>
    <x v="1"/>
    <x v="1"/>
    <x v="0"/>
    <n v="2126.5"/>
    <x v="1"/>
    <x v="1"/>
    <x v="0"/>
    <x v="0"/>
    <x v="3"/>
    <x v="3"/>
    <x v="3"/>
    <x v="3"/>
    <x v="9"/>
    <n v="22"/>
    <x v="0"/>
  </r>
  <r>
    <d v="2022-07-22T00:00:00"/>
    <x v="0"/>
    <x v="1"/>
    <x v="0"/>
    <n v="7987933.8600000003"/>
    <x v="0"/>
    <x v="1"/>
    <x v="0"/>
    <x v="1"/>
    <x v="3"/>
    <x v="3"/>
    <x v="3"/>
    <x v="3"/>
    <x v="9"/>
    <n v="22"/>
    <x v="0"/>
  </r>
  <r>
    <d v="2022-07-22T00:00:00"/>
    <x v="2"/>
    <x v="1"/>
    <x v="1"/>
    <n v="109398380.94"/>
    <x v="2"/>
    <x v="1"/>
    <x v="1"/>
    <x v="7"/>
    <x v="3"/>
    <x v="3"/>
    <x v="3"/>
    <x v="3"/>
    <x v="9"/>
    <n v="22"/>
    <x v="0"/>
  </r>
  <r>
    <d v="2022-07-22T00:00:00"/>
    <x v="3"/>
    <x v="2"/>
    <x v="2"/>
    <n v="178084.76"/>
    <x v="3"/>
    <x v="2"/>
    <x v="2"/>
    <x v="5"/>
    <x v="3"/>
    <x v="3"/>
    <x v="3"/>
    <x v="3"/>
    <x v="9"/>
    <n v="22"/>
    <x v="0"/>
  </r>
  <r>
    <d v="2022-07-22T00:00:00"/>
    <x v="3"/>
    <x v="3"/>
    <x v="1"/>
    <n v="31907"/>
    <x v="3"/>
    <x v="3"/>
    <x v="1"/>
    <x v="3"/>
    <x v="3"/>
    <x v="3"/>
    <x v="3"/>
    <x v="3"/>
    <x v="9"/>
    <n v="22"/>
    <x v="0"/>
  </r>
  <r>
    <d v="2022-07-22T00:00:00"/>
    <x v="0"/>
    <x v="1"/>
    <x v="1"/>
    <n v="2026715.89"/>
    <x v="0"/>
    <x v="1"/>
    <x v="1"/>
    <x v="4"/>
    <x v="3"/>
    <x v="3"/>
    <x v="3"/>
    <x v="3"/>
    <x v="9"/>
    <n v="22"/>
    <x v="0"/>
  </r>
  <r>
    <d v="2022-07-22T00:00:00"/>
    <x v="2"/>
    <x v="1"/>
    <x v="0"/>
    <n v="95504135.680000007"/>
    <x v="2"/>
    <x v="1"/>
    <x v="0"/>
    <x v="8"/>
    <x v="3"/>
    <x v="3"/>
    <x v="3"/>
    <x v="3"/>
    <x v="9"/>
    <n v="22"/>
    <x v="0"/>
  </r>
  <r>
    <d v="2022-07-22T00:00:00"/>
    <x v="3"/>
    <x v="3"/>
    <x v="0"/>
    <n v="1319556851.04"/>
    <x v="3"/>
    <x v="3"/>
    <x v="0"/>
    <x v="6"/>
    <x v="3"/>
    <x v="3"/>
    <x v="3"/>
    <x v="3"/>
    <x v="9"/>
    <n v="22"/>
    <x v="0"/>
  </r>
  <r>
    <d v="2022-07-22T00:00:00"/>
    <x v="1"/>
    <x v="0"/>
    <x v="0"/>
    <n v="132991991.01000001"/>
    <x v="1"/>
    <x v="0"/>
    <x v="0"/>
    <x v="10"/>
    <x v="3"/>
    <x v="3"/>
    <x v="3"/>
    <x v="3"/>
    <x v="9"/>
    <n v="22"/>
    <x v="0"/>
  </r>
  <r>
    <d v="2022-07-22T00:00:00"/>
    <x v="1"/>
    <x v="0"/>
    <x v="1"/>
    <n v="103010253.09999999"/>
    <x v="1"/>
    <x v="0"/>
    <x v="1"/>
    <x v="9"/>
    <x v="3"/>
    <x v="3"/>
    <x v="3"/>
    <x v="3"/>
    <x v="9"/>
    <n v="22"/>
    <x v="0"/>
  </r>
  <r>
    <d v="2022-07-22T00:00:00"/>
    <x v="3"/>
    <x v="2"/>
    <x v="0"/>
    <n v="356144140.89999998"/>
    <x v="3"/>
    <x v="2"/>
    <x v="0"/>
    <x v="11"/>
    <x v="3"/>
    <x v="3"/>
    <x v="3"/>
    <x v="3"/>
    <x v="9"/>
    <n v="22"/>
    <x v="0"/>
  </r>
  <r>
    <d v="2022-07-22T00:00:00"/>
    <x v="3"/>
    <x v="2"/>
    <x v="1"/>
    <n v="8910707514.5599995"/>
    <x v="3"/>
    <x v="2"/>
    <x v="1"/>
    <x v="12"/>
    <x v="3"/>
    <x v="3"/>
    <x v="3"/>
    <x v="3"/>
    <x v="9"/>
    <n v="22"/>
    <x v="0"/>
  </r>
  <r>
    <d v="2022-07-22T00:00:00"/>
    <x v="3"/>
    <x v="1"/>
    <x v="0"/>
    <n v="14679300.25"/>
    <x v="3"/>
    <x v="1"/>
    <x v="0"/>
    <x v="13"/>
    <x v="3"/>
    <x v="3"/>
    <x v="3"/>
    <x v="3"/>
    <x v="9"/>
    <n v="22"/>
    <x v="0"/>
  </r>
  <r>
    <d v="2022-07-21T00:00:00"/>
    <x v="0"/>
    <x v="0"/>
    <x v="0"/>
    <n v="462.78"/>
    <x v="0"/>
    <x v="0"/>
    <x v="0"/>
    <x v="0"/>
    <x v="3"/>
    <x v="3"/>
    <x v="3"/>
    <x v="3"/>
    <x v="9"/>
    <n v="21"/>
    <x v="0"/>
  </r>
  <r>
    <d v="2022-07-21T00:00:00"/>
    <x v="1"/>
    <x v="1"/>
    <x v="0"/>
    <n v="338"/>
    <x v="1"/>
    <x v="1"/>
    <x v="0"/>
    <x v="1"/>
    <x v="3"/>
    <x v="3"/>
    <x v="3"/>
    <x v="3"/>
    <x v="9"/>
    <n v="21"/>
    <x v="0"/>
  </r>
  <r>
    <d v="2022-07-21T00:00:00"/>
    <x v="0"/>
    <x v="1"/>
    <x v="0"/>
    <n v="15782830.49"/>
    <x v="0"/>
    <x v="1"/>
    <x v="0"/>
    <x v="2"/>
    <x v="3"/>
    <x v="3"/>
    <x v="3"/>
    <x v="3"/>
    <x v="9"/>
    <n v="21"/>
    <x v="0"/>
  </r>
  <r>
    <d v="2022-07-21T00:00:00"/>
    <x v="2"/>
    <x v="1"/>
    <x v="2"/>
    <n v="29578.83"/>
    <x v="2"/>
    <x v="1"/>
    <x v="2"/>
    <x v="3"/>
    <x v="3"/>
    <x v="3"/>
    <x v="3"/>
    <x v="3"/>
    <x v="9"/>
    <n v="21"/>
    <x v="0"/>
  </r>
  <r>
    <d v="2022-07-21T00:00:00"/>
    <x v="2"/>
    <x v="1"/>
    <x v="1"/>
    <n v="241085289.93000001"/>
    <x v="2"/>
    <x v="1"/>
    <x v="1"/>
    <x v="7"/>
    <x v="3"/>
    <x v="3"/>
    <x v="3"/>
    <x v="3"/>
    <x v="9"/>
    <n v="21"/>
    <x v="0"/>
  </r>
  <r>
    <d v="2022-07-21T00:00:00"/>
    <x v="0"/>
    <x v="1"/>
    <x v="1"/>
    <n v="12102587.48"/>
    <x v="0"/>
    <x v="1"/>
    <x v="1"/>
    <x v="4"/>
    <x v="3"/>
    <x v="3"/>
    <x v="3"/>
    <x v="3"/>
    <x v="9"/>
    <n v="21"/>
    <x v="0"/>
  </r>
  <r>
    <d v="2022-07-21T00:00:00"/>
    <x v="1"/>
    <x v="0"/>
    <x v="0"/>
    <n v="62064499.159999996"/>
    <x v="1"/>
    <x v="0"/>
    <x v="0"/>
    <x v="9"/>
    <x v="3"/>
    <x v="3"/>
    <x v="3"/>
    <x v="3"/>
    <x v="9"/>
    <n v="21"/>
    <x v="0"/>
  </r>
  <r>
    <d v="2022-07-21T00:00:00"/>
    <x v="1"/>
    <x v="0"/>
    <x v="1"/>
    <n v="209174153.62"/>
    <x v="1"/>
    <x v="0"/>
    <x v="1"/>
    <x v="10"/>
    <x v="3"/>
    <x v="3"/>
    <x v="3"/>
    <x v="3"/>
    <x v="9"/>
    <n v="21"/>
    <x v="0"/>
  </r>
  <r>
    <d v="2022-07-21T00:00:00"/>
    <x v="3"/>
    <x v="2"/>
    <x v="2"/>
    <n v="107452.98"/>
    <x v="3"/>
    <x v="2"/>
    <x v="2"/>
    <x v="5"/>
    <x v="3"/>
    <x v="3"/>
    <x v="3"/>
    <x v="3"/>
    <x v="9"/>
    <n v="21"/>
    <x v="0"/>
  </r>
  <r>
    <d v="2022-07-21T00:00:00"/>
    <x v="2"/>
    <x v="1"/>
    <x v="0"/>
    <n v="83573783.120000005"/>
    <x v="2"/>
    <x v="1"/>
    <x v="0"/>
    <x v="6"/>
    <x v="3"/>
    <x v="3"/>
    <x v="3"/>
    <x v="3"/>
    <x v="9"/>
    <n v="21"/>
    <x v="0"/>
  </r>
  <r>
    <d v="2022-07-21T00:00:00"/>
    <x v="3"/>
    <x v="3"/>
    <x v="0"/>
    <n v="2982949102.3499999"/>
    <x v="3"/>
    <x v="3"/>
    <x v="0"/>
    <x v="8"/>
    <x v="3"/>
    <x v="3"/>
    <x v="3"/>
    <x v="3"/>
    <x v="9"/>
    <n v="21"/>
    <x v="0"/>
  </r>
  <r>
    <d v="2022-07-21T00:00:00"/>
    <x v="3"/>
    <x v="2"/>
    <x v="0"/>
    <n v="327315985.63"/>
    <x v="3"/>
    <x v="2"/>
    <x v="0"/>
    <x v="11"/>
    <x v="3"/>
    <x v="3"/>
    <x v="3"/>
    <x v="3"/>
    <x v="9"/>
    <n v="21"/>
    <x v="0"/>
  </r>
  <r>
    <d v="2022-07-21T00:00:00"/>
    <x v="3"/>
    <x v="2"/>
    <x v="1"/>
    <n v="3454700705.8800001"/>
    <x v="3"/>
    <x v="2"/>
    <x v="1"/>
    <x v="12"/>
    <x v="3"/>
    <x v="3"/>
    <x v="3"/>
    <x v="3"/>
    <x v="9"/>
    <n v="21"/>
    <x v="0"/>
  </r>
  <r>
    <d v="2022-07-21T00:00:00"/>
    <x v="3"/>
    <x v="1"/>
    <x v="0"/>
    <n v="15227749.23"/>
    <x v="3"/>
    <x v="1"/>
    <x v="0"/>
    <x v="13"/>
    <x v="3"/>
    <x v="3"/>
    <x v="3"/>
    <x v="3"/>
    <x v="9"/>
    <n v="21"/>
    <x v="0"/>
  </r>
  <r>
    <d v="2022-07-20T00:00:00"/>
    <x v="1"/>
    <x v="1"/>
    <x v="0"/>
    <n v="548"/>
    <x v="1"/>
    <x v="1"/>
    <x v="0"/>
    <x v="1"/>
    <x v="3"/>
    <x v="3"/>
    <x v="3"/>
    <x v="3"/>
    <x v="9"/>
    <n v="20"/>
    <x v="0"/>
  </r>
  <r>
    <d v="2022-07-20T00:00:00"/>
    <x v="2"/>
    <x v="1"/>
    <x v="2"/>
    <n v="3450"/>
    <x v="2"/>
    <x v="1"/>
    <x v="2"/>
    <x v="3"/>
    <x v="3"/>
    <x v="3"/>
    <x v="3"/>
    <x v="3"/>
    <x v="9"/>
    <n v="20"/>
    <x v="0"/>
  </r>
  <r>
    <d v="2022-07-20T00:00:00"/>
    <x v="0"/>
    <x v="0"/>
    <x v="0"/>
    <n v="80"/>
    <x v="0"/>
    <x v="0"/>
    <x v="0"/>
    <x v="0"/>
    <x v="3"/>
    <x v="3"/>
    <x v="3"/>
    <x v="3"/>
    <x v="9"/>
    <n v="20"/>
    <x v="0"/>
  </r>
  <r>
    <d v="2022-07-20T00:00:00"/>
    <x v="3"/>
    <x v="3"/>
    <x v="0"/>
    <n v="4662559115.4300003"/>
    <x v="3"/>
    <x v="3"/>
    <x v="0"/>
    <x v="6"/>
    <x v="3"/>
    <x v="3"/>
    <x v="3"/>
    <x v="3"/>
    <x v="9"/>
    <n v="20"/>
    <x v="0"/>
  </r>
  <r>
    <d v="2022-07-20T00:00:00"/>
    <x v="0"/>
    <x v="1"/>
    <x v="0"/>
    <n v="19288090.859999999"/>
    <x v="0"/>
    <x v="1"/>
    <x v="0"/>
    <x v="2"/>
    <x v="3"/>
    <x v="3"/>
    <x v="3"/>
    <x v="3"/>
    <x v="9"/>
    <n v="20"/>
    <x v="0"/>
  </r>
  <r>
    <d v="2022-07-20T00:00:00"/>
    <x v="2"/>
    <x v="1"/>
    <x v="0"/>
    <n v="99625737"/>
    <x v="2"/>
    <x v="1"/>
    <x v="0"/>
    <x v="7"/>
    <x v="3"/>
    <x v="3"/>
    <x v="3"/>
    <x v="3"/>
    <x v="9"/>
    <n v="20"/>
    <x v="0"/>
  </r>
  <r>
    <d v="2022-07-20T00:00:00"/>
    <x v="0"/>
    <x v="1"/>
    <x v="1"/>
    <n v="10143035.630000001"/>
    <x v="0"/>
    <x v="1"/>
    <x v="1"/>
    <x v="4"/>
    <x v="3"/>
    <x v="3"/>
    <x v="3"/>
    <x v="3"/>
    <x v="9"/>
    <n v="20"/>
    <x v="0"/>
  </r>
  <r>
    <d v="2022-07-20T00:00:00"/>
    <x v="1"/>
    <x v="0"/>
    <x v="0"/>
    <n v="96979530.189999998"/>
    <x v="1"/>
    <x v="0"/>
    <x v="0"/>
    <x v="9"/>
    <x v="3"/>
    <x v="3"/>
    <x v="3"/>
    <x v="3"/>
    <x v="9"/>
    <n v="20"/>
    <x v="0"/>
  </r>
  <r>
    <d v="2022-07-20T00:00:00"/>
    <x v="1"/>
    <x v="0"/>
    <x v="1"/>
    <n v="947927634.54999995"/>
    <x v="1"/>
    <x v="0"/>
    <x v="1"/>
    <x v="10"/>
    <x v="3"/>
    <x v="3"/>
    <x v="3"/>
    <x v="3"/>
    <x v="9"/>
    <n v="20"/>
    <x v="0"/>
  </r>
  <r>
    <d v="2022-07-20T00:00:00"/>
    <x v="3"/>
    <x v="2"/>
    <x v="2"/>
    <n v="147120.16"/>
    <x v="3"/>
    <x v="2"/>
    <x v="2"/>
    <x v="5"/>
    <x v="3"/>
    <x v="3"/>
    <x v="3"/>
    <x v="3"/>
    <x v="9"/>
    <n v="20"/>
    <x v="0"/>
  </r>
  <r>
    <d v="2022-07-20T00:00:00"/>
    <x v="2"/>
    <x v="1"/>
    <x v="1"/>
    <n v="475484668.38999999"/>
    <x v="2"/>
    <x v="1"/>
    <x v="1"/>
    <x v="8"/>
    <x v="3"/>
    <x v="3"/>
    <x v="3"/>
    <x v="3"/>
    <x v="9"/>
    <n v="20"/>
    <x v="0"/>
  </r>
  <r>
    <d v="2022-07-20T00:00:00"/>
    <x v="3"/>
    <x v="2"/>
    <x v="0"/>
    <n v="624954643.07000005"/>
    <x v="3"/>
    <x v="2"/>
    <x v="0"/>
    <x v="11"/>
    <x v="3"/>
    <x v="3"/>
    <x v="3"/>
    <x v="3"/>
    <x v="9"/>
    <n v="20"/>
    <x v="0"/>
  </r>
  <r>
    <d v="2022-07-20T00:00:00"/>
    <x v="3"/>
    <x v="2"/>
    <x v="1"/>
    <n v="12607665463.549999"/>
    <x v="3"/>
    <x v="2"/>
    <x v="1"/>
    <x v="12"/>
    <x v="3"/>
    <x v="3"/>
    <x v="3"/>
    <x v="3"/>
    <x v="9"/>
    <n v="20"/>
    <x v="0"/>
  </r>
  <r>
    <d v="2022-07-20T00:00:00"/>
    <x v="3"/>
    <x v="1"/>
    <x v="0"/>
    <n v="15460252.4"/>
    <x v="3"/>
    <x v="1"/>
    <x v="0"/>
    <x v="13"/>
    <x v="3"/>
    <x v="3"/>
    <x v="3"/>
    <x v="3"/>
    <x v="9"/>
    <n v="20"/>
    <x v="0"/>
  </r>
  <r>
    <d v="2022-07-19T00:00:00"/>
    <x v="1"/>
    <x v="1"/>
    <x v="0"/>
    <n v="1636"/>
    <x v="1"/>
    <x v="1"/>
    <x v="0"/>
    <x v="1"/>
    <x v="3"/>
    <x v="3"/>
    <x v="3"/>
    <x v="3"/>
    <x v="9"/>
    <n v="19"/>
    <x v="0"/>
  </r>
  <r>
    <d v="2022-07-19T00:00:00"/>
    <x v="0"/>
    <x v="1"/>
    <x v="0"/>
    <n v="33210037.460000001"/>
    <x v="0"/>
    <x v="1"/>
    <x v="0"/>
    <x v="2"/>
    <x v="3"/>
    <x v="3"/>
    <x v="3"/>
    <x v="3"/>
    <x v="9"/>
    <n v="19"/>
    <x v="0"/>
  </r>
  <r>
    <d v="2022-07-19T00:00:00"/>
    <x v="0"/>
    <x v="1"/>
    <x v="1"/>
    <n v="2107536.65"/>
    <x v="0"/>
    <x v="1"/>
    <x v="1"/>
    <x v="4"/>
    <x v="3"/>
    <x v="3"/>
    <x v="3"/>
    <x v="3"/>
    <x v="9"/>
    <n v="19"/>
    <x v="0"/>
  </r>
  <r>
    <d v="2022-07-19T00:00:00"/>
    <x v="2"/>
    <x v="1"/>
    <x v="2"/>
    <n v="22175.42"/>
    <x v="2"/>
    <x v="1"/>
    <x v="2"/>
    <x v="3"/>
    <x v="3"/>
    <x v="3"/>
    <x v="3"/>
    <x v="3"/>
    <x v="9"/>
    <n v="19"/>
    <x v="0"/>
  </r>
  <r>
    <d v="2022-07-19T00:00:00"/>
    <x v="3"/>
    <x v="3"/>
    <x v="0"/>
    <n v="1472763038.1400001"/>
    <x v="3"/>
    <x v="3"/>
    <x v="0"/>
    <x v="7"/>
    <x v="3"/>
    <x v="3"/>
    <x v="3"/>
    <x v="3"/>
    <x v="9"/>
    <n v="19"/>
    <x v="0"/>
  </r>
  <r>
    <d v="2022-07-19T00:00:00"/>
    <x v="1"/>
    <x v="0"/>
    <x v="1"/>
    <n v="333389241.85000002"/>
    <x v="1"/>
    <x v="0"/>
    <x v="1"/>
    <x v="9"/>
    <x v="3"/>
    <x v="3"/>
    <x v="3"/>
    <x v="3"/>
    <x v="9"/>
    <n v="19"/>
    <x v="0"/>
  </r>
  <r>
    <d v="2022-07-19T00:00:00"/>
    <x v="3"/>
    <x v="2"/>
    <x v="2"/>
    <n v="182364.24"/>
    <x v="3"/>
    <x v="2"/>
    <x v="2"/>
    <x v="5"/>
    <x v="3"/>
    <x v="3"/>
    <x v="3"/>
    <x v="3"/>
    <x v="9"/>
    <n v="19"/>
    <x v="0"/>
  </r>
  <r>
    <d v="2022-07-19T00:00:00"/>
    <x v="1"/>
    <x v="0"/>
    <x v="0"/>
    <n v="70811004.180000007"/>
    <x v="1"/>
    <x v="0"/>
    <x v="0"/>
    <x v="10"/>
    <x v="3"/>
    <x v="3"/>
    <x v="3"/>
    <x v="3"/>
    <x v="9"/>
    <n v="19"/>
    <x v="0"/>
  </r>
  <r>
    <d v="2022-07-19T00:00:00"/>
    <x v="0"/>
    <x v="0"/>
    <x v="0"/>
    <n v="450"/>
    <x v="0"/>
    <x v="0"/>
    <x v="0"/>
    <x v="0"/>
    <x v="3"/>
    <x v="3"/>
    <x v="3"/>
    <x v="3"/>
    <x v="9"/>
    <n v="19"/>
    <x v="0"/>
  </r>
  <r>
    <d v="2022-07-19T00:00:00"/>
    <x v="2"/>
    <x v="1"/>
    <x v="0"/>
    <n v="99241526.75"/>
    <x v="2"/>
    <x v="1"/>
    <x v="0"/>
    <x v="6"/>
    <x v="3"/>
    <x v="3"/>
    <x v="3"/>
    <x v="3"/>
    <x v="9"/>
    <n v="19"/>
    <x v="0"/>
  </r>
  <r>
    <d v="2022-07-19T00:00:00"/>
    <x v="2"/>
    <x v="1"/>
    <x v="1"/>
    <n v="99524304.109999999"/>
    <x v="2"/>
    <x v="1"/>
    <x v="1"/>
    <x v="8"/>
    <x v="3"/>
    <x v="3"/>
    <x v="3"/>
    <x v="3"/>
    <x v="9"/>
    <n v="19"/>
    <x v="0"/>
  </r>
  <r>
    <d v="2022-07-19T00:00:00"/>
    <x v="3"/>
    <x v="2"/>
    <x v="0"/>
    <n v="413373102.63"/>
    <x v="3"/>
    <x v="2"/>
    <x v="0"/>
    <x v="11"/>
    <x v="3"/>
    <x v="3"/>
    <x v="3"/>
    <x v="3"/>
    <x v="9"/>
    <n v="19"/>
    <x v="0"/>
  </r>
  <r>
    <d v="2022-07-19T00:00:00"/>
    <x v="3"/>
    <x v="1"/>
    <x v="0"/>
    <n v="12218732.57"/>
    <x v="3"/>
    <x v="1"/>
    <x v="0"/>
    <x v="12"/>
    <x v="3"/>
    <x v="3"/>
    <x v="3"/>
    <x v="3"/>
    <x v="9"/>
    <n v="19"/>
    <x v="0"/>
  </r>
  <r>
    <d v="2022-07-19T00:00:00"/>
    <x v="3"/>
    <x v="2"/>
    <x v="1"/>
    <n v="2882434087.46"/>
    <x v="3"/>
    <x v="2"/>
    <x v="1"/>
    <x v="13"/>
    <x v="3"/>
    <x v="3"/>
    <x v="3"/>
    <x v="3"/>
    <x v="9"/>
    <n v="19"/>
    <x v="0"/>
  </r>
  <r>
    <d v="2022-07-18T00:00:00"/>
    <x v="3"/>
    <x v="2"/>
    <x v="2"/>
    <n v="77268.19"/>
    <x v="3"/>
    <x v="2"/>
    <x v="2"/>
    <x v="4"/>
    <x v="3"/>
    <x v="3"/>
    <x v="3"/>
    <x v="3"/>
    <x v="9"/>
    <n v="18"/>
    <x v="0"/>
  </r>
  <r>
    <d v="2022-07-18T00:00:00"/>
    <x v="1"/>
    <x v="1"/>
    <x v="0"/>
    <n v="556.66999999999996"/>
    <x v="1"/>
    <x v="1"/>
    <x v="0"/>
    <x v="0"/>
    <x v="3"/>
    <x v="3"/>
    <x v="3"/>
    <x v="3"/>
    <x v="9"/>
    <n v="18"/>
    <x v="0"/>
  </r>
  <r>
    <d v="2022-07-18T00:00:00"/>
    <x v="0"/>
    <x v="1"/>
    <x v="0"/>
    <n v="8164987.2300000004"/>
    <x v="0"/>
    <x v="1"/>
    <x v="0"/>
    <x v="1"/>
    <x v="3"/>
    <x v="3"/>
    <x v="3"/>
    <x v="3"/>
    <x v="9"/>
    <n v="18"/>
    <x v="0"/>
  </r>
  <r>
    <d v="2022-07-18T00:00:00"/>
    <x v="2"/>
    <x v="1"/>
    <x v="1"/>
    <n v="217074777.31999999"/>
    <x v="2"/>
    <x v="1"/>
    <x v="1"/>
    <x v="7"/>
    <x v="3"/>
    <x v="3"/>
    <x v="3"/>
    <x v="3"/>
    <x v="9"/>
    <n v="18"/>
    <x v="0"/>
  </r>
  <r>
    <d v="2022-07-18T00:00:00"/>
    <x v="1"/>
    <x v="0"/>
    <x v="1"/>
    <n v="277549504.38"/>
    <x v="1"/>
    <x v="0"/>
    <x v="1"/>
    <x v="8"/>
    <x v="3"/>
    <x v="3"/>
    <x v="3"/>
    <x v="3"/>
    <x v="9"/>
    <n v="18"/>
    <x v="0"/>
  </r>
  <r>
    <d v="2022-07-18T00:00:00"/>
    <x v="0"/>
    <x v="1"/>
    <x v="1"/>
    <n v="5560752.3600000003"/>
    <x v="0"/>
    <x v="1"/>
    <x v="1"/>
    <x v="3"/>
    <x v="3"/>
    <x v="3"/>
    <x v="3"/>
    <x v="3"/>
    <x v="9"/>
    <n v="18"/>
    <x v="0"/>
  </r>
  <r>
    <d v="2022-07-18T00:00:00"/>
    <x v="1"/>
    <x v="0"/>
    <x v="0"/>
    <n v="58691582.469999999"/>
    <x v="1"/>
    <x v="0"/>
    <x v="0"/>
    <x v="9"/>
    <x v="3"/>
    <x v="3"/>
    <x v="3"/>
    <x v="3"/>
    <x v="9"/>
    <n v="18"/>
    <x v="0"/>
  </r>
  <r>
    <d v="2022-07-18T00:00:00"/>
    <x v="2"/>
    <x v="1"/>
    <x v="2"/>
    <n v="17439.39"/>
    <x v="2"/>
    <x v="1"/>
    <x v="2"/>
    <x v="2"/>
    <x v="3"/>
    <x v="3"/>
    <x v="3"/>
    <x v="3"/>
    <x v="9"/>
    <n v="18"/>
    <x v="0"/>
  </r>
  <r>
    <d v="2022-07-18T00:00:00"/>
    <x v="3"/>
    <x v="3"/>
    <x v="0"/>
    <n v="1085615116.48"/>
    <x v="3"/>
    <x v="3"/>
    <x v="0"/>
    <x v="5"/>
    <x v="3"/>
    <x v="3"/>
    <x v="3"/>
    <x v="3"/>
    <x v="9"/>
    <n v="18"/>
    <x v="0"/>
  </r>
  <r>
    <d v="2022-07-18T00:00:00"/>
    <x v="2"/>
    <x v="1"/>
    <x v="0"/>
    <n v="74127539.280000001"/>
    <x v="2"/>
    <x v="1"/>
    <x v="0"/>
    <x v="6"/>
    <x v="3"/>
    <x v="3"/>
    <x v="3"/>
    <x v="3"/>
    <x v="9"/>
    <n v="18"/>
    <x v="0"/>
  </r>
  <r>
    <d v="2022-07-18T00:00:00"/>
    <x v="3"/>
    <x v="2"/>
    <x v="0"/>
    <n v="483592854.01999998"/>
    <x v="3"/>
    <x v="2"/>
    <x v="0"/>
    <x v="10"/>
    <x v="3"/>
    <x v="3"/>
    <x v="3"/>
    <x v="3"/>
    <x v="9"/>
    <n v="18"/>
    <x v="0"/>
  </r>
  <r>
    <d v="2022-07-18T00:00:00"/>
    <x v="3"/>
    <x v="2"/>
    <x v="1"/>
    <n v="31343439835.299999"/>
    <x v="3"/>
    <x v="2"/>
    <x v="1"/>
    <x v="11"/>
    <x v="3"/>
    <x v="3"/>
    <x v="3"/>
    <x v="3"/>
    <x v="9"/>
    <n v="18"/>
    <x v="0"/>
  </r>
  <r>
    <d v="2022-07-18T00:00:00"/>
    <x v="3"/>
    <x v="1"/>
    <x v="0"/>
    <n v="48382196.310000002"/>
    <x v="3"/>
    <x v="1"/>
    <x v="0"/>
    <x v="12"/>
    <x v="3"/>
    <x v="3"/>
    <x v="3"/>
    <x v="3"/>
    <x v="9"/>
    <n v="18"/>
    <x v="0"/>
  </r>
  <r>
    <d v="2022-07-15T00:00:00"/>
    <x v="0"/>
    <x v="1"/>
    <x v="0"/>
    <n v="25483295.420000002"/>
    <x v="0"/>
    <x v="1"/>
    <x v="0"/>
    <x v="1"/>
    <x v="3"/>
    <x v="3"/>
    <x v="3"/>
    <x v="3"/>
    <x v="9"/>
    <n v="15"/>
    <x v="0"/>
  </r>
  <r>
    <d v="2022-07-15T00:00:00"/>
    <x v="3"/>
    <x v="3"/>
    <x v="2"/>
    <n v="207958.39999999999"/>
    <x v="3"/>
    <x v="3"/>
    <x v="2"/>
    <x v="2"/>
    <x v="3"/>
    <x v="3"/>
    <x v="3"/>
    <x v="3"/>
    <x v="9"/>
    <n v="15"/>
    <x v="0"/>
  </r>
  <r>
    <d v="2022-07-15T00:00:00"/>
    <x v="3"/>
    <x v="2"/>
    <x v="2"/>
    <n v="635861.65"/>
    <x v="3"/>
    <x v="2"/>
    <x v="2"/>
    <x v="4"/>
    <x v="3"/>
    <x v="3"/>
    <x v="3"/>
    <x v="3"/>
    <x v="9"/>
    <n v="15"/>
    <x v="0"/>
  </r>
  <r>
    <d v="2022-07-15T00:00:00"/>
    <x v="2"/>
    <x v="1"/>
    <x v="0"/>
    <n v="88687450.590000004"/>
    <x v="2"/>
    <x v="1"/>
    <x v="0"/>
    <x v="6"/>
    <x v="3"/>
    <x v="3"/>
    <x v="3"/>
    <x v="3"/>
    <x v="9"/>
    <n v="15"/>
    <x v="0"/>
  </r>
  <r>
    <d v="2022-07-15T00:00:00"/>
    <x v="1"/>
    <x v="0"/>
    <x v="0"/>
    <n v="73327233.900000006"/>
    <x v="1"/>
    <x v="0"/>
    <x v="0"/>
    <x v="9"/>
    <x v="3"/>
    <x v="3"/>
    <x v="3"/>
    <x v="3"/>
    <x v="9"/>
    <n v="15"/>
    <x v="0"/>
  </r>
  <r>
    <d v="2022-07-15T00:00:00"/>
    <x v="0"/>
    <x v="1"/>
    <x v="1"/>
    <n v="14479745.619999999"/>
    <x v="0"/>
    <x v="1"/>
    <x v="1"/>
    <x v="5"/>
    <x v="3"/>
    <x v="3"/>
    <x v="3"/>
    <x v="3"/>
    <x v="9"/>
    <n v="15"/>
    <x v="0"/>
  </r>
  <r>
    <d v="2022-07-15T00:00:00"/>
    <x v="1"/>
    <x v="1"/>
    <x v="0"/>
    <n v="1533"/>
    <x v="1"/>
    <x v="1"/>
    <x v="0"/>
    <x v="0"/>
    <x v="3"/>
    <x v="3"/>
    <x v="3"/>
    <x v="3"/>
    <x v="9"/>
    <n v="15"/>
    <x v="0"/>
  </r>
  <r>
    <d v="2022-07-15T00:00:00"/>
    <x v="3"/>
    <x v="3"/>
    <x v="0"/>
    <n v="1281469374.52"/>
    <x v="3"/>
    <x v="3"/>
    <x v="0"/>
    <x v="7"/>
    <x v="3"/>
    <x v="3"/>
    <x v="3"/>
    <x v="3"/>
    <x v="9"/>
    <n v="15"/>
    <x v="0"/>
  </r>
  <r>
    <d v="2022-07-15T00:00:00"/>
    <x v="2"/>
    <x v="1"/>
    <x v="2"/>
    <n v="3510"/>
    <x v="2"/>
    <x v="1"/>
    <x v="2"/>
    <x v="3"/>
    <x v="3"/>
    <x v="3"/>
    <x v="3"/>
    <x v="3"/>
    <x v="9"/>
    <n v="15"/>
    <x v="0"/>
  </r>
  <r>
    <d v="2022-07-15T00:00:00"/>
    <x v="2"/>
    <x v="1"/>
    <x v="1"/>
    <n v="129353803.37"/>
    <x v="2"/>
    <x v="1"/>
    <x v="1"/>
    <x v="8"/>
    <x v="3"/>
    <x v="3"/>
    <x v="3"/>
    <x v="3"/>
    <x v="9"/>
    <n v="15"/>
    <x v="0"/>
  </r>
  <r>
    <d v="2022-07-15T00:00:00"/>
    <x v="1"/>
    <x v="0"/>
    <x v="1"/>
    <n v="110365901.70999999"/>
    <x v="1"/>
    <x v="0"/>
    <x v="1"/>
    <x v="10"/>
    <x v="3"/>
    <x v="3"/>
    <x v="3"/>
    <x v="3"/>
    <x v="9"/>
    <n v="15"/>
    <x v="0"/>
  </r>
  <r>
    <d v="2022-07-15T00:00:00"/>
    <x v="3"/>
    <x v="2"/>
    <x v="0"/>
    <n v="485459823.29000002"/>
    <x v="3"/>
    <x v="2"/>
    <x v="0"/>
    <x v="11"/>
    <x v="3"/>
    <x v="3"/>
    <x v="3"/>
    <x v="3"/>
    <x v="9"/>
    <n v="15"/>
    <x v="0"/>
  </r>
  <r>
    <d v="2022-07-15T00:00:00"/>
    <x v="3"/>
    <x v="2"/>
    <x v="1"/>
    <n v="18212131545.509998"/>
    <x v="3"/>
    <x v="2"/>
    <x v="1"/>
    <x v="12"/>
    <x v="3"/>
    <x v="3"/>
    <x v="3"/>
    <x v="3"/>
    <x v="9"/>
    <n v="15"/>
    <x v="0"/>
  </r>
  <r>
    <d v="2022-07-15T00:00:00"/>
    <x v="3"/>
    <x v="1"/>
    <x v="0"/>
    <n v="16100262.77"/>
    <x v="3"/>
    <x v="1"/>
    <x v="0"/>
    <x v="13"/>
    <x v="3"/>
    <x v="3"/>
    <x v="3"/>
    <x v="3"/>
    <x v="9"/>
    <n v="15"/>
    <x v="0"/>
  </r>
  <r>
    <d v="2022-07-14T00:00:00"/>
    <x v="0"/>
    <x v="1"/>
    <x v="0"/>
    <n v="25325922.52"/>
    <x v="0"/>
    <x v="1"/>
    <x v="0"/>
    <x v="1"/>
    <x v="3"/>
    <x v="3"/>
    <x v="3"/>
    <x v="3"/>
    <x v="9"/>
    <n v="14"/>
    <x v="0"/>
  </r>
  <r>
    <d v="2022-07-14T00:00:00"/>
    <x v="2"/>
    <x v="1"/>
    <x v="2"/>
    <n v="17624.16"/>
    <x v="2"/>
    <x v="1"/>
    <x v="2"/>
    <x v="2"/>
    <x v="3"/>
    <x v="3"/>
    <x v="3"/>
    <x v="3"/>
    <x v="9"/>
    <n v="14"/>
    <x v="0"/>
  </r>
  <r>
    <d v="2022-07-14T00:00:00"/>
    <x v="2"/>
    <x v="1"/>
    <x v="0"/>
    <n v="102097377.17"/>
    <x v="2"/>
    <x v="1"/>
    <x v="0"/>
    <x v="6"/>
    <x v="3"/>
    <x v="3"/>
    <x v="3"/>
    <x v="3"/>
    <x v="9"/>
    <n v="14"/>
    <x v="0"/>
  </r>
  <r>
    <d v="2022-07-14T00:00:00"/>
    <x v="2"/>
    <x v="1"/>
    <x v="1"/>
    <n v="145144651.18000001"/>
    <x v="2"/>
    <x v="1"/>
    <x v="1"/>
    <x v="7"/>
    <x v="3"/>
    <x v="3"/>
    <x v="3"/>
    <x v="3"/>
    <x v="9"/>
    <n v="14"/>
    <x v="0"/>
  </r>
  <r>
    <d v="2022-07-14T00:00:00"/>
    <x v="1"/>
    <x v="0"/>
    <x v="0"/>
    <n v="79808509.730000004"/>
    <x v="1"/>
    <x v="0"/>
    <x v="0"/>
    <x v="8"/>
    <x v="3"/>
    <x v="3"/>
    <x v="3"/>
    <x v="3"/>
    <x v="9"/>
    <n v="14"/>
    <x v="0"/>
  </r>
  <r>
    <d v="2022-07-14T00:00:00"/>
    <x v="0"/>
    <x v="1"/>
    <x v="1"/>
    <n v="9419260.7699999996"/>
    <x v="0"/>
    <x v="1"/>
    <x v="1"/>
    <x v="3"/>
    <x v="3"/>
    <x v="3"/>
    <x v="3"/>
    <x v="3"/>
    <x v="9"/>
    <n v="14"/>
    <x v="0"/>
  </r>
  <r>
    <d v="2022-07-14T00:00:00"/>
    <x v="3"/>
    <x v="2"/>
    <x v="2"/>
    <n v="235129.05"/>
    <x v="3"/>
    <x v="2"/>
    <x v="2"/>
    <x v="4"/>
    <x v="3"/>
    <x v="3"/>
    <x v="3"/>
    <x v="3"/>
    <x v="9"/>
    <n v="14"/>
    <x v="0"/>
  </r>
  <r>
    <d v="2022-07-14T00:00:00"/>
    <x v="1"/>
    <x v="1"/>
    <x v="0"/>
    <n v="892"/>
    <x v="1"/>
    <x v="1"/>
    <x v="0"/>
    <x v="0"/>
    <x v="3"/>
    <x v="3"/>
    <x v="3"/>
    <x v="3"/>
    <x v="9"/>
    <n v="14"/>
    <x v="0"/>
  </r>
  <r>
    <d v="2022-07-14T00:00:00"/>
    <x v="3"/>
    <x v="3"/>
    <x v="0"/>
    <n v="1192661621.9200001"/>
    <x v="3"/>
    <x v="3"/>
    <x v="0"/>
    <x v="5"/>
    <x v="3"/>
    <x v="3"/>
    <x v="3"/>
    <x v="3"/>
    <x v="9"/>
    <n v="14"/>
    <x v="0"/>
  </r>
  <r>
    <d v="2022-07-14T00:00:00"/>
    <x v="1"/>
    <x v="0"/>
    <x v="1"/>
    <n v="290130037.25"/>
    <x v="1"/>
    <x v="0"/>
    <x v="1"/>
    <x v="9"/>
    <x v="3"/>
    <x v="3"/>
    <x v="3"/>
    <x v="3"/>
    <x v="9"/>
    <n v="14"/>
    <x v="0"/>
  </r>
  <r>
    <d v="2022-07-14T00:00:00"/>
    <x v="3"/>
    <x v="2"/>
    <x v="0"/>
    <n v="576461959.65999997"/>
    <x v="3"/>
    <x v="2"/>
    <x v="0"/>
    <x v="10"/>
    <x v="3"/>
    <x v="3"/>
    <x v="3"/>
    <x v="3"/>
    <x v="9"/>
    <n v="14"/>
    <x v="0"/>
  </r>
  <r>
    <d v="2022-07-14T00:00:00"/>
    <x v="3"/>
    <x v="2"/>
    <x v="1"/>
    <n v="7166250957.1400003"/>
    <x v="3"/>
    <x v="2"/>
    <x v="1"/>
    <x v="11"/>
    <x v="3"/>
    <x v="3"/>
    <x v="3"/>
    <x v="3"/>
    <x v="9"/>
    <n v="14"/>
    <x v="0"/>
  </r>
  <r>
    <d v="2022-07-14T00:00:00"/>
    <x v="3"/>
    <x v="1"/>
    <x v="0"/>
    <n v="14681941.460000001"/>
    <x v="3"/>
    <x v="1"/>
    <x v="0"/>
    <x v="12"/>
    <x v="3"/>
    <x v="3"/>
    <x v="3"/>
    <x v="3"/>
    <x v="9"/>
    <n v="14"/>
    <x v="0"/>
  </r>
  <r>
    <d v="2022-07-13T00:00:00"/>
    <x v="2"/>
    <x v="1"/>
    <x v="2"/>
    <n v="21670"/>
    <x v="2"/>
    <x v="1"/>
    <x v="2"/>
    <x v="2"/>
    <x v="3"/>
    <x v="3"/>
    <x v="3"/>
    <x v="3"/>
    <x v="9"/>
    <n v="13"/>
    <x v="0"/>
  </r>
  <r>
    <d v="2022-07-13T00:00:00"/>
    <x v="3"/>
    <x v="2"/>
    <x v="2"/>
    <n v="126376.64"/>
    <x v="3"/>
    <x v="2"/>
    <x v="2"/>
    <x v="3"/>
    <x v="3"/>
    <x v="3"/>
    <x v="3"/>
    <x v="3"/>
    <x v="9"/>
    <n v="13"/>
    <x v="0"/>
  </r>
  <r>
    <d v="2022-07-13T00:00:00"/>
    <x v="2"/>
    <x v="1"/>
    <x v="0"/>
    <n v="95334298.390000001"/>
    <x v="2"/>
    <x v="1"/>
    <x v="0"/>
    <x v="6"/>
    <x v="3"/>
    <x v="3"/>
    <x v="3"/>
    <x v="3"/>
    <x v="9"/>
    <n v="13"/>
    <x v="0"/>
  </r>
  <r>
    <d v="2022-07-13T00:00:00"/>
    <x v="2"/>
    <x v="1"/>
    <x v="1"/>
    <n v="93155784.390000001"/>
    <x v="2"/>
    <x v="1"/>
    <x v="1"/>
    <x v="8"/>
    <x v="3"/>
    <x v="3"/>
    <x v="3"/>
    <x v="3"/>
    <x v="9"/>
    <n v="13"/>
    <x v="0"/>
  </r>
  <r>
    <d v="2022-07-13T00:00:00"/>
    <x v="1"/>
    <x v="0"/>
    <x v="1"/>
    <n v="765068283.33000004"/>
    <x v="1"/>
    <x v="0"/>
    <x v="1"/>
    <x v="9"/>
    <x v="3"/>
    <x v="3"/>
    <x v="3"/>
    <x v="3"/>
    <x v="9"/>
    <n v="13"/>
    <x v="0"/>
  </r>
  <r>
    <d v="2022-07-13T00:00:00"/>
    <x v="1"/>
    <x v="0"/>
    <x v="0"/>
    <n v="74301435.859999999"/>
    <x v="1"/>
    <x v="0"/>
    <x v="0"/>
    <x v="10"/>
    <x v="3"/>
    <x v="3"/>
    <x v="3"/>
    <x v="3"/>
    <x v="9"/>
    <n v="13"/>
    <x v="0"/>
  </r>
  <r>
    <d v="2022-07-13T00:00:00"/>
    <x v="3"/>
    <x v="3"/>
    <x v="1"/>
    <n v="7425.81"/>
    <x v="3"/>
    <x v="3"/>
    <x v="1"/>
    <x v="4"/>
    <x v="3"/>
    <x v="3"/>
    <x v="3"/>
    <x v="3"/>
    <x v="9"/>
    <n v="13"/>
    <x v="0"/>
  </r>
  <r>
    <d v="2022-07-13T00:00:00"/>
    <x v="0"/>
    <x v="1"/>
    <x v="1"/>
    <n v="11133904.890000001"/>
    <x v="0"/>
    <x v="1"/>
    <x v="1"/>
    <x v="5"/>
    <x v="3"/>
    <x v="3"/>
    <x v="3"/>
    <x v="3"/>
    <x v="9"/>
    <n v="13"/>
    <x v="0"/>
  </r>
  <r>
    <d v="2022-07-13T00:00:00"/>
    <x v="1"/>
    <x v="1"/>
    <x v="0"/>
    <n v="6003.12"/>
    <x v="1"/>
    <x v="1"/>
    <x v="0"/>
    <x v="0"/>
    <x v="3"/>
    <x v="3"/>
    <x v="3"/>
    <x v="3"/>
    <x v="9"/>
    <n v="13"/>
    <x v="0"/>
  </r>
  <r>
    <d v="2022-07-13T00:00:00"/>
    <x v="0"/>
    <x v="1"/>
    <x v="0"/>
    <n v="32446317.739999998"/>
    <x v="0"/>
    <x v="1"/>
    <x v="0"/>
    <x v="1"/>
    <x v="3"/>
    <x v="3"/>
    <x v="3"/>
    <x v="3"/>
    <x v="9"/>
    <n v="13"/>
    <x v="0"/>
  </r>
  <r>
    <d v="2022-07-13T00:00:00"/>
    <x v="3"/>
    <x v="3"/>
    <x v="0"/>
    <n v="1620092229.3499999"/>
    <x v="3"/>
    <x v="3"/>
    <x v="0"/>
    <x v="7"/>
    <x v="3"/>
    <x v="3"/>
    <x v="3"/>
    <x v="3"/>
    <x v="9"/>
    <n v="13"/>
    <x v="0"/>
  </r>
  <r>
    <d v="2022-07-13T00:00:00"/>
    <x v="3"/>
    <x v="2"/>
    <x v="0"/>
    <n v="392896821.16000003"/>
    <x v="3"/>
    <x v="2"/>
    <x v="0"/>
    <x v="11"/>
    <x v="3"/>
    <x v="3"/>
    <x v="3"/>
    <x v="3"/>
    <x v="9"/>
    <n v="13"/>
    <x v="0"/>
  </r>
  <r>
    <d v="2022-07-13T00:00:00"/>
    <x v="3"/>
    <x v="2"/>
    <x v="1"/>
    <n v="11311769068.1"/>
    <x v="3"/>
    <x v="2"/>
    <x v="1"/>
    <x v="12"/>
    <x v="3"/>
    <x v="3"/>
    <x v="3"/>
    <x v="3"/>
    <x v="9"/>
    <n v="13"/>
    <x v="0"/>
  </r>
  <r>
    <d v="2022-07-13T00:00:00"/>
    <x v="3"/>
    <x v="1"/>
    <x v="0"/>
    <n v="14869837.810000001"/>
    <x v="3"/>
    <x v="1"/>
    <x v="0"/>
    <x v="13"/>
    <x v="3"/>
    <x v="3"/>
    <x v="3"/>
    <x v="3"/>
    <x v="9"/>
    <n v="13"/>
    <x v="0"/>
  </r>
  <r>
    <d v="2022-07-12T00:00:00"/>
    <x v="2"/>
    <x v="1"/>
    <x v="2"/>
    <n v="26998.32"/>
    <x v="2"/>
    <x v="1"/>
    <x v="2"/>
    <x v="3"/>
    <x v="3"/>
    <x v="3"/>
    <x v="3"/>
    <x v="3"/>
    <x v="9"/>
    <n v="12"/>
    <x v="0"/>
  </r>
  <r>
    <d v="2022-07-12T00:00:00"/>
    <x v="2"/>
    <x v="1"/>
    <x v="0"/>
    <n v="107536034.76000001"/>
    <x v="2"/>
    <x v="1"/>
    <x v="0"/>
    <x v="7"/>
    <x v="3"/>
    <x v="3"/>
    <x v="3"/>
    <x v="3"/>
    <x v="9"/>
    <n v="12"/>
    <x v="0"/>
  </r>
  <r>
    <d v="2022-07-12T00:00:00"/>
    <x v="3"/>
    <x v="3"/>
    <x v="0"/>
    <n v="996048527.04999995"/>
    <x v="3"/>
    <x v="3"/>
    <x v="0"/>
    <x v="8"/>
    <x v="3"/>
    <x v="3"/>
    <x v="3"/>
    <x v="3"/>
    <x v="9"/>
    <n v="12"/>
    <x v="0"/>
  </r>
  <r>
    <d v="2022-07-12T00:00:00"/>
    <x v="2"/>
    <x v="1"/>
    <x v="1"/>
    <n v="263331755.55000001"/>
    <x v="2"/>
    <x v="1"/>
    <x v="1"/>
    <x v="9"/>
    <x v="3"/>
    <x v="3"/>
    <x v="3"/>
    <x v="3"/>
    <x v="9"/>
    <n v="12"/>
    <x v="0"/>
  </r>
  <r>
    <d v="2022-07-12T00:00:00"/>
    <x v="1"/>
    <x v="0"/>
    <x v="0"/>
    <n v="52900253.039999999"/>
    <x v="1"/>
    <x v="0"/>
    <x v="0"/>
    <x v="10"/>
    <x v="3"/>
    <x v="3"/>
    <x v="3"/>
    <x v="3"/>
    <x v="9"/>
    <n v="12"/>
    <x v="0"/>
  </r>
  <r>
    <d v="2022-07-12T00:00:00"/>
    <x v="1"/>
    <x v="0"/>
    <x v="1"/>
    <n v="283124487.02999997"/>
    <x v="1"/>
    <x v="0"/>
    <x v="1"/>
    <x v="11"/>
    <x v="3"/>
    <x v="3"/>
    <x v="3"/>
    <x v="3"/>
    <x v="9"/>
    <n v="12"/>
    <x v="0"/>
  </r>
  <r>
    <d v="2022-07-12T00:00:00"/>
    <x v="0"/>
    <x v="1"/>
    <x v="1"/>
    <n v="17128490.91"/>
    <x v="0"/>
    <x v="1"/>
    <x v="1"/>
    <x v="5"/>
    <x v="3"/>
    <x v="3"/>
    <x v="3"/>
    <x v="3"/>
    <x v="9"/>
    <n v="12"/>
    <x v="0"/>
  </r>
  <r>
    <d v="2022-07-12T00:00:00"/>
    <x v="3"/>
    <x v="2"/>
    <x v="2"/>
    <n v="121762.03"/>
    <x v="3"/>
    <x v="2"/>
    <x v="2"/>
    <x v="6"/>
    <x v="3"/>
    <x v="3"/>
    <x v="3"/>
    <x v="3"/>
    <x v="9"/>
    <n v="12"/>
    <x v="0"/>
  </r>
  <r>
    <d v="2022-07-12T00:00:00"/>
    <x v="1"/>
    <x v="1"/>
    <x v="0"/>
    <n v="975.5"/>
    <x v="1"/>
    <x v="1"/>
    <x v="0"/>
    <x v="1"/>
    <x v="3"/>
    <x v="3"/>
    <x v="3"/>
    <x v="3"/>
    <x v="9"/>
    <n v="12"/>
    <x v="0"/>
  </r>
  <r>
    <d v="2022-07-12T00:00:00"/>
    <x v="0"/>
    <x v="1"/>
    <x v="0"/>
    <n v="11167047.439999999"/>
    <x v="0"/>
    <x v="1"/>
    <x v="0"/>
    <x v="2"/>
    <x v="3"/>
    <x v="3"/>
    <x v="3"/>
    <x v="3"/>
    <x v="9"/>
    <n v="12"/>
    <x v="0"/>
  </r>
  <r>
    <d v="2022-07-12T00:00:00"/>
    <x v="0"/>
    <x v="0"/>
    <x v="0"/>
    <n v="50"/>
    <x v="0"/>
    <x v="0"/>
    <x v="0"/>
    <x v="0"/>
    <x v="3"/>
    <x v="3"/>
    <x v="3"/>
    <x v="3"/>
    <x v="9"/>
    <n v="12"/>
    <x v="0"/>
  </r>
  <r>
    <d v="2022-07-12T00:00:00"/>
    <x v="3"/>
    <x v="3"/>
    <x v="1"/>
    <n v="12005.48"/>
    <x v="3"/>
    <x v="3"/>
    <x v="1"/>
    <x v="4"/>
    <x v="3"/>
    <x v="3"/>
    <x v="3"/>
    <x v="3"/>
    <x v="9"/>
    <n v="12"/>
    <x v="0"/>
  </r>
  <r>
    <d v="2022-07-12T00:00:00"/>
    <x v="3"/>
    <x v="2"/>
    <x v="0"/>
    <n v="460644575.22000003"/>
    <x v="3"/>
    <x v="2"/>
    <x v="0"/>
    <x v="12"/>
    <x v="3"/>
    <x v="3"/>
    <x v="3"/>
    <x v="3"/>
    <x v="9"/>
    <n v="12"/>
    <x v="0"/>
  </r>
  <r>
    <d v="2022-07-12T00:00:00"/>
    <x v="3"/>
    <x v="2"/>
    <x v="1"/>
    <n v="4510916378.0200005"/>
    <x v="3"/>
    <x v="2"/>
    <x v="1"/>
    <x v="13"/>
    <x v="3"/>
    <x v="3"/>
    <x v="3"/>
    <x v="3"/>
    <x v="9"/>
    <n v="12"/>
    <x v="0"/>
  </r>
  <r>
    <d v="2022-07-12T00:00:00"/>
    <x v="3"/>
    <x v="1"/>
    <x v="0"/>
    <n v="11755265.02"/>
    <x v="3"/>
    <x v="1"/>
    <x v="0"/>
    <x v="14"/>
    <x v="3"/>
    <x v="3"/>
    <x v="3"/>
    <x v="3"/>
    <x v="9"/>
    <n v="12"/>
    <x v="0"/>
  </r>
  <r>
    <d v="2022-07-11T00:00:00"/>
    <x v="2"/>
    <x v="1"/>
    <x v="2"/>
    <n v="8794.85"/>
    <x v="2"/>
    <x v="1"/>
    <x v="2"/>
    <x v="2"/>
    <x v="3"/>
    <x v="3"/>
    <x v="3"/>
    <x v="3"/>
    <x v="9"/>
    <n v="11"/>
    <x v="0"/>
  </r>
  <r>
    <d v="2022-07-11T00:00:00"/>
    <x v="2"/>
    <x v="1"/>
    <x v="1"/>
    <n v="149003519.84999999"/>
    <x v="2"/>
    <x v="1"/>
    <x v="1"/>
    <x v="6"/>
    <x v="3"/>
    <x v="3"/>
    <x v="3"/>
    <x v="3"/>
    <x v="9"/>
    <n v="11"/>
    <x v="0"/>
  </r>
  <r>
    <d v="2022-07-11T00:00:00"/>
    <x v="0"/>
    <x v="1"/>
    <x v="1"/>
    <n v="15175996.039999999"/>
    <x v="0"/>
    <x v="1"/>
    <x v="1"/>
    <x v="1"/>
    <x v="3"/>
    <x v="3"/>
    <x v="3"/>
    <x v="3"/>
    <x v="9"/>
    <n v="11"/>
    <x v="0"/>
  </r>
  <r>
    <d v="2022-07-11T00:00:00"/>
    <x v="1"/>
    <x v="0"/>
    <x v="1"/>
    <n v="102932069.84"/>
    <x v="1"/>
    <x v="0"/>
    <x v="1"/>
    <x v="8"/>
    <x v="3"/>
    <x v="3"/>
    <x v="3"/>
    <x v="3"/>
    <x v="9"/>
    <n v="11"/>
    <x v="0"/>
  </r>
  <r>
    <d v="2022-07-11T00:00:00"/>
    <x v="3"/>
    <x v="2"/>
    <x v="2"/>
    <n v="34227.03"/>
    <x v="3"/>
    <x v="2"/>
    <x v="2"/>
    <x v="3"/>
    <x v="3"/>
    <x v="3"/>
    <x v="3"/>
    <x v="3"/>
    <x v="9"/>
    <n v="11"/>
    <x v="0"/>
  </r>
  <r>
    <d v="2022-07-11T00:00:00"/>
    <x v="0"/>
    <x v="1"/>
    <x v="0"/>
    <n v="11500997.17"/>
    <x v="0"/>
    <x v="1"/>
    <x v="0"/>
    <x v="0"/>
    <x v="3"/>
    <x v="3"/>
    <x v="3"/>
    <x v="3"/>
    <x v="9"/>
    <n v="11"/>
    <x v="0"/>
  </r>
  <r>
    <d v="2022-07-11T00:00:00"/>
    <x v="2"/>
    <x v="1"/>
    <x v="0"/>
    <n v="90968506.400000006"/>
    <x v="2"/>
    <x v="1"/>
    <x v="0"/>
    <x v="5"/>
    <x v="3"/>
    <x v="3"/>
    <x v="3"/>
    <x v="3"/>
    <x v="9"/>
    <n v="11"/>
    <x v="0"/>
  </r>
  <r>
    <d v="2022-07-11T00:00:00"/>
    <x v="3"/>
    <x v="3"/>
    <x v="0"/>
    <n v="1284643686.5899999"/>
    <x v="3"/>
    <x v="3"/>
    <x v="0"/>
    <x v="4"/>
    <x v="3"/>
    <x v="3"/>
    <x v="3"/>
    <x v="3"/>
    <x v="9"/>
    <n v="11"/>
    <x v="0"/>
  </r>
  <r>
    <d v="2022-07-11T00:00:00"/>
    <x v="1"/>
    <x v="0"/>
    <x v="0"/>
    <n v="49985777.289999999"/>
    <x v="1"/>
    <x v="0"/>
    <x v="0"/>
    <x v="7"/>
    <x v="3"/>
    <x v="3"/>
    <x v="3"/>
    <x v="3"/>
    <x v="9"/>
    <n v="11"/>
    <x v="0"/>
  </r>
  <r>
    <d v="2022-07-11T00:00:00"/>
    <x v="3"/>
    <x v="2"/>
    <x v="0"/>
    <n v="468871562.91000003"/>
    <x v="3"/>
    <x v="2"/>
    <x v="0"/>
    <x v="9"/>
    <x v="3"/>
    <x v="3"/>
    <x v="3"/>
    <x v="3"/>
    <x v="9"/>
    <n v="11"/>
    <x v="0"/>
  </r>
  <r>
    <d v="2022-07-11T00:00:00"/>
    <x v="3"/>
    <x v="2"/>
    <x v="1"/>
    <n v="22363572716.52"/>
    <x v="3"/>
    <x v="2"/>
    <x v="1"/>
    <x v="10"/>
    <x v="3"/>
    <x v="3"/>
    <x v="3"/>
    <x v="3"/>
    <x v="9"/>
    <n v="11"/>
    <x v="0"/>
  </r>
  <r>
    <d v="2022-07-11T00:00:00"/>
    <x v="3"/>
    <x v="1"/>
    <x v="0"/>
    <n v="45812936.969999999"/>
    <x v="3"/>
    <x v="1"/>
    <x v="0"/>
    <x v="11"/>
    <x v="3"/>
    <x v="3"/>
    <x v="3"/>
    <x v="3"/>
    <x v="9"/>
    <n v="11"/>
    <x v="0"/>
  </r>
  <r>
    <d v="2022-07-08T00:00:00"/>
    <x v="2"/>
    <x v="1"/>
    <x v="0"/>
    <n v="96897634.170000002"/>
    <x v="2"/>
    <x v="1"/>
    <x v="0"/>
    <x v="7"/>
    <x v="3"/>
    <x v="3"/>
    <x v="3"/>
    <x v="3"/>
    <x v="9"/>
    <n v="8"/>
    <x v="0"/>
  </r>
  <r>
    <d v="2022-07-08T00:00:00"/>
    <x v="2"/>
    <x v="1"/>
    <x v="1"/>
    <n v="336336036.97000003"/>
    <x v="2"/>
    <x v="1"/>
    <x v="1"/>
    <x v="9"/>
    <x v="3"/>
    <x v="3"/>
    <x v="3"/>
    <x v="3"/>
    <x v="9"/>
    <n v="8"/>
    <x v="0"/>
  </r>
  <r>
    <d v="2022-07-08T00:00:00"/>
    <x v="2"/>
    <x v="1"/>
    <x v="2"/>
    <n v="2795"/>
    <x v="2"/>
    <x v="1"/>
    <x v="2"/>
    <x v="5"/>
    <x v="3"/>
    <x v="3"/>
    <x v="3"/>
    <x v="3"/>
    <x v="9"/>
    <n v="8"/>
    <x v="0"/>
  </r>
  <r>
    <d v="2022-07-08T00:00:00"/>
    <x v="0"/>
    <x v="1"/>
    <x v="1"/>
    <n v="67789527.049999997"/>
    <x v="0"/>
    <x v="1"/>
    <x v="1"/>
    <x v="4"/>
    <x v="3"/>
    <x v="3"/>
    <x v="3"/>
    <x v="3"/>
    <x v="9"/>
    <n v="8"/>
    <x v="0"/>
  </r>
  <r>
    <d v="2022-07-08T00:00:00"/>
    <x v="1"/>
    <x v="0"/>
    <x v="0"/>
    <n v="64566099.590000004"/>
    <x v="1"/>
    <x v="0"/>
    <x v="0"/>
    <x v="10"/>
    <x v="3"/>
    <x v="3"/>
    <x v="3"/>
    <x v="3"/>
    <x v="9"/>
    <n v="8"/>
    <x v="0"/>
  </r>
  <r>
    <d v="2022-07-08T00:00:00"/>
    <x v="3"/>
    <x v="2"/>
    <x v="2"/>
    <n v="123016"/>
    <x v="3"/>
    <x v="2"/>
    <x v="2"/>
    <x v="6"/>
    <x v="3"/>
    <x v="3"/>
    <x v="3"/>
    <x v="3"/>
    <x v="9"/>
    <n v="8"/>
    <x v="0"/>
  </r>
  <r>
    <d v="2022-07-08T00:00:00"/>
    <x v="1"/>
    <x v="1"/>
    <x v="0"/>
    <n v="4139.46"/>
    <x v="1"/>
    <x v="1"/>
    <x v="0"/>
    <x v="1"/>
    <x v="3"/>
    <x v="3"/>
    <x v="3"/>
    <x v="3"/>
    <x v="9"/>
    <n v="8"/>
    <x v="0"/>
  </r>
  <r>
    <d v="2022-07-08T00:00:00"/>
    <x v="0"/>
    <x v="1"/>
    <x v="0"/>
    <n v="25001395.199999999"/>
    <x v="0"/>
    <x v="1"/>
    <x v="0"/>
    <x v="2"/>
    <x v="3"/>
    <x v="3"/>
    <x v="3"/>
    <x v="3"/>
    <x v="9"/>
    <n v="8"/>
    <x v="0"/>
  </r>
  <r>
    <d v="2022-07-08T00:00:00"/>
    <x v="3"/>
    <x v="3"/>
    <x v="0"/>
    <n v="1108727848.24"/>
    <x v="3"/>
    <x v="3"/>
    <x v="0"/>
    <x v="8"/>
    <x v="3"/>
    <x v="3"/>
    <x v="3"/>
    <x v="3"/>
    <x v="9"/>
    <n v="8"/>
    <x v="0"/>
  </r>
  <r>
    <d v="2022-07-08T00:00:00"/>
    <x v="0"/>
    <x v="0"/>
    <x v="0"/>
    <n v="50"/>
    <x v="0"/>
    <x v="0"/>
    <x v="0"/>
    <x v="0"/>
    <x v="3"/>
    <x v="3"/>
    <x v="3"/>
    <x v="3"/>
    <x v="9"/>
    <n v="8"/>
    <x v="0"/>
  </r>
  <r>
    <d v="2022-07-08T00:00:00"/>
    <x v="3"/>
    <x v="3"/>
    <x v="1"/>
    <n v="6710.11"/>
    <x v="3"/>
    <x v="3"/>
    <x v="1"/>
    <x v="3"/>
    <x v="3"/>
    <x v="3"/>
    <x v="3"/>
    <x v="3"/>
    <x v="9"/>
    <n v="8"/>
    <x v="0"/>
  </r>
  <r>
    <d v="2022-07-08T00:00:00"/>
    <x v="1"/>
    <x v="0"/>
    <x v="1"/>
    <n v="171353614.90000001"/>
    <x v="1"/>
    <x v="0"/>
    <x v="1"/>
    <x v="11"/>
    <x v="3"/>
    <x v="3"/>
    <x v="3"/>
    <x v="3"/>
    <x v="9"/>
    <n v="8"/>
    <x v="0"/>
  </r>
  <r>
    <d v="2022-07-08T00:00:00"/>
    <x v="3"/>
    <x v="2"/>
    <x v="0"/>
    <n v="419783966.38999999"/>
    <x v="3"/>
    <x v="2"/>
    <x v="0"/>
    <x v="12"/>
    <x v="3"/>
    <x v="3"/>
    <x v="3"/>
    <x v="3"/>
    <x v="9"/>
    <n v="8"/>
    <x v="0"/>
  </r>
  <r>
    <d v="2022-07-08T00:00:00"/>
    <x v="3"/>
    <x v="2"/>
    <x v="1"/>
    <n v="9779988275.4099998"/>
    <x v="3"/>
    <x v="2"/>
    <x v="1"/>
    <x v="13"/>
    <x v="3"/>
    <x v="3"/>
    <x v="3"/>
    <x v="3"/>
    <x v="9"/>
    <n v="8"/>
    <x v="0"/>
  </r>
  <r>
    <d v="2022-07-08T00:00:00"/>
    <x v="3"/>
    <x v="1"/>
    <x v="0"/>
    <n v="15437773.66"/>
    <x v="3"/>
    <x v="1"/>
    <x v="0"/>
    <x v="14"/>
    <x v="3"/>
    <x v="3"/>
    <x v="3"/>
    <x v="3"/>
    <x v="9"/>
    <n v="8"/>
    <x v="0"/>
  </r>
  <r>
    <d v="2022-07-07T00:00:00"/>
    <x v="3"/>
    <x v="2"/>
    <x v="2"/>
    <n v="166226.26"/>
    <x v="3"/>
    <x v="2"/>
    <x v="2"/>
    <x v="4"/>
    <x v="3"/>
    <x v="3"/>
    <x v="3"/>
    <x v="3"/>
    <x v="9"/>
    <n v="7"/>
    <x v="0"/>
  </r>
  <r>
    <d v="2022-07-07T00:00:00"/>
    <x v="3"/>
    <x v="3"/>
    <x v="0"/>
    <n v="1791666614.1099999"/>
    <x v="3"/>
    <x v="3"/>
    <x v="0"/>
    <x v="7"/>
    <x v="3"/>
    <x v="3"/>
    <x v="3"/>
    <x v="3"/>
    <x v="9"/>
    <n v="7"/>
    <x v="0"/>
  </r>
  <r>
    <d v="2022-07-07T00:00:00"/>
    <x v="0"/>
    <x v="1"/>
    <x v="1"/>
    <n v="28948025.23"/>
    <x v="0"/>
    <x v="1"/>
    <x v="1"/>
    <x v="2"/>
    <x v="3"/>
    <x v="3"/>
    <x v="3"/>
    <x v="3"/>
    <x v="9"/>
    <n v="7"/>
    <x v="0"/>
  </r>
  <r>
    <d v="2022-07-07T00:00:00"/>
    <x v="1"/>
    <x v="0"/>
    <x v="0"/>
    <n v="56530690"/>
    <x v="1"/>
    <x v="0"/>
    <x v="0"/>
    <x v="8"/>
    <x v="3"/>
    <x v="3"/>
    <x v="3"/>
    <x v="3"/>
    <x v="9"/>
    <n v="7"/>
    <x v="0"/>
  </r>
  <r>
    <d v="2022-07-07T00:00:00"/>
    <x v="1"/>
    <x v="1"/>
    <x v="0"/>
    <n v="134.5"/>
    <x v="1"/>
    <x v="1"/>
    <x v="0"/>
    <x v="0"/>
    <x v="3"/>
    <x v="3"/>
    <x v="3"/>
    <x v="3"/>
    <x v="9"/>
    <n v="7"/>
    <x v="0"/>
  </r>
  <r>
    <d v="2022-07-07T00:00:00"/>
    <x v="2"/>
    <x v="1"/>
    <x v="2"/>
    <n v="22174.02"/>
    <x v="2"/>
    <x v="1"/>
    <x v="2"/>
    <x v="3"/>
    <x v="3"/>
    <x v="3"/>
    <x v="3"/>
    <x v="3"/>
    <x v="9"/>
    <n v="7"/>
    <x v="0"/>
  </r>
  <r>
    <d v="2022-07-07T00:00:00"/>
    <x v="0"/>
    <x v="1"/>
    <x v="0"/>
    <n v="24365894.120000001"/>
    <x v="0"/>
    <x v="1"/>
    <x v="0"/>
    <x v="1"/>
    <x v="3"/>
    <x v="3"/>
    <x v="3"/>
    <x v="3"/>
    <x v="9"/>
    <n v="7"/>
    <x v="0"/>
  </r>
  <r>
    <d v="2022-07-07T00:00:00"/>
    <x v="2"/>
    <x v="1"/>
    <x v="0"/>
    <n v="114068141.44"/>
    <x v="2"/>
    <x v="1"/>
    <x v="0"/>
    <x v="5"/>
    <x v="3"/>
    <x v="3"/>
    <x v="3"/>
    <x v="3"/>
    <x v="9"/>
    <n v="7"/>
    <x v="0"/>
  </r>
  <r>
    <d v="2022-07-07T00:00:00"/>
    <x v="2"/>
    <x v="1"/>
    <x v="1"/>
    <n v="262037754.58000001"/>
    <x v="2"/>
    <x v="1"/>
    <x v="1"/>
    <x v="6"/>
    <x v="3"/>
    <x v="3"/>
    <x v="3"/>
    <x v="3"/>
    <x v="9"/>
    <n v="7"/>
    <x v="0"/>
  </r>
  <r>
    <d v="2022-07-07T00:00:00"/>
    <x v="1"/>
    <x v="0"/>
    <x v="1"/>
    <n v="1081335132.05"/>
    <x v="1"/>
    <x v="0"/>
    <x v="1"/>
    <x v="9"/>
    <x v="3"/>
    <x v="3"/>
    <x v="3"/>
    <x v="3"/>
    <x v="9"/>
    <n v="7"/>
    <x v="0"/>
  </r>
  <r>
    <d v="2022-07-07T00:00:00"/>
    <x v="3"/>
    <x v="2"/>
    <x v="0"/>
    <n v="644638777.59000003"/>
    <x v="3"/>
    <x v="2"/>
    <x v="0"/>
    <x v="10"/>
    <x v="3"/>
    <x v="3"/>
    <x v="3"/>
    <x v="3"/>
    <x v="9"/>
    <n v="7"/>
    <x v="0"/>
  </r>
  <r>
    <d v="2022-07-07T00:00:00"/>
    <x v="3"/>
    <x v="2"/>
    <x v="1"/>
    <n v="11815887942.92"/>
    <x v="3"/>
    <x v="2"/>
    <x v="1"/>
    <x v="11"/>
    <x v="3"/>
    <x v="3"/>
    <x v="3"/>
    <x v="3"/>
    <x v="9"/>
    <n v="7"/>
    <x v="0"/>
  </r>
  <r>
    <d v="2022-07-07T00:00:00"/>
    <x v="3"/>
    <x v="1"/>
    <x v="0"/>
    <n v="15094180.390000001"/>
    <x v="3"/>
    <x v="1"/>
    <x v="0"/>
    <x v="12"/>
    <x v="3"/>
    <x v="3"/>
    <x v="3"/>
    <x v="3"/>
    <x v="9"/>
    <n v="7"/>
    <x v="0"/>
  </r>
  <r>
    <d v="2022-07-06T00:00:00"/>
    <x v="3"/>
    <x v="3"/>
    <x v="0"/>
    <n v="2777385341.46"/>
    <x v="3"/>
    <x v="3"/>
    <x v="0"/>
    <x v="6"/>
    <x v="3"/>
    <x v="3"/>
    <x v="3"/>
    <x v="3"/>
    <x v="9"/>
    <n v="6"/>
    <x v="0"/>
  </r>
  <r>
    <d v="2022-07-06T00:00:00"/>
    <x v="2"/>
    <x v="1"/>
    <x v="0"/>
    <n v="107310845.20999999"/>
    <x v="2"/>
    <x v="1"/>
    <x v="0"/>
    <x v="7"/>
    <x v="3"/>
    <x v="3"/>
    <x v="3"/>
    <x v="3"/>
    <x v="9"/>
    <n v="6"/>
    <x v="0"/>
  </r>
  <r>
    <d v="2022-07-06T00:00:00"/>
    <x v="0"/>
    <x v="1"/>
    <x v="1"/>
    <n v="12473983.970000001"/>
    <x v="0"/>
    <x v="1"/>
    <x v="1"/>
    <x v="3"/>
    <x v="3"/>
    <x v="3"/>
    <x v="3"/>
    <x v="3"/>
    <x v="9"/>
    <n v="6"/>
    <x v="0"/>
  </r>
  <r>
    <d v="2022-07-06T00:00:00"/>
    <x v="1"/>
    <x v="1"/>
    <x v="0"/>
    <n v="1298"/>
    <x v="1"/>
    <x v="1"/>
    <x v="0"/>
    <x v="0"/>
    <x v="3"/>
    <x v="3"/>
    <x v="3"/>
    <x v="3"/>
    <x v="9"/>
    <n v="6"/>
    <x v="0"/>
  </r>
  <r>
    <d v="2022-07-06T00:00:00"/>
    <x v="0"/>
    <x v="0"/>
    <x v="0"/>
    <n v="177.12"/>
    <x v="0"/>
    <x v="0"/>
    <x v="0"/>
    <x v="1"/>
    <x v="3"/>
    <x v="3"/>
    <x v="3"/>
    <x v="3"/>
    <x v="9"/>
    <n v="6"/>
    <x v="0"/>
  </r>
  <r>
    <d v="2022-07-06T00:00:00"/>
    <x v="1"/>
    <x v="0"/>
    <x v="0"/>
    <n v="91304659.329999998"/>
    <x v="1"/>
    <x v="0"/>
    <x v="0"/>
    <x v="9"/>
    <x v="3"/>
    <x v="3"/>
    <x v="3"/>
    <x v="3"/>
    <x v="9"/>
    <n v="6"/>
    <x v="0"/>
  </r>
  <r>
    <d v="2022-07-06T00:00:00"/>
    <x v="1"/>
    <x v="0"/>
    <x v="1"/>
    <n v="338926120.38"/>
    <x v="1"/>
    <x v="0"/>
    <x v="1"/>
    <x v="10"/>
    <x v="3"/>
    <x v="3"/>
    <x v="3"/>
    <x v="3"/>
    <x v="9"/>
    <n v="6"/>
    <x v="0"/>
  </r>
  <r>
    <d v="2022-07-06T00:00:00"/>
    <x v="0"/>
    <x v="1"/>
    <x v="0"/>
    <n v="38989843.43"/>
    <x v="0"/>
    <x v="1"/>
    <x v="0"/>
    <x v="2"/>
    <x v="3"/>
    <x v="3"/>
    <x v="3"/>
    <x v="3"/>
    <x v="9"/>
    <n v="6"/>
    <x v="0"/>
  </r>
  <r>
    <d v="2022-07-06T00:00:00"/>
    <x v="2"/>
    <x v="1"/>
    <x v="2"/>
    <n v="7978"/>
    <x v="2"/>
    <x v="1"/>
    <x v="2"/>
    <x v="4"/>
    <x v="3"/>
    <x v="3"/>
    <x v="3"/>
    <x v="3"/>
    <x v="9"/>
    <n v="6"/>
    <x v="0"/>
  </r>
  <r>
    <d v="2022-07-06T00:00:00"/>
    <x v="3"/>
    <x v="2"/>
    <x v="2"/>
    <n v="156689"/>
    <x v="3"/>
    <x v="2"/>
    <x v="2"/>
    <x v="5"/>
    <x v="3"/>
    <x v="3"/>
    <x v="3"/>
    <x v="3"/>
    <x v="9"/>
    <n v="6"/>
    <x v="0"/>
  </r>
  <r>
    <d v="2022-07-06T00:00:00"/>
    <x v="2"/>
    <x v="1"/>
    <x v="1"/>
    <n v="262888596.44999999"/>
    <x v="2"/>
    <x v="1"/>
    <x v="1"/>
    <x v="8"/>
    <x v="3"/>
    <x v="3"/>
    <x v="3"/>
    <x v="3"/>
    <x v="9"/>
    <n v="6"/>
    <x v="0"/>
  </r>
  <r>
    <d v="2022-07-06T00:00:00"/>
    <x v="3"/>
    <x v="2"/>
    <x v="0"/>
    <n v="699766438.64999998"/>
    <x v="3"/>
    <x v="2"/>
    <x v="0"/>
    <x v="11"/>
    <x v="3"/>
    <x v="3"/>
    <x v="3"/>
    <x v="3"/>
    <x v="9"/>
    <n v="6"/>
    <x v="0"/>
  </r>
  <r>
    <d v="2022-07-06T00:00:00"/>
    <x v="3"/>
    <x v="2"/>
    <x v="1"/>
    <n v="6127555605.5100002"/>
    <x v="3"/>
    <x v="2"/>
    <x v="1"/>
    <x v="12"/>
    <x v="3"/>
    <x v="3"/>
    <x v="3"/>
    <x v="3"/>
    <x v="9"/>
    <n v="6"/>
    <x v="0"/>
  </r>
  <r>
    <d v="2022-07-06T00:00:00"/>
    <x v="3"/>
    <x v="1"/>
    <x v="0"/>
    <n v="13464151.15"/>
    <x v="3"/>
    <x v="1"/>
    <x v="0"/>
    <x v="13"/>
    <x v="3"/>
    <x v="3"/>
    <x v="3"/>
    <x v="3"/>
    <x v="9"/>
    <n v="6"/>
    <x v="0"/>
  </r>
  <r>
    <d v="2022-07-05T00:00:00"/>
    <x v="3"/>
    <x v="2"/>
    <x v="2"/>
    <n v="167625.62"/>
    <x v="3"/>
    <x v="2"/>
    <x v="2"/>
    <x v="3"/>
    <x v="3"/>
    <x v="3"/>
    <x v="3"/>
    <x v="3"/>
    <x v="9"/>
    <n v="5"/>
    <x v="0"/>
  </r>
  <r>
    <d v="2022-07-05T00:00:00"/>
    <x v="2"/>
    <x v="1"/>
    <x v="2"/>
    <n v="278809.09999999998"/>
    <x v="2"/>
    <x v="1"/>
    <x v="2"/>
    <x v="1"/>
    <x v="3"/>
    <x v="3"/>
    <x v="3"/>
    <x v="3"/>
    <x v="9"/>
    <n v="5"/>
    <x v="0"/>
  </r>
  <r>
    <d v="2022-07-05T00:00:00"/>
    <x v="0"/>
    <x v="1"/>
    <x v="1"/>
    <n v="7525331.3600000003"/>
    <x v="0"/>
    <x v="1"/>
    <x v="1"/>
    <x v="2"/>
    <x v="3"/>
    <x v="3"/>
    <x v="3"/>
    <x v="3"/>
    <x v="9"/>
    <n v="5"/>
    <x v="0"/>
  </r>
  <r>
    <d v="2022-07-05T00:00:00"/>
    <x v="0"/>
    <x v="1"/>
    <x v="0"/>
    <n v="17936281.34"/>
    <x v="0"/>
    <x v="1"/>
    <x v="0"/>
    <x v="0"/>
    <x v="3"/>
    <x v="3"/>
    <x v="3"/>
    <x v="3"/>
    <x v="9"/>
    <n v="5"/>
    <x v="0"/>
  </r>
  <r>
    <d v="2022-07-05T00:00:00"/>
    <x v="1"/>
    <x v="0"/>
    <x v="0"/>
    <n v="49127217.729999997"/>
    <x v="1"/>
    <x v="0"/>
    <x v="0"/>
    <x v="7"/>
    <x v="3"/>
    <x v="3"/>
    <x v="3"/>
    <x v="3"/>
    <x v="9"/>
    <n v="5"/>
    <x v="0"/>
  </r>
  <r>
    <d v="2022-07-05T00:00:00"/>
    <x v="2"/>
    <x v="1"/>
    <x v="0"/>
    <n v="115252985.2"/>
    <x v="2"/>
    <x v="1"/>
    <x v="0"/>
    <x v="5"/>
    <x v="3"/>
    <x v="3"/>
    <x v="3"/>
    <x v="3"/>
    <x v="9"/>
    <n v="5"/>
    <x v="0"/>
  </r>
  <r>
    <d v="2022-07-05T00:00:00"/>
    <x v="2"/>
    <x v="1"/>
    <x v="1"/>
    <n v="200512274.72999999"/>
    <x v="2"/>
    <x v="1"/>
    <x v="1"/>
    <x v="6"/>
    <x v="3"/>
    <x v="3"/>
    <x v="3"/>
    <x v="3"/>
    <x v="9"/>
    <n v="5"/>
    <x v="0"/>
  </r>
  <r>
    <d v="2022-07-05T00:00:00"/>
    <x v="3"/>
    <x v="3"/>
    <x v="0"/>
    <n v="1171261930.1700001"/>
    <x v="3"/>
    <x v="3"/>
    <x v="0"/>
    <x v="4"/>
    <x v="3"/>
    <x v="3"/>
    <x v="3"/>
    <x v="3"/>
    <x v="9"/>
    <n v="5"/>
    <x v="0"/>
  </r>
  <r>
    <d v="2022-07-05T00:00:00"/>
    <x v="1"/>
    <x v="0"/>
    <x v="1"/>
    <n v="365038808.83999997"/>
    <x v="1"/>
    <x v="0"/>
    <x v="1"/>
    <x v="8"/>
    <x v="3"/>
    <x v="3"/>
    <x v="3"/>
    <x v="3"/>
    <x v="9"/>
    <n v="5"/>
    <x v="0"/>
  </r>
  <r>
    <d v="2022-07-05T00:00:00"/>
    <x v="3"/>
    <x v="2"/>
    <x v="0"/>
    <n v="933983540.86000001"/>
    <x v="3"/>
    <x v="2"/>
    <x v="0"/>
    <x v="9"/>
    <x v="3"/>
    <x v="3"/>
    <x v="3"/>
    <x v="3"/>
    <x v="9"/>
    <n v="5"/>
    <x v="0"/>
  </r>
  <r>
    <d v="2022-07-05T00:00:00"/>
    <x v="3"/>
    <x v="2"/>
    <x v="1"/>
    <n v="23565130137.639999"/>
    <x v="3"/>
    <x v="2"/>
    <x v="1"/>
    <x v="10"/>
    <x v="3"/>
    <x v="3"/>
    <x v="3"/>
    <x v="3"/>
    <x v="9"/>
    <n v="5"/>
    <x v="0"/>
  </r>
  <r>
    <d v="2022-07-05T00:00:00"/>
    <x v="3"/>
    <x v="1"/>
    <x v="0"/>
    <n v="59716540.780000001"/>
    <x v="3"/>
    <x v="1"/>
    <x v="0"/>
    <x v="11"/>
    <x v="3"/>
    <x v="3"/>
    <x v="3"/>
    <x v="3"/>
    <x v="9"/>
    <n v="5"/>
    <x v="0"/>
  </r>
  <r>
    <d v="2022-07-01T00:00:00"/>
    <x v="2"/>
    <x v="1"/>
    <x v="2"/>
    <n v="1775"/>
    <x v="2"/>
    <x v="1"/>
    <x v="2"/>
    <x v="2"/>
    <x v="3"/>
    <x v="3"/>
    <x v="3"/>
    <x v="3"/>
    <x v="9"/>
    <n v="1"/>
    <x v="0"/>
  </r>
  <r>
    <d v="2022-07-01T00:00:00"/>
    <x v="2"/>
    <x v="1"/>
    <x v="0"/>
    <n v="105383701.67"/>
    <x v="2"/>
    <x v="1"/>
    <x v="0"/>
    <x v="5"/>
    <x v="3"/>
    <x v="3"/>
    <x v="3"/>
    <x v="3"/>
    <x v="9"/>
    <n v="1"/>
    <x v="0"/>
  </r>
  <r>
    <d v="2022-07-01T00:00:00"/>
    <x v="3"/>
    <x v="3"/>
    <x v="0"/>
    <n v="2771680104.8299999"/>
    <x v="3"/>
    <x v="3"/>
    <x v="0"/>
    <x v="6"/>
    <x v="3"/>
    <x v="3"/>
    <x v="3"/>
    <x v="3"/>
    <x v="9"/>
    <n v="1"/>
    <x v="0"/>
  </r>
  <r>
    <d v="2022-07-01T00:00:00"/>
    <x v="1"/>
    <x v="1"/>
    <x v="0"/>
    <n v="3062.5"/>
    <x v="1"/>
    <x v="1"/>
    <x v="0"/>
    <x v="0"/>
    <x v="3"/>
    <x v="3"/>
    <x v="3"/>
    <x v="3"/>
    <x v="9"/>
    <n v="1"/>
    <x v="0"/>
  </r>
  <r>
    <d v="2022-07-01T00:00:00"/>
    <x v="1"/>
    <x v="0"/>
    <x v="0"/>
    <n v="61759481.340000004"/>
    <x v="1"/>
    <x v="0"/>
    <x v="0"/>
    <x v="8"/>
    <x v="3"/>
    <x v="3"/>
    <x v="3"/>
    <x v="3"/>
    <x v="9"/>
    <n v="1"/>
    <x v="0"/>
  </r>
  <r>
    <d v="2022-07-01T00:00:00"/>
    <x v="0"/>
    <x v="1"/>
    <x v="0"/>
    <n v="10183896.07"/>
    <x v="0"/>
    <x v="1"/>
    <x v="0"/>
    <x v="1"/>
    <x v="3"/>
    <x v="3"/>
    <x v="3"/>
    <x v="3"/>
    <x v="9"/>
    <n v="1"/>
    <x v="0"/>
  </r>
  <r>
    <d v="2022-07-01T00:00:00"/>
    <x v="0"/>
    <x v="1"/>
    <x v="1"/>
    <n v="25003259.079999998"/>
    <x v="0"/>
    <x v="1"/>
    <x v="1"/>
    <x v="4"/>
    <x v="3"/>
    <x v="3"/>
    <x v="3"/>
    <x v="3"/>
    <x v="9"/>
    <n v="1"/>
    <x v="0"/>
  </r>
  <r>
    <d v="2022-07-01T00:00:00"/>
    <x v="3"/>
    <x v="2"/>
    <x v="2"/>
    <n v="183227"/>
    <x v="3"/>
    <x v="2"/>
    <x v="2"/>
    <x v="3"/>
    <x v="3"/>
    <x v="3"/>
    <x v="3"/>
    <x v="3"/>
    <x v="9"/>
    <n v="1"/>
    <x v="0"/>
  </r>
  <r>
    <d v="2022-07-01T00:00:00"/>
    <x v="2"/>
    <x v="1"/>
    <x v="1"/>
    <n v="238230980.69"/>
    <x v="2"/>
    <x v="1"/>
    <x v="1"/>
    <x v="7"/>
    <x v="3"/>
    <x v="3"/>
    <x v="3"/>
    <x v="3"/>
    <x v="9"/>
    <n v="1"/>
    <x v="0"/>
  </r>
  <r>
    <d v="2022-07-01T00:00:00"/>
    <x v="1"/>
    <x v="0"/>
    <x v="1"/>
    <n v="190830238.19999999"/>
    <x v="1"/>
    <x v="0"/>
    <x v="1"/>
    <x v="9"/>
    <x v="3"/>
    <x v="3"/>
    <x v="3"/>
    <x v="3"/>
    <x v="9"/>
    <n v="1"/>
    <x v="0"/>
  </r>
  <r>
    <d v="2022-07-01T00:00:00"/>
    <x v="3"/>
    <x v="2"/>
    <x v="0"/>
    <n v="423095597.36000001"/>
    <x v="3"/>
    <x v="2"/>
    <x v="0"/>
    <x v="10"/>
    <x v="3"/>
    <x v="3"/>
    <x v="3"/>
    <x v="3"/>
    <x v="9"/>
    <n v="1"/>
    <x v="0"/>
  </r>
  <r>
    <d v="2022-07-01T00:00:00"/>
    <x v="3"/>
    <x v="2"/>
    <x v="1"/>
    <n v="28978841637.66"/>
    <x v="3"/>
    <x v="2"/>
    <x v="1"/>
    <x v="11"/>
    <x v="3"/>
    <x v="3"/>
    <x v="3"/>
    <x v="3"/>
    <x v="9"/>
    <n v="1"/>
    <x v="0"/>
  </r>
  <r>
    <d v="2022-07-01T00:00:00"/>
    <x v="3"/>
    <x v="1"/>
    <x v="0"/>
    <n v="18082449.91"/>
    <x v="3"/>
    <x v="1"/>
    <x v="0"/>
    <x v="12"/>
    <x v="3"/>
    <x v="3"/>
    <x v="3"/>
    <x v="3"/>
    <x v="9"/>
    <n v="1"/>
    <x v="0"/>
  </r>
  <r>
    <d v="2022-06-30T00:00:00"/>
    <x v="3"/>
    <x v="2"/>
    <x v="2"/>
    <n v="280846.59999999998"/>
    <x v="3"/>
    <x v="2"/>
    <x v="2"/>
    <x v="3"/>
    <x v="3"/>
    <x v="0"/>
    <x v="3"/>
    <x v="0"/>
    <x v="10"/>
    <n v="30"/>
    <x v="0"/>
  </r>
  <r>
    <d v="2022-06-30T00:00:00"/>
    <x v="2"/>
    <x v="1"/>
    <x v="0"/>
    <n v="133933537.94"/>
    <x v="2"/>
    <x v="1"/>
    <x v="0"/>
    <x v="7"/>
    <x v="3"/>
    <x v="0"/>
    <x v="3"/>
    <x v="0"/>
    <x v="10"/>
    <n v="30"/>
    <x v="0"/>
  </r>
  <r>
    <d v="2022-06-30T00:00:00"/>
    <x v="1"/>
    <x v="1"/>
    <x v="0"/>
    <n v="456"/>
    <x v="1"/>
    <x v="1"/>
    <x v="0"/>
    <x v="1"/>
    <x v="3"/>
    <x v="0"/>
    <x v="3"/>
    <x v="0"/>
    <x v="10"/>
    <n v="30"/>
    <x v="0"/>
  </r>
  <r>
    <d v="2022-06-30T00:00:00"/>
    <x v="0"/>
    <x v="1"/>
    <x v="0"/>
    <n v="14860001.08"/>
    <x v="0"/>
    <x v="1"/>
    <x v="0"/>
    <x v="2"/>
    <x v="3"/>
    <x v="0"/>
    <x v="3"/>
    <x v="0"/>
    <x v="10"/>
    <n v="30"/>
    <x v="0"/>
  </r>
  <r>
    <d v="2022-06-30T00:00:00"/>
    <x v="2"/>
    <x v="1"/>
    <x v="1"/>
    <n v="325680439.11000001"/>
    <x v="2"/>
    <x v="1"/>
    <x v="1"/>
    <x v="8"/>
    <x v="3"/>
    <x v="0"/>
    <x v="3"/>
    <x v="0"/>
    <x v="10"/>
    <n v="30"/>
    <x v="0"/>
  </r>
  <r>
    <d v="2022-06-30T00:00:00"/>
    <x v="0"/>
    <x v="1"/>
    <x v="1"/>
    <n v="21998547.289999999"/>
    <x v="0"/>
    <x v="1"/>
    <x v="1"/>
    <x v="4"/>
    <x v="3"/>
    <x v="0"/>
    <x v="3"/>
    <x v="0"/>
    <x v="10"/>
    <n v="30"/>
    <x v="0"/>
  </r>
  <r>
    <d v="2022-06-30T00:00:00"/>
    <x v="2"/>
    <x v="1"/>
    <x v="2"/>
    <n v="29379.55"/>
    <x v="2"/>
    <x v="1"/>
    <x v="2"/>
    <x v="5"/>
    <x v="3"/>
    <x v="0"/>
    <x v="3"/>
    <x v="0"/>
    <x v="10"/>
    <n v="30"/>
    <x v="0"/>
  </r>
  <r>
    <d v="2022-06-30T00:00:00"/>
    <x v="0"/>
    <x v="0"/>
    <x v="0"/>
    <n v="260"/>
    <x v="0"/>
    <x v="0"/>
    <x v="0"/>
    <x v="0"/>
    <x v="3"/>
    <x v="0"/>
    <x v="3"/>
    <x v="0"/>
    <x v="10"/>
    <n v="30"/>
    <x v="0"/>
  </r>
  <r>
    <d v="2022-06-30T00:00:00"/>
    <x v="3"/>
    <x v="3"/>
    <x v="0"/>
    <n v="4403224716.4899998"/>
    <x v="3"/>
    <x v="3"/>
    <x v="0"/>
    <x v="6"/>
    <x v="3"/>
    <x v="0"/>
    <x v="3"/>
    <x v="0"/>
    <x v="10"/>
    <n v="30"/>
    <x v="0"/>
  </r>
  <r>
    <d v="2022-06-30T00:00:00"/>
    <x v="1"/>
    <x v="0"/>
    <x v="0"/>
    <n v="77145365.390000001"/>
    <x v="1"/>
    <x v="0"/>
    <x v="0"/>
    <x v="9"/>
    <x v="3"/>
    <x v="0"/>
    <x v="3"/>
    <x v="0"/>
    <x v="10"/>
    <n v="30"/>
    <x v="0"/>
  </r>
  <r>
    <d v="2022-06-30T00:00:00"/>
    <x v="1"/>
    <x v="0"/>
    <x v="1"/>
    <n v="455943022.57999998"/>
    <x v="1"/>
    <x v="0"/>
    <x v="1"/>
    <x v="10"/>
    <x v="3"/>
    <x v="0"/>
    <x v="3"/>
    <x v="0"/>
    <x v="10"/>
    <n v="30"/>
    <x v="0"/>
  </r>
  <r>
    <d v="2022-06-30T00:00:00"/>
    <x v="3"/>
    <x v="2"/>
    <x v="0"/>
    <n v="1037570442.03"/>
    <x v="3"/>
    <x v="2"/>
    <x v="0"/>
    <x v="11"/>
    <x v="3"/>
    <x v="0"/>
    <x v="3"/>
    <x v="0"/>
    <x v="10"/>
    <n v="30"/>
    <x v="0"/>
  </r>
  <r>
    <d v="2022-06-30T00:00:00"/>
    <x v="3"/>
    <x v="1"/>
    <x v="0"/>
    <n v="15456192.630000001"/>
    <x v="3"/>
    <x v="1"/>
    <x v="0"/>
    <x v="12"/>
    <x v="3"/>
    <x v="0"/>
    <x v="3"/>
    <x v="0"/>
    <x v="10"/>
    <n v="30"/>
    <x v="0"/>
  </r>
  <r>
    <d v="2022-06-30T00:00:00"/>
    <x v="3"/>
    <x v="2"/>
    <x v="1"/>
    <n v="6730825364.8100004"/>
    <x v="3"/>
    <x v="2"/>
    <x v="1"/>
    <x v="13"/>
    <x v="3"/>
    <x v="0"/>
    <x v="3"/>
    <x v="0"/>
    <x v="10"/>
    <n v="30"/>
    <x v="0"/>
  </r>
  <r>
    <d v="2022-06-29T00:00:00"/>
    <x v="2"/>
    <x v="1"/>
    <x v="0"/>
    <n v="100393943.69"/>
    <x v="2"/>
    <x v="1"/>
    <x v="0"/>
    <x v="5"/>
    <x v="3"/>
    <x v="0"/>
    <x v="3"/>
    <x v="0"/>
    <x v="10"/>
    <n v="29"/>
    <x v="0"/>
  </r>
  <r>
    <d v="2022-06-29T00:00:00"/>
    <x v="0"/>
    <x v="1"/>
    <x v="0"/>
    <n v="15190151.93"/>
    <x v="0"/>
    <x v="1"/>
    <x v="0"/>
    <x v="0"/>
    <x v="3"/>
    <x v="0"/>
    <x v="3"/>
    <x v="0"/>
    <x v="10"/>
    <n v="29"/>
    <x v="0"/>
  </r>
  <r>
    <d v="2022-06-29T00:00:00"/>
    <x v="3"/>
    <x v="3"/>
    <x v="1"/>
    <n v="812.08"/>
    <x v="3"/>
    <x v="3"/>
    <x v="1"/>
    <x v="1"/>
    <x v="3"/>
    <x v="0"/>
    <x v="3"/>
    <x v="0"/>
    <x v="10"/>
    <n v="29"/>
    <x v="0"/>
  </r>
  <r>
    <d v="2022-06-29T00:00:00"/>
    <x v="0"/>
    <x v="1"/>
    <x v="1"/>
    <n v="7565415.5999999996"/>
    <x v="0"/>
    <x v="1"/>
    <x v="1"/>
    <x v="2"/>
    <x v="3"/>
    <x v="0"/>
    <x v="3"/>
    <x v="0"/>
    <x v="10"/>
    <n v="29"/>
    <x v="0"/>
  </r>
  <r>
    <d v="2022-06-29T00:00:00"/>
    <x v="1"/>
    <x v="0"/>
    <x v="0"/>
    <n v="79157895.209999993"/>
    <x v="1"/>
    <x v="0"/>
    <x v="0"/>
    <x v="7"/>
    <x v="3"/>
    <x v="0"/>
    <x v="3"/>
    <x v="0"/>
    <x v="10"/>
    <n v="29"/>
    <x v="0"/>
  </r>
  <r>
    <d v="2022-06-29T00:00:00"/>
    <x v="3"/>
    <x v="2"/>
    <x v="2"/>
    <n v="165747.25"/>
    <x v="3"/>
    <x v="2"/>
    <x v="2"/>
    <x v="3"/>
    <x v="3"/>
    <x v="0"/>
    <x v="3"/>
    <x v="0"/>
    <x v="10"/>
    <n v="29"/>
    <x v="0"/>
  </r>
  <r>
    <d v="2022-06-29T00:00:00"/>
    <x v="2"/>
    <x v="1"/>
    <x v="1"/>
    <n v="344719463.83999997"/>
    <x v="2"/>
    <x v="1"/>
    <x v="1"/>
    <x v="6"/>
    <x v="3"/>
    <x v="0"/>
    <x v="3"/>
    <x v="0"/>
    <x v="10"/>
    <n v="29"/>
    <x v="0"/>
  </r>
  <r>
    <d v="2022-06-29T00:00:00"/>
    <x v="3"/>
    <x v="3"/>
    <x v="0"/>
    <n v="2031161946.77"/>
    <x v="3"/>
    <x v="3"/>
    <x v="0"/>
    <x v="4"/>
    <x v="3"/>
    <x v="0"/>
    <x v="3"/>
    <x v="0"/>
    <x v="10"/>
    <n v="29"/>
    <x v="0"/>
  </r>
  <r>
    <d v="2022-06-29T00:00:00"/>
    <x v="1"/>
    <x v="0"/>
    <x v="1"/>
    <n v="1406031868.24"/>
    <x v="1"/>
    <x v="0"/>
    <x v="1"/>
    <x v="8"/>
    <x v="3"/>
    <x v="0"/>
    <x v="3"/>
    <x v="0"/>
    <x v="10"/>
    <n v="29"/>
    <x v="0"/>
  </r>
  <r>
    <d v="2022-06-29T00:00:00"/>
    <x v="3"/>
    <x v="2"/>
    <x v="0"/>
    <n v="663669226.14999998"/>
    <x v="3"/>
    <x v="2"/>
    <x v="0"/>
    <x v="9"/>
    <x v="3"/>
    <x v="0"/>
    <x v="3"/>
    <x v="0"/>
    <x v="10"/>
    <n v="29"/>
    <x v="0"/>
  </r>
  <r>
    <d v="2022-06-29T00:00:00"/>
    <x v="3"/>
    <x v="1"/>
    <x v="0"/>
    <n v="15168143.75"/>
    <x v="3"/>
    <x v="1"/>
    <x v="0"/>
    <x v="10"/>
    <x v="3"/>
    <x v="0"/>
    <x v="3"/>
    <x v="0"/>
    <x v="10"/>
    <n v="29"/>
    <x v="0"/>
  </r>
  <r>
    <d v="2022-06-29T00:00:00"/>
    <x v="3"/>
    <x v="2"/>
    <x v="1"/>
    <n v="12096236437.790001"/>
    <x v="3"/>
    <x v="2"/>
    <x v="1"/>
    <x v="11"/>
    <x v="3"/>
    <x v="0"/>
    <x v="3"/>
    <x v="0"/>
    <x v="10"/>
    <n v="29"/>
    <x v="0"/>
  </r>
  <r>
    <d v="2022-06-28T00:00:00"/>
    <x v="2"/>
    <x v="1"/>
    <x v="0"/>
    <n v="94800647.390000001"/>
    <x v="2"/>
    <x v="1"/>
    <x v="0"/>
    <x v="8"/>
    <x v="3"/>
    <x v="0"/>
    <x v="3"/>
    <x v="0"/>
    <x v="10"/>
    <n v="28"/>
    <x v="0"/>
  </r>
  <r>
    <d v="2022-06-28T00:00:00"/>
    <x v="1"/>
    <x v="1"/>
    <x v="0"/>
    <n v="194.5"/>
    <x v="1"/>
    <x v="1"/>
    <x v="0"/>
    <x v="1"/>
    <x v="3"/>
    <x v="0"/>
    <x v="3"/>
    <x v="0"/>
    <x v="10"/>
    <n v="28"/>
    <x v="0"/>
  </r>
  <r>
    <d v="2022-06-28T00:00:00"/>
    <x v="0"/>
    <x v="1"/>
    <x v="0"/>
    <n v="45678865.359999999"/>
    <x v="0"/>
    <x v="1"/>
    <x v="0"/>
    <x v="2"/>
    <x v="3"/>
    <x v="0"/>
    <x v="3"/>
    <x v="0"/>
    <x v="10"/>
    <n v="28"/>
    <x v="0"/>
  </r>
  <r>
    <d v="2022-06-28T00:00:00"/>
    <x v="3"/>
    <x v="3"/>
    <x v="1"/>
    <n v="31235.52"/>
    <x v="3"/>
    <x v="3"/>
    <x v="1"/>
    <x v="4"/>
    <x v="3"/>
    <x v="0"/>
    <x v="3"/>
    <x v="0"/>
    <x v="10"/>
    <n v="28"/>
    <x v="0"/>
  </r>
  <r>
    <d v="2022-06-28T00:00:00"/>
    <x v="0"/>
    <x v="1"/>
    <x v="1"/>
    <n v="31304740.280000001"/>
    <x v="0"/>
    <x v="1"/>
    <x v="1"/>
    <x v="5"/>
    <x v="3"/>
    <x v="0"/>
    <x v="3"/>
    <x v="0"/>
    <x v="10"/>
    <n v="28"/>
    <x v="0"/>
  </r>
  <r>
    <d v="2022-06-28T00:00:00"/>
    <x v="2"/>
    <x v="1"/>
    <x v="2"/>
    <n v="14826.64"/>
    <x v="2"/>
    <x v="1"/>
    <x v="2"/>
    <x v="6"/>
    <x v="3"/>
    <x v="0"/>
    <x v="3"/>
    <x v="0"/>
    <x v="10"/>
    <n v="28"/>
    <x v="0"/>
  </r>
  <r>
    <d v="2022-06-28T00:00:00"/>
    <x v="0"/>
    <x v="0"/>
    <x v="0"/>
    <n v="462.78"/>
    <x v="0"/>
    <x v="0"/>
    <x v="0"/>
    <x v="0"/>
    <x v="3"/>
    <x v="0"/>
    <x v="3"/>
    <x v="0"/>
    <x v="10"/>
    <n v="28"/>
    <x v="0"/>
  </r>
  <r>
    <d v="2022-06-28T00:00:00"/>
    <x v="3"/>
    <x v="2"/>
    <x v="2"/>
    <n v="155442"/>
    <x v="3"/>
    <x v="2"/>
    <x v="2"/>
    <x v="3"/>
    <x v="3"/>
    <x v="0"/>
    <x v="3"/>
    <x v="0"/>
    <x v="10"/>
    <n v="28"/>
    <x v="0"/>
  </r>
  <r>
    <d v="2022-06-28T00:00:00"/>
    <x v="3"/>
    <x v="3"/>
    <x v="0"/>
    <n v="3424054092.02"/>
    <x v="3"/>
    <x v="3"/>
    <x v="0"/>
    <x v="7"/>
    <x v="3"/>
    <x v="0"/>
    <x v="3"/>
    <x v="0"/>
    <x v="10"/>
    <n v="28"/>
    <x v="0"/>
  </r>
  <r>
    <d v="2022-06-28T00:00:00"/>
    <x v="2"/>
    <x v="1"/>
    <x v="1"/>
    <n v="267134732.00999999"/>
    <x v="2"/>
    <x v="1"/>
    <x v="1"/>
    <x v="9"/>
    <x v="3"/>
    <x v="0"/>
    <x v="3"/>
    <x v="0"/>
    <x v="10"/>
    <n v="28"/>
    <x v="0"/>
  </r>
  <r>
    <d v="2022-06-28T00:00:00"/>
    <x v="1"/>
    <x v="0"/>
    <x v="0"/>
    <n v="73056730.640000001"/>
    <x v="1"/>
    <x v="0"/>
    <x v="0"/>
    <x v="10"/>
    <x v="3"/>
    <x v="0"/>
    <x v="3"/>
    <x v="0"/>
    <x v="10"/>
    <n v="28"/>
    <x v="0"/>
  </r>
  <r>
    <d v="2022-06-28T00:00:00"/>
    <x v="1"/>
    <x v="0"/>
    <x v="1"/>
    <n v="1074063096.3699999"/>
    <x v="1"/>
    <x v="0"/>
    <x v="1"/>
    <x v="11"/>
    <x v="3"/>
    <x v="0"/>
    <x v="3"/>
    <x v="0"/>
    <x v="10"/>
    <n v="28"/>
    <x v="0"/>
  </r>
  <r>
    <d v="2022-06-28T00:00:00"/>
    <x v="3"/>
    <x v="2"/>
    <x v="0"/>
    <n v="533666924.81999999"/>
    <x v="3"/>
    <x v="2"/>
    <x v="0"/>
    <x v="12"/>
    <x v="3"/>
    <x v="0"/>
    <x v="3"/>
    <x v="0"/>
    <x v="10"/>
    <n v="28"/>
    <x v="0"/>
  </r>
  <r>
    <d v="2022-06-28T00:00:00"/>
    <x v="3"/>
    <x v="2"/>
    <x v="1"/>
    <n v="3028842304.0300002"/>
    <x v="3"/>
    <x v="2"/>
    <x v="1"/>
    <x v="13"/>
    <x v="3"/>
    <x v="0"/>
    <x v="3"/>
    <x v="0"/>
    <x v="10"/>
    <n v="28"/>
    <x v="0"/>
  </r>
  <r>
    <d v="2022-06-28T00:00:00"/>
    <x v="3"/>
    <x v="1"/>
    <x v="0"/>
    <n v="11051402.49"/>
    <x v="3"/>
    <x v="1"/>
    <x v="0"/>
    <x v="14"/>
    <x v="3"/>
    <x v="0"/>
    <x v="3"/>
    <x v="0"/>
    <x v="10"/>
    <n v="28"/>
    <x v="0"/>
  </r>
  <r>
    <d v="2022-06-27T00:00:00"/>
    <x v="2"/>
    <x v="1"/>
    <x v="2"/>
    <n v="3040"/>
    <x v="2"/>
    <x v="1"/>
    <x v="2"/>
    <x v="1"/>
    <x v="3"/>
    <x v="0"/>
    <x v="3"/>
    <x v="0"/>
    <x v="10"/>
    <n v="27"/>
    <x v="0"/>
  </r>
  <r>
    <d v="2022-06-27T00:00:00"/>
    <x v="0"/>
    <x v="1"/>
    <x v="0"/>
    <n v="13414692.93"/>
    <x v="0"/>
    <x v="1"/>
    <x v="0"/>
    <x v="0"/>
    <x v="3"/>
    <x v="0"/>
    <x v="3"/>
    <x v="0"/>
    <x v="10"/>
    <n v="27"/>
    <x v="0"/>
  </r>
  <r>
    <d v="2022-06-27T00:00:00"/>
    <x v="2"/>
    <x v="1"/>
    <x v="1"/>
    <n v="281303437.88999999"/>
    <x v="2"/>
    <x v="1"/>
    <x v="1"/>
    <x v="7"/>
    <x v="3"/>
    <x v="0"/>
    <x v="3"/>
    <x v="0"/>
    <x v="10"/>
    <n v="27"/>
    <x v="0"/>
  </r>
  <r>
    <d v="2022-06-27T00:00:00"/>
    <x v="1"/>
    <x v="0"/>
    <x v="0"/>
    <n v="78013440.349999994"/>
    <x v="1"/>
    <x v="0"/>
    <x v="0"/>
    <x v="8"/>
    <x v="3"/>
    <x v="0"/>
    <x v="3"/>
    <x v="0"/>
    <x v="10"/>
    <n v="27"/>
    <x v="0"/>
  </r>
  <r>
    <d v="2022-06-27T00:00:00"/>
    <x v="3"/>
    <x v="3"/>
    <x v="1"/>
    <n v="266114.18"/>
    <x v="3"/>
    <x v="3"/>
    <x v="1"/>
    <x v="2"/>
    <x v="3"/>
    <x v="0"/>
    <x v="3"/>
    <x v="0"/>
    <x v="10"/>
    <n v="27"/>
    <x v="0"/>
  </r>
  <r>
    <d v="2022-06-27T00:00:00"/>
    <x v="0"/>
    <x v="1"/>
    <x v="1"/>
    <n v="12097274.539999999"/>
    <x v="0"/>
    <x v="1"/>
    <x v="1"/>
    <x v="3"/>
    <x v="3"/>
    <x v="0"/>
    <x v="3"/>
    <x v="0"/>
    <x v="10"/>
    <n v="27"/>
    <x v="0"/>
  </r>
  <r>
    <d v="2022-06-27T00:00:00"/>
    <x v="3"/>
    <x v="2"/>
    <x v="2"/>
    <n v="376817.06"/>
    <x v="3"/>
    <x v="2"/>
    <x v="2"/>
    <x v="4"/>
    <x v="3"/>
    <x v="0"/>
    <x v="3"/>
    <x v="0"/>
    <x v="10"/>
    <n v="27"/>
    <x v="0"/>
  </r>
  <r>
    <d v="2022-06-27T00:00:00"/>
    <x v="2"/>
    <x v="1"/>
    <x v="0"/>
    <n v="96830910.439999998"/>
    <x v="2"/>
    <x v="1"/>
    <x v="0"/>
    <x v="5"/>
    <x v="3"/>
    <x v="0"/>
    <x v="3"/>
    <x v="0"/>
    <x v="10"/>
    <n v="27"/>
    <x v="0"/>
  </r>
  <r>
    <d v="2022-06-27T00:00:00"/>
    <x v="3"/>
    <x v="3"/>
    <x v="0"/>
    <n v="1833328270.8900001"/>
    <x v="3"/>
    <x v="3"/>
    <x v="0"/>
    <x v="6"/>
    <x v="3"/>
    <x v="0"/>
    <x v="3"/>
    <x v="0"/>
    <x v="10"/>
    <n v="27"/>
    <x v="0"/>
  </r>
  <r>
    <d v="2022-06-27T00:00:00"/>
    <x v="1"/>
    <x v="0"/>
    <x v="1"/>
    <n v="1217159776.3699999"/>
    <x v="1"/>
    <x v="0"/>
    <x v="1"/>
    <x v="9"/>
    <x v="3"/>
    <x v="0"/>
    <x v="3"/>
    <x v="0"/>
    <x v="10"/>
    <n v="27"/>
    <x v="0"/>
  </r>
  <r>
    <d v="2022-06-27T00:00:00"/>
    <x v="3"/>
    <x v="2"/>
    <x v="0"/>
    <n v="415383002.48000002"/>
    <x v="3"/>
    <x v="2"/>
    <x v="0"/>
    <x v="10"/>
    <x v="3"/>
    <x v="0"/>
    <x v="3"/>
    <x v="0"/>
    <x v="10"/>
    <n v="27"/>
    <x v="0"/>
  </r>
  <r>
    <d v="2022-06-27T00:00:00"/>
    <x v="3"/>
    <x v="2"/>
    <x v="1"/>
    <n v="23909808836.919998"/>
    <x v="3"/>
    <x v="2"/>
    <x v="1"/>
    <x v="11"/>
    <x v="3"/>
    <x v="0"/>
    <x v="3"/>
    <x v="0"/>
    <x v="10"/>
    <n v="27"/>
    <x v="0"/>
  </r>
  <r>
    <d v="2022-06-27T00:00:00"/>
    <x v="3"/>
    <x v="1"/>
    <x v="0"/>
    <n v="43547549.43"/>
    <x v="3"/>
    <x v="1"/>
    <x v="0"/>
    <x v="12"/>
    <x v="3"/>
    <x v="0"/>
    <x v="3"/>
    <x v="0"/>
    <x v="10"/>
    <n v="27"/>
    <x v="0"/>
  </r>
  <r>
    <d v="2022-06-24T00:00:00"/>
    <x v="3"/>
    <x v="2"/>
    <x v="2"/>
    <n v="97784.13"/>
    <x v="3"/>
    <x v="2"/>
    <x v="2"/>
    <x v="4"/>
    <x v="3"/>
    <x v="0"/>
    <x v="3"/>
    <x v="0"/>
    <x v="10"/>
    <n v="24"/>
    <x v="0"/>
  </r>
  <r>
    <d v="2022-06-24T00:00:00"/>
    <x v="2"/>
    <x v="1"/>
    <x v="0"/>
    <n v="106479126.8"/>
    <x v="2"/>
    <x v="1"/>
    <x v="0"/>
    <x v="5"/>
    <x v="3"/>
    <x v="0"/>
    <x v="3"/>
    <x v="0"/>
    <x v="10"/>
    <n v="24"/>
    <x v="0"/>
  </r>
  <r>
    <d v="2022-06-24T00:00:00"/>
    <x v="1"/>
    <x v="1"/>
    <x v="0"/>
    <n v="6818.64"/>
    <x v="1"/>
    <x v="1"/>
    <x v="0"/>
    <x v="0"/>
    <x v="3"/>
    <x v="0"/>
    <x v="3"/>
    <x v="0"/>
    <x v="10"/>
    <n v="24"/>
    <x v="0"/>
  </r>
  <r>
    <d v="2022-06-24T00:00:00"/>
    <x v="0"/>
    <x v="1"/>
    <x v="0"/>
    <n v="40958489.689999998"/>
    <x v="0"/>
    <x v="1"/>
    <x v="0"/>
    <x v="1"/>
    <x v="3"/>
    <x v="0"/>
    <x v="3"/>
    <x v="0"/>
    <x v="10"/>
    <n v="24"/>
    <x v="0"/>
  </r>
  <r>
    <d v="2022-06-24T00:00:00"/>
    <x v="2"/>
    <x v="1"/>
    <x v="2"/>
    <n v="9268"/>
    <x v="2"/>
    <x v="1"/>
    <x v="2"/>
    <x v="3"/>
    <x v="3"/>
    <x v="0"/>
    <x v="3"/>
    <x v="0"/>
    <x v="10"/>
    <n v="24"/>
    <x v="0"/>
  </r>
  <r>
    <d v="2022-06-24T00:00:00"/>
    <x v="2"/>
    <x v="1"/>
    <x v="1"/>
    <n v="282888477.13"/>
    <x v="2"/>
    <x v="1"/>
    <x v="1"/>
    <x v="7"/>
    <x v="3"/>
    <x v="0"/>
    <x v="3"/>
    <x v="0"/>
    <x v="10"/>
    <n v="24"/>
    <x v="0"/>
  </r>
  <r>
    <d v="2022-06-24T00:00:00"/>
    <x v="0"/>
    <x v="1"/>
    <x v="1"/>
    <n v="3526454.45"/>
    <x v="0"/>
    <x v="1"/>
    <x v="1"/>
    <x v="2"/>
    <x v="3"/>
    <x v="0"/>
    <x v="3"/>
    <x v="0"/>
    <x v="10"/>
    <n v="24"/>
    <x v="0"/>
  </r>
  <r>
    <d v="2022-06-24T00:00:00"/>
    <x v="1"/>
    <x v="0"/>
    <x v="0"/>
    <n v="93119193.409999996"/>
    <x v="1"/>
    <x v="0"/>
    <x v="0"/>
    <x v="8"/>
    <x v="3"/>
    <x v="0"/>
    <x v="3"/>
    <x v="0"/>
    <x v="10"/>
    <n v="24"/>
    <x v="0"/>
  </r>
  <r>
    <d v="2022-06-24T00:00:00"/>
    <x v="3"/>
    <x v="3"/>
    <x v="0"/>
    <n v="2358894326.7600002"/>
    <x v="3"/>
    <x v="3"/>
    <x v="0"/>
    <x v="6"/>
    <x v="3"/>
    <x v="0"/>
    <x v="3"/>
    <x v="0"/>
    <x v="10"/>
    <n v="24"/>
    <x v="0"/>
  </r>
  <r>
    <d v="2022-06-24T00:00:00"/>
    <x v="1"/>
    <x v="0"/>
    <x v="1"/>
    <n v="6004306609.5600004"/>
    <x v="1"/>
    <x v="0"/>
    <x v="1"/>
    <x v="9"/>
    <x v="3"/>
    <x v="0"/>
    <x v="3"/>
    <x v="0"/>
    <x v="10"/>
    <n v="24"/>
    <x v="0"/>
  </r>
  <r>
    <d v="2022-06-24T00:00:00"/>
    <x v="3"/>
    <x v="2"/>
    <x v="0"/>
    <n v="326798783.16000003"/>
    <x v="3"/>
    <x v="2"/>
    <x v="0"/>
    <x v="10"/>
    <x v="3"/>
    <x v="0"/>
    <x v="3"/>
    <x v="0"/>
    <x v="10"/>
    <n v="24"/>
    <x v="0"/>
  </r>
  <r>
    <d v="2022-06-24T00:00:00"/>
    <x v="3"/>
    <x v="2"/>
    <x v="1"/>
    <n v="10715515520.549999"/>
    <x v="3"/>
    <x v="2"/>
    <x v="1"/>
    <x v="11"/>
    <x v="3"/>
    <x v="0"/>
    <x v="3"/>
    <x v="0"/>
    <x v="10"/>
    <n v="24"/>
    <x v="0"/>
  </r>
  <r>
    <d v="2022-06-24T00:00:00"/>
    <x v="3"/>
    <x v="1"/>
    <x v="0"/>
    <n v="14638731.460000001"/>
    <x v="3"/>
    <x v="1"/>
    <x v="0"/>
    <x v="12"/>
    <x v="3"/>
    <x v="0"/>
    <x v="3"/>
    <x v="0"/>
    <x v="10"/>
    <n v="24"/>
    <x v="0"/>
  </r>
  <r>
    <d v="2022-06-23T00:00:00"/>
    <x v="2"/>
    <x v="1"/>
    <x v="2"/>
    <n v="21280"/>
    <x v="2"/>
    <x v="1"/>
    <x v="2"/>
    <x v="3"/>
    <x v="3"/>
    <x v="0"/>
    <x v="3"/>
    <x v="0"/>
    <x v="10"/>
    <n v="23"/>
    <x v="0"/>
  </r>
  <r>
    <d v="2022-06-23T00:00:00"/>
    <x v="3"/>
    <x v="3"/>
    <x v="0"/>
    <n v="2425720199.1599998"/>
    <x v="3"/>
    <x v="3"/>
    <x v="0"/>
    <x v="8"/>
    <x v="3"/>
    <x v="0"/>
    <x v="3"/>
    <x v="0"/>
    <x v="10"/>
    <n v="23"/>
    <x v="0"/>
  </r>
  <r>
    <d v="2022-06-23T00:00:00"/>
    <x v="1"/>
    <x v="1"/>
    <x v="0"/>
    <n v="338"/>
    <x v="1"/>
    <x v="1"/>
    <x v="0"/>
    <x v="1"/>
    <x v="3"/>
    <x v="0"/>
    <x v="3"/>
    <x v="0"/>
    <x v="10"/>
    <n v="23"/>
    <x v="0"/>
  </r>
  <r>
    <d v="2022-06-23T00:00:00"/>
    <x v="0"/>
    <x v="1"/>
    <x v="0"/>
    <n v="15619815.130000001"/>
    <x v="0"/>
    <x v="1"/>
    <x v="0"/>
    <x v="2"/>
    <x v="3"/>
    <x v="0"/>
    <x v="3"/>
    <x v="0"/>
    <x v="10"/>
    <n v="23"/>
    <x v="0"/>
  </r>
  <r>
    <d v="2022-06-23T00:00:00"/>
    <x v="3"/>
    <x v="3"/>
    <x v="1"/>
    <n v="115109.8"/>
    <x v="3"/>
    <x v="3"/>
    <x v="1"/>
    <x v="4"/>
    <x v="3"/>
    <x v="0"/>
    <x v="3"/>
    <x v="0"/>
    <x v="10"/>
    <n v="23"/>
    <x v="0"/>
  </r>
  <r>
    <d v="2022-06-23T00:00:00"/>
    <x v="0"/>
    <x v="1"/>
    <x v="1"/>
    <n v="7957657.04"/>
    <x v="0"/>
    <x v="1"/>
    <x v="1"/>
    <x v="5"/>
    <x v="3"/>
    <x v="0"/>
    <x v="3"/>
    <x v="0"/>
    <x v="10"/>
    <n v="23"/>
    <x v="0"/>
  </r>
  <r>
    <d v="2022-06-23T00:00:00"/>
    <x v="1"/>
    <x v="0"/>
    <x v="0"/>
    <n v="90287634.969999999"/>
    <x v="1"/>
    <x v="0"/>
    <x v="0"/>
    <x v="10"/>
    <x v="3"/>
    <x v="0"/>
    <x v="3"/>
    <x v="0"/>
    <x v="10"/>
    <n v="23"/>
    <x v="0"/>
  </r>
  <r>
    <d v="2022-06-23T00:00:00"/>
    <x v="3"/>
    <x v="2"/>
    <x v="2"/>
    <n v="129127.43"/>
    <x v="3"/>
    <x v="2"/>
    <x v="2"/>
    <x v="6"/>
    <x v="3"/>
    <x v="0"/>
    <x v="3"/>
    <x v="0"/>
    <x v="10"/>
    <n v="23"/>
    <x v="0"/>
  </r>
  <r>
    <d v="2022-06-23T00:00:00"/>
    <x v="0"/>
    <x v="0"/>
    <x v="0"/>
    <n v="9500"/>
    <x v="0"/>
    <x v="0"/>
    <x v="0"/>
    <x v="0"/>
    <x v="3"/>
    <x v="0"/>
    <x v="3"/>
    <x v="0"/>
    <x v="10"/>
    <n v="23"/>
    <x v="0"/>
  </r>
  <r>
    <d v="2022-06-23T00:00:00"/>
    <x v="2"/>
    <x v="1"/>
    <x v="0"/>
    <n v="97932947.859999999"/>
    <x v="2"/>
    <x v="1"/>
    <x v="0"/>
    <x v="7"/>
    <x v="3"/>
    <x v="0"/>
    <x v="3"/>
    <x v="0"/>
    <x v="10"/>
    <n v="23"/>
    <x v="0"/>
  </r>
  <r>
    <d v="2022-06-23T00:00:00"/>
    <x v="2"/>
    <x v="1"/>
    <x v="1"/>
    <n v="371250113.51999998"/>
    <x v="2"/>
    <x v="1"/>
    <x v="1"/>
    <x v="9"/>
    <x v="3"/>
    <x v="0"/>
    <x v="3"/>
    <x v="0"/>
    <x v="10"/>
    <n v="23"/>
    <x v="0"/>
  </r>
  <r>
    <d v="2022-06-23T00:00:00"/>
    <x v="1"/>
    <x v="0"/>
    <x v="1"/>
    <n v="9295006684.2800007"/>
    <x v="1"/>
    <x v="0"/>
    <x v="1"/>
    <x v="11"/>
    <x v="3"/>
    <x v="0"/>
    <x v="3"/>
    <x v="0"/>
    <x v="10"/>
    <n v="23"/>
    <x v="0"/>
  </r>
  <r>
    <d v="2022-06-23T00:00:00"/>
    <x v="3"/>
    <x v="2"/>
    <x v="0"/>
    <n v="6964475912.4300003"/>
    <x v="3"/>
    <x v="2"/>
    <x v="0"/>
    <x v="12"/>
    <x v="3"/>
    <x v="0"/>
    <x v="3"/>
    <x v="0"/>
    <x v="10"/>
    <n v="23"/>
    <x v="0"/>
  </r>
  <r>
    <d v="2022-06-23T00:00:00"/>
    <x v="3"/>
    <x v="1"/>
    <x v="0"/>
    <n v="15144610.23"/>
    <x v="3"/>
    <x v="1"/>
    <x v="0"/>
    <x v="13"/>
    <x v="3"/>
    <x v="0"/>
    <x v="3"/>
    <x v="0"/>
    <x v="10"/>
    <n v="23"/>
    <x v="0"/>
  </r>
  <r>
    <d v="2022-06-23T00:00:00"/>
    <x v="3"/>
    <x v="2"/>
    <x v="1"/>
    <n v="11292931697.25"/>
    <x v="3"/>
    <x v="2"/>
    <x v="1"/>
    <x v="14"/>
    <x v="3"/>
    <x v="0"/>
    <x v="3"/>
    <x v="0"/>
    <x v="10"/>
    <n v="23"/>
    <x v="0"/>
  </r>
  <r>
    <d v="2022-06-22T00:00:00"/>
    <x v="2"/>
    <x v="1"/>
    <x v="2"/>
    <n v="34171.61"/>
    <x v="2"/>
    <x v="1"/>
    <x v="2"/>
    <x v="2"/>
    <x v="3"/>
    <x v="0"/>
    <x v="3"/>
    <x v="0"/>
    <x v="10"/>
    <n v="22"/>
    <x v="0"/>
  </r>
  <r>
    <d v="2022-06-22T00:00:00"/>
    <x v="1"/>
    <x v="1"/>
    <x v="0"/>
    <n v="101.7"/>
    <x v="1"/>
    <x v="1"/>
    <x v="0"/>
    <x v="0"/>
    <x v="3"/>
    <x v="0"/>
    <x v="3"/>
    <x v="0"/>
    <x v="10"/>
    <n v="22"/>
    <x v="0"/>
  </r>
  <r>
    <d v="2022-06-22T00:00:00"/>
    <x v="0"/>
    <x v="1"/>
    <x v="0"/>
    <n v="17584321.530000001"/>
    <x v="0"/>
    <x v="1"/>
    <x v="0"/>
    <x v="1"/>
    <x v="3"/>
    <x v="0"/>
    <x v="3"/>
    <x v="0"/>
    <x v="10"/>
    <n v="22"/>
    <x v="0"/>
  </r>
  <r>
    <d v="2022-06-22T00:00:00"/>
    <x v="3"/>
    <x v="3"/>
    <x v="0"/>
    <n v="2459510415.8800001"/>
    <x v="3"/>
    <x v="3"/>
    <x v="0"/>
    <x v="7"/>
    <x v="3"/>
    <x v="0"/>
    <x v="3"/>
    <x v="0"/>
    <x v="10"/>
    <n v="22"/>
    <x v="0"/>
  </r>
  <r>
    <d v="2022-06-22T00:00:00"/>
    <x v="1"/>
    <x v="0"/>
    <x v="0"/>
    <n v="72909996.730000004"/>
    <x v="1"/>
    <x v="0"/>
    <x v="0"/>
    <x v="9"/>
    <x v="3"/>
    <x v="0"/>
    <x v="3"/>
    <x v="0"/>
    <x v="10"/>
    <n v="22"/>
    <x v="0"/>
  </r>
  <r>
    <d v="2022-06-22T00:00:00"/>
    <x v="3"/>
    <x v="3"/>
    <x v="1"/>
    <n v="2347762.15"/>
    <x v="3"/>
    <x v="3"/>
    <x v="1"/>
    <x v="3"/>
    <x v="3"/>
    <x v="0"/>
    <x v="3"/>
    <x v="0"/>
    <x v="10"/>
    <n v="22"/>
    <x v="0"/>
  </r>
  <r>
    <d v="2022-06-22T00:00:00"/>
    <x v="0"/>
    <x v="1"/>
    <x v="1"/>
    <n v="3066254.26"/>
    <x v="0"/>
    <x v="1"/>
    <x v="1"/>
    <x v="4"/>
    <x v="3"/>
    <x v="0"/>
    <x v="3"/>
    <x v="0"/>
    <x v="10"/>
    <n v="22"/>
    <x v="0"/>
  </r>
  <r>
    <d v="2022-06-22T00:00:00"/>
    <x v="3"/>
    <x v="2"/>
    <x v="2"/>
    <n v="226028"/>
    <x v="3"/>
    <x v="2"/>
    <x v="2"/>
    <x v="5"/>
    <x v="3"/>
    <x v="0"/>
    <x v="3"/>
    <x v="0"/>
    <x v="10"/>
    <n v="22"/>
    <x v="0"/>
  </r>
  <r>
    <d v="2022-06-22T00:00:00"/>
    <x v="2"/>
    <x v="1"/>
    <x v="0"/>
    <n v="91662015.780000001"/>
    <x v="2"/>
    <x v="1"/>
    <x v="0"/>
    <x v="6"/>
    <x v="3"/>
    <x v="0"/>
    <x v="3"/>
    <x v="0"/>
    <x v="10"/>
    <n v="22"/>
    <x v="0"/>
  </r>
  <r>
    <d v="2022-06-22T00:00:00"/>
    <x v="2"/>
    <x v="1"/>
    <x v="1"/>
    <n v="656700341.70000005"/>
    <x v="2"/>
    <x v="1"/>
    <x v="1"/>
    <x v="8"/>
    <x v="3"/>
    <x v="0"/>
    <x v="3"/>
    <x v="0"/>
    <x v="10"/>
    <n v="22"/>
    <x v="0"/>
  </r>
  <r>
    <d v="2022-06-22T00:00:00"/>
    <x v="1"/>
    <x v="0"/>
    <x v="1"/>
    <n v="16936993794.200001"/>
    <x v="1"/>
    <x v="0"/>
    <x v="1"/>
    <x v="10"/>
    <x v="3"/>
    <x v="0"/>
    <x v="3"/>
    <x v="0"/>
    <x v="10"/>
    <n v="22"/>
    <x v="0"/>
  </r>
  <r>
    <d v="2022-06-22T00:00:00"/>
    <x v="3"/>
    <x v="2"/>
    <x v="0"/>
    <n v="625975992.71000004"/>
    <x v="3"/>
    <x v="2"/>
    <x v="0"/>
    <x v="11"/>
    <x v="3"/>
    <x v="0"/>
    <x v="3"/>
    <x v="0"/>
    <x v="10"/>
    <n v="22"/>
    <x v="0"/>
  </r>
  <r>
    <d v="2022-06-22T00:00:00"/>
    <x v="3"/>
    <x v="1"/>
    <x v="0"/>
    <n v="14157959.859999999"/>
    <x v="3"/>
    <x v="1"/>
    <x v="0"/>
    <x v="12"/>
    <x v="3"/>
    <x v="0"/>
    <x v="3"/>
    <x v="0"/>
    <x v="10"/>
    <n v="22"/>
    <x v="0"/>
  </r>
  <r>
    <d v="2022-06-22T00:00:00"/>
    <x v="3"/>
    <x v="2"/>
    <x v="1"/>
    <n v="6261438063.04"/>
    <x v="3"/>
    <x v="2"/>
    <x v="1"/>
    <x v="13"/>
    <x v="3"/>
    <x v="0"/>
    <x v="3"/>
    <x v="0"/>
    <x v="10"/>
    <n v="22"/>
    <x v="0"/>
  </r>
  <r>
    <d v="2022-06-21T00:00:00"/>
    <x v="3"/>
    <x v="3"/>
    <x v="0"/>
    <n v="1958691456.9400001"/>
    <x v="3"/>
    <x v="3"/>
    <x v="0"/>
    <x v="6"/>
    <x v="3"/>
    <x v="0"/>
    <x v="3"/>
    <x v="0"/>
    <x v="10"/>
    <n v="21"/>
    <x v="0"/>
  </r>
  <r>
    <d v="2022-06-21T00:00:00"/>
    <x v="3"/>
    <x v="2"/>
    <x v="2"/>
    <n v="116007.14"/>
    <x v="3"/>
    <x v="2"/>
    <x v="2"/>
    <x v="3"/>
    <x v="3"/>
    <x v="0"/>
    <x v="3"/>
    <x v="0"/>
    <x v="10"/>
    <n v="21"/>
    <x v="0"/>
  </r>
  <r>
    <d v="2022-06-21T00:00:00"/>
    <x v="0"/>
    <x v="1"/>
    <x v="1"/>
    <n v="8441902.7100000009"/>
    <x v="0"/>
    <x v="1"/>
    <x v="1"/>
    <x v="2"/>
    <x v="3"/>
    <x v="0"/>
    <x v="3"/>
    <x v="0"/>
    <x v="10"/>
    <n v="21"/>
    <x v="0"/>
  </r>
  <r>
    <d v="2022-06-21T00:00:00"/>
    <x v="0"/>
    <x v="1"/>
    <x v="0"/>
    <n v="16909768.280000001"/>
    <x v="0"/>
    <x v="1"/>
    <x v="0"/>
    <x v="1"/>
    <x v="3"/>
    <x v="0"/>
    <x v="3"/>
    <x v="0"/>
    <x v="10"/>
    <n v="21"/>
    <x v="0"/>
  </r>
  <r>
    <d v="2022-06-21T00:00:00"/>
    <x v="2"/>
    <x v="1"/>
    <x v="2"/>
    <n v="11087.25"/>
    <x v="2"/>
    <x v="1"/>
    <x v="2"/>
    <x v="4"/>
    <x v="3"/>
    <x v="0"/>
    <x v="3"/>
    <x v="0"/>
    <x v="10"/>
    <n v="21"/>
    <x v="0"/>
  </r>
  <r>
    <d v="2022-06-21T00:00:00"/>
    <x v="1"/>
    <x v="1"/>
    <x v="0"/>
    <n v="773"/>
    <x v="1"/>
    <x v="1"/>
    <x v="0"/>
    <x v="0"/>
    <x v="3"/>
    <x v="0"/>
    <x v="3"/>
    <x v="0"/>
    <x v="10"/>
    <n v="21"/>
    <x v="0"/>
  </r>
  <r>
    <d v="2022-06-21T00:00:00"/>
    <x v="2"/>
    <x v="1"/>
    <x v="0"/>
    <n v="78580553.719999999"/>
    <x v="2"/>
    <x v="1"/>
    <x v="0"/>
    <x v="5"/>
    <x v="3"/>
    <x v="0"/>
    <x v="3"/>
    <x v="0"/>
    <x v="10"/>
    <n v="21"/>
    <x v="0"/>
  </r>
  <r>
    <d v="2022-06-21T00:00:00"/>
    <x v="2"/>
    <x v="1"/>
    <x v="1"/>
    <n v="284988469.35000002"/>
    <x v="2"/>
    <x v="1"/>
    <x v="1"/>
    <x v="7"/>
    <x v="3"/>
    <x v="0"/>
    <x v="3"/>
    <x v="0"/>
    <x v="10"/>
    <n v="21"/>
    <x v="0"/>
  </r>
  <r>
    <d v="2022-06-21T00:00:00"/>
    <x v="1"/>
    <x v="0"/>
    <x v="0"/>
    <n v="47815562.659999996"/>
    <x v="1"/>
    <x v="0"/>
    <x v="0"/>
    <x v="8"/>
    <x v="3"/>
    <x v="0"/>
    <x v="3"/>
    <x v="0"/>
    <x v="10"/>
    <n v="21"/>
    <x v="0"/>
  </r>
  <r>
    <d v="2022-06-21T00:00:00"/>
    <x v="1"/>
    <x v="0"/>
    <x v="1"/>
    <n v="6660049463.6000004"/>
    <x v="1"/>
    <x v="0"/>
    <x v="1"/>
    <x v="9"/>
    <x v="3"/>
    <x v="0"/>
    <x v="3"/>
    <x v="0"/>
    <x v="10"/>
    <n v="21"/>
    <x v="0"/>
  </r>
  <r>
    <d v="2022-06-21T00:00:00"/>
    <x v="3"/>
    <x v="2"/>
    <x v="0"/>
    <n v="764651336.88999999"/>
    <x v="3"/>
    <x v="2"/>
    <x v="0"/>
    <x v="10"/>
    <x v="3"/>
    <x v="0"/>
    <x v="3"/>
    <x v="0"/>
    <x v="10"/>
    <n v="21"/>
    <x v="0"/>
  </r>
  <r>
    <d v="2022-06-21T00:00:00"/>
    <x v="3"/>
    <x v="2"/>
    <x v="1"/>
    <n v="20962819581.549999"/>
    <x v="3"/>
    <x v="2"/>
    <x v="1"/>
    <x v="11"/>
    <x v="3"/>
    <x v="0"/>
    <x v="3"/>
    <x v="0"/>
    <x v="10"/>
    <n v="21"/>
    <x v="0"/>
  </r>
  <r>
    <d v="2022-06-21T00:00:00"/>
    <x v="3"/>
    <x v="1"/>
    <x v="0"/>
    <n v="51435564.640000001"/>
    <x v="3"/>
    <x v="1"/>
    <x v="0"/>
    <x v="12"/>
    <x v="3"/>
    <x v="0"/>
    <x v="3"/>
    <x v="0"/>
    <x v="10"/>
    <n v="21"/>
    <x v="0"/>
  </r>
  <r>
    <d v="2022-06-17T00:00:00"/>
    <x v="2"/>
    <x v="1"/>
    <x v="2"/>
    <n v="3210"/>
    <x v="2"/>
    <x v="1"/>
    <x v="2"/>
    <x v="2"/>
    <x v="3"/>
    <x v="0"/>
    <x v="3"/>
    <x v="0"/>
    <x v="10"/>
    <n v="17"/>
    <x v="0"/>
  </r>
  <r>
    <d v="2022-06-17T00:00:00"/>
    <x v="3"/>
    <x v="2"/>
    <x v="2"/>
    <n v="289863.13"/>
    <x v="3"/>
    <x v="2"/>
    <x v="2"/>
    <x v="5"/>
    <x v="3"/>
    <x v="0"/>
    <x v="3"/>
    <x v="0"/>
    <x v="10"/>
    <n v="17"/>
    <x v="0"/>
  </r>
  <r>
    <d v="2022-06-17T00:00:00"/>
    <x v="2"/>
    <x v="1"/>
    <x v="0"/>
    <n v="104627953.14"/>
    <x v="2"/>
    <x v="1"/>
    <x v="0"/>
    <x v="6"/>
    <x v="3"/>
    <x v="0"/>
    <x v="3"/>
    <x v="0"/>
    <x v="10"/>
    <n v="17"/>
    <x v="0"/>
  </r>
  <r>
    <d v="2022-06-17T00:00:00"/>
    <x v="3"/>
    <x v="3"/>
    <x v="0"/>
    <n v="4858417872.9300003"/>
    <x v="3"/>
    <x v="3"/>
    <x v="0"/>
    <x v="7"/>
    <x v="3"/>
    <x v="0"/>
    <x v="3"/>
    <x v="0"/>
    <x v="10"/>
    <n v="17"/>
    <x v="0"/>
  </r>
  <r>
    <d v="2022-06-17T00:00:00"/>
    <x v="2"/>
    <x v="1"/>
    <x v="1"/>
    <n v="348083502.69"/>
    <x v="2"/>
    <x v="1"/>
    <x v="1"/>
    <x v="8"/>
    <x v="3"/>
    <x v="0"/>
    <x v="3"/>
    <x v="0"/>
    <x v="10"/>
    <n v="17"/>
    <x v="0"/>
  </r>
  <r>
    <d v="2022-06-17T00:00:00"/>
    <x v="1"/>
    <x v="1"/>
    <x v="0"/>
    <n v="2393.33"/>
    <x v="1"/>
    <x v="1"/>
    <x v="0"/>
    <x v="0"/>
    <x v="3"/>
    <x v="0"/>
    <x v="3"/>
    <x v="0"/>
    <x v="10"/>
    <n v="17"/>
    <x v="0"/>
  </r>
  <r>
    <d v="2022-06-17T00:00:00"/>
    <x v="3"/>
    <x v="3"/>
    <x v="1"/>
    <n v="292276.81"/>
    <x v="3"/>
    <x v="3"/>
    <x v="1"/>
    <x v="3"/>
    <x v="3"/>
    <x v="0"/>
    <x v="3"/>
    <x v="0"/>
    <x v="10"/>
    <n v="17"/>
    <x v="0"/>
  </r>
  <r>
    <d v="2022-06-17T00:00:00"/>
    <x v="0"/>
    <x v="1"/>
    <x v="1"/>
    <n v="4478013.7300000004"/>
    <x v="0"/>
    <x v="1"/>
    <x v="1"/>
    <x v="4"/>
    <x v="3"/>
    <x v="0"/>
    <x v="3"/>
    <x v="0"/>
    <x v="10"/>
    <n v="17"/>
    <x v="0"/>
  </r>
  <r>
    <d v="2022-06-17T00:00:00"/>
    <x v="0"/>
    <x v="1"/>
    <x v="0"/>
    <n v="31763777.329999998"/>
    <x v="0"/>
    <x v="1"/>
    <x v="0"/>
    <x v="1"/>
    <x v="3"/>
    <x v="0"/>
    <x v="3"/>
    <x v="0"/>
    <x v="10"/>
    <n v="17"/>
    <x v="0"/>
  </r>
  <r>
    <d v="2022-06-17T00:00:00"/>
    <x v="1"/>
    <x v="0"/>
    <x v="0"/>
    <n v="67359098.469999999"/>
    <x v="1"/>
    <x v="0"/>
    <x v="0"/>
    <x v="9"/>
    <x v="3"/>
    <x v="0"/>
    <x v="3"/>
    <x v="0"/>
    <x v="10"/>
    <n v="17"/>
    <x v="0"/>
  </r>
  <r>
    <d v="2022-06-17T00:00:00"/>
    <x v="1"/>
    <x v="0"/>
    <x v="1"/>
    <n v="2149202679.3899999"/>
    <x v="1"/>
    <x v="0"/>
    <x v="1"/>
    <x v="10"/>
    <x v="3"/>
    <x v="0"/>
    <x v="3"/>
    <x v="0"/>
    <x v="10"/>
    <n v="17"/>
    <x v="0"/>
  </r>
  <r>
    <d v="2022-06-17T00:00:00"/>
    <x v="3"/>
    <x v="2"/>
    <x v="0"/>
    <n v="377205007.31"/>
    <x v="3"/>
    <x v="2"/>
    <x v="0"/>
    <x v="11"/>
    <x v="3"/>
    <x v="0"/>
    <x v="3"/>
    <x v="0"/>
    <x v="10"/>
    <n v="17"/>
    <x v="0"/>
  </r>
  <r>
    <d v="2022-06-17T00:00:00"/>
    <x v="3"/>
    <x v="1"/>
    <x v="0"/>
    <n v="15469801.76"/>
    <x v="3"/>
    <x v="1"/>
    <x v="0"/>
    <x v="12"/>
    <x v="3"/>
    <x v="0"/>
    <x v="3"/>
    <x v="0"/>
    <x v="10"/>
    <n v="17"/>
    <x v="0"/>
  </r>
  <r>
    <d v="2022-06-17T00:00:00"/>
    <x v="3"/>
    <x v="2"/>
    <x v="1"/>
    <n v="9666631426.3299999"/>
    <x v="3"/>
    <x v="2"/>
    <x v="1"/>
    <x v="13"/>
    <x v="3"/>
    <x v="0"/>
    <x v="3"/>
    <x v="0"/>
    <x v="10"/>
    <n v="17"/>
    <x v="0"/>
  </r>
  <r>
    <d v="2022-06-16T00:00:00"/>
    <x v="2"/>
    <x v="1"/>
    <x v="0"/>
    <n v="88578929.409999996"/>
    <x v="2"/>
    <x v="1"/>
    <x v="0"/>
    <x v="6"/>
    <x v="3"/>
    <x v="0"/>
    <x v="3"/>
    <x v="0"/>
    <x v="10"/>
    <n v="16"/>
    <x v="0"/>
  </r>
  <r>
    <d v="2022-06-16T00:00:00"/>
    <x v="3"/>
    <x v="3"/>
    <x v="0"/>
    <n v="1893956093.5"/>
    <x v="3"/>
    <x v="3"/>
    <x v="0"/>
    <x v="7"/>
    <x v="3"/>
    <x v="0"/>
    <x v="3"/>
    <x v="0"/>
    <x v="10"/>
    <n v="16"/>
    <x v="0"/>
  </r>
  <r>
    <d v="2022-06-16T00:00:00"/>
    <x v="2"/>
    <x v="1"/>
    <x v="2"/>
    <n v="18185.169999999998"/>
    <x v="2"/>
    <x v="1"/>
    <x v="2"/>
    <x v="4"/>
    <x v="3"/>
    <x v="0"/>
    <x v="3"/>
    <x v="0"/>
    <x v="10"/>
    <n v="16"/>
    <x v="0"/>
  </r>
  <r>
    <d v="2022-06-16T00:00:00"/>
    <x v="2"/>
    <x v="1"/>
    <x v="1"/>
    <n v="122235464.45999999"/>
    <x v="2"/>
    <x v="1"/>
    <x v="1"/>
    <x v="8"/>
    <x v="3"/>
    <x v="0"/>
    <x v="3"/>
    <x v="0"/>
    <x v="10"/>
    <n v="16"/>
    <x v="0"/>
  </r>
  <r>
    <d v="2022-06-16T00:00:00"/>
    <x v="1"/>
    <x v="1"/>
    <x v="0"/>
    <n v="126"/>
    <x v="1"/>
    <x v="1"/>
    <x v="0"/>
    <x v="0"/>
    <x v="3"/>
    <x v="0"/>
    <x v="3"/>
    <x v="0"/>
    <x v="10"/>
    <n v="16"/>
    <x v="0"/>
  </r>
  <r>
    <d v="2022-06-16T00:00:00"/>
    <x v="0"/>
    <x v="1"/>
    <x v="0"/>
    <n v="9027879.6799999997"/>
    <x v="0"/>
    <x v="1"/>
    <x v="0"/>
    <x v="1"/>
    <x v="3"/>
    <x v="0"/>
    <x v="3"/>
    <x v="0"/>
    <x v="10"/>
    <n v="16"/>
    <x v="0"/>
  </r>
  <r>
    <d v="2022-06-16T00:00:00"/>
    <x v="3"/>
    <x v="3"/>
    <x v="1"/>
    <n v="3001558.82"/>
    <x v="3"/>
    <x v="3"/>
    <x v="1"/>
    <x v="2"/>
    <x v="3"/>
    <x v="0"/>
    <x v="3"/>
    <x v="0"/>
    <x v="10"/>
    <n v="16"/>
    <x v="0"/>
  </r>
  <r>
    <d v="2022-06-16T00:00:00"/>
    <x v="1"/>
    <x v="0"/>
    <x v="0"/>
    <n v="56242179.799999997"/>
    <x v="1"/>
    <x v="0"/>
    <x v="0"/>
    <x v="9"/>
    <x v="3"/>
    <x v="0"/>
    <x v="3"/>
    <x v="0"/>
    <x v="10"/>
    <n v="16"/>
    <x v="0"/>
  </r>
  <r>
    <d v="2022-06-16T00:00:00"/>
    <x v="3"/>
    <x v="2"/>
    <x v="2"/>
    <n v="720597"/>
    <x v="3"/>
    <x v="2"/>
    <x v="2"/>
    <x v="5"/>
    <x v="3"/>
    <x v="0"/>
    <x v="3"/>
    <x v="0"/>
    <x v="10"/>
    <n v="16"/>
    <x v="0"/>
  </r>
  <r>
    <d v="2022-06-16T00:00:00"/>
    <x v="0"/>
    <x v="1"/>
    <x v="1"/>
    <n v="3503329.94"/>
    <x v="0"/>
    <x v="1"/>
    <x v="1"/>
    <x v="3"/>
    <x v="3"/>
    <x v="0"/>
    <x v="3"/>
    <x v="0"/>
    <x v="10"/>
    <n v="16"/>
    <x v="0"/>
  </r>
  <r>
    <d v="2022-06-16T00:00:00"/>
    <x v="1"/>
    <x v="0"/>
    <x v="1"/>
    <n v="4225172768.96"/>
    <x v="1"/>
    <x v="0"/>
    <x v="1"/>
    <x v="10"/>
    <x v="3"/>
    <x v="0"/>
    <x v="3"/>
    <x v="0"/>
    <x v="10"/>
    <n v="16"/>
    <x v="0"/>
  </r>
  <r>
    <d v="2022-06-16T00:00:00"/>
    <x v="3"/>
    <x v="2"/>
    <x v="0"/>
    <n v="388697708.25"/>
    <x v="3"/>
    <x v="2"/>
    <x v="0"/>
    <x v="11"/>
    <x v="3"/>
    <x v="0"/>
    <x v="3"/>
    <x v="0"/>
    <x v="10"/>
    <n v="16"/>
    <x v="0"/>
  </r>
  <r>
    <d v="2022-06-16T00:00:00"/>
    <x v="3"/>
    <x v="1"/>
    <x v="0"/>
    <n v="16232396.4"/>
    <x v="3"/>
    <x v="1"/>
    <x v="0"/>
    <x v="12"/>
    <x v="3"/>
    <x v="0"/>
    <x v="3"/>
    <x v="0"/>
    <x v="10"/>
    <n v="16"/>
    <x v="0"/>
  </r>
  <r>
    <d v="2022-06-16T00:00:00"/>
    <x v="3"/>
    <x v="2"/>
    <x v="1"/>
    <n v="22536290527.490002"/>
    <x v="3"/>
    <x v="2"/>
    <x v="1"/>
    <x v="13"/>
    <x v="3"/>
    <x v="0"/>
    <x v="3"/>
    <x v="0"/>
    <x v="10"/>
    <n v="16"/>
    <x v="0"/>
  </r>
  <r>
    <d v="2022-06-15T00:00:00"/>
    <x v="1"/>
    <x v="1"/>
    <x v="0"/>
    <n v="13947.25"/>
    <x v="1"/>
    <x v="1"/>
    <x v="0"/>
    <x v="0"/>
    <x v="3"/>
    <x v="0"/>
    <x v="3"/>
    <x v="0"/>
    <x v="10"/>
    <n v="15"/>
    <x v="0"/>
  </r>
  <r>
    <d v="2022-06-15T00:00:00"/>
    <x v="2"/>
    <x v="1"/>
    <x v="0"/>
    <n v="91428685.799999997"/>
    <x v="2"/>
    <x v="1"/>
    <x v="0"/>
    <x v="6"/>
    <x v="3"/>
    <x v="0"/>
    <x v="3"/>
    <x v="0"/>
    <x v="10"/>
    <n v="15"/>
    <x v="0"/>
  </r>
  <r>
    <d v="2022-06-15T00:00:00"/>
    <x v="2"/>
    <x v="1"/>
    <x v="1"/>
    <n v="272281795.48000002"/>
    <x v="2"/>
    <x v="1"/>
    <x v="1"/>
    <x v="8"/>
    <x v="3"/>
    <x v="0"/>
    <x v="3"/>
    <x v="0"/>
    <x v="10"/>
    <n v="15"/>
    <x v="0"/>
  </r>
  <r>
    <d v="2022-06-15T00:00:00"/>
    <x v="3"/>
    <x v="3"/>
    <x v="1"/>
    <n v="161976.07999999999"/>
    <x v="3"/>
    <x v="3"/>
    <x v="1"/>
    <x v="2"/>
    <x v="3"/>
    <x v="0"/>
    <x v="3"/>
    <x v="0"/>
    <x v="10"/>
    <n v="15"/>
    <x v="0"/>
  </r>
  <r>
    <d v="2022-06-15T00:00:00"/>
    <x v="0"/>
    <x v="1"/>
    <x v="0"/>
    <n v="8924825.6500000004"/>
    <x v="0"/>
    <x v="1"/>
    <x v="0"/>
    <x v="1"/>
    <x v="3"/>
    <x v="0"/>
    <x v="3"/>
    <x v="0"/>
    <x v="10"/>
    <n v="15"/>
    <x v="0"/>
  </r>
  <r>
    <d v="2022-06-15T00:00:00"/>
    <x v="0"/>
    <x v="1"/>
    <x v="1"/>
    <n v="15145959.109999999"/>
    <x v="0"/>
    <x v="1"/>
    <x v="1"/>
    <x v="3"/>
    <x v="3"/>
    <x v="0"/>
    <x v="3"/>
    <x v="0"/>
    <x v="10"/>
    <n v="15"/>
    <x v="0"/>
  </r>
  <r>
    <d v="2022-06-15T00:00:00"/>
    <x v="2"/>
    <x v="1"/>
    <x v="2"/>
    <n v="14310"/>
    <x v="2"/>
    <x v="1"/>
    <x v="2"/>
    <x v="4"/>
    <x v="3"/>
    <x v="0"/>
    <x v="3"/>
    <x v="0"/>
    <x v="10"/>
    <n v="15"/>
    <x v="0"/>
  </r>
  <r>
    <d v="2022-06-15T00:00:00"/>
    <x v="3"/>
    <x v="2"/>
    <x v="2"/>
    <n v="119389.03"/>
    <x v="3"/>
    <x v="2"/>
    <x v="2"/>
    <x v="5"/>
    <x v="3"/>
    <x v="0"/>
    <x v="3"/>
    <x v="0"/>
    <x v="10"/>
    <n v="15"/>
    <x v="0"/>
  </r>
  <r>
    <d v="2022-06-15T00:00:00"/>
    <x v="3"/>
    <x v="3"/>
    <x v="0"/>
    <n v="3013849083.1599998"/>
    <x v="3"/>
    <x v="3"/>
    <x v="0"/>
    <x v="7"/>
    <x v="3"/>
    <x v="0"/>
    <x v="3"/>
    <x v="0"/>
    <x v="10"/>
    <n v="15"/>
    <x v="0"/>
  </r>
  <r>
    <d v="2022-06-15T00:00:00"/>
    <x v="1"/>
    <x v="0"/>
    <x v="0"/>
    <n v="63153414.450000003"/>
    <x v="1"/>
    <x v="0"/>
    <x v="0"/>
    <x v="9"/>
    <x v="3"/>
    <x v="0"/>
    <x v="3"/>
    <x v="0"/>
    <x v="10"/>
    <n v="15"/>
    <x v="0"/>
  </r>
  <r>
    <d v="2022-06-15T00:00:00"/>
    <x v="1"/>
    <x v="0"/>
    <x v="1"/>
    <n v="6159743783.1199999"/>
    <x v="1"/>
    <x v="0"/>
    <x v="1"/>
    <x v="10"/>
    <x v="3"/>
    <x v="0"/>
    <x v="3"/>
    <x v="0"/>
    <x v="10"/>
    <n v="15"/>
    <x v="0"/>
  </r>
  <r>
    <d v="2022-06-15T00:00:00"/>
    <x v="3"/>
    <x v="2"/>
    <x v="0"/>
    <n v="459335208.24000001"/>
    <x v="3"/>
    <x v="2"/>
    <x v="0"/>
    <x v="11"/>
    <x v="3"/>
    <x v="0"/>
    <x v="3"/>
    <x v="0"/>
    <x v="10"/>
    <n v="15"/>
    <x v="0"/>
  </r>
  <r>
    <d v="2022-06-15T00:00:00"/>
    <x v="3"/>
    <x v="2"/>
    <x v="1"/>
    <n v="82762990587.910004"/>
    <x v="3"/>
    <x v="2"/>
    <x v="1"/>
    <x v="12"/>
    <x v="3"/>
    <x v="0"/>
    <x v="3"/>
    <x v="0"/>
    <x v="10"/>
    <n v="15"/>
    <x v="0"/>
  </r>
  <r>
    <d v="2022-06-15T00:00:00"/>
    <x v="3"/>
    <x v="1"/>
    <x v="0"/>
    <n v="15272430.140000001"/>
    <x v="3"/>
    <x v="1"/>
    <x v="0"/>
    <x v="13"/>
    <x v="3"/>
    <x v="0"/>
    <x v="3"/>
    <x v="0"/>
    <x v="10"/>
    <n v="15"/>
    <x v="0"/>
  </r>
  <r>
    <d v="2022-06-14T00:00:00"/>
    <x v="3"/>
    <x v="2"/>
    <x v="2"/>
    <n v="293874.03999999998"/>
    <x v="3"/>
    <x v="2"/>
    <x v="2"/>
    <x v="4"/>
    <x v="3"/>
    <x v="0"/>
    <x v="3"/>
    <x v="0"/>
    <x v="10"/>
    <n v="14"/>
    <x v="0"/>
  </r>
  <r>
    <d v="2022-06-14T00:00:00"/>
    <x v="1"/>
    <x v="1"/>
    <x v="0"/>
    <n v="6267.91"/>
    <x v="1"/>
    <x v="1"/>
    <x v="0"/>
    <x v="0"/>
    <x v="3"/>
    <x v="0"/>
    <x v="3"/>
    <x v="0"/>
    <x v="10"/>
    <n v="14"/>
    <x v="0"/>
  </r>
  <r>
    <d v="2022-06-14T00:00:00"/>
    <x v="0"/>
    <x v="1"/>
    <x v="0"/>
    <n v="11389029.050000001"/>
    <x v="0"/>
    <x v="1"/>
    <x v="0"/>
    <x v="1"/>
    <x v="3"/>
    <x v="0"/>
    <x v="3"/>
    <x v="0"/>
    <x v="10"/>
    <n v="14"/>
    <x v="0"/>
  </r>
  <r>
    <d v="2022-06-14T00:00:00"/>
    <x v="3"/>
    <x v="3"/>
    <x v="0"/>
    <n v="1274239126.51"/>
    <x v="3"/>
    <x v="3"/>
    <x v="0"/>
    <x v="6"/>
    <x v="3"/>
    <x v="0"/>
    <x v="3"/>
    <x v="0"/>
    <x v="10"/>
    <n v="14"/>
    <x v="0"/>
  </r>
  <r>
    <d v="2022-06-14T00:00:00"/>
    <x v="1"/>
    <x v="0"/>
    <x v="0"/>
    <n v="60248311.979999997"/>
    <x v="1"/>
    <x v="0"/>
    <x v="0"/>
    <x v="8"/>
    <x v="3"/>
    <x v="0"/>
    <x v="3"/>
    <x v="0"/>
    <x v="10"/>
    <n v="14"/>
    <x v="0"/>
  </r>
  <r>
    <d v="2022-06-14T00:00:00"/>
    <x v="0"/>
    <x v="1"/>
    <x v="1"/>
    <n v="21169371.550000001"/>
    <x v="0"/>
    <x v="1"/>
    <x v="1"/>
    <x v="3"/>
    <x v="3"/>
    <x v="0"/>
    <x v="3"/>
    <x v="0"/>
    <x v="10"/>
    <n v="14"/>
    <x v="0"/>
  </r>
  <r>
    <d v="2022-06-14T00:00:00"/>
    <x v="2"/>
    <x v="1"/>
    <x v="2"/>
    <n v="8537.26"/>
    <x v="2"/>
    <x v="1"/>
    <x v="2"/>
    <x v="2"/>
    <x v="3"/>
    <x v="0"/>
    <x v="3"/>
    <x v="0"/>
    <x v="10"/>
    <n v="14"/>
    <x v="0"/>
  </r>
  <r>
    <d v="2022-06-14T00:00:00"/>
    <x v="2"/>
    <x v="1"/>
    <x v="0"/>
    <n v="86143546.269999996"/>
    <x v="2"/>
    <x v="1"/>
    <x v="0"/>
    <x v="5"/>
    <x v="3"/>
    <x v="0"/>
    <x v="3"/>
    <x v="0"/>
    <x v="10"/>
    <n v="14"/>
    <x v="0"/>
  </r>
  <r>
    <d v="2022-06-14T00:00:00"/>
    <x v="2"/>
    <x v="1"/>
    <x v="1"/>
    <n v="300957859.99000001"/>
    <x v="2"/>
    <x v="1"/>
    <x v="1"/>
    <x v="7"/>
    <x v="3"/>
    <x v="0"/>
    <x v="3"/>
    <x v="0"/>
    <x v="10"/>
    <n v="14"/>
    <x v="0"/>
  </r>
  <r>
    <d v="2022-06-14T00:00:00"/>
    <x v="1"/>
    <x v="0"/>
    <x v="1"/>
    <n v="2068273620.74"/>
    <x v="1"/>
    <x v="0"/>
    <x v="1"/>
    <x v="9"/>
    <x v="3"/>
    <x v="0"/>
    <x v="3"/>
    <x v="0"/>
    <x v="10"/>
    <n v="14"/>
    <x v="0"/>
  </r>
  <r>
    <d v="2022-06-14T00:00:00"/>
    <x v="3"/>
    <x v="2"/>
    <x v="0"/>
    <n v="774234759.88"/>
    <x v="3"/>
    <x v="2"/>
    <x v="0"/>
    <x v="10"/>
    <x v="3"/>
    <x v="0"/>
    <x v="3"/>
    <x v="0"/>
    <x v="10"/>
    <n v="14"/>
    <x v="0"/>
  </r>
  <r>
    <d v="2022-06-14T00:00:00"/>
    <x v="3"/>
    <x v="2"/>
    <x v="1"/>
    <n v="29473165121.860001"/>
    <x v="3"/>
    <x v="2"/>
    <x v="1"/>
    <x v="11"/>
    <x v="3"/>
    <x v="0"/>
    <x v="3"/>
    <x v="0"/>
    <x v="10"/>
    <n v="14"/>
    <x v="0"/>
  </r>
  <r>
    <d v="2022-06-14T00:00:00"/>
    <x v="3"/>
    <x v="1"/>
    <x v="0"/>
    <n v="10781109.369999999"/>
    <x v="3"/>
    <x v="1"/>
    <x v="0"/>
    <x v="12"/>
    <x v="3"/>
    <x v="0"/>
    <x v="3"/>
    <x v="0"/>
    <x v="10"/>
    <n v="14"/>
    <x v="0"/>
  </r>
  <r>
    <d v="2022-06-13T00:00:00"/>
    <x v="1"/>
    <x v="1"/>
    <x v="0"/>
    <n v="199.5"/>
    <x v="1"/>
    <x v="1"/>
    <x v="0"/>
    <x v="0"/>
    <x v="3"/>
    <x v="0"/>
    <x v="3"/>
    <x v="0"/>
    <x v="10"/>
    <n v="13"/>
    <x v="0"/>
  </r>
  <r>
    <d v="2022-06-13T00:00:00"/>
    <x v="0"/>
    <x v="1"/>
    <x v="0"/>
    <n v="15510384.15"/>
    <x v="0"/>
    <x v="1"/>
    <x v="0"/>
    <x v="2"/>
    <x v="3"/>
    <x v="0"/>
    <x v="3"/>
    <x v="0"/>
    <x v="10"/>
    <n v="13"/>
    <x v="0"/>
  </r>
  <r>
    <d v="2022-06-13T00:00:00"/>
    <x v="0"/>
    <x v="1"/>
    <x v="1"/>
    <n v="19607334.609999999"/>
    <x v="0"/>
    <x v="1"/>
    <x v="1"/>
    <x v="3"/>
    <x v="3"/>
    <x v="0"/>
    <x v="3"/>
    <x v="0"/>
    <x v="10"/>
    <n v="13"/>
    <x v="0"/>
  </r>
  <r>
    <d v="2022-06-13T00:00:00"/>
    <x v="2"/>
    <x v="1"/>
    <x v="1"/>
    <n v="136944245.74000001"/>
    <x v="2"/>
    <x v="1"/>
    <x v="1"/>
    <x v="9"/>
    <x v="3"/>
    <x v="0"/>
    <x v="3"/>
    <x v="0"/>
    <x v="10"/>
    <n v="13"/>
    <x v="0"/>
  </r>
  <r>
    <d v="2022-06-13T00:00:00"/>
    <x v="2"/>
    <x v="1"/>
    <x v="2"/>
    <n v="41973.61"/>
    <x v="2"/>
    <x v="1"/>
    <x v="2"/>
    <x v="4"/>
    <x v="3"/>
    <x v="0"/>
    <x v="3"/>
    <x v="0"/>
    <x v="10"/>
    <n v="13"/>
    <x v="0"/>
  </r>
  <r>
    <d v="2022-06-13T00:00:00"/>
    <x v="3"/>
    <x v="2"/>
    <x v="2"/>
    <n v="131214.82999999999"/>
    <x v="3"/>
    <x v="2"/>
    <x v="2"/>
    <x v="5"/>
    <x v="3"/>
    <x v="0"/>
    <x v="3"/>
    <x v="0"/>
    <x v="10"/>
    <n v="13"/>
    <x v="0"/>
  </r>
  <r>
    <d v="2022-06-13T00:00:00"/>
    <x v="0"/>
    <x v="0"/>
    <x v="0"/>
    <n v="100"/>
    <x v="0"/>
    <x v="0"/>
    <x v="0"/>
    <x v="1"/>
    <x v="3"/>
    <x v="0"/>
    <x v="3"/>
    <x v="0"/>
    <x v="10"/>
    <n v="13"/>
    <x v="0"/>
  </r>
  <r>
    <d v="2022-06-13T00:00:00"/>
    <x v="2"/>
    <x v="1"/>
    <x v="0"/>
    <n v="69044480.349999994"/>
    <x v="2"/>
    <x v="1"/>
    <x v="0"/>
    <x v="6"/>
    <x v="3"/>
    <x v="0"/>
    <x v="3"/>
    <x v="0"/>
    <x v="10"/>
    <n v="13"/>
    <x v="0"/>
  </r>
  <r>
    <d v="2022-06-13T00:00:00"/>
    <x v="3"/>
    <x v="3"/>
    <x v="0"/>
    <n v="1611954582.6099999"/>
    <x v="3"/>
    <x v="3"/>
    <x v="0"/>
    <x v="7"/>
    <x v="3"/>
    <x v="0"/>
    <x v="3"/>
    <x v="0"/>
    <x v="10"/>
    <n v="13"/>
    <x v="0"/>
  </r>
  <r>
    <d v="2022-06-13T00:00:00"/>
    <x v="1"/>
    <x v="0"/>
    <x v="0"/>
    <n v="53471668.420000002"/>
    <x v="1"/>
    <x v="0"/>
    <x v="0"/>
    <x v="8"/>
    <x v="3"/>
    <x v="0"/>
    <x v="3"/>
    <x v="0"/>
    <x v="10"/>
    <n v="13"/>
    <x v="0"/>
  </r>
  <r>
    <d v="2022-06-13T00:00:00"/>
    <x v="1"/>
    <x v="0"/>
    <x v="1"/>
    <n v="2044122460.97"/>
    <x v="1"/>
    <x v="0"/>
    <x v="1"/>
    <x v="10"/>
    <x v="3"/>
    <x v="0"/>
    <x v="3"/>
    <x v="0"/>
    <x v="10"/>
    <n v="13"/>
    <x v="0"/>
  </r>
  <r>
    <d v="2022-06-13T00:00:00"/>
    <x v="3"/>
    <x v="2"/>
    <x v="0"/>
    <n v="422266449.26999998"/>
    <x v="3"/>
    <x v="2"/>
    <x v="0"/>
    <x v="11"/>
    <x v="3"/>
    <x v="0"/>
    <x v="3"/>
    <x v="0"/>
    <x v="10"/>
    <n v="13"/>
    <x v="0"/>
  </r>
  <r>
    <d v="2022-06-13T00:00:00"/>
    <x v="3"/>
    <x v="2"/>
    <x v="1"/>
    <n v="38060223112.18"/>
    <x v="3"/>
    <x v="2"/>
    <x v="1"/>
    <x v="12"/>
    <x v="3"/>
    <x v="0"/>
    <x v="3"/>
    <x v="0"/>
    <x v="10"/>
    <n v="13"/>
    <x v="0"/>
  </r>
  <r>
    <d v="2022-06-13T00:00:00"/>
    <x v="3"/>
    <x v="1"/>
    <x v="0"/>
    <n v="43664134.920000002"/>
    <x v="3"/>
    <x v="1"/>
    <x v="0"/>
    <x v="13"/>
    <x v="3"/>
    <x v="0"/>
    <x v="3"/>
    <x v="0"/>
    <x v="10"/>
    <n v="13"/>
    <x v="0"/>
  </r>
  <r>
    <d v="2022-06-10T00:00:00"/>
    <x v="1"/>
    <x v="1"/>
    <x v="0"/>
    <n v="1112.5"/>
    <x v="1"/>
    <x v="1"/>
    <x v="0"/>
    <x v="0"/>
    <x v="3"/>
    <x v="0"/>
    <x v="3"/>
    <x v="0"/>
    <x v="10"/>
    <n v="10"/>
    <x v="0"/>
  </r>
  <r>
    <d v="2022-06-10T00:00:00"/>
    <x v="0"/>
    <x v="1"/>
    <x v="0"/>
    <n v="28037997.449999999"/>
    <x v="0"/>
    <x v="1"/>
    <x v="0"/>
    <x v="1"/>
    <x v="3"/>
    <x v="0"/>
    <x v="3"/>
    <x v="0"/>
    <x v="10"/>
    <n v="10"/>
    <x v="0"/>
  </r>
  <r>
    <d v="2022-06-10T00:00:00"/>
    <x v="2"/>
    <x v="1"/>
    <x v="2"/>
    <n v="15420"/>
    <x v="2"/>
    <x v="1"/>
    <x v="2"/>
    <x v="2"/>
    <x v="3"/>
    <x v="0"/>
    <x v="3"/>
    <x v="0"/>
    <x v="10"/>
    <n v="10"/>
    <x v="0"/>
  </r>
  <r>
    <d v="2022-06-10T00:00:00"/>
    <x v="3"/>
    <x v="3"/>
    <x v="1"/>
    <n v="1004.86"/>
    <x v="3"/>
    <x v="3"/>
    <x v="1"/>
    <x v="3"/>
    <x v="3"/>
    <x v="0"/>
    <x v="3"/>
    <x v="0"/>
    <x v="10"/>
    <n v="10"/>
    <x v="0"/>
  </r>
  <r>
    <d v="2022-06-10T00:00:00"/>
    <x v="0"/>
    <x v="1"/>
    <x v="1"/>
    <n v="9669117.8300000001"/>
    <x v="0"/>
    <x v="1"/>
    <x v="1"/>
    <x v="4"/>
    <x v="3"/>
    <x v="0"/>
    <x v="3"/>
    <x v="0"/>
    <x v="10"/>
    <n v="10"/>
    <x v="0"/>
  </r>
  <r>
    <d v="2022-06-10T00:00:00"/>
    <x v="1"/>
    <x v="0"/>
    <x v="0"/>
    <n v="40493824.390000001"/>
    <x v="1"/>
    <x v="0"/>
    <x v="0"/>
    <x v="9"/>
    <x v="3"/>
    <x v="0"/>
    <x v="3"/>
    <x v="0"/>
    <x v="10"/>
    <n v="10"/>
    <x v="0"/>
  </r>
  <r>
    <d v="2022-06-10T00:00:00"/>
    <x v="3"/>
    <x v="2"/>
    <x v="2"/>
    <n v="119919"/>
    <x v="3"/>
    <x v="2"/>
    <x v="2"/>
    <x v="5"/>
    <x v="3"/>
    <x v="0"/>
    <x v="3"/>
    <x v="0"/>
    <x v="10"/>
    <n v="10"/>
    <x v="0"/>
  </r>
  <r>
    <d v="2022-06-10T00:00:00"/>
    <x v="2"/>
    <x v="1"/>
    <x v="0"/>
    <n v="139495340.03"/>
    <x v="2"/>
    <x v="1"/>
    <x v="0"/>
    <x v="7"/>
    <x v="3"/>
    <x v="0"/>
    <x v="3"/>
    <x v="0"/>
    <x v="10"/>
    <n v="10"/>
    <x v="0"/>
  </r>
  <r>
    <d v="2022-06-10T00:00:00"/>
    <x v="3"/>
    <x v="3"/>
    <x v="0"/>
    <n v="951946629.22000003"/>
    <x v="3"/>
    <x v="3"/>
    <x v="0"/>
    <x v="6"/>
    <x v="3"/>
    <x v="0"/>
    <x v="3"/>
    <x v="0"/>
    <x v="10"/>
    <n v="10"/>
    <x v="0"/>
  </r>
  <r>
    <d v="2022-06-10T00:00:00"/>
    <x v="2"/>
    <x v="1"/>
    <x v="1"/>
    <n v="165931575.94"/>
    <x v="2"/>
    <x v="1"/>
    <x v="1"/>
    <x v="8"/>
    <x v="3"/>
    <x v="0"/>
    <x v="3"/>
    <x v="0"/>
    <x v="10"/>
    <n v="10"/>
    <x v="0"/>
  </r>
  <r>
    <d v="2022-06-10T00:00:00"/>
    <x v="1"/>
    <x v="0"/>
    <x v="1"/>
    <n v="604330317.86000001"/>
    <x v="1"/>
    <x v="0"/>
    <x v="1"/>
    <x v="10"/>
    <x v="3"/>
    <x v="0"/>
    <x v="3"/>
    <x v="0"/>
    <x v="10"/>
    <n v="10"/>
    <x v="0"/>
  </r>
  <r>
    <d v="2022-06-10T00:00:00"/>
    <x v="3"/>
    <x v="2"/>
    <x v="0"/>
    <n v="351282095.74000001"/>
    <x v="3"/>
    <x v="2"/>
    <x v="0"/>
    <x v="11"/>
    <x v="3"/>
    <x v="0"/>
    <x v="3"/>
    <x v="0"/>
    <x v="10"/>
    <n v="10"/>
    <x v="0"/>
  </r>
  <r>
    <d v="2022-06-10T00:00:00"/>
    <x v="3"/>
    <x v="2"/>
    <x v="1"/>
    <n v="14124708664.540001"/>
    <x v="3"/>
    <x v="2"/>
    <x v="1"/>
    <x v="12"/>
    <x v="3"/>
    <x v="0"/>
    <x v="3"/>
    <x v="0"/>
    <x v="10"/>
    <n v="10"/>
    <x v="0"/>
  </r>
  <r>
    <d v="2022-06-10T00:00:00"/>
    <x v="3"/>
    <x v="1"/>
    <x v="0"/>
    <n v="13916401.140000001"/>
    <x v="3"/>
    <x v="1"/>
    <x v="0"/>
    <x v="13"/>
    <x v="3"/>
    <x v="0"/>
    <x v="3"/>
    <x v="0"/>
    <x v="10"/>
    <n v="10"/>
    <x v="0"/>
  </r>
  <r>
    <d v="2022-06-09T00:00:00"/>
    <x v="1"/>
    <x v="1"/>
    <x v="0"/>
    <n v="114"/>
    <x v="1"/>
    <x v="1"/>
    <x v="0"/>
    <x v="0"/>
    <x v="3"/>
    <x v="0"/>
    <x v="3"/>
    <x v="0"/>
    <x v="10"/>
    <n v="9"/>
    <x v="0"/>
  </r>
  <r>
    <d v="2022-06-09T00:00:00"/>
    <x v="3"/>
    <x v="2"/>
    <x v="2"/>
    <n v="66403.490000000005"/>
    <x v="3"/>
    <x v="2"/>
    <x v="2"/>
    <x v="4"/>
    <x v="3"/>
    <x v="0"/>
    <x v="3"/>
    <x v="0"/>
    <x v="10"/>
    <n v="9"/>
    <x v="0"/>
  </r>
  <r>
    <d v="2022-06-09T00:00:00"/>
    <x v="0"/>
    <x v="1"/>
    <x v="0"/>
    <n v="21462037.359999999"/>
    <x v="0"/>
    <x v="1"/>
    <x v="0"/>
    <x v="1"/>
    <x v="3"/>
    <x v="0"/>
    <x v="3"/>
    <x v="0"/>
    <x v="10"/>
    <n v="9"/>
    <x v="0"/>
  </r>
  <r>
    <d v="2022-06-09T00:00:00"/>
    <x v="2"/>
    <x v="1"/>
    <x v="2"/>
    <n v="34674.080000000002"/>
    <x v="2"/>
    <x v="1"/>
    <x v="2"/>
    <x v="2"/>
    <x v="3"/>
    <x v="0"/>
    <x v="3"/>
    <x v="0"/>
    <x v="10"/>
    <n v="9"/>
    <x v="0"/>
  </r>
  <r>
    <d v="2022-06-09T00:00:00"/>
    <x v="2"/>
    <x v="1"/>
    <x v="0"/>
    <n v="93030145.390000001"/>
    <x v="2"/>
    <x v="1"/>
    <x v="0"/>
    <x v="5"/>
    <x v="3"/>
    <x v="0"/>
    <x v="3"/>
    <x v="0"/>
    <x v="10"/>
    <n v="9"/>
    <x v="0"/>
  </r>
  <r>
    <d v="2022-06-09T00:00:00"/>
    <x v="3"/>
    <x v="3"/>
    <x v="0"/>
    <n v="1633599153.46"/>
    <x v="3"/>
    <x v="3"/>
    <x v="0"/>
    <x v="6"/>
    <x v="3"/>
    <x v="0"/>
    <x v="3"/>
    <x v="0"/>
    <x v="10"/>
    <n v="9"/>
    <x v="0"/>
  </r>
  <r>
    <d v="2022-06-09T00:00:00"/>
    <x v="0"/>
    <x v="1"/>
    <x v="1"/>
    <n v="27040514.59"/>
    <x v="0"/>
    <x v="1"/>
    <x v="1"/>
    <x v="3"/>
    <x v="3"/>
    <x v="0"/>
    <x v="3"/>
    <x v="0"/>
    <x v="10"/>
    <n v="9"/>
    <x v="0"/>
  </r>
  <r>
    <d v="2022-06-09T00:00:00"/>
    <x v="1"/>
    <x v="0"/>
    <x v="0"/>
    <n v="58896842.68"/>
    <x v="1"/>
    <x v="0"/>
    <x v="0"/>
    <x v="8"/>
    <x v="3"/>
    <x v="0"/>
    <x v="3"/>
    <x v="0"/>
    <x v="10"/>
    <n v="9"/>
    <x v="0"/>
  </r>
  <r>
    <d v="2022-06-09T00:00:00"/>
    <x v="1"/>
    <x v="0"/>
    <x v="1"/>
    <n v="1940450665.1199999"/>
    <x v="1"/>
    <x v="0"/>
    <x v="1"/>
    <x v="9"/>
    <x v="3"/>
    <x v="0"/>
    <x v="3"/>
    <x v="0"/>
    <x v="10"/>
    <n v="9"/>
    <x v="0"/>
  </r>
  <r>
    <d v="2022-06-09T00:00:00"/>
    <x v="2"/>
    <x v="1"/>
    <x v="1"/>
    <n v="257360174.86000001"/>
    <x v="2"/>
    <x v="1"/>
    <x v="1"/>
    <x v="7"/>
    <x v="3"/>
    <x v="0"/>
    <x v="3"/>
    <x v="0"/>
    <x v="10"/>
    <n v="9"/>
    <x v="0"/>
  </r>
  <r>
    <d v="2022-06-09T00:00:00"/>
    <x v="3"/>
    <x v="2"/>
    <x v="0"/>
    <n v="415078041.50999999"/>
    <x v="3"/>
    <x v="2"/>
    <x v="0"/>
    <x v="10"/>
    <x v="3"/>
    <x v="0"/>
    <x v="3"/>
    <x v="0"/>
    <x v="10"/>
    <n v="9"/>
    <x v="0"/>
  </r>
  <r>
    <d v="2022-06-09T00:00:00"/>
    <x v="3"/>
    <x v="2"/>
    <x v="1"/>
    <n v="5616563555.2700005"/>
    <x v="3"/>
    <x v="2"/>
    <x v="1"/>
    <x v="11"/>
    <x v="3"/>
    <x v="0"/>
    <x v="3"/>
    <x v="0"/>
    <x v="10"/>
    <n v="9"/>
    <x v="0"/>
  </r>
  <r>
    <d v="2022-06-09T00:00:00"/>
    <x v="3"/>
    <x v="1"/>
    <x v="0"/>
    <n v="14880622.1"/>
    <x v="3"/>
    <x v="1"/>
    <x v="0"/>
    <x v="12"/>
    <x v="3"/>
    <x v="0"/>
    <x v="3"/>
    <x v="0"/>
    <x v="10"/>
    <n v="9"/>
    <x v="0"/>
  </r>
  <r>
    <d v="2022-06-08T00:00:00"/>
    <x v="1"/>
    <x v="1"/>
    <x v="0"/>
    <n v="523.5"/>
    <x v="1"/>
    <x v="1"/>
    <x v="0"/>
    <x v="1"/>
    <x v="3"/>
    <x v="0"/>
    <x v="3"/>
    <x v="0"/>
    <x v="10"/>
    <n v="8"/>
    <x v="0"/>
  </r>
  <r>
    <d v="2022-06-08T00:00:00"/>
    <x v="2"/>
    <x v="1"/>
    <x v="0"/>
    <n v="128948979.3"/>
    <x v="2"/>
    <x v="1"/>
    <x v="0"/>
    <x v="7"/>
    <x v="3"/>
    <x v="0"/>
    <x v="3"/>
    <x v="0"/>
    <x v="10"/>
    <n v="8"/>
    <x v="0"/>
  </r>
  <r>
    <d v="2022-06-08T00:00:00"/>
    <x v="2"/>
    <x v="1"/>
    <x v="2"/>
    <n v="3755"/>
    <x v="2"/>
    <x v="1"/>
    <x v="2"/>
    <x v="3"/>
    <x v="3"/>
    <x v="0"/>
    <x v="3"/>
    <x v="0"/>
    <x v="10"/>
    <n v="8"/>
    <x v="0"/>
  </r>
  <r>
    <d v="2022-06-08T00:00:00"/>
    <x v="3"/>
    <x v="3"/>
    <x v="0"/>
    <n v="2087035916.6099999"/>
    <x v="3"/>
    <x v="3"/>
    <x v="0"/>
    <x v="8"/>
    <x v="3"/>
    <x v="0"/>
    <x v="3"/>
    <x v="0"/>
    <x v="10"/>
    <n v="8"/>
    <x v="0"/>
  </r>
  <r>
    <d v="2022-06-08T00:00:00"/>
    <x v="1"/>
    <x v="0"/>
    <x v="1"/>
    <n v="2078757097.21"/>
    <x v="1"/>
    <x v="0"/>
    <x v="1"/>
    <x v="9"/>
    <x v="3"/>
    <x v="0"/>
    <x v="3"/>
    <x v="0"/>
    <x v="10"/>
    <n v="8"/>
    <x v="0"/>
  </r>
  <r>
    <d v="2022-06-08T00:00:00"/>
    <x v="3"/>
    <x v="2"/>
    <x v="2"/>
    <n v="89630.42"/>
    <x v="3"/>
    <x v="2"/>
    <x v="2"/>
    <x v="6"/>
    <x v="3"/>
    <x v="0"/>
    <x v="3"/>
    <x v="0"/>
    <x v="10"/>
    <n v="8"/>
    <x v="0"/>
  </r>
  <r>
    <d v="2022-06-08T00:00:00"/>
    <x v="0"/>
    <x v="1"/>
    <x v="0"/>
    <n v="23150067.420000002"/>
    <x v="0"/>
    <x v="1"/>
    <x v="0"/>
    <x v="2"/>
    <x v="3"/>
    <x v="0"/>
    <x v="3"/>
    <x v="0"/>
    <x v="10"/>
    <n v="8"/>
    <x v="0"/>
  </r>
  <r>
    <d v="2022-06-08T00:00:00"/>
    <x v="3"/>
    <x v="3"/>
    <x v="1"/>
    <n v="36948.65"/>
    <x v="3"/>
    <x v="3"/>
    <x v="1"/>
    <x v="4"/>
    <x v="3"/>
    <x v="0"/>
    <x v="3"/>
    <x v="0"/>
    <x v="10"/>
    <n v="8"/>
    <x v="0"/>
  </r>
  <r>
    <d v="2022-06-08T00:00:00"/>
    <x v="0"/>
    <x v="1"/>
    <x v="1"/>
    <n v="16024367.42"/>
    <x v="0"/>
    <x v="1"/>
    <x v="1"/>
    <x v="5"/>
    <x v="3"/>
    <x v="0"/>
    <x v="3"/>
    <x v="0"/>
    <x v="10"/>
    <n v="8"/>
    <x v="0"/>
  </r>
  <r>
    <d v="2022-06-08T00:00:00"/>
    <x v="2"/>
    <x v="1"/>
    <x v="1"/>
    <n v="198671170.66"/>
    <x v="2"/>
    <x v="1"/>
    <x v="1"/>
    <x v="10"/>
    <x v="3"/>
    <x v="0"/>
    <x v="3"/>
    <x v="0"/>
    <x v="10"/>
    <n v="8"/>
    <x v="0"/>
  </r>
  <r>
    <d v="2022-06-08T00:00:00"/>
    <x v="1"/>
    <x v="0"/>
    <x v="0"/>
    <n v="67458339.150000006"/>
    <x v="1"/>
    <x v="0"/>
    <x v="0"/>
    <x v="11"/>
    <x v="3"/>
    <x v="0"/>
    <x v="3"/>
    <x v="0"/>
    <x v="10"/>
    <n v="8"/>
    <x v="0"/>
  </r>
  <r>
    <d v="2022-06-08T00:00:00"/>
    <x v="0"/>
    <x v="0"/>
    <x v="0"/>
    <n v="462.78"/>
    <x v="0"/>
    <x v="0"/>
    <x v="0"/>
    <x v="0"/>
    <x v="3"/>
    <x v="0"/>
    <x v="3"/>
    <x v="0"/>
    <x v="10"/>
    <n v="8"/>
    <x v="0"/>
  </r>
  <r>
    <d v="2022-06-08T00:00:00"/>
    <x v="3"/>
    <x v="2"/>
    <x v="0"/>
    <n v="351420953.16000003"/>
    <x v="3"/>
    <x v="2"/>
    <x v="0"/>
    <x v="12"/>
    <x v="3"/>
    <x v="0"/>
    <x v="3"/>
    <x v="0"/>
    <x v="10"/>
    <n v="8"/>
    <x v="0"/>
  </r>
  <r>
    <d v="2022-06-08T00:00:00"/>
    <x v="3"/>
    <x v="2"/>
    <x v="1"/>
    <n v="12000535461.75"/>
    <x v="3"/>
    <x v="2"/>
    <x v="1"/>
    <x v="13"/>
    <x v="3"/>
    <x v="0"/>
    <x v="3"/>
    <x v="0"/>
    <x v="10"/>
    <n v="8"/>
    <x v="0"/>
  </r>
  <r>
    <d v="2022-06-08T00:00:00"/>
    <x v="3"/>
    <x v="1"/>
    <x v="0"/>
    <n v="14581061.640000001"/>
    <x v="3"/>
    <x v="1"/>
    <x v="0"/>
    <x v="14"/>
    <x v="3"/>
    <x v="0"/>
    <x v="3"/>
    <x v="0"/>
    <x v="10"/>
    <n v="8"/>
    <x v="0"/>
  </r>
  <r>
    <d v="2022-06-07T00:00:00"/>
    <x v="0"/>
    <x v="1"/>
    <x v="0"/>
    <n v="12931579.58"/>
    <x v="0"/>
    <x v="1"/>
    <x v="0"/>
    <x v="2"/>
    <x v="3"/>
    <x v="0"/>
    <x v="3"/>
    <x v="0"/>
    <x v="10"/>
    <n v="7"/>
    <x v="0"/>
  </r>
  <r>
    <d v="2022-06-07T00:00:00"/>
    <x v="2"/>
    <x v="1"/>
    <x v="2"/>
    <n v="23105.31"/>
    <x v="2"/>
    <x v="1"/>
    <x v="2"/>
    <x v="3"/>
    <x v="3"/>
    <x v="0"/>
    <x v="3"/>
    <x v="0"/>
    <x v="10"/>
    <n v="7"/>
    <x v="0"/>
  </r>
  <r>
    <d v="2022-06-07T00:00:00"/>
    <x v="2"/>
    <x v="1"/>
    <x v="0"/>
    <n v="96307243.409999996"/>
    <x v="2"/>
    <x v="1"/>
    <x v="0"/>
    <x v="6"/>
    <x v="3"/>
    <x v="0"/>
    <x v="3"/>
    <x v="0"/>
    <x v="10"/>
    <n v="7"/>
    <x v="0"/>
  </r>
  <r>
    <d v="2022-06-07T00:00:00"/>
    <x v="3"/>
    <x v="2"/>
    <x v="2"/>
    <n v="133666.26999999999"/>
    <x v="3"/>
    <x v="2"/>
    <x v="2"/>
    <x v="5"/>
    <x v="3"/>
    <x v="0"/>
    <x v="3"/>
    <x v="0"/>
    <x v="10"/>
    <n v="7"/>
    <x v="0"/>
  </r>
  <r>
    <d v="2022-06-07T00:00:00"/>
    <x v="2"/>
    <x v="1"/>
    <x v="1"/>
    <n v="129649966.28"/>
    <x v="2"/>
    <x v="1"/>
    <x v="1"/>
    <x v="8"/>
    <x v="3"/>
    <x v="0"/>
    <x v="3"/>
    <x v="0"/>
    <x v="10"/>
    <n v="7"/>
    <x v="0"/>
  </r>
  <r>
    <d v="2022-06-07T00:00:00"/>
    <x v="1"/>
    <x v="0"/>
    <x v="1"/>
    <n v="601599056.75"/>
    <x v="1"/>
    <x v="0"/>
    <x v="1"/>
    <x v="9"/>
    <x v="3"/>
    <x v="0"/>
    <x v="3"/>
    <x v="0"/>
    <x v="10"/>
    <n v="7"/>
    <x v="0"/>
  </r>
  <r>
    <d v="2022-06-07T00:00:00"/>
    <x v="1"/>
    <x v="0"/>
    <x v="0"/>
    <n v="57201275.590000004"/>
    <x v="1"/>
    <x v="0"/>
    <x v="0"/>
    <x v="10"/>
    <x v="3"/>
    <x v="0"/>
    <x v="3"/>
    <x v="0"/>
    <x v="10"/>
    <n v="7"/>
    <x v="0"/>
  </r>
  <r>
    <d v="2022-06-07T00:00:00"/>
    <x v="0"/>
    <x v="1"/>
    <x v="1"/>
    <n v="1230159.42"/>
    <x v="0"/>
    <x v="1"/>
    <x v="1"/>
    <x v="4"/>
    <x v="3"/>
    <x v="0"/>
    <x v="3"/>
    <x v="0"/>
    <x v="10"/>
    <n v="7"/>
    <x v="0"/>
  </r>
  <r>
    <d v="2022-06-07T00:00:00"/>
    <x v="0"/>
    <x v="0"/>
    <x v="0"/>
    <n v="60"/>
    <x v="0"/>
    <x v="0"/>
    <x v="0"/>
    <x v="0"/>
    <x v="3"/>
    <x v="0"/>
    <x v="3"/>
    <x v="0"/>
    <x v="10"/>
    <n v="7"/>
    <x v="0"/>
  </r>
  <r>
    <d v="2022-06-07T00:00:00"/>
    <x v="1"/>
    <x v="1"/>
    <x v="0"/>
    <n v="13598.33"/>
    <x v="1"/>
    <x v="1"/>
    <x v="0"/>
    <x v="1"/>
    <x v="3"/>
    <x v="0"/>
    <x v="3"/>
    <x v="0"/>
    <x v="10"/>
    <n v="7"/>
    <x v="0"/>
  </r>
  <r>
    <d v="2022-06-07T00:00:00"/>
    <x v="3"/>
    <x v="3"/>
    <x v="0"/>
    <n v="943631088.83000004"/>
    <x v="3"/>
    <x v="3"/>
    <x v="0"/>
    <x v="7"/>
    <x v="3"/>
    <x v="0"/>
    <x v="3"/>
    <x v="0"/>
    <x v="10"/>
    <n v="7"/>
    <x v="0"/>
  </r>
  <r>
    <d v="2022-06-07T00:00:00"/>
    <x v="3"/>
    <x v="2"/>
    <x v="0"/>
    <n v="648396373.13"/>
    <x v="3"/>
    <x v="2"/>
    <x v="0"/>
    <x v="11"/>
    <x v="3"/>
    <x v="0"/>
    <x v="3"/>
    <x v="0"/>
    <x v="10"/>
    <n v="7"/>
    <x v="0"/>
  </r>
  <r>
    <d v="2022-06-07T00:00:00"/>
    <x v="3"/>
    <x v="2"/>
    <x v="1"/>
    <n v="3405681616.7600002"/>
    <x v="3"/>
    <x v="2"/>
    <x v="1"/>
    <x v="12"/>
    <x v="3"/>
    <x v="0"/>
    <x v="3"/>
    <x v="0"/>
    <x v="10"/>
    <n v="7"/>
    <x v="0"/>
  </r>
  <r>
    <d v="2022-06-07T00:00:00"/>
    <x v="3"/>
    <x v="1"/>
    <x v="0"/>
    <n v="10086119.119999999"/>
    <x v="3"/>
    <x v="1"/>
    <x v="0"/>
    <x v="13"/>
    <x v="3"/>
    <x v="0"/>
    <x v="3"/>
    <x v="0"/>
    <x v="10"/>
    <n v="7"/>
    <x v="0"/>
  </r>
  <r>
    <d v="2022-06-06T00:00:00"/>
    <x v="2"/>
    <x v="1"/>
    <x v="2"/>
    <n v="14440"/>
    <x v="2"/>
    <x v="1"/>
    <x v="2"/>
    <x v="2"/>
    <x v="3"/>
    <x v="0"/>
    <x v="3"/>
    <x v="0"/>
    <x v="10"/>
    <n v="6"/>
    <x v="0"/>
  </r>
  <r>
    <d v="2022-06-06T00:00:00"/>
    <x v="1"/>
    <x v="0"/>
    <x v="0"/>
    <n v="63835651.479999997"/>
    <x v="1"/>
    <x v="0"/>
    <x v="0"/>
    <x v="8"/>
    <x v="3"/>
    <x v="0"/>
    <x v="3"/>
    <x v="0"/>
    <x v="10"/>
    <n v="6"/>
    <x v="0"/>
  </r>
  <r>
    <d v="2022-06-06T00:00:00"/>
    <x v="2"/>
    <x v="1"/>
    <x v="1"/>
    <n v="220626418.11000001"/>
    <x v="2"/>
    <x v="1"/>
    <x v="1"/>
    <x v="9"/>
    <x v="3"/>
    <x v="0"/>
    <x v="3"/>
    <x v="0"/>
    <x v="10"/>
    <n v="6"/>
    <x v="0"/>
  </r>
  <r>
    <d v="2022-06-06T00:00:00"/>
    <x v="3"/>
    <x v="3"/>
    <x v="1"/>
    <n v="1751332.37"/>
    <x v="3"/>
    <x v="3"/>
    <x v="1"/>
    <x v="3"/>
    <x v="3"/>
    <x v="0"/>
    <x v="3"/>
    <x v="0"/>
    <x v="10"/>
    <n v="6"/>
    <x v="0"/>
  </r>
  <r>
    <d v="2022-06-06T00:00:00"/>
    <x v="0"/>
    <x v="1"/>
    <x v="1"/>
    <n v="2385881.91"/>
    <x v="0"/>
    <x v="1"/>
    <x v="1"/>
    <x v="4"/>
    <x v="3"/>
    <x v="0"/>
    <x v="3"/>
    <x v="0"/>
    <x v="10"/>
    <n v="6"/>
    <x v="0"/>
  </r>
  <r>
    <d v="2022-06-06T00:00:00"/>
    <x v="1"/>
    <x v="0"/>
    <x v="1"/>
    <n v="179794157.25"/>
    <x v="1"/>
    <x v="0"/>
    <x v="1"/>
    <x v="10"/>
    <x v="3"/>
    <x v="0"/>
    <x v="3"/>
    <x v="0"/>
    <x v="10"/>
    <n v="6"/>
    <x v="0"/>
  </r>
  <r>
    <d v="2022-06-06T00:00:00"/>
    <x v="3"/>
    <x v="2"/>
    <x v="2"/>
    <n v="39522.53"/>
    <x v="3"/>
    <x v="2"/>
    <x v="2"/>
    <x v="5"/>
    <x v="3"/>
    <x v="0"/>
    <x v="3"/>
    <x v="0"/>
    <x v="10"/>
    <n v="6"/>
    <x v="0"/>
  </r>
  <r>
    <d v="2022-06-06T00:00:00"/>
    <x v="1"/>
    <x v="1"/>
    <x v="0"/>
    <n v="104"/>
    <x v="1"/>
    <x v="1"/>
    <x v="0"/>
    <x v="0"/>
    <x v="3"/>
    <x v="0"/>
    <x v="3"/>
    <x v="0"/>
    <x v="10"/>
    <n v="6"/>
    <x v="0"/>
  </r>
  <r>
    <d v="2022-06-06T00:00:00"/>
    <x v="0"/>
    <x v="1"/>
    <x v="0"/>
    <n v="11954208.460000001"/>
    <x v="0"/>
    <x v="1"/>
    <x v="0"/>
    <x v="1"/>
    <x v="3"/>
    <x v="0"/>
    <x v="3"/>
    <x v="0"/>
    <x v="10"/>
    <n v="6"/>
    <x v="0"/>
  </r>
  <r>
    <d v="2022-06-06T00:00:00"/>
    <x v="3"/>
    <x v="3"/>
    <x v="0"/>
    <n v="1272553362.8699999"/>
    <x v="3"/>
    <x v="3"/>
    <x v="0"/>
    <x v="6"/>
    <x v="3"/>
    <x v="0"/>
    <x v="3"/>
    <x v="0"/>
    <x v="10"/>
    <n v="6"/>
    <x v="0"/>
  </r>
  <r>
    <d v="2022-06-06T00:00:00"/>
    <x v="2"/>
    <x v="1"/>
    <x v="0"/>
    <n v="111597580.92"/>
    <x v="2"/>
    <x v="1"/>
    <x v="0"/>
    <x v="7"/>
    <x v="3"/>
    <x v="0"/>
    <x v="3"/>
    <x v="0"/>
    <x v="10"/>
    <n v="6"/>
    <x v="0"/>
  </r>
  <r>
    <d v="2022-06-06T00:00:00"/>
    <x v="3"/>
    <x v="2"/>
    <x v="0"/>
    <n v="481611781.44"/>
    <x v="3"/>
    <x v="2"/>
    <x v="0"/>
    <x v="11"/>
    <x v="3"/>
    <x v="0"/>
    <x v="3"/>
    <x v="0"/>
    <x v="10"/>
    <n v="6"/>
    <x v="0"/>
  </r>
  <r>
    <d v="2022-06-06T00:00:00"/>
    <x v="3"/>
    <x v="2"/>
    <x v="1"/>
    <n v="19424469873.23"/>
    <x v="3"/>
    <x v="2"/>
    <x v="1"/>
    <x v="12"/>
    <x v="3"/>
    <x v="0"/>
    <x v="3"/>
    <x v="0"/>
    <x v="10"/>
    <n v="6"/>
    <x v="0"/>
  </r>
  <r>
    <d v="2022-06-06T00:00:00"/>
    <x v="3"/>
    <x v="1"/>
    <x v="0"/>
    <n v="45273121.799999997"/>
    <x v="3"/>
    <x v="1"/>
    <x v="0"/>
    <x v="13"/>
    <x v="3"/>
    <x v="0"/>
    <x v="3"/>
    <x v="0"/>
    <x v="10"/>
    <n v="6"/>
    <x v="0"/>
  </r>
  <r>
    <d v="2022-06-03T00:00:00"/>
    <x v="2"/>
    <x v="1"/>
    <x v="0"/>
    <n v="80167592.120000005"/>
    <x v="2"/>
    <x v="1"/>
    <x v="0"/>
    <x v="5"/>
    <x v="3"/>
    <x v="0"/>
    <x v="3"/>
    <x v="0"/>
    <x v="10"/>
    <n v="3"/>
    <x v="0"/>
  </r>
  <r>
    <d v="2022-06-03T00:00:00"/>
    <x v="2"/>
    <x v="1"/>
    <x v="2"/>
    <n v="133607.67000000001"/>
    <x v="2"/>
    <x v="1"/>
    <x v="2"/>
    <x v="2"/>
    <x v="3"/>
    <x v="0"/>
    <x v="3"/>
    <x v="0"/>
    <x v="10"/>
    <n v="3"/>
    <x v="0"/>
  </r>
  <r>
    <d v="2022-06-03T00:00:00"/>
    <x v="3"/>
    <x v="3"/>
    <x v="0"/>
    <n v="2162320169.9099998"/>
    <x v="3"/>
    <x v="3"/>
    <x v="0"/>
    <x v="6"/>
    <x v="3"/>
    <x v="0"/>
    <x v="3"/>
    <x v="0"/>
    <x v="10"/>
    <n v="3"/>
    <x v="0"/>
  </r>
  <r>
    <d v="2022-06-03T00:00:00"/>
    <x v="0"/>
    <x v="1"/>
    <x v="1"/>
    <n v="2324456.84"/>
    <x v="0"/>
    <x v="1"/>
    <x v="1"/>
    <x v="3"/>
    <x v="3"/>
    <x v="0"/>
    <x v="3"/>
    <x v="0"/>
    <x v="10"/>
    <n v="3"/>
    <x v="0"/>
  </r>
  <r>
    <d v="2022-06-03T00:00:00"/>
    <x v="1"/>
    <x v="0"/>
    <x v="0"/>
    <n v="60917200.469999999"/>
    <x v="1"/>
    <x v="0"/>
    <x v="0"/>
    <x v="7"/>
    <x v="3"/>
    <x v="0"/>
    <x v="3"/>
    <x v="0"/>
    <x v="10"/>
    <n v="3"/>
    <x v="0"/>
  </r>
  <r>
    <d v="2022-06-03T00:00:00"/>
    <x v="2"/>
    <x v="1"/>
    <x v="1"/>
    <n v="305974523.31"/>
    <x v="2"/>
    <x v="1"/>
    <x v="1"/>
    <x v="8"/>
    <x v="3"/>
    <x v="0"/>
    <x v="3"/>
    <x v="0"/>
    <x v="10"/>
    <n v="3"/>
    <x v="0"/>
  </r>
  <r>
    <d v="2022-06-03T00:00:00"/>
    <x v="3"/>
    <x v="2"/>
    <x v="2"/>
    <n v="269573.33"/>
    <x v="3"/>
    <x v="2"/>
    <x v="2"/>
    <x v="4"/>
    <x v="3"/>
    <x v="0"/>
    <x v="3"/>
    <x v="0"/>
    <x v="10"/>
    <n v="3"/>
    <x v="0"/>
  </r>
  <r>
    <d v="2022-06-03T00:00:00"/>
    <x v="0"/>
    <x v="1"/>
    <x v="0"/>
    <n v="12551425.560000001"/>
    <x v="0"/>
    <x v="1"/>
    <x v="0"/>
    <x v="1"/>
    <x v="3"/>
    <x v="0"/>
    <x v="3"/>
    <x v="0"/>
    <x v="10"/>
    <n v="3"/>
    <x v="0"/>
  </r>
  <r>
    <d v="2022-06-03T00:00:00"/>
    <x v="1"/>
    <x v="1"/>
    <x v="0"/>
    <n v="566.5"/>
    <x v="1"/>
    <x v="1"/>
    <x v="0"/>
    <x v="0"/>
    <x v="3"/>
    <x v="0"/>
    <x v="3"/>
    <x v="0"/>
    <x v="10"/>
    <n v="3"/>
    <x v="0"/>
  </r>
  <r>
    <d v="2022-06-03T00:00:00"/>
    <x v="1"/>
    <x v="0"/>
    <x v="1"/>
    <n v="253534516.41999999"/>
    <x v="1"/>
    <x v="0"/>
    <x v="1"/>
    <x v="9"/>
    <x v="3"/>
    <x v="0"/>
    <x v="3"/>
    <x v="0"/>
    <x v="10"/>
    <n v="3"/>
    <x v="0"/>
  </r>
  <r>
    <d v="2022-06-03T00:00:00"/>
    <x v="3"/>
    <x v="2"/>
    <x v="0"/>
    <n v="540068440.82000005"/>
    <x v="3"/>
    <x v="2"/>
    <x v="0"/>
    <x v="10"/>
    <x v="3"/>
    <x v="0"/>
    <x v="3"/>
    <x v="0"/>
    <x v="10"/>
    <n v="3"/>
    <x v="0"/>
  </r>
  <r>
    <d v="2022-06-03T00:00:00"/>
    <x v="3"/>
    <x v="2"/>
    <x v="1"/>
    <n v="12026769695.16"/>
    <x v="3"/>
    <x v="2"/>
    <x v="1"/>
    <x v="11"/>
    <x v="3"/>
    <x v="0"/>
    <x v="3"/>
    <x v="0"/>
    <x v="10"/>
    <n v="3"/>
    <x v="0"/>
  </r>
  <r>
    <d v="2022-06-03T00:00:00"/>
    <x v="3"/>
    <x v="1"/>
    <x v="0"/>
    <n v="15250426.33"/>
    <x v="3"/>
    <x v="1"/>
    <x v="0"/>
    <x v="12"/>
    <x v="3"/>
    <x v="0"/>
    <x v="3"/>
    <x v="0"/>
    <x v="10"/>
    <n v="3"/>
    <x v="0"/>
  </r>
  <r>
    <d v="2022-06-02T00:00:00"/>
    <x v="2"/>
    <x v="1"/>
    <x v="2"/>
    <n v="18960"/>
    <x v="2"/>
    <x v="1"/>
    <x v="2"/>
    <x v="2"/>
    <x v="3"/>
    <x v="0"/>
    <x v="3"/>
    <x v="0"/>
    <x v="10"/>
    <n v="2"/>
    <x v="0"/>
  </r>
  <r>
    <d v="2022-06-02T00:00:00"/>
    <x v="2"/>
    <x v="1"/>
    <x v="0"/>
    <n v="130989361.45"/>
    <x v="2"/>
    <x v="1"/>
    <x v="0"/>
    <x v="6"/>
    <x v="3"/>
    <x v="0"/>
    <x v="3"/>
    <x v="0"/>
    <x v="10"/>
    <n v="2"/>
    <x v="0"/>
  </r>
  <r>
    <d v="2022-06-02T00:00:00"/>
    <x v="3"/>
    <x v="3"/>
    <x v="0"/>
    <n v="2007680965.5899999"/>
    <x v="3"/>
    <x v="3"/>
    <x v="0"/>
    <x v="7"/>
    <x v="3"/>
    <x v="0"/>
    <x v="3"/>
    <x v="0"/>
    <x v="10"/>
    <n v="2"/>
    <x v="0"/>
  </r>
  <r>
    <d v="2022-06-02T00:00:00"/>
    <x v="3"/>
    <x v="2"/>
    <x v="2"/>
    <n v="118512.69"/>
    <x v="3"/>
    <x v="2"/>
    <x v="2"/>
    <x v="5"/>
    <x v="3"/>
    <x v="0"/>
    <x v="3"/>
    <x v="0"/>
    <x v="10"/>
    <n v="2"/>
    <x v="0"/>
  </r>
  <r>
    <d v="2022-06-02T00:00:00"/>
    <x v="3"/>
    <x v="3"/>
    <x v="1"/>
    <n v="2529112.59"/>
    <x v="3"/>
    <x v="3"/>
    <x v="1"/>
    <x v="3"/>
    <x v="3"/>
    <x v="0"/>
    <x v="3"/>
    <x v="0"/>
    <x v="10"/>
    <n v="2"/>
    <x v="0"/>
  </r>
  <r>
    <d v="2022-06-02T00:00:00"/>
    <x v="0"/>
    <x v="1"/>
    <x v="1"/>
    <n v="339842.95"/>
    <x v="0"/>
    <x v="1"/>
    <x v="1"/>
    <x v="4"/>
    <x v="3"/>
    <x v="0"/>
    <x v="3"/>
    <x v="0"/>
    <x v="10"/>
    <n v="2"/>
    <x v="0"/>
  </r>
  <r>
    <d v="2022-06-02T00:00:00"/>
    <x v="1"/>
    <x v="0"/>
    <x v="0"/>
    <n v="78843413.569999993"/>
    <x v="1"/>
    <x v="0"/>
    <x v="0"/>
    <x v="8"/>
    <x v="3"/>
    <x v="0"/>
    <x v="3"/>
    <x v="0"/>
    <x v="10"/>
    <n v="2"/>
    <x v="0"/>
  </r>
  <r>
    <d v="2022-06-02T00:00:00"/>
    <x v="2"/>
    <x v="1"/>
    <x v="1"/>
    <n v="343491497.74000001"/>
    <x v="2"/>
    <x v="1"/>
    <x v="1"/>
    <x v="10"/>
    <x v="3"/>
    <x v="0"/>
    <x v="3"/>
    <x v="0"/>
    <x v="10"/>
    <n v="2"/>
    <x v="0"/>
  </r>
  <r>
    <d v="2022-06-02T00:00:00"/>
    <x v="1"/>
    <x v="1"/>
    <x v="0"/>
    <n v="1015.4"/>
    <x v="1"/>
    <x v="1"/>
    <x v="0"/>
    <x v="0"/>
    <x v="3"/>
    <x v="0"/>
    <x v="3"/>
    <x v="0"/>
    <x v="10"/>
    <n v="2"/>
    <x v="0"/>
  </r>
  <r>
    <d v="2022-06-02T00:00:00"/>
    <x v="0"/>
    <x v="1"/>
    <x v="0"/>
    <n v="26317149.41"/>
    <x v="0"/>
    <x v="1"/>
    <x v="0"/>
    <x v="1"/>
    <x v="3"/>
    <x v="0"/>
    <x v="3"/>
    <x v="0"/>
    <x v="10"/>
    <n v="2"/>
    <x v="0"/>
  </r>
  <r>
    <d v="2022-06-02T00:00:00"/>
    <x v="1"/>
    <x v="0"/>
    <x v="1"/>
    <n v="1173303454.3099999"/>
    <x v="1"/>
    <x v="0"/>
    <x v="1"/>
    <x v="9"/>
    <x v="3"/>
    <x v="0"/>
    <x v="3"/>
    <x v="0"/>
    <x v="10"/>
    <n v="2"/>
    <x v="0"/>
  </r>
  <r>
    <d v="2022-06-02T00:00:00"/>
    <x v="3"/>
    <x v="2"/>
    <x v="0"/>
    <n v="724778729.99000001"/>
    <x v="3"/>
    <x v="2"/>
    <x v="0"/>
    <x v="11"/>
    <x v="3"/>
    <x v="0"/>
    <x v="3"/>
    <x v="0"/>
    <x v="10"/>
    <n v="2"/>
    <x v="0"/>
  </r>
  <r>
    <d v="2022-06-02T00:00:00"/>
    <x v="3"/>
    <x v="1"/>
    <x v="0"/>
    <n v="16111849.57"/>
    <x v="3"/>
    <x v="1"/>
    <x v="0"/>
    <x v="12"/>
    <x v="3"/>
    <x v="0"/>
    <x v="3"/>
    <x v="0"/>
    <x v="10"/>
    <n v="2"/>
    <x v="0"/>
  </r>
  <r>
    <d v="2022-06-02T00:00:00"/>
    <x v="3"/>
    <x v="2"/>
    <x v="1"/>
    <n v="14125006144.33"/>
    <x v="3"/>
    <x v="2"/>
    <x v="1"/>
    <x v="13"/>
    <x v="3"/>
    <x v="0"/>
    <x v="3"/>
    <x v="0"/>
    <x v="10"/>
    <n v="2"/>
    <x v="0"/>
  </r>
  <r>
    <d v="2022-06-01T00:00:00"/>
    <x v="2"/>
    <x v="1"/>
    <x v="2"/>
    <n v="19779.25"/>
    <x v="2"/>
    <x v="1"/>
    <x v="2"/>
    <x v="2"/>
    <x v="3"/>
    <x v="0"/>
    <x v="3"/>
    <x v="0"/>
    <x v="10"/>
    <n v="1"/>
    <x v="0"/>
  </r>
  <r>
    <d v="2022-06-01T00:00:00"/>
    <x v="2"/>
    <x v="1"/>
    <x v="0"/>
    <n v="93815680.969999999"/>
    <x v="2"/>
    <x v="1"/>
    <x v="0"/>
    <x v="5"/>
    <x v="3"/>
    <x v="0"/>
    <x v="3"/>
    <x v="0"/>
    <x v="10"/>
    <n v="1"/>
    <x v="0"/>
  </r>
  <r>
    <d v="2022-06-01T00:00:00"/>
    <x v="3"/>
    <x v="3"/>
    <x v="0"/>
    <n v="2271358217.5"/>
    <x v="3"/>
    <x v="3"/>
    <x v="0"/>
    <x v="6"/>
    <x v="3"/>
    <x v="0"/>
    <x v="3"/>
    <x v="0"/>
    <x v="10"/>
    <n v="1"/>
    <x v="0"/>
  </r>
  <r>
    <d v="2022-06-01T00:00:00"/>
    <x v="1"/>
    <x v="0"/>
    <x v="1"/>
    <n v="307278206.32999998"/>
    <x v="1"/>
    <x v="0"/>
    <x v="1"/>
    <x v="7"/>
    <x v="3"/>
    <x v="0"/>
    <x v="3"/>
    <x v="0"/>
    <x v="10"/>
    <n v="1"/>
    <x v="0"/>
  </r>
  <r>
    <d v="2022-06-01T00:00:00"/>
    <x v="0"/>
    <x v="1"/>
    <x v="1"/>
    <n v="2731176.25"/>
    <x v="0"/>
    <x v="1"/>
    <x v="1"/>
    <x v="3"/>
    <x v="3"/>
    <x v="0"/>
    <x v="3"/>
    <x v="0"/>
    <x v="10"/>
    <n v="1"/>
    <x v="0"/>
  </r>
  <r>
    <d v="2022-06-01T00:00:00"/>
    <x v="1"/>
    <x v="0"/>
    <x v="0"/>
    <n v="61715043.340000004"/>
    <x v="1"/>
    <x v="0"/>
    <x v="0"/>
    <x v="8"/>
    <x v="3"/>
    <x v="0"/>
    <x v="3"/>
    <x v="0"/>
    <x v="10"/>
    <n v="1"/>
    <x v="0"/>
  </r>
  <r>
    <d v="2022-06-01T00:00:00"/>
    <x v="3"/>
    <x v="2"/>
    <x v="2"/>
    <n v="152011.56"/>
    <x v="3"/>
    <x v="2"/>
    <x v="2"/>
    <x v="4"/>
    <x v="3"/>
    <x v="0"/>
    <x v="3"/>
    <x v="0"/>
    <x v="10"/>
    <n v="1"/>
    <x v="0"/>
  </r>
  <r>
    <d v="2022-06-01T00:00:00"/>
    <x v="1"/>
    <x v="1"/>
    <x v="0"/>
    <n v="836"/>
    <x v="1"/>
    <x v="1"/>
    <x v="0"/>
    <x v="0"/>
    <x v="3"/>
    <x v="0"/>
    <x v="3"/>
    <x v="0"/>
    <x v="10"/>
    <n v="1"/>
    <x v="0"/>
  </r>
  <r>
    <d v="2022-06-01T00:00:00"/>
    <x v="0"/>
    <x v="1"/>
    <x v="0"/>
    <n v="6524199.7300000004"/>
    <x v="0"/>
    <x v="1"/>
    <x v="0"/>
    <x v="1"/>
    <x v="3"/>
    <x v="0"/>
    <x v="3"/>
    <x v="0"/>
    <x v="10"/>
    <n v="1"/>
    <x v="0"/>
  </r>
  <r>
    <d v="2022-06-01T00:00:00"/>
    <x v="2"/>
    <x v="1"/>
    <x v="1"/>
    <n v="391559397.66000003"/>
    <x v="2"/>
    <x v="1"/>
    <x v="1"/>
    <x v="9"/>
    <x v="3"/>
    <x v="0"/>
    <x v="3"/>
    <x v="0"/>
    <x v="10"/>
    <n v="1"/>
    <x v="0"/>
  </r>
  <r>
    <d v="2022-06-01T00:00:00"/>
    <x v="3"/>
    <x v="2"/>
    <x v="0"/>
    <n v="579281438.53999996"/>
    <x v="3"/>
    <x v="2"/>
    <x v="0"/>
    <x v="10"/>
    <x v="3"/>
    <x v="0"/>
    <x v="3"/>
    <x v="0"/>
    <x v="10"/>
    <n v="1"/>
    <x v="0"/>
  </r>
  <r>
    <d v="2022-06-01T00:00:00"/>
    <x v="3"/>
    <x v="2"/>
    <x v="1"/>
    <n v="22275147345.43"/>
    <x v="3"/>
    <x v="2"/>
    <x v="1"/>
    <x v="11"/>
    <x v="3"/>
    <x v="0"/>
    <x v="3"/>
    <x v="0"/>
    <x v="10"/>
    <n v="1"/>
    <x v="0"/>
  </r>
  <r>
    <d v="2022-06-01T00:00:00"/>
    <x v="3"/>
    <x v="1"/>
    <x v="0"/>
    <n v="13828376.51"/>
    <x v="3"/>
    <x v="1"/>
    <x v="0"/>
    <x v="12"/>
    <x v="3"/>
    <x v="0"/>
    <x v="3"/>
    <x v="0"/>
    <x v="10"/>
    <n v="1"/>
    <x v="0"/>
  </r>
  <r>
    <d v="2022-05-31T00:00:00"/>
    <x v="2"/>
    <x v="1"/>
    <x v="2"/>
    <n v="15090"/>
    <x v="2"/>
    <x v="1"/>
    <x v="2"/>
    <x v="2"/>
    <x v="3"/>
    <x v="0"/>
    <x v="3"/>
    <x v="0"/>
    <x v="11"/>
    <n v="31"/>
    <x v="0"/>
  </r>
  <r>
    <d v="2022-05-31T00:00:00"/>
    <x v="2"/>
    <x v="1"/>
    <x v="0"/>
    <n v="79196412.959999993"/>
    <x v="2"/>
    <x v="1"/>
    <x v="0"/>
    <x v="6"/>
    <x v="3"/>
    <x v="0"/>
    <x v="3"/>
    <x v="0"/>
    <x v="11"/>
    <n v="31"/>
    <x v="0"/>
  </r>
  <r>
    <d v="2022-05-31T00:00:00"/>
    <x v="0"/>
    <x v="1"/>
    <x v="1"/>
    <n v="27644220.600000001"/>
    <x v="0"/>
    <x v="1"/>
    <x v="1"/>
    <x v="3"/>
    <x v="3"/>
    <x v="0"/>
    <x v="3"/>
    <x v="0"/>
    <x v="11"/>
    <n v="31"/>
    <x v="0"/>
  </r>
  <r>
    <d v="2022-05-31T00:00:00"/>
    <x v="1"/>
    <x v="0"/>
    <x v="1"/>
    <n v="370491443.17000002"/>
    <x v="1"/>
    <x v="0"/>
    <x v="1"/>
    <x v="7"/>
    <x v="3"/>
    <x v="0"/>
    <x v="3"/>
    <x v="0"/>
    <x v="11"/>
    <n v="31"/>
    <x v="0"/>
  </r>
  <r>
    <d v="2022-05-31T00:00:00"/>
    <x v="3"/>
    <x v="2"/>
    <x v="2"/>
    <n v="469938.86"/>
    <x v="3"/>
    <x v="2"/>
    <x v="2"/>
    <x v="4"/>
    <x v="3"/>
    <x v="0"/>
    <x v="3"/>
    <x v="0"/>
    <x v="11"/>
    <n v="31"/>
    <x v="0"/>
  </r>
  <r>
    <d v="2022-05-31T00:00:00"/>
    <x v="1"/>
    <x v="1"/>
    <x v="0"/>
    <n v="335"/>
    <x v="1"/>
    <x v="1"/>
    <x v="0"/>
    <x v="0"/>
    <x v="3"/>
    <x v="0"/>
    <x v="3"/>
    <x v="0"/>
    <x v="11"/>
    <n v="31"/>
    <x v="0"/>
  </r>
  <r>
    <d v="2022-05-31T00:00:00"/>
    <x v="0"/>
    <x v="1"/>
    <x v="0"/>
    <n v="27623812.859999999"/>
    <x v="0"/>
    <x v="1"/>
    <x v="0"/>
    <x v="1"/>
    <x v="3"/>
    <x v="0"/>
    <x v="3"/>
    <x v="0"/>
    <x v="11"/>
    <n v="31"/>
    <x v="0"/>
  </r>
  <r>
    <d v="2022-05-31T00:00:00"/>
    <x v="3"/>
    <x v="3"/>
    <x v="0"/>
    <n v="2381226786.3200002"/>
    <x v="3"/>
    <x v="3"/>
    <x v="0"/>
    <x v="5"/>
    <x v="3"/>
    <x v="0"/>
    <x v="3"/>
    <x v="0"/>
    <x v="11"/>
    <n v="31"/>
    <x v="0"/>
  </r>
  <r>
    <d v="2022-05-31T00:00:00"/>
    <x v="1"/>
    <x v="0"/>
    <x v="0"/>
    <n v="54583371.32"/>
    <x v="1"/>
    <x v="0"/>
    <x v="0"/>
    <x v="8"/>
    <x v="3"/>
    <x v="0"/>
    <x v="3"/>
    <x v="0"/>
    <x v="11"/>
    <n v="31"/>
    <x v="0"/>
  </r>
  <r>
    <d v="2022-05-31T00:00:00"/>
    <x v="2"/>
    <x v="1"/>
    <x v="1"/>
    <n v="551556277.58000004"/>
    <x v="2"/>
    <x v="1"/>
    <x v="1"/>
    <x v="9"/>
    <x v="3"/>
    <x v="0"/>
    <x v="3"/>
    <x v="0"/>
    <x v="11"/>
    <n v="31"/>
    <x v="0"/>
  </r>
  <r>
    <d v="2022-05-31T00:00:00"/>
    <x v="3"/>
    <x v="2"/>
    <x v="0"/>
    <n v="726788432.50999999"/>
    <x v="3"/>
    <x v="2"/>
    <x v="0"/>
    <x v="10"/>
    <x v="3"/>
    <x v="0"/>
    <x v="3"/>
    <x v="0"/>
    <x v="11"/>
    <n v="31"/>
    <x v="0"/>
  </r>
  <r>
    <d v="2022-05-31T00:00:00"/>
    <x v="3"/>
    <x v="2"/>
    <x v="1"/>
    <n v="26287251418.27"/>
    <x v="3"/>
    <x v="2"/>
    <x v="1"/>
    <x v="11"/>
    <x v="3"/>
    <x v="0"/>
    <x v="3"/>
    <x v="0"/>
    <x v="11"/>
    <n v="31"/>
    <x v="0"/>
  </r>
  <r>
    <d v="2022-05-31T00:00:00"/>
    <x v="3"/>
    <x v="1"/>
    <x v="0"/>
    <n v="53882052.289999999"/>
    <x v="3"/>
    <x v="1"/>
    <x v="0"/>
    <x v="12"/>
    <x v="3"/>
    <x v="0"/>
    <x v="3"/>
    <x v="0"/>
    <x v="11"/>
    <n v="31"/>
    <x v="0"/>
  </r>
  <r>
    <d v="2022-05-27T00:00:00"/>
    <x v="2"/>
    <x v="1"/>
    <x v="2"/>
    <n v="16636.97"/>
    <x v="2"/>
    <x v="1"/>
    <x v="2"/>
    <x v="2"/>
    <x v="3"/>
    <x v="0"/>
    <x v="3"/>
    <x v="0"/>
    <x v="11"/>
    <n v="27"/>
    <x v="0"/>
  </r>
  <r>
    <d v="2022-05-27T00:00:00"/>
    <x v="3"/>
    <x v="2"/>
    <x v="2"/>
    <n v="283704.12"/>
    <x v="3"/>
    <x v="2"/>
    <x v="2"/>
    <x v="5"/>
    <x v="3"/>
    <x v="0"/>
    <x v="3"/>
    <x v="0"/>
    <x v="11"/>
    <n v="27"/>
    <x v="0"/>
  </r>
  <r>
    <d v="2022-05-27T00:00:00"/>
    <x v="3"/>
    <x v="3"/>
    <x v="1"/>
    <n v="62312.38"/>
    <x v="3"/>
    <x v="3"/>
    <x v="1"/>
    <x v="3"/>
    <x v="3"/>
    <x v="0"/>
    <x v="3"/>
    <x v="0"/>
    <x v="11"/>
    <n v="27"/>
    <x v="0"/>
  </r>
  <r>
    <d v="2022-05-27T00:00:00"/>
    <x v="0"/>
    <x v="1"/>
    <x v="1"/>
    <n v="5020994.2"/>
    <x v="0"/>
    <x v="1"/>
    <x v="1"/>
    <x v="4"/>
    <x v="3"/>
    <x v="0"/>
    <x v="3"/>
    <x v="0"/>
    <x v="11"/>
    <n v="27"/>
    <x v="0"/>
  </r>
  <r>
    <d v="2022-05-27T00:00:00"/>
    <x v="1"/>
    <x v="0"/>
    <x v="0"/>
    <n v="50887485.210000001"/>
    <x v="1"/>
    <x v="0"/>
    <x v="0"/>
    <x v="8"/>
    <x v="3"/>
    <x v="0"/>
    <x v="3"/>
    <x v="0"/>
    <x v="11"/>
    <n v="27"/>
    <x v="0"/>
  </r>
  <r>
    <d v="2022-05-27T00:00:00"/>
    <x v="2"/>
    <x v="1"/>
    <x v="1"/>
    <n v="346910559.64999998"/>
    <x v="2"/>
    <x v="1"/>
    <x v="1"/>
    <x v="9"/>
    <x v="3"/>
    <x v="0"/>
    <x v="3"/>
    <x v="0"/>
    <x v="11"/>
    <n v="27"/>
    <x v="0"/>
  </r>
  <r>
    <d v="2022-05-27T00:00:00"/>
    <x v="1"/>
    <x v="1"/>
    <x v="0"/>
    <n v="7549.45"/>
    <x v="1"/>
    <x v="1"/>
    <x v="0"/>
    <x v="0"/>
    <x v="3"/>
    <x v="0"/>
    <x v="3"/>
    <x v="0"/>
    <x v="11"/>
    <n v="27"/>
    <x v="0"/>
  </r>
  <r>
    <d v="2022-05-27T00:00:00"/>
    <x v="0"/>
    <x v="1"/>
    <x v="0"/>
    <n v="10460820.130000001"/>
    <x v="0"/>
    <x v="1"/>
    <x v="0"/>
    <x v="1"/>
    <x v="3"/>
    <x v="0"/>
    <x v="3"/>
    <x v="0"/>
    <x v="11"/>
    <n v="27"/>
    <x v="0"/>
  </r>
  <r>
    <d v="2022-05-27T00:00:00"/>
    <x v="3"/>
    <x v="3"/>
    <x v="0"/>
    <n v="2895484407.4299998"/>
    <x v="3"/>
    <x v="3"/>
    <x v="0"/>
    <x v="6"/>
    <x v="3"/>
    <x v="0"/>
    <x v="3"/>
    <x v="0"/>
    <x v="11"/>
    <n v="27"/>
    <x v="0"/>
  </r>
  <r>
    <d v="2022-05-27T00:00:00"/>
    <x v="2"/>
    <x v="1"/>
    <x v="0"/>
    <n v="102087918.90000001"/>
    <x v="2"/>
    <x v="1"/>
    <x v="0"/>
    <x v="7"/>
    <x v="3"/>
    <x v="0"/>
    <x v="3"/>
    <x v="0"/>
    <x v="11"/>
    <n v="27"/>
    <x v="0"/>
  </r>
  <r>
    <d v="2022-05-27T00:00:00"/>
    <x v="1"/>
    <x v="0"/>
    <x v="1"/>
    <n v="135660424.19"/>
    <x v="1"/>
    <x v="0"/>
    <x v="1"/>
    <x v="10"/>
    <x v="3"/>
    <x v="0"/>
    <x v="3"/>
    <x v="0"/>
    <x v="11"/>
    <n v="27"/>
    <x v="0"/>
  </r>
  <r>
    <d v="2022-05-27T00:00:00"/>
    <x v="3"/>
    <x v="2"/>
    <x v="0"/>
    <n v="638697523.19000006"/>
    <x v="3"/>
    <x v="2"/>
    <x v="0"/>
    <x v="11"/>
    <x v="3"/>
    <x v="0"/>
    <x v="3"/>
    <x v="0"/>
    <x v="11"/>
    <n v="27"/>
    <x v="0"/>
  </r>
  <r>
    <d v="2022-05-27T00:00:00"/>
    <x v="3"/>
    <x v="2"/>
    <x v="1"/>
    <n v="11221822055.120001"/>
    <x v="3"/>
    <x v="2"/>
    <x v="1"/>
    <x v="12"/>
    <x v="3"/>
    <x v="0"/>
    <x v="3"/>
    <x v="0"/>
    <x v="11"/>
    <n v="27"/>
    <x v="0"/>
  </r>
  <r>
    <d v="2022-05-27T00:00:00"/>
    <x v="3"/>
    <x v="1"/>
    <x v="0"/>
    <n v="14896537.560000001"/>
    <x v="3"/>
    <x v="1"/>
    <x v="0"/>
    <x v="13"/>
    <x v="3"/>
    <x v="0"/>
    <x v="3"/>
    <x v="0"/>
    <x v="11"/>
    <n v="27"/>
    <x v="0"/>
  </r>
  <r>
    <d v="2022-05-26T00:00:00"/>
    <x v="2"/>
    <x v="1"/>
    <x v="2"/>
    <n v="13180"/>
    <x v="2"/>
    <x v="1"/>
    <x v="2"/>
    <x v="3"/>
    <x v="3"/>
    <x v="0"/>
    <x v="3"/>
    <x v="0"/>
    <x v="11"/>
    <n v="26"/>
    <x v="0"/>
  </r>
  <r>
    <d v="2022-05-26T00:00:00"/>
    <x v="0"/>
    <x v="1"/>
    <x v="1"/>
    <n v="5483271.2300000004"/>
    <x v="0"/>
    <x v="1"/>
    <x v="1"/>
    <x v="4"/>
    <x v="3"/>
    <x v="0"/>
    <x v="3"/>
    <x v="0"/>
    <x v="11"/>
    <n v="26"/>
    <x v="0"/>
  </r>
  <r>
    <d v="2022-05-26T00:00:00"/>
    <x v="1"/>
    <x v="1"/>
    <x v="0"/>
    <n v="450"/>
    <x v="1"/>
    <x v="1"/>
    <x v="0"/>
    <x v="1"/>
    <x v="3"/>
    <x v="0"/>
    <x v="3"/>
    <x v="0"/>
    <x v="11"/>
    <n v="26"/>
    <x v="0"/>
  </r>
  <r>
    <d v="2022-05-26T00:00:00"/>
    <x v="3"/>
    <x v="2"/>
    <x v="2"/>
    <n v="68840.13"/>
    <x v="3"/>
    <x v="2"/>
    <x v="2"/>
    <x v="5"/>
    <x v="3"/>
    <x v="0"/>
    <x v="3"/>
    <x v="0"/>
    <x v="11"/>
    <n v="26"/>
    <x v="0"/>
  </r>
  <r>
    <d v="2022-05-26T00:00:00"/>
    <x v="0"/>
    <x v="1"/>
    <x v="0"/>
    <n v="17913328.109999999"/>
    <x v="0"/>
    <x v="1"/>
    <x v="0"/>
    <x v="2"/>
    <x v="3"/>
    <x v="0"/>
    <x v="3"/>
    <x v="0"/>
    <x v="11"/>
    <n v="26"/>
    <x v="0"/>
  </r>
  <r>
    <d v="2022-05-26T00:00:00"/>
    <x v="0"/>
    <x v="0"/>
    <x v="0"/>
    <n v="-1101.99"/>
    <x v="0"/>
    <x v="0"/>
    <x v="0"/>
    <x v="0"/>
    <x v="3"/>
    <x v="0"/>
    <x v="3"/>
    <x v="0"/>
    <x v="11"/>
    <n v="26"/>
    <x v="1"/>
  </r>
  <r>
    <d v="2022-05-26T00:00:00"/>
    <x v="3"/>
    <x v="3"/>
    <x v="0"/>
    <n v="1010638445.63"/>
    <x v="3"/>
    <x v="3"/>
    <x v="0"/>
    <x v="7"/>
    <x v="3"/>
    <x v="0"/>
    <x v="3"/>
    <x v="0"/>
    <x v="11"/>
    <n v="26"/>
    <x v="0"/>
  </r>
  <r>
    <d v="2022-05-26T00:00:00"/>
    <x v="2"/>
    <x v="1"/>
    <x v="0"/>
    <n v="125165331.36"/>
    <x v="2"/>
    <x v="1"/>
    <x v="0"/>
    <x v="6"/>
    <x v="3"/>
    <x v="0"/>
    <x v="3"/>
    <x v="0"/>
    <x v="11"/>
    <n v="26"/>
    <x v="0"/>
  </r>
  <r>
    <d v="2022-05-26T00:00:00"/>
    <x v="2"/>
    <x v="1"/>
    <x v="1"/>
    <n v="763181500.00999999"/>
    <x v="2"/>
    <x v="1"/>
    <x v="1"/>
    <x v="8"/>
    <x v="3"/>
    <x v="0"/>
    <x v="3"/>
    <x v="0"/>
    <x v="11"/>
    <n v="26"/>
    <x v="0"/>
  </r>
  <r>
    <d v="2022-05-26T00:00:00"/>
    <x v="1"/>
    <x v="0"/>
    <x v="0"/>
    <n v="66838657.130000003"/>
    <x v="1"/>
    <x v="0"/>
    <x v="0"/>
    <x v="9"/>
    <x v="3"/>
    <x v="0"/>
    <x v="3"/>
    <x v="0"/>
    <x v="11"/>
    <n v="26"/>
    <x v="0"/>
  </r>
  <r>
    <d v="2022-05-26T00:00:00"/>
    <x v="1"/>
    <x v="0"/>
    <x v="1"/>
    <n v="206416059.02000001"/>
    <x v="1"/>
    <x v="0"/>
    <x v="1"/>
    <x v="10"/>
    <x v="3"/>
    <x v="0"/>
    <x v="3"/>
    <x v="0"/>
    <x v="11"/>
    <n v="26"/>
    <x v="0"/>
  </r>
  <r>
    <d v="2022-05-26T00:00:00"/>
    <x v="3"/>
    <x v="2"/>
    <x v="0"/>
    <n v="516352241.55000001"/>
    <x v="3"/>
    <x v="2"/>
    <x v="0"/>
    <x v="11"/>
    <x v="3"/>
    <x v="0"/>
    <x v="3"/>
    <x v="0"/>
    <x v="11"/>
    <n v="26"/>
    <x v="0"/>
  </r>
  <r>
    <d v="2022-05-26T00:00:00"/>
    <x v="3"/>
    <x v="2"/>
    <x v="1"/>
    <n v="4515666097.6899996"/>
    <x v="3"/>
    <x v="2"/>
    <x v="1"/>
    <x v="12"/>
    <x v="3"/>
    <x v="0"/>
    <x v="3"/>
    <x v="0"/>
    <x v="11"/>
    <n v="26"/>
    <x v="0"/>
  </r>
  <r>
    <d v="2022-05-26T00:00:00"/>
    <x v="3"/>
    <x v="1"/>
    <x v="0"/>
    <n v="13873924.93"/>
    <x v="3"/>
    <x v="1"/>
    <x v="0"/>
    <x v="13"/>
    <x v="3"/>
    <x v="0"/>
    <x v="3"/>
    <x v="0"/>
    <x v="11"/>
    <n v="26"/>
    <x v="0"/>
  </r>
  <r>
    <d v="2022-05-25T00:00:00"/>
    <x v="0"/>
    <x v="1"/>
    <x v="1"/>
    <n v="19920049.649999999"/>
    <x v="0"/>
    <x v="1"/>
    <x v="1"/>
    <x v="3"/>
    <x v="3"/>
    <x v="0"/>
    <x v="3"/>
    <x v="0"/>
    <x v="11"/>
    <n v="25"/>
    <x v="0"/>
  </r>
  <r>
    <d v="2022-05-25T00:00:00"/>
    <x v="1"/>
    <x v="0"/>
    <x v="0"/>
    <n v="70618074.549999997"/>
    <x v="1"/>
    <x v="0"/>
    <x v="0"/>
    <x v="9"/>
    <x v="3"/>
    <x v="0"/>
    <x v="3"/>
    <x v="0"/>
    <x v="11"/>
    <n v="25"/>
    <x v="0"/>
  </r>
  <r>
    <d v="2022-05-25T00:00:00"/>
    <x v="1"/>
    <x v="1"/>
    <x v="0"/>
    <n v="87.5"/>
    <x v="1"/>
    <x v="1"/>
    <x v="0"/>
    <x v="1"/>
    <x v="3"/>
    <x v="0"/>
    <x v="3"/>
    <x v="0"/>
    <x v="11"/>
    <n v="25"/>
    <x v="0"/>
  </r>
  <r>
    <d v="2022-05-25T00:00:00"/>
    <x v="0"/>
    <x v="1"/>
    <x v="0"/>
    <n v="11539428.66"/>
    <x v="0"/>
    <x v="1"/>
    <x v="0"/>
    <x v="2"/>
    <x v="3"/>
    <x v="0"/>
    <x v="3"/>
    <x v="0"/>
    <x v="11"/>
    <n v="25"/>
    <x v="0"/>
  </r>
  <r>
    <d v="2022-05-25T00:00:00"/>
    <x v="2"/>
    <x v="1"/>
    <x v="2"/>
    <n v="28912.87"/>
    <x v="2"/>
    <x v="1"/>
    <x v="2"/>
    <x v="4"/>
    <x v="3"/>
    <x v="0"/>
    <x v="3"/>
    <x v="0"/>
    <x v="11"/>
    <n v="25"/>
    <x v="0"/>
  </r>
  <r>
    <d v="2022-05-25T00:00:00"/>
    <x v="3"/>
    <x v="2"/>
    <x v="2"/>
    <n v="465176"/>
    <x v="3"/>
    <x v="2"/>
    <x v="2"/>
    <x v="5"/>
    <x v="3"/>
    <x v="0"/>
    <x v="3"/>
    <x v="0"/>
    <x v="11"/>
    <n v="25"/>
    <x v="0"/>
  </r>
  <r>
    <d v="2022-05-25T00:00:00"/>
    <x v="3"/>
    <x v="3"/>
    <x v="0"/>
    <n v="2878500736.6999998"/>
    <x v="3"/>
    <x v="3"/>
    <x v="0"/>
    <x v="6"/>
    <x v="3"/>
    <x v="0"/>
    <x v="3"/>
    <x v="0"/>
    <x v="11"/>
    <n v="25"/>
    <x v="0"/>
  </r>
  <r>
    <d v="2022-05-25T00:00:00"/>
    <x v="2"/>
    <x v="1"/>
    <x v="0"/>
    <n v="135639994.87"/>
    <x v="2"/>
    <x v="1"/>
    <x v="0"/>
    <x v="7"/>
    <x v="3"/>
    <x v="0"/>
    <x v="3"/>
    <x v="0"/>
    <x v="11"/>
    <n v="25"/>
    <x v="0"/>
  </r>
  <r>
    <d v="2022-05-25T00:00:00"/>
    <x v="0"/>
    <x v="0"/>
    <x v="0"/>
    <n v="1101.99"/>
    <x v="0"/>
    <x v="0"/>
    <x v="0"/>
    <x v="0"/>
    <x v="3"/>
    <x v="0"/>
    <x v="3"/>
    <x v="0"/>
    <x v="11"/>
    <n v="25"/>
    <x v="0"/>
  </r>
  <r>
    <d v="2022-05-25T00:00:00"/>
    <x v="2"/>
    <x v="1"/>
    <x v="1"/>
    <n v="727411571.80999994"/>
    <x v="2"/>
    <x v="1"/>
    <x v="1"/>
    <x v="8"/>
    <x v="3"/>
    <x v="0"/>
    <x v="3"/>
    <x v="0"/>
    <x v="11"/>
    <n v="25"/>
    <x v="0"/>
  </r>
  <r>
    <d v="2022-05-25T00:00:00"/>
    <x v="1"/>
    <x v="0"/>
    <x v="1"/>
    <n v="808185470.46000004"/>
    <x v="1"/>
    <x v="0"/>
    <x v="1"/>
    <x v="10"/>
    <x v="3"/>
    <x v="0"/>
    <x v="3"/>
    <x v="0"/>
    <x v="11"/>
    <n v="25"/>
    <x v="0"/>
  </r>
  <r>
    <d v="2022-05-25T00:00:00"/>
    <x v="3"/>
    <x v="2"/>
    <x v="0"/>
    <n v="399569946.69999999"/>
    <x v="3"/>
    <x v="2"/>
    <x v="0"/>
    <x v="11"/>
    <x v="3"/>
    <x v="0"/>
    <x v="3"/>
    <x v="0"/>
    <x v="11"/>
    <n v="25"/>
    <x v="0"/>
  </r>
  <r>
    <d v="2022-05-25T00:00:00"/>
    <x v="3"/>
    <x v="2"/>
    <x v="1"/>
    <n v="11460435392.719999"/>
    <x v="3"/>
    <x v="2"/>
    <x v="1"/>
    <x v="12"/>
    <x v="3"/>
    <x v="0"/>
    <x v="3"/>
    <x v="0"/>
    <x v="11"/>
    <n v="25"/>
    <x v="0"/>
  </r>
  <r>
    <d v="2022-05-25T00:00:00"/>
    <x v="3"/>
    <x v="1"/>
    <x v="0"/>
    <n v="13704898.99"/>
    <x v="3"/>
    <x v="1"/>
    <x v="0"/>
    <x v="13"/>
    <x v="3"/>
    <x v="0"/>
    <x v="3"/>
    <x v="0"/>
    <x v="11"/>
    <n v="25"/>
    <x v="0"/>
  </r>
  <r>
    <d v="2022-05-24T00:00:00"/>
    <x v="2"/>
    <x v="1"/>
    <x v="2"/>
    <n v="19525"/>
    <x v="2"/>
    <x v="1"/>
    <x v="2"/>
    <x v="3"/>
    <x v="3"/>
    <x v="0"/>
    <x v="3"/>
    <x v="0"/>
    <x v="11"/>
    <n v="24"/>
    <x v="0"/>
  </r>
  <r>
    <d v="2022-05-24T00:00:00"/>
    <x v="2"/>
    <x v="1"/>
    <x v="0"/>
    <n v="75963628.120000005"/>
    <x v="2"/>
    <x v="1"/>
    <x v="0"/>
    <x v="6"/>
    <x v="3"/>
    <x v="0"/>
    <x v="3"/>
    <x v="0"/>
    <x v="11"/>
    <n v="24"/>
    <x v="0"/>
  </r>
  <r>
    <d v="2022-05-24T00:00:00"/>
    <x v="3"/>
    <x v="3"/>
    <x v="0"/>
    <n v="1507261983.6500001"/>
    <x v="3"/>
    <x v="3"/>
    <x v="0"/>
    <x v="7"/>
    <x v="3"/>
    <x v="0"/>
    <x v="3"/>
    <x v="0"/>
    <x v="11"/>
    <n v="24"/>
    <x v="0"/>
  </r>
  <r>
    <d v="2022-05-24T00:00:00"/>
    <x v="0"/>
    <x v="1"/>
    <x v="1"/>
    <n v="1863776312.3699999"/>
    <x v="0"/>
    <x v="1"/>
    <x v="1"/>
    <x v="4"/>
    <x v="3"/>
    <x v="0"/>
    <x v="3"/>
    <x v="0"/>
    <x v="11"/>
    <n v="24"/>
    <x v="0"/>
  </r>
  <r>
    <d v="2022-05-24T00:00:00"/>
    <x v="1"/>
    <x v="0"/>
    <x v="0"/>
    <n v="84836454.319999993"/>
    <x v="1"/>
    <x v="0"/>
    <x v="0"/>
    <x v="8"/>
    <x v="3"/>
    <x v="0"/>
    <x v="3"/>
    <x v="0"/>
    <x v="11"/>
    <n v="24"/>
    <x v="0"/>
  </r>
  <r>
    <d v="2022-05-24T00:00:00"/>
    <x v="1"/>
    <x v="1"/>
    <x v="0"/>
    <n v="591.5"/>
    <x v="1"/>
    <x v="1"/>
    <x v="0"/>
    <x v="1"/>
    <x v="3"/>
    <x v="0"/>
    <x v="3"/>
    <x v="0"/>
    <x v="11"/>
    <n v="24"/>
    <x v="0"/>
  </r>
  <r>
    <d v="2022-05-24T00:00:00"/>
    <x v="0"/>
    <x v="1"/>
    <x v="0"/>
    <n v="10629677.810000001"/>
    <x v="0"/>
    <x v="1"/>
    <x v="0"/>
    <x v="2"/>
    <x v="3"/>
    <x v="0"/>
    <x v="3"/>
    <x v="0"/>
    <x v="11"/>
    <n v="24"/>
    <x v="0"/>
  </r>
  <r>
    <d v="2022-05-24T00:00:00"/>
    <x v="3"/>
    <x v="2"/>
    <x v="2"/>
    <n v="625504.09"/>
    <x v="3"/>
    <x v="2"/>
    <x v="2"/>
    <x v="5"/>
    <x v="3"/>
    <x v="0"/>
    <x v="3"/>
    <x v="0"/>
    <x v="11"/>
    <n v="24"/>
    <x v="0"/>
  </r>
  <r>
    <d v="2022-05-24T00:00:00"/>
    <x v="0"/>
    <x v="0"/>
    <x v="0"/>
    <n v="50"/>
    <x v="0"/>
    <x v="0"/>
    <x v="0"/>
    <x v="0"/>
    <x v="3"/>
    <x v="0"/>
    <x v="3"/>
    <x v="0"/>
    <x v="11"/>
    <n v="24"/>
    <x v="0"/>
  </r>
  <r>
    <d v="2022-05-24T00:00:00"/>
    <x v="2"/>
    <x v="1"/>
    <x v="1"/>
    <n v="953583021.74000001"/>
    <x v="2"/>
    <x v="1"/>
    <x v="1"/>
    <x v="9"/>
    <x v="3"/>
    <x v="0"/>
    <x v="3"/>
    <x v="0"/>
    <x v="11"/>
    <n v="24"/>
    <x v="0"/>
  </r>
  <r>
    <d v="2022-05-24T00:00:00"/>
    <x v="1"/>
    <x v="0"/>
    <x v="1"/>
    <n v="324939482.93000001"/>
    <x v="1"/>
    <x v="0"/>
    <x v="1"/>
    <x v="10"/>
    <x v="3"/>
    <x v="0"/>
    <x v="3"/>
    <x v="0"/>
    <x v="11"/>
    <n v="24"/>
    <x v="0"/>
  </r>
  <r>
    <d v="2022-05-24T00:00:00"/>
    <x v="3"/>
    <x v="2"/>
    <x v="0"/>
    <n v="386388697.51999998"/>
    <x v="3"/>
    <x v="2"/>
    <x v="0"/>
    <x v="11"/>
    <x v="3"/>
    <x v="0"/>
    <x v="3"/>
    <x v="0"/>
    <x v="11"/>
    <n v="24"/>
    <x v="0"/>
  </r>
  <r>
    <d v="2022-05-24T00:00:00"/>
    <x v="3"/>
    <x v="2"/>
    <x v="1"/>
    <n v="2794308002.6199999"/>
    <x v="3"/>
    <x v="2"/>
    <x v="1"/>
    <x v="12"/>
    <x v="3"/>
    <x v="0"/>
    <x v="3"/>
    <x v="0"/>
    <x v="11"/>
    <n v="24"/>
    <x v="0"/>
  </r>
  <r>
    <d v="2022-05-24T00:00:00"/>
    <x v="3"/>
    <x v="1"/>
    <x v="0"/>
    <n v="9974715.7899999991"/>
    <x v="3"/>
    <x v="1"/>
    <x v="0"/>
    <x v="13"/>
    <x v="3"/>
    <x v="0"/>
    <x v="3"/>
    <x v="0"/>
    <x v="11"/>
    <n v="24"/>
    <x v="0"/>
  </r>
  <r>
    <d v="2022-05-23T00:00:00"/>
    <x v="3"/>
    <x v="2"/>
    <x v="2"/>
    <n v="98589.81"/>
    <x v="3"/>
    <x v="2"/>
    <x v="2"/>
    <x v="4"/>
    <x v="3"/>
    <x v="0"/>
    <x v="3"/>
    <x v="0"/>
    <x v="11"/>
    <n v="23"/>
    <x v="0"/>
  </r>
  <r>
    <d v="2022-05-23T00:00:00"/>
    <x v="2"/>
    <x v="1"/>
    <x v="0"/>
    <n v="94778167.430000007"/>
    <x v="2"/>
    <x v="1"/>
    <x v="0"/>
    <x v="5"/>
    <x v="3"/>
    <x v="0"/>
    <x v="3"/>
    <x v="0"/>
    <x v="11"/>
    <n v="23"/>
    <x v="0"/>
  </r>
  <r>
    <d v="2022-05-23T00:00:00"/>
    <x v="0"/>
    <x v="1"/>
    <x v="1"/>
    <n v="19715028.93"/>
    <x v="0"/>
    <x v="1"/>
    <x v="1"/>
    <x v="3"/>
    <x v="3"/>
    <x v="0"/>
    <x v="3"/>
    <x v="0"/>
    <x v="11"/>
    <n v="23"/>
    <x v="0"/>
  </r>
  <r>
    <d v="2022-05-23T00:00:00"/>
    <x v="2"/>
    <x v="1"/>
    <x v="1"/>
    <n v="584935746.71000004"/>
    <x v="2"/>
    <x v="1"/>
    <x v="1"/>
    <x v="7"/>
    <x v="3"/>
    <x v="0"/>
    <x v="3"/>
    <x v="0"/>
    <x v="11"/>
    <n v="23"/>
    <x v="0"/>
  </r>
  <r>
    <d v="2022-05-23T00:00:00"/>
    <x v="1"/>
    <x v="1"/>
    <x v="0"/>
    <n v="843"/>
    <x v="1"/>
    <x v="1"/>
    <x v="0"/>
    <x v="0"/>
    <x v="3"/>
    <x v="0"/>
    <x v="3"/>
    <x v="0"/>
    <x v="11"/>
    <n v="23"/>
    <x v="0"/>
  </r>
  <r>
    <d v="2022-05-23T00:00:00"/>
    <x v="0"/>
    <x v="1"/>
    <x v="0"/>
    <n v="11035157.91"/>
    <x v="0"/>
    <x v="1"/>
    <x v="0"/>
    <x v="1"/>
    <x v="3"/>
    <x v="0"/>
    <x v="3"/>
    <x v="0"/>
    <x v="11"/>
    <n v="23"/>
    <x v="0"/>
  </r>
  <r>
    <d v="2022-05-23T00:00:00"/>
    <x v="2"/>
    <x v="1"/>
    <x v="2"/>
    <n v="24826"/>
    <x v="2"/>
    <x v="1"/>
    <x v="2"/>
    <x v="2"/>
    <x v="3"/>
    <x v="0"/>
    <x v="3"/>
    <x v="0"/>
    <x v="11"/>
    <n v="23"/>
    <x v="0"/>
  </r>
  <r>
    <d v="2022-05-23T00:00:00"/>
    <x v="3"/>
    <x v="3"/>
    <x v="0"/>
    <n v="1769481919.6600001"/>
    <x v="3"/>
    <x v="3"/>
    <x v="0"/>
    <x v="6"/>
    <x v="3"/>
    <x v="0"/>
    <x v="3"/>
    <x v="0"/>
    <x v="11"/>
    <n v="23"/>
    <x v="0"/>
  </r>
  <r>
    <d v="2022-05-23T00:00:00"/>
    <x v="1"/>
    <x v="0"/>
    <x v="0"/>
    <n v="70898042.620000005"/>
    <x v="1"/>
    <x v="0"/>
    <x v="0"/>
    <x v="8"/>
    <x v="3"/>
    <x v="0"/>
    <x v="3"/>
    <x v="0"/>
    <x v="11"/>
    <n v="23"/>
    <x v="0"/>
  </r>
  <r>
    <d v="2022-05-23T00:00:00"/>
    <x v="1"/>
    <x v="0"/>
    <x v="1"/>
    <n v="394708135.22000003"/>
    <x v="1"/>
    <x v="0"/>
    <x v="1"/>
    <x v="9"/>
    <x v="3"/>
    <x v="0"/>
    <x v="3"/>
    <x v="0"/>
    <x v="11"/>
    <n v="23"/>
    <x v="0"/>
  </r>
  <r>
    <d v="2022-05-23T00:00:00"/>
    <x v="3"/>
    <x v="2"/>
    <x v="0"/>
    <n v="6866646334.5200005"/>
    <x v="3"/>
    <x v="2"/>
    <x v="0"/>
    <x v="10"/>
    <x v="3"/>
    <x v="0"/>
    <x v="3"/>
    <x v="0"/>
    <x v="11"/>
    <n v="23"/>
    <x v="0"/>
  </r>
  <r>
    <d v="2022-05-23T00:00:00"/>
    <x v="3"/>
    <x v="2"/>
    <x v="1"/>
    <n v="20196017734.189999"/>
    <x v="3"/>
    <x v="2"/>
    <x v="1"/>
    <x v="11"/>
    <x v="3"/>
    <x v="0"/>
    <x v="3"/>
    <x v="0"/>
    <x v="11"/>
    <n v="23"/>
    <x v="0"/>
  </r>
  <r>
    <d v="2022-05-23T00:00:00"/>
    <x v="3"/>
    <x v="1"/>
    <x v="0"/>
    <n v="42001691.549999997"/>
    <x v="3"/>
    <x v="1"/>
    <x v="0"/>
    <x v="12"/>
    <x v="3"/>
    <x v="0"/>
    <x v="3"/>
    <x v="0"/>
    <x v="11"/>
    <n v="23"/>
    <x v="0"/>
  </r>
  <r>
    <d v="2022-05-20T00:00:00"/>
    <x v="2"/>
    <x v="1"/>
    <x v="2"/>
    <n v="3105.13"/>
    <x v="2"/>
    <x v="1"/>
    <x v="2"/>
    <x v="2"/>
    <x v="3"/>
    <x v="0"/>
    <x v="3"/>
    <x v="0"/>
    <x v="11"/>
    <n v="20"/>
    <x v="0"/>
  </r>
  <r>
    <d v="2022-05-20T00:00:00"/>
    <x v="1"/>
    <x v="1"/>
    <x v="0"/>
    <n v="2577.98"/>
    <x v="1"/>
    <x v="1"/>
    <x v="0"/>
    <x v="0"/>
    <x v="3"/>
    <x v="0"/>
    <x v="3"/>
    <x v="0"/>
    <x v="11"/>
    <n v="20"/>
    <x v="0"/>
  </r>
  <r>
    <d v="2022-05-20T00:00:00"/>
    <x v="3"/>
    <x v="3"/>
    <x v="1"/>
    <n v="75920.149999999994"/>
    <x v="3"/>
    <x v="3"/>
    <x v="1"/>
    <x v="3"/>
    <x v="3"/>
    <x v="0"/>
    <x v="3"/>
    <x v="0"/>
    <x v="11"/>
    <n v="20"/>
    <x v="0"/>
  </r>
  <r>
    <d v="2022-05-20T00:00:00"/>
    <x v="0"/>
    <x v="1"/>
    <x v="1"/>
    <n v="7256370.5099999998"/>
    <x v="0"/>
    <x v="1"/>
    <x v="1"/>
    <x v="4"/>
    <x v="3"/>
    <x v="0"/>
    <x v="3"/>
    <x v="0"/>
    <x v="11"/>
    <n v="20"/>
    <x v="0"/>
  </r>
  <r>
    <d v="2022-05-20T00:00:00"/>
    <x v="1"/>
    <x v="0"/>
    <x v="0"/>
    <n v="72885513.980000004"/>
    <x v="1"/>
    <x v="0"/>
    <x v="0"/>
    <x v="8"/>
    <x v="3"/>
    <x v="0"/>
    <x v="3"/>
    <x v="0"/>
    <x v="11"/>
    <n v="20"/>
    <x v="0"/>
  </r>
  <r>
    <d v="2022-05-20T00:00:00"/>
    <x v="0"/>
    <x v="1"/>
    <x v="0"/>
    <n v="35923663.030000001"/>
    <x v="0"/>
    <x v="1"/>
    <x v="0"/>
    <x v="1"/>
    <x v="3"/>
    <x v="0"/>
    <x v="3"/>
    <x v="0"/>
    <x v="11"/>
    <n v="20"/>
    <x v="0"/>
  </r>
  <r>
    <d v="2022-05-20T00:00:00"/>
    <x v="3"/>
    <x v="2"/>
    <x v="2"/>
    <n v="134621.62"/>
    <x v="3"/>
    <x v="2"/>
    <x v="2"/>
    <x v="5"/>
    <x v="3"/>
    <x v="0"/>
    <x v="3"/>
    <x v="0"/>
    <x v="11"/>
    <n v="20"/>
    <x v="0"/>
  </r>
  <r>
    <d v="2022-05-20T00:00:00"/>
    <x v="3"/>
    <x v="3"/>
    <x v="0"/>
    <n v="3678698862.5700002"/>
    <x v="3"/>
    <x v="3"/>
    <x v="0"/>
    <x v="6"/>
    <x v="3"/>
    <x v="0"/>
    <x v="3"/>
    <x v="0"/>
    <x v="11"/>
    <n v="20"/>
    <x v="0"/>
  </r>
  <r>
    <d v="2022-05-20T00:00:00"/>
    <x v="2"/>
    <x v="1"/>
    <x v="0"/>
    <n v="95185446.349999994"/>
    <x v="2"/>
    <x v="1"/>
    <x v="0"/>
    <x v="7"/>
    <x v="3"/>
    <x v="0"/>
    <x v="3"/>
    <x v="0"/>
    <x v="11"/>
    <n v="20"/>
    <x v="0"/>
  </r>
  <r>
    <d v="2022-05-20T00:00:00"/>
    <x v="2"/>
    <x v="1"/>
    <x v="1"/>
    <n v="580244887.86000001"/>
    <x v="2"/>
    <x v="1"/>
    <x v="1"/>
    <x v="9"/>
    <x v="3"/>
    <x v="0"/>
    <x v="3"/>
    <x v="0"/>
    <x v="11"/>
    <n v="20"/>
    <x v="0"/>
  </r>
  <r>
    <d v="2022-05-20T00:00:00"/>
    <x v="1"/>
    <x v="0"/>
    <x v="1"/>
    <n v="513206882.74000001"/>
    <x v="1"/>
    <x v="0"/>
    <x v="1"/>
    <x v="10"/>
    <x v="3"/>
    <x v="0"/>
    <x v="3"/>
    <x v="0"/>
    <x v="11"/>
    <n v="20"/>
    <x v="0"/>
  </r>
  <r>
    <d v="2022-05-20T00:00:00"/>
    <x v="3"/>
    <x v="2"/>
    <x v="0"/>
    <n v="577350355.45000005"/>
    <x v="3"/>
    <x v="2"/>
    <x v="0"/>
    <x v="11"/>
    <x v="3"/>
    <x v="0"/>
    <x v="3"/>
    <x v="0"/>
    <x v="11"/>
    <n v="20"/>
    <x v="0"/>
  </r>
  <r>
    <d v="2022-05-20T00:00:00"/>
    <x v="3"/>
    <x v="2"/>
    <x v="1"/>
    <n v="7288628275.5299997"/>
    <x v="3"/>
    <x v="2"/>
    <x v="1"/>
    <x v="12"/>
    <x v="3"/>
    <x v="0"/>
    <x v="3"/>
    <x v="0"/>
    <x v="11"/>
    <n v="20"/>
    <x v="0"/>
  </r>
  <r>
    <d v="2022-05-20T00:00:00"/>
    <x v="3"/>
    <x v="1"/>
    <x v="0"/>
    <n v="13560827.5"/>
    <x v="3"/>
    <x v="1"/>
    <x v="0"/>
    <x v="13"/>
    <x v="3"/>
    <x v="0"/>
    <x v="3"/>
    <x v="0"/>
    <x v="11"/>
    <n v="20"/>
    <x v="0"/>
  </r>
  <r>
    <d v="2022-05-19T00:00:00"/>
    <x v="1"/>
    <x v="1"/>
    <x v="0"/>
    <n v="422"/>
    <x v="1"/>
    <x v="1"/>
    <x v="0"/>
    <x v="0"/>
    <x v="3"/>
    <x v="0"/>
    <x v="3"/>
    <x v="0"/>
    <x v="11"/>
    <n v="19"/>
    <x v="0"/>
  </r>
  <r>
    <d v="2022-05-19T00:00:00"/>
    <x v="3"/>
    <x v="3"/>
    <x v="0"/>
    <n v="1879931432.9100001"/>
    <x v="3"/>
    <x v="3"/>
    <x v="0"/>
    <x v="6"/>
    <x v="3"/>
    <x v="0"/>
    <x v="3"/>
    <x v="0"/>
    <x v="11"/>
    <n v="19"/>
    <x v="0"/>
  </r>
  <r>
    <d v="2022-05-19T00:00:00"/>
    <x v="0"/>
    <x v="1"/>
    <x v="1"/>
    <n v="10667806.859999999"/>
    <x v="0"/>
    <x v="1"/>
    <x v="1"/>
    <x v="3"/>
    <x v="3"/>
    <x v="0"/>
    <x v="3"/>
    <x v="0"/>
    <x v="11"/>
    <n v="19"/>
    <x v="0"/>
  </r>
  <r>
    <d v="2022-05-19T00:00:00"/>
    <x v="1"/>
    <x v="0"/>
    <x v="0"/>
    <n v="103104863.77"/>
    <x v="1"/>
    <x v="0"/>
    <x v="0"/>
    <x v="7"/>
    <x v="3"/>
    <x v="0"/>
    <x v="3"/>
    <x v="0"/>
    <x v="11"/>
    <n v="19"/>
    <x v="0"/>
  </r>
  <r>
    <d v="2022-05-19T00:00:00"/>
    <x v="0"/>
    <x v="1"/>
    <x v="0"/>
    <n v="10265595.58"/>
    <x v="0"/>
    <x v="1"/>
    <x v="0"/>
    <x v="1"/>
    <x v="3"/>
    <x v="0"/>
    <x v="3"/>
    <x v="0"/>
    <x v="11"/>
    <n v="19"/>
    <x v="0"/>
  </r>
  <r>
    <d v="2022-05-19T00:00:00"/>
    <x v="3"/>
    <x v="2"/>
    <x v="2"/>
    <n v="537626"/>
    <x v="3"/>
    <x v="2"/>
    <x v="2"/>
    <x v="4"/>
    <x v="3"/>
    <x v="0"/>
    <x v="3"/>
    <x v="0"/>
    <x v="11"/>
    <n v="19"/>
    <x v="0"/>
  </r>
  <r>
    <d v="2022-05-19T00:00:00"/>
    <x v="2"/>
    <x v="1"/>
    <x v="2"/>
    <n v="10885"/>
    <x v="2"/>
    <x v="1"/>
    <x v="2"/>
    <x v="2"/>
    <x v="3"/>
    <x v="0"/>
    <x v="3"/>
    <x v="0"/>
    <x v="11"/>
    <n v="19"/>
    <x v="0"/>
  </r>
  <r>
    <d v="2022-05-19T00:00:00"/>
    <x v="2"/>
    <x v="1"/>
    <x v="0"/>
    <n v="104272135.88"/>
    <x v="2"/>
    <x v="1"/>
    <x v="0"/>
    <x v="5"/>
    <x v="3"/>
    <x v="0"/>
    <x v="3"/>
    <x v="0"/>
    <x v="11"/>
    <n v="19"/>
    <x v="0"/>
  </r>
  <r>
    <d v="2022-05-19T00:00:00"/>
    <x v="2"/>
    <x v="1"/>
    <x v="1"/>
    <n v="1599217849.1900001"/>
    <x v="2"/>
    <x v="1"/>
    <x v="1"/>
    <x v="8"/>
    <x v="3"/>
    <x v="0"/>
    <x v="3"/>
    <x v="0"/>
    <x v="11"/>
    <n v="19"/>
    <x v="0"/>
  </r>
  <r>
    <d v="2022-05-19T00:00:00"/>
    <x v="1"/>
    <x v="0"/>
    <x v="1"/>
    <n v="614995953.76999998"/>
    <x v="1"/>
    <x v="0"/>
    <x v="1"/>
    <x v="9"/>
    <x v="3"/>
    <x v="0"/>
    <x v="3"/>
    <x v="0"/>
    <x v="11"/>
    <n v="19"/>
    <x v="0"/>
  </r>
  <r>
    <d v="2022-05-19T00:00:00"/>
    <x v="3"/>
    <x v="2"/>
    <x v="0"/>
    <n v="360765891.07999998"/>
    <x v="3"/>
    <x v="2"/>
    <x v="0"/>
    <x v="10"/>
    <x v="3"/>
    <x v="0"/>
    <x v="3"/>
    <x v="0"/>
    <x v="11"/>
    <n v="19"/>
    <x v="0"/>
  </r>
  <r>
    <d v="2022-05-19T00:00:00"/>
    <x v="3"/>
    <x v="2"/>
    <x v="1"/>
    <n v="2922845960.3299999"/>
    <x v="3"/>
    <x v="2"/>
    <x v="1"/>
    <x v="11"/>
    <x v="3"/>
    <x v="0"/>
    <x v="3"/>
    <x v="0"/>
    <x v="11"/>
    <n v="19"/>
    <x v="0"/>
  </r>
  <r>
    <d v="2022-05-19T00:00:00"/>
    <x v="3"/>
    <x v="1"/>
    <x v="0"/>
    <n v="14303886.390000001"/>
    <x v="3"/>
    <x v="1"/>
    <x v="0"/>
    <x v="12"/>
    <x v="3"/>
    <x v="0"/>
    <x v="3"/>
    <x v="0"/>
    <x v="11"/>
    <n v="19"/>
    <x v="0"/>
  </r>
  <r>
    <d v="2022-05-18T00:00:00"/>
    <x v="3"/>
    <x v="2"/>
    <x v="2"/>
    <n v="217110.28"/>
    <x v="3"/>
    <x v="2"/>
    <x v="2"/>
    <x v="4"/>
    <x v="3"/>
    <x v="0"/>
    <x v="3"/>
    <x v="0"/>
    <x v="11"/>
    <n v="18"/>
    <x v="0"/>
  </r>
  <r>
    <d v="2022-05-18T00:00:00"/>
    <x v="2"/>
    <x v="1"/>
    <x v="0"/>
    <n v="111868054.78"/>
    <x v="2"/>
    <x v="1"/>
    <x v="0"/>
    <x v="5"/>
    <x v="3"/>
    <x v="0"/>
    <x v="3"/>
    <x v="0"/>
    <x v="11"/>
    <n v="18"/>
    <x v="0"/>
  </r>
  <r>
    <d v="2022-05-18T00:00:00"/>
    <x v="2"/>
    <x v="1"/>
    <x v="2"/>
    <n v="16912.11"/>
    <x v="2"/>
    <x v="1"/>
    <x v="2"/>
    <x v="2"/>
    <x v="3"/>
    <x v="0"/>
    <x v="3"/>
    <x v="0"/>
    <x v="11"/>
    <n v="18"/>
    <x v="0"/>
  </r>
  <r>
    <d v="2022-05-18T00:00:00"/>
    <x v="1"/>
    <x v="1"/>
    <x v="0"/>
    <n v="83"/>
    <x v="1"/>
    <x v="1"/>
    <x v="0"/>
    <x v="0"/>
    <x v="3"/>
    <x v="0"/>
    <x v="3"/>
    <x v="0"/>
    <x v="11"/>
    <n v="18"/>
    <x v="0"/>
  </r>
  <r>
    <d v="2022-05-18T00:00:00"/>
    <x v="0"/>
    <x v="1"/>
    <x v="0"/>
    <n v="12741761.359999999"/>
    <x v="0"/>
    <x v="1"/>
    <x v="0"/>
    <x v="1"/>
    <x v="3"/>
    <x v="0"/>
    <x v="3"/>
    <x v="0"/>
    <x v="11"/>
    <n v="18"/>
    <x v="0"/>
  </r>
  <r>
    <d v="2022-05-18T00:00:00"/>
    <x v="2"/>
    <x v="1"/>
    <x v="1"/>
    <n v="918656727.28999996"/>
    <x v="2"/>
    <x v="1"/>
    <x v="1"/>
    <x v="7"/>
    <x v="3"/>
    <x v="0"/>
    <x v="3"/>
    <x v="0"/>
    <x v="11"/>
    <n v="18"/>
    <x v="0"/>
  </r>
  <r>
    <d v="2022-05-18T00:00:00"/>
    <x v="1"/>
    <x v="0"/>
    <x v="0"/>
    <n v="106030237.81999999"/>
    <x v="1"/>
    <x v="0"/>
    <x v="0"/>
    <x v="8"/>
    <x v="3"/>
    <x v="0"/>
    <x v="3"/>
    <x v="0"/>
    <x v="11"/>
    <n v="18"/>
    <x v="0"/>
  </r>
  <r>
    <d v="2022-05-18T00:00:00"/>
    <x v="0"/>
    <x v="1"/>
    <x v="1"/>
    <n v="15283767.390000001"/>
    <x v="0"/>
    <x v="1"/>
    <x v="1"/>
    <x v="3"/>
    <x v="3"/>
    <x v="0"/>
    <x v="3"/>
    <x v="0"/>
    <x v="11"/>
    <n v="18"/>
    <x v="0"/>
  </r>
  <r>
    <d v="2022-05-18T00:00:00"/>
    <x v="3"/>
    <x v="3"/>
    <x v="0"/>
    <n v="991260726.26999998"/>
    <x v="3"/>
    <x v="3"/>
    <x v="0"/>
    <x v="6"/>
    <x v="3"/>
    <x v="0"/>
    <x v="3"/>
    <x v="0"/>
    <x v="11"/>
    <n v="18"/>
    <x v="0"/>
  </r>
  <r>
    <d v="2022-05-18T00:00:00"/>
    <x v="1"/>
    <x v="0"/>
    <x v="1"/>
    <n v="1344785235.4300001"/>
    <x v="1"/>
    <x v="0"/>
    <x v="1"/>
    <x v="9"/>
    <x v="3"/>
    <x v="0"/>
    <x v="3"/>
    <x v="0"/>
    <x v="11"/>
    <n v="18"/>
    <x v="0"/>
  </r>
  <r>
    <d v="2022-05-18T00:00:00"/>
    <x v="3"/>
    <x v="2"/>
    <x v="0"/>
    <n v="301342238.38999999"/>
    <x v="3"/>
    <x v="2"/>
    <x v="0"/>
    <x v="10"/>
    <x v="3"/>
    <x v="0"/>
    <x v="3"/>
    <x v="0"/>
    <x v="11"/>
    <n v="18"/>
    <x v="0"/>
  </r>
  <r>
    <d v="2022-05-18T00:00:00"/>
    <x v="3"/>
    <x v="1"/>
    <x v="0"/>
    <n v="14153557.83"/>
    <x v="3"/>
    <x v="1"/>
    <x v="0"/>
    <x v="11"/>
    <x v="3"/>
    <x v="0"/>
    <x v="3"/>
    <x v="0"/>
    <x v="11"/>
    <n v="18"/>
    <x v="0"/>
  </r>
  <r>
    <d v="2022-05-18T00:00:00"/>
    <x v="3"/>
    <x v="2"/>
    <x v="1"/>
    <n v="12266012228.02"/>
    <x v="3"/>
    <x v="2"/>
    <x v="1"/>
    <x v="12"/>
    <x v="3"/>
    <x v="0"/>
    <x v="3"/>
    <x v="0"/>
    <x v="11"/>
    <n v="18"/>
    <x v="0"/>
  </r>
  <r>
    <d v="2022-05-17T00:00:00"/>
    <x v="2"/>
    <x v="1"/>
    <x v="2"/>
    <n v="16890"/>
    <x v="2"/>
    <x v="1"/>
    <x v="2"/>
    <x v="2"/>
    <x v="3"/>
    <x v="0"/>
    <x v="3"/>
    <x v="0"/>
    <x v="11"/>
    <n v="17"/>
    <x v="0"/>
  </r>
  <r>
    <d v="2022-05-17T00:00:00"/>
    <x v="0"/>
    <x v="1"/>
    <x v="0"/>
    <n v="18759569.719999999"/>
    <x v="0"/>
    <x v="1"/>
    <x v="0"/>
    <x v="1"/>
    <x v="3"/>
    <x v="0"/>
    <x v="3"/>
    <x v="0"/>
    <x v="11"/>
    <n v="17"/>
    <x v="0"/>
  </r>
  <r>
    <d v="2022-05-17T00:00:00"/>
    <x v="1"/>
    <x v="1"/>
    <x v="0"/>
    <n v="336.5"/>
    <x v="1"/>
    <x v="1"/>
    <x v="0"/>
    <x v="0"/>
    <x v="3"/>
    <x v="0"/>
    <x v="3"/>
    <x v="0"/>
    <x v="11"/>
    <n v="17"/>
    <x v="0"/>
  </r>
  <r>
    <d v="2022-05-17T00:00:00"/>
    <x v="0"/>
    <x v="1"/>
    <x v="1"/>
    <n v="22686207.780000001"/>
    <x v="0"/>
    <x v="1"/>
    <x v="1"/>
    <x v="4"/>
    <x v="3"/>
    <x v="0"/>
    <x v="3"/>
    <x v="0"/>
    <x v="11"/>
    <n v="17"/>
    <x v="0"/>
  </r>
  <r>
    <d v="2022-05-17T00:00:00"/>
    <x v="2"/>
    <x v="1"/>
    <x v="1"/>
    <n v="750939078.98000002"/>
    <x v="2"/>
    <x v="1"/>
    <x v="1"/>
    <x v="8"/>
    <x v="3"/>
    <x v="0"/>
    <x v="3"/>
    <x v="0"/>
    <x v="11"/>
    <n v="17"/>
    <x v="0"/>
  </r>
  <r>
    <d v="2022-05-17T00:00:00"/>
    <x v="1"/>
    <x v="0"/>
    <x v="0"/>
    <n v="77383012.030000001"/>
    <x v="1"/>
    <x v="0"/>
    <x v="0"/>
    <x v="9"/>
    <x v="3"/>
    <x v="0"/>
    <x v="3"/>
    <x v="0"/>
    <x v="11"/>
    <n v="17"/>
    <x v="0"/>
  </r>
  <r>
    <d v="2022-05-17T00:00:00"/>
    <x v="3"/>
    <x v="2"/>
    <x v="2"/>
    <n v="81480"/>
    <x v="3"/>
    <x v="2"/>
    <x v="2"/>
    <x v="5"/>
    <x v="3"/>
    <x v="0"/>
    <x v="3"/>
    <x v="0"/>
    <x v="11"/>
    <n v="17"/>
    <x v="0"/>
  </r>
  <r>
    <d v="2022-05-17T00:00:00"/>
    <x v="3"/>
    <x v="3"/>
    <x v="0"/>
    <n v="2182631214.6399999"/>
    <x v="3"/>
    <x v="3"/>
    <x v="0"/>
    <x v="6"/>
    <x v="3"/>
    <x v="0"/>
    <x v="3"/>
    <x v="0"/>
    <x v="11"/>
    <n v="17"/>
    <x v="0"/>
  </r>
  <r>
    <d v="2022-05-17T00:00:00"/>
    <x v="3"/>
    <x v="3"/>
    <x v="1"/>
    <n v="9996.81"/>
    <x v="3"/>
    <x v="3"/>
    <x v="1"/>
    <x v="3"/>
    <x v="3"/>
    <x v="0"/>
    <x v="3"/>
    <x v="0"/>
    <x v="11"/>
    <n v="17"/>
    <x v="0"/>
  </r>
  <r>
    <d v="2022-05-17T00:00:00"/>
    <x v="2"/>
    <x v="1"/>
    <x v="0"/>
    <n v="99087647.159999996"/>
    <x v="2"/>
    <x v="1"/>
    <x v="0"/>
    <x v="7"/>
    <x v="3"/>
    <x v="0"/>
    <x v="3"/>
    <x v="0"/>
    <x v="11"/>
    <n v="17"/>
    <x v="0"/>
  </r>
  <r>
    <d v="2022-05-17T00:00:00"/>
    <x v="1"/>
    <x v="0"/>
    <x v="1"/>
    <n v="1285633706.6300001"/>
    <x v="1"/>
    <x v="0"/>
    <x v="1"/>
    <x v="10"/>
    <x v="3"/>
    <x v="0"/>
    <x v="3"/>
    <x v="0"/>
    <x v="11"/>
    <n v="17"/>
    <x v="0"/>
  </r>
  <r>
    <d v="2022-05-17T00:00:00"/>
    <x v="3"/>
    <x v="2"/>
    <x v="0"/>
    <n v="407816823.77999997"/>
    <x v="3"/>
    <x v="2"/>
    <x v="0"/>
    <x v="11"/>
    <x v="3"/>
    <x v="0"/>
    <x v="3"/>
    <x v="0"/>
    <x v="11"/>
    <n v="17"/>
    <x v="0"/>
  </r>
  <r>
    <d v="2022-05-17T00:00:00"/>
    <x v="3"/>
    <x v="1"/>
    <x v="0"/>
    <n v="10293754.949999999"/>
    <x v="3"/>
    <x v="1"/>
    <x v="0"/>
    <x v="12"/>
    <x v="3"/>
    <x v="0"/>
    <x v="3"/>
    <x v="0"/>
    <x v="11"/>
    <n v="17"/>
    <x v="0"/>
  </r>
  <r>
    <d v="2022-05-17T00:00:00"/>
    <x v="3"/>
    <x v="2"/>
    <x v="1"/>
    <n v="4427431128.3000002"/>
    <x v="3"/>
    <x v="2"/>
    <x v="1"/>
    <x v="13"/>
    <x v="3"/>
    <x v="0"/>
    <x v="3"/>
    <x v="0"/>
    <x v="11"/>
    <n v="17"/>
    <x v="0"/>
  </r>
  <r>
    <d v="2022-05-16T00:00:00"/>
    <x v="2"/>
    <x v="1"/>
    <x v="2"/>
    <n v="3485"/>
    <x v="2"/>
    <x v="1"/>
    <x v="2"/>
    <x v="4"/>
    <x v="3"/>
    <x v="0"/>
    <x v="3"/>
    <x v="0"/>
    <x v="11"/>
    <n v="16"/>
    <x v="0"/>
  </r>
  <r>
    <d v="2022-05-16T00:00:00"/>
    <x v="1"/>
    <x v="1"/>
    <x v="0"/>
    <n v="338"/>
    <x v="1"/>
    <x v="1"/>
    <x v="0"/>
    <x v="0"/>
    <x v="3"/>
    <x v="0"/>
    <x v="3"/>
    <x v="0"/>
    <x v="11"/>
    <n v="16"/>
    <x v="0"/>
  </r>
  <r>
    <d v="2022-05-16T00:00:00"/>
    <x v="0"/>
    <x v="1"/>
    <x v="0"/>
    <n v="7894161.46"/>
    <x v="0"/>
    <x v="1"/>
    <x v="0"/>
    <x v="1"/>
    <x v="3"/>
    <x v="0"/>
    <x v="3"/>
    <x v="0"/>
    <x v="11"/>
    <n v="16"/>
    <x v="0"/>
  </r>
  <r>
    <d v="2022-05-16T00:00:00"/>
    <x v="3"/>
    <x v="3"/>
    <x v="1"/>
    <n v="49642.79"/>
    <x v="3"/>
    <x v="3"/>
    <x v="1"/>
    <x v="2"/>
    <x v="3"/>
    <x v="0"/>
    <x v="3"/>
    <x v="0"/>
    <x v="11"/>
    <n v="16"/>
    <x v="0"/>
  </r>
  <r>
    <d v="2022-05-16T00:00:00"/>
    <x v="0"/>
    <x v="1"/>
    <x v="1"/>
    <n v="19841310.239999998"/>
    <x v="0"/>
    <x v="1"/>
    <x v="1"/>
    <x v="3"/>
    <x v="3"/>
    <x v="0"/>
    <x v="3"/>
    <x v="0"/>
    <x v="11"/>
    <n v="16"/>
    <x v="0"/>
  </r>
  <r>
    <d v="2022-05-16T00:00:00"/>
    <x v="1"/>
    <x v="0"/>
    <x v="0"/>
    <n v="67993886.939999998"/>
    <x v="1"/>
    <x v="0"/>
    <x v="0"/>
    <x v="8"/>
    <x v="3"/>
    <x v="0"/>
    <x v="3"/>
    <x v="0"/>
    <x v="11"/>
    <n v="16"/>
    <x v="0"/>
  </r>
  <r>
    <d v="2022-05-16T00:00:00"/>
    <x v="3"/>
    <x v="2"/>
    <x v="2"/>
    <n v="129906.8"/>
    <x v="3"/>
    <x v="2"/>
    <x v="2"/>
    <x v="5"/>
    <x v="3"/>
    <x v="0"/>
    <x v="3"/>
    <x v="0"/>
    <x v="11"/>
    <n v="16"/>
    <x v="0"/>
  </r>
  <r>
    <d v="2022-05-16T00:00:00"/>
    <x v="3"/>
    <x v="3"/>
    <x v="0"/>
    <n v="1358760905.28"/>
    <x v="3"/>
    <x v="3"/>
    <x v="0"/>
    <x v="6"/>
    <x v="3"/>
    <x v="0"/>
    <x v="3"/>
    <x v="0"/>
    <x v="11"/>
    <n v="16"/>
    <x v="0"/>
  </r>
  <r>
    <d v="2022-05-16T00:00:00"/>
    <x v="2"/>
    <x v="1"/>
    <x v="0"/>
    <n v="85961917.450000003"/>
    <x v="2"/>
    <x v="1"/>
    <x v="0"/>
    <x v="7"/>
    <x v="3"/>
    <x v="0"/>
    <x v="3"/>
    <x v="0"/>
    <x v="11"/>
    <n v="16"/>
    <x v="0"/>
  </r>
  <r>
    <d v="2022-05-16T00:00:00"/>
    <x v="2"/>
    <x v="1"/>
    <x v="1"/>
    <n v="1613352013.5799999"/>
    <x v="2"/>
    <x v="1"/>
    <x v="1"/>
    <x v="9"/>
    <x v="3"/>
    <x v="0"/>
    <x v="3"/>
    <x v="0"/>
    <x v="11"/>
    <n v="16"/>
    <x v="0"/>
  </r>
  <r>
    <d v="2022-05-16T00:00:00"/>
    <x v="1"/>
    <x v="0"/>
    <x v="1"/>
    <n v="1322090182.4400001"/>
    <x v="1"/>
    <x v="0"/>
    <x v="1"/>
    <x v="10"/>
    <x v="3"/>
    <x v="0"/>
    <x v="3"/>
    <x v="0"/>
    <x v="11"/>
    <n v="16"/>
    <x v="0"/>
  </r>
  <r>
    <d v="2022-05-16T00:00:00"/>
    <x v="3"/>
    <x v="2"/>
    <x v="0"/>
    <n v="449646363.19999999"/>
    <x v="3"/>
    <x v="2"/>
    <x v="0"/>
    <x v="11"/>
    <x v="3"/>
    <x v="0"/>
    <x v="3"/>
    <x v="0"/>
    <x v="11"/>
    <n v="16"/>
    <x v="0"/>
  </r>
  <r>
    <d v="2022-05-16T00:00:00"/>
    <x v="3"/>
    <x v="2"/>
    <x v="1"/>
    <n v="40844060199.230003"/>
    <x v="3"/>
    <x v="2"/>
    <x v="1"/>
    <x v="12"/>
    <x v="3"/>
    <x v="0"/>
    <x v="3"/>
    <x v="0"/>
    <x v="11"/>
    <n v="16"/>
    <x v="0"/>
  </r>
  <r>
    <d v="2022-05-16T00:00:00"/>
    <x v="3"/>
    <x v="1"/>
    <x v="0"/>
    <n v="47420945.109999999"/>
    <x v="3"/>
    <x v="1"/>
    <x v="0"/>
    <x v="13"/>
    <x v="3"/>
    <x v="0"/>
    <x v="3"/>
    <x v="0"/>
    <x v="11"/>
    <n v="16"/>
    <x v="0"/>
  </r>
  <r>
    <d v="2022-05-13T00:00:00"/>
    <x v="2"/>
    <x v="1"/>
    <x v="2"/>
    <n v="12084.96"/>
    <x v="2"/>
    <x v="1"/>
    <x v="2"/>
    <x v="2"/>
    <x v="3"/>
    <x v="0"/>
    <x v="3"/>
    <x v="0"/>
    <x v="11"/>
    <n v="13"/>
    <x v="0"/>
  </r>
  <r>
    <d v="2022-05-13T00:00:00"/>
    <x v="1"/>
    <x v="1"/>
    <x v="0"/>
    <n v="2552.77"/>
    <x v="1"/>
    <x v="1"/>
    <x v="0"/>
    <x v="0"/>
    <x v="3"/>
    <x v="0"/>
    <x v="3"/>
    <x v="0"/>
    <x v="11"/>
    <n v="13"/>
    <x v="0"/>
  </r>
  <r>
    <d v="2022-05-13T00:00:00"/>
    <x v="2"/>
    <x v="1"/>
    <x v="0"/>
    <n v="116020390.51000001"/>
    <x v="2"/>
    <x v="1"/>
    <x v="0"/>
    <x v="6"/>
    <x v="3"/>
    <x v="0"/>
    <x v="3"/>
    <x v="0"/>
    <x v="11"/>
    <n v="13"/>
    <x v="0"/>
  </r>
  <r>
    <d v="2022-05-13T00:00:00"/>
    <x v="3"/>
    <x v="3"/>
    <x v="0"/>
    <n v="1626337167.46"/>
    <x v="3"/>
    <x v="3"/>
    <x v="0"/>
    <x v="7"/>
    <x v="3"/>
    <x v="0"/>
    <x v="3"/>
    <x v="0"/>
    <x v="11"/>
    <n v="13"/>
    <x v="0"/>
  </r>
  <r>
    <d v="2022-05-13T00:00:00"/>
    <x v="0"/>
    <x v="1"/>
    <x v="0"/>
    <n v="15628448.1"/>
    <x v="0"/>
    <x v="1"/>
    <x v="0"/>
    <x v="1"/>
    <x v="3"/>
    <x v="0"/>
    <x v="3"/>
    <x v="0"/>
    <x v="11"/>
    <n v="13"/>
    <x v="0"/>
  </r>
  <r>
    <d v="2022-05-13T00:00:00"/>
    <x v="3"/>
    <x v="3"/>
    <x v="1"/>
    <n v="-2070"/>
    <x v="3"/>
    <x v="3"/>
    <x v="1"/>
    <x v="4"/>
    <x v="3"/>
    <x v="0"/>
    <x v="3"/>
    <x v="0"/>
    <x v="11"/>
    <n v="13"/>
    <x v="1"/>
  </r>
  <r>
    <d v="2022-05-13T00:00:00"/>
    <x v="1"/>
    <x v="0"/>
    <x v="0"/>
    <n v="79022892.120000005"/>
    <x v="1"/>
    <x v="0"/>
    <x v="0"/>
    <x v="8"/>
    <x v="3"/>
    <x v="0"/>
    <x v="3"/>
    <x v="0"/>
    <x v="11"/>
    <n v="13"/>
    <x v="0"/>
  </r>
  <r>
    <d v="2022-05-13T00:00:00"/>
    <x v="0"/>
    <x v="1"/>
    <x v="1"/>
    <n v="12490517.83"/>
    <x v="0"/>
    <x v="1"/>
    <x v="1"/>
    <x v="3"/>
    <x v="3"/>
    <x v="0"/>
    <x v="3"/>
    <x v="0"/>
    <x v="11"/>
    <n v="13"/>
    <x v="0"/>
  </r>
  <r>
    <d v="2022-05-13T00:00:00"/>
    <x v="3"/>
    <x v="2"/>
    <x v="2"/>
    <n v="621137.99"/>
    <x v="3"/>
    <x v="2"/>
    <x v="2"/>
    <x v="5"/>
    <x v="3"/>
    <x v="0"/>
    <x v="3"/>
    <x v="0"/>
    <x v="11"/>
    <n v="13"/>
    <x v="0"/>
  </r>
  <r>
    <d v="2022-05-13T00:00:00"/>
    <x v="2"/>
    <x v="1"/>
    <x v="1"/>
    <n v="858304719.25999999"/>
    <x v="2"/>
    <x v="1"/>
    <x v="1"/>
    <x v="9"/>
    <x v="3"/>
    <x v="0"/>
    <x v="3"/>
    <x v="0"/>
    <x v="11"/>
    <n v="13"/>
    <x v="0"/>
  </r>
  <r>
    <d v="2022-05-13T00:00:00"/>
    <x v="1"/>
    <x v="0"/>
    <x v="1"/>
    <n v="1523536803.4400001"/>
    <x v="1"/>
    <x v="0"/>
    <x v="1"/>
    <x v="10"/>
    <x v="3"/>
    <x v="0"/>
    <x v="3"/>
    <x v="0"/>
    <x v="11"/>
    <n v="13"/>
    <x v="0"/>
  </r>
  <r>
    <d v="2022-05-13T00:00:00"/>
    <x v="3"/>
    <x v="2"/>
    <x v="0"/>
    <n v="664874060.32000005"/>
    <x v="3"/>
    <x v="2"/>
    <x v="0"/>
    <x v="11"/>
    <x v="3"/>
    <x v="0"/>
    <x v="3"/>
    <x v="0"/>
    <x v="11"/>
    <n v="13"/>
    <x v="0"/>
  </r>
  <r>
    <d v="2022-05-13T00:00:00"/>
    <x v="3"/>
    <x v="2"/>
    <x v="1"/>
    <n v="14616026329.389999"/>
    <x v="3"/>
    <x v="2"/>
    <x v="1"/>
    <x v="12"/>
    <x v="3"/>
    <x v="0"/>
    <x v="3"/>
    <x v="0"/>
    <x v="11"/>
    <n v="13"/>
    <x v="0"/>
  </r>
  <r>
    <d v="2022-05-13T00:00:00"/>
    <x v="3"/>
    <x v="1"/>
    <x v="0"/>
    <n v="14691017.67"/>
    <x v="3"/>
    <x v="1"/>
    <x v="0"/>
    <x v="13"/>
    <x v="3"/>
    <x v="0"/>
    <x v="3"/>
    <x v="0"/>
    <x v="11"/>
    <n v="13"/>
    <x v="0"/>
  </r>
  <r>
    <d v="2022-05-12T00:00:00"/>
    <x v="0"/>
    <x v="1"/>
    <x v="0"/>
    <n v="19530723.079999998"/>
    <x v="0"/>
    <x v="1"/>
    <x v="0"/>
    <x v="1"/>
    <x v="3"/>
    <x v="0"/>
    <x v="3"/>
    <x v="0"/>
    <x v="11"/>
    <n v="12"/>
    <x v="0"/>
  </r>
  <r>
    <d v="2022-05-12T00:00:00"/>
    <x v="1"/>
    <x v="1"/>
    <x v="0"/>
    <n v="112"/>
    <x v="1"/>
    <x v="1"/>
    <x v="0"/>
    <x v="0"/>
    <x v="3"/>
    <x v="0"/>
    <x v="3"/>
    <x v="0"/>
    <x v="11"/>
    <n v="12"/>
    <x v="0"/>
  </r>
  <r>
    <d v="2022-05-12T00:00:00"/>
    <x v="2"/>
    <x v="1"/>
    <x v="1"/>
    <n v="1227027948.73"/>
    <x v="2"/>
    <x v="1"/>
    <x v="1"/>
    <x v="6"/>
    <x v="3"/>
    <x v="0"/>
    <x v="3"/>
    <x v="0"/>
    <x v="11"/>
    <n v="12"/>
    <x v="0"/>
  </r>
  <r>
    <d v="2022-05-12T00:00:00"/>
    <x v="1"/>
    <x v="0"/>
    <x v="0"/>
    <n v="86312774.890000001"/>
    <x v="1"/>
    <x v="0"/>
    <x v="0"/>
    <x v="8"/>
    <x v="3"/>
    <x v="0"/>
    <x v="3"/>
    <x v="0"/>
    <x v="11"/>
    <n v="12"/>
    <x v="0"/>
  </r>
  <r>
    <d v="2022-05-12T00:00:00"/>
    <x v="0"/>
    <x v="1"/>
    <x v="1"/>
    <n v="12389741.17"/>
    <x v="0"/>
    <x v="1"/>
    <x v="1"/>
    <x v="3"/>
    <x v="3"/>
    <x v="0"/>
    <x v="3"/>
    <x v="0"/>
    <x v="11"/>
    <n v="12"/>
    <x v="0"/>
  </r>
  <r>
    <d v="2022-05-12T00:00:00"/>
    <x v="3"/>
    <x v="2"/>
    <x v="2"/>
    <n v="433236.09"/>
    <x v="3"/>
    <x v="2"/>
    <x v="2"/>
    <x v="4"/>
    <x v="3"/>
    <x v="0"/>
    <x v="3"/>
    <x v="0"/>
    <x v="11"/>
    <n v="12"/>
    <x v="0"/>
  </r>
  <r>
    <d v="2022-05-12T00:00:00"/>
    <x v="2"/>
    <x v="1"/>
    <x v="2"/>
    <n v="14760"/>
    <x v="2"/>
    <x v="1"/>
    <x v="2"/>
    <x v="2"/>
    <x v="3"/>
    <x v="0"/>
    <x v="3"/>
    <x v="0"/>
    <x v="11"/>
    <n v="12"/>
    <x v="0"/>
  </r>
  <r>
    <d v="2022-05-12T00:00:00"/>
    <x v="2"/>
    <x v="1"/>
    <x v="0"/>
    <n v="97485830.25"/>
    <x v="2"/>
    <x v="1"/>
    <x v="0"/>
    <x v="5"/>
    <x v="3"/>
    <x v="0"/>
    <x v="3"/>
    <x v="0"/>
    <x v="11"/>
    <n v="12"/>
    <x v="0"/>
  </r>
  <r>
    <d v="2022-05-12T00:00:00"/>
    <x v="3"/>
    <x v="3"/>
    <x v="0"/>
    <n v="2998912545.46"/>
    <x v="3"/>
    <x v="3"/>
    <x v="0"/>
    <x v="7"/>
    <x v="3"/>
    <x v="0"/>
    <x v="3"/>
    <x v="0"/>
    <x v="11"/>
    <n v="12"/>
    <x v="0"/>
  </r>
  <r>
    <d v="2022-05-12T00:00:00"/>
    <x v="1"/>
    <x v="0"/>
    <x v="1"/>
    <n v="2135648531.8900001"/>
    <x v="1"/>
    <x v="0"/>
    <x v="1"/>
    <x v="9"/>
    <x v="3"/>
    <x v="0"/>
    <x v="3"/>
    <x v="0"/>
    <x v="11"/>
    <n v="12"/>
    <x v="0"/>
  </r>
  <r>
    <d v="2022-05-12T00:00:00"/>
    <x v="3"/>
    <x v="2"/>
    <x v="0"/>
    <n v="404454852.23000002"/>
    <x v="3"/>
    <x v="2"/>
    <x v="0"/>
    <x v="10"/>
    <x v="3"/>
    <x v="0"/>
    <x v="3"/>
    <x v="0"/>
    <x v="11"/>
    <n v="12"/>
    <x v="0"/>
  </r>
  <r>
    <d v="2022-05-12T00:00:00"/>
    <x v="3"/>
    <x v="2"/>
    <x v="1"/>
    <n v="3531772546.5300002"/>
    <x v="3"/>
    <x v="2"/>
    <x v="1"/>
    <x v="11"/>
    <x v="3"/>
    <x v="0"/>
    <x v="3"/>
    <x v="0"/>
    <x v="11"/>
    <n v="12"/>
    <x v="0"/>
  </r>
  <r>
    <d v="2022-05-12T00:00:00"/>
    <x v="3"/>
    <x v="1"/>
    <x v="0"/>
    <n v="12999509.9"/>
    <x v="3"/>
    <x v="1"/>
    <x v="0"/>
    <x v="12"/>
    <x v="3"/>
    <x v="0"/>
    <x v="3"/>
    <x v="0"/>
    <x v="11"/>
    <n v="12"/>
    <x v="0"/>
  </r>
  <r>
    <d v="2022-05-11T00:00:00"/>
    <x v="2"/>
    <x v="1"/>
    <x v="0"/>
    <n v="127904242.28"/>
    <x v="2"/>
    <x v="1"/>
    <x v="0"/>
    <x v="7"/>
    <x v="3"/>
    <x v="0"/>
    <x v="3"/>
    <x v="0"/>
    <x v="11"/>
    <n v="11"/>
    <x v="0"/>
  </r>
  <r>
    <d v="2022-05-11T00:00:00"/>
    <x v="3"/>
    <x v="3"/>
    <x v="0"/>
    <n v="1610708319.52"/>
    <x v="3"/>
    <x v="3"/>
    <x v="0"/>
    <x v="8"/>
    <x v="3"/>
    <x v="0"/>
    <x v="3"/>
    <x v="0"/>
    <x v="11"/>
    <n v="11"/>
    <x v="0"/>
  </r>
  <r>
    <d v="2022-05-11T00:00:00"/>
    <x v="1"/>
    <x v="1"/>
    <x v="0"/>
    <n v="710"/>
    <x v="1"/>
    <x v="1"/>
    <x v="0"/>
    <x v="1"/>
    <x v="3"/>
    <x v="0"/>
    <x v="3"/>
    <x v="0"/>
    <x v="11"/>
    <n v="11"/>
    <x v="0"/>
  </r>
  <r>
    <d v="2022-05-11T00:00:00"/>
    <x v="0"/>
    <x v="1"/>
    <x v="1"/>
    <n v="11040173.130000001"/>
    <x v="0"/>
    <x v="1"/>
    <x v="1"/>
    <x v="4"/>
    <x v="3"/>
    <x v="0"/>
    <x v="3"/>
    <x v="0"/>
    <x v="11"/>
    <n v="11"/>
    <x v="0"/>
  </r>
  <r>
    <d v="2022-05-11T00:00:00"/>
    <x v="0"/>
    <x v="1"/>
    <x v="0"/>
    <n v="17966166.800000001"/>
    <x v="0"/>
    <x v="1"/>
    <x v="0"/>
    <x v="2"/>
    <x v="3"/>
    <x v="0"/>
    <x v="3"/>
    <x v="0"/>
    <x v="11"/>
    <n v="11"/>
    <x v="0"/>
  </r>
  <r>
    <d v="2022-05-11T00:00:00"/>
    <x v="3"/>
    <x v="3"/>
    <x v="1"/>
    <n v="-676"/>
    <x v="3"/>
    <x v="3"/>
    <x v="1"/>
    <x v="5"/>
    <x v="3"/>
    <x v="0"/>
    <x v="3"/>
    <x v="0"/>
    <x v="11"/>
    <n v="11"/>
    <x v="1"/>
  </r>
  <r>
    <d v="2022-05-11T00:00:00"/>
    <x v="3"/>
    <x v="2"/>
    <x v="2"/>
    <n v="134743.57"/>
    <x v="3"/>
    <x v="2"/>
    <x v="2"/>
    <x v="6"/>
    <x v="3"/>
    <x v="0"/>
    <x v="3"/>
    <x v="0"/>
    <x v="11"/>
    <n v="11"/>
    <x v="0"/>
  </r>
  <r>
    <d v="2022-05-11T00:00:00"/>
    <x v="2"/>
    <x v="1"/>
    <x v="2"/>
    <n v="2972.14"/>
    <x v="2"/>
    <x v="1"/>
    <x v="2"/>
    <x v="3"/>
    <x v="3"/>
    <x v="0"/>
    <x v="3"/>
    <x v="0"/>
    <x v="11"/>
    <n v="11"/>
    <x v="0"/>
  </r>
  <r>
    <d v="2022-05-11T00:00:00"/>
    <x v="0"/>
    <x v="0"/>
    <x v="0"/>
    <n v="124.51"/>
    <x v="0"/>
    <x v="0"/>
    <x v="0"/>
    <x v="0"/>
    <x v="3"/>
    <x v="0"/>
    <x v="3"/>
    <x v="0"/>
    <x v="11"/>
    <n v="11"/>
    <x v="0"/>
  </r>
  <r>
    <d v="2022-05-11T00:00:00"/>
    <x v="2"/>
    <x v="1"/>
    <x v="1"/>
    <n v="2045338697.3399999"/>
    <x v="2"/>
    <x v="1"/>
    <x v="1"/>
    <x v="9"/>
    <x v="3"/>
    <x v="0"/>
    <x v="3"/>
    <x v="0"/>
    <x v="11"/>
    <n v="11"/>
    <x v="0"/>
  </r>
  <r>
    <d v="2022-05-11T00:00:00"/>
    <x v="1"/>
    <x v="0"/>
    <x v="0"/>
    <n v="95919871.359999999"/>
    <x v="1"/>
    <x v="0"/>
    <x v="0"/>
    <x v="10"/>
    <x v="3"/>
    <x v="0"/>
    <x v="3"/>
    <x v="0"/>
    <x v="11"/>
    <n v="11"/>
    <x v="0"/>
  </r>
  <r>
    <d v="2022-05-11T00:00:00"/>
    <x v="1"/>
    <x v="0"/>
    <x v="1"/>
    <n v="2786707936.77"/>
    <x v="1"/>
    <x v="0"/>
    <x v="1"/>
    <x v="11"/>
    <x v="3"/>
    <x v="0"/>
    <x v="3"/>
    <x v="0"/>
    <x v="11"/>
    <n v="11"/>
    <x v="0"/>
  </r>
  <r>
    <d v="2022-05-11T00:00:00"/>
    <x v="3"/>
    <x v="2"/>
    <x v="0"/>
    <n v="339416581.93000001"/>
    <x v="3"/>
    <x v="2"/>
    <x v="0"/>
    <x v="12"/>
    <x v="3"/>
    <x v="0"/>
    <x v="3"/>
    <x v="0"/>
    <x v="11"/>
    <n v="11"/>
    <x v="0"/>
  </r>
  <r>
    <d v="2022-05-11T00:00:00"/>
    <x v="3"/>
    <x v="2"/>
    <x v="1"/>
    <n v="11610196768.120001"/>
    <x v="3"/>
    <x v="2"/>
    <x v="1"/>
    <x v="13"/>
    <x v="3"/>
    <x v="0"/>
    <x v="3"/>
    <x v="0"/>
    <x v="11"/>
    <n v="11"/>
    <x v="0"/>
  </r>
  <r>
    <d v="2022-05-11T00:00:00"/>
    <x v="3"/>
    <x v="1"/>
    <x v="0"/>
    <n v="13570922.060000001"/>
    <x v="3"/>
    <x v="1"/>
    <x v="0"/>
    <x v="14"/>
    <x v="3"/>
    <x v="0"/>
    <x v="3"/>
    <x v="0"/>
    <x v="11"/>
    <n v="11"/>
    <x v="0"/>
  </r>
  <r>
    <d v="2022-05-10T00:00:00"/>
    <x v="3"/>
    <x v="2"/>
    <x v="2"/>
    <n v="141567.44"/>
    <x v="3"/>
    <x v="2"/>
    <x v="2"/>
    <x v="4"/>
    <x v="3"/>
    <x v="0"/>
    <x v="3"/>
    <x v="0"/>
    <x v="11"/>
    <n v="10"/>
    <x v="0"/>
  </r>
  <r>
    <d v="2022-05-10T00:00:00"/>
    <x v="3"/>
    <x v="3"/>
    <x v="0"/>
    <n v="2654330943.5300002"/>
    <x v="3"/>
    <x v="3"/>
    <x v="0"/>
    <x v="6"/>
    <x v="3"/>
    <x v="0"/>
    <x v="3"/>
    <x v="0"/>
    <x v="11"/>
    <n v="10"/>
    <x v="0"/>
  </r>
  <r>
    <d v="2022-05-10T00:00:00"/>
    <x v="2"/>
    <x v="1"/>
    <x v="2"/>
    <n v="14675"/>
    <x v="2"/>
    <x v="1"/>
    <x v="2"/>
    <x v="3"/>
    <x v="3"/>
    <x v="0"/>
    <x v="3"/>
    <x v="0"/>
    <x v="11"/>
    <n v="10"/>
    <x v="0"/>
  </r>
  <r>
    <d v="2022-05-10T00:00:00"/>
    <x v="2"/>
    <x v="1"/>
    <x v="0"/>
    <n v="75363033.650000006"/>
    <x v="2"/>
    <x v="1"/>
    <x v="0"/>
    <x v="7"/>
    <x v="3"/>
    <x v="0"/>
    <x v="3"/>
    <x v="0"/>
    <x v="11"/>
    <n v="10"/>
    <x v="0"/>
  </r>
  <r>
    <d v="2022-05-10T00:00:00"/>
    <x v="1"/>
    <x v="1"/>
    <x v="0"/>
    <n v="1821"/>
    <x v="1"/>
    <x v="1"/>
    <x v="0"/>
    <x v="1"/>
    <x v="3"/>
    <x v="0"/>
    <x v="3"/>
    <x v="0"/>
    <x v="11"/>
    <n v="10"/>
    <x v="0"/>
  </r>
  <r>
    <d v="2022-05-10T00:00:00"/>
    <x v="1"/>
    <x v="0"/>
    <x v="0"/>
    <n v="91475898.730000004"/>
    <x v="1"/>
    <x v="0"/>
    <x v="0"/>
    <x v="8"/>
    <x v="3"/>
    <x v="0"/>
    <x v="3"/>
    <x v="0"/>
    <x v="11"/>
    <n v="10"/>
    <x v="0"/>
  </r>
  <r>
    <d v="2022-05-10T00:00:00"/>
    <x v="0"/>
    <x v="1"/>
    <x v="1"/>
    <n v="11465245.25"/>
    <x v="0"/>
    <x v="1"/>
    <x v="1"/>
    <x v="5"/>
    <x v="3"/>
    <x v="0"/>
    <x v="3"/>
    <x v="0"/>
    <x v="11"/>
    <n v="10"/>
    <x v="0"/>
  </r>
  <r>
    <d v="2022-05-10T00:00:00"/>
    <x v="0"/>
    <x v="1"/>
    <x v="0"/>
    <n v="20635756.66"/>
    <x v="0"/>
    <x v="1"/>
    <x v="0"/>
    <x v="2"/>
    <x v="3"/>
    <x v="0"/>
    <x v="3"/>
    <x v="0"/>
    <x v="11"/>
    <n v="10"/>
    <x v="0"/>
  </r>
  <r>
    <d v="2022-05-10T00:00:00"/>
    <x v="0"/>
    <x v="0"/>
    <x v="0"/>
    <n v="500"/>
    <x v="0"/>
    <x v="0"/>
    <x v="0"/>
    <x v="0"/>
    <x v="3"/>
    <x v="0"/>
    <x v="3"/>
    <x v="0"/>
    <x v="11"/>
    <n v="10"/>
    <x v="0"/>
  </r>
  <r>
    <d v="2022-05-10T00:00:00"/>
    <x v="2"/>
    <x v="1"/>
    <x v="1"/>
    <n v="-26268741.93"/>
    <x v="2"/>
    <x v="1"/>
    <x v="1"/>
    <x v="9"/>
    <x v="3"/>
    <x v="0"/>
    <x v="3"/>
    <x v="0"/>
    <x v="11"/>
    <n v="10"/>
    <x v="1"/>
  </r>
  <r>
    <d v="2022-05-10T00:00:00"/>
    <x v="3"/>
    <x v="2"/>
    <x v="0"/>
    <n v="446872464.44999999"/>
    <x v="3"/>
    <x v="2"/>
    <x v="0"/>
    <x v="10"/>
    <x v="3"/>
    <x v="0"/>
    <x v="3"/>
    <x v="0"/>
    <x v="11"/>
    <n v="10"/>
    <x v="0"/>
  </r>
  <r>
    <d v="2022-05-10T00:00:00"/>
    <x v="1"/>
    <x v="0"/>
    <x v="1"/>
    <n v="5117151474.6099997"/>
    <x v="1"/>
    <x v="0"/>
    <x v="1"/>
    <x v="11"/>
    <x v="3"/>
    <x v="0"/>
    <x v="3"/>
    <x v="0"/>
    <x v="11"/>
    <n v="10"/>
    <x v="0"/>
  </r>
  <r>
    <d v="2022-05-10T00:00:00"/>
    <x v="3"/>
    <x v="2"/>
    <x v="1"/>
    <n v="2868332882.2199998"/>
    <x v="3"/>
    <x v="2"/>
    <x v="1"/>
    <x v="12"/>
    <x v="3"/>
    <x v="0"/>
    <x v="3"/>
    <x v="0"/>
    <x v="11"/>
    <n v="10"/>
    <x v="0"/>
  </r>
  <r>
    <d v="2022-05-10T00:00:00"/>
    <x v="3"/>
    <x v="1"/>
    <x v="0"/>
    <n v="9309204.6799999997"/>
    <x v="3"/>
    <x v="1"/>
    <x v="0"/>
    <x v="13"/>
    <x v="3"/>
    <x v="0"/>
    <x v="3"/>
    <x v="0"/>
    <x v="11"/>
    <n v="10"/>
    <x v="0"/>
  </r>
  <r>
    <d v="2022-05-09T00:00:00"/>
    <x v="2"/>
    <x v="1"/>
    <x v="2"/>
    <n v="4035"/>
    <x v="2"/>
    <x v="1"/>
    <x v="2"/>
    <x v="1"/>
    <x v="3"/>
    <x v="0"/>
    <x v="3"/>
    <x v="0"/>
    <x v="11"/>
    <n v="9"/>
    <x v="0"/>
  </r>
  <r>
    <d v="2022-05-09T00:00:00"/>
    <x v="2"/>
    <x v="1"/>
    <x v="0"/>
    <n v="87059916.819999993"/>
    <x v="2"/>
    <x v="1"/>
    <x v="0"/>
    <x v="4"/>
    <x v="3"/>
    <x v="0"/>
    <x v="3"/>
    <x v="0"/>
    <x v="11"/>
    <n v="9"/>
    <x v="0"/>
  </r>
  <r>
    <d v="2022-05-09T00:00:00"/>
    <x v="0"/>
    <x v="1"/>
    <x v="0"/>
    <n v="41717364.420000002"/>
    <x v="0"/>
    <x v="1"/>
    <x v="0"/>
    <x v="0"/>
    <x v="3"/>
    <x v="0"/>
    <x v="3"/>
    <x v="0"/>
    <x v="11"/>
    <n v="9"/>
    <x v="0"/>
  </r>
  <r>
    <d v="2022-05-09T00:00:00"/>
    <x v="0"/>
    <x v="1"/>
    <x v="1"/>
    <n v="17242533.800000001"/>
    <x v="0"/>
    <x v="1"/>
    <x v="1"/>
    <x v="2"/>
    <x v="3"/>
    <x v="0"/>
    <x v="3"/>
    <x v="0"/>
    <x v="11"/>
    <n v="9"/>
    <x v="0"/>
  </r>
  <r>
    <d v="2022-05-09T00:00:00"/>
    <x v="3"/>
    <x v="2"/>
    <x v="2"/>
    <n v="279897"/>
    <x v="3"/>
    <x v="2"/>
    <x v="2"/>
    <x v="3"/>
    <x v="3"/>
    <x v="0"/>
    <x v="3"/>
    <x v="0"/>
    <x v="11"/>
    <n v="9"/>
    <x v="0"/>
  </r>
  <r>
    <d v="2022-05-09T00:00:00"/>
    <x v="3"/>
    <x v="3"/>
    <x v="0"/>
    <n v="2691721967.8899999"/>
    <x v="3"/>
    <x v="3"/>
    <x v="0"/>
    <x v="5"/>
    <x v="3"/>
    <x v="0"/>
    <x v="3"/>
    <x v="0"/>
    <x v="11"/>
    <n v="9"/>
    <x v="0"/>
  </r>
  <r>
    <d v="2022-05-09T00:00:00"/>
    <x v="2"/>
    <x v="1"/>
    <x v="1"/>
    <n v="1328115808.3900001"/>
    <x v="2"/>
    <x v="1"/>
    <x v="1"/>
    <x v="6"/>
    <x v="3"/>
    <x v="0"/>
    <x v="3"/>
    <x v="0"/>
    <x v="11"/>
    <n v="9"/>
    <x v="0"/>
  </r>
  <r>
    <d v="2022-05-09T00:00:00"/>
    <x v="1"/>
    <x v="0"/>
    <x v="0"/>
    <n v="73841624.620000005"/>
    <x v="1"/>
    <x v="0"/>
    <x v="0"/>
    <x v="7"/>
    <x v="3"/>
    <x v="0"/>
    <x v="3"/>
    <x v="0"/>
    <x v="11"/>
    <n v="9"/>
    <x v="0"/>
  </r>
  <r>
    <d v="2022-05-09T00:00:00"/>
    <x v="1"/>
    <x v="0"/>
    <x v="1"/>
    <n v="4424183614.7200003"/>
    <x v="1"/>
    <x v="0"/>
    <x v="1"/>
    <x v="8"/>
    <x v="3"/>
    <x v="0"/>
    <x v="3"/>
    <x v="0"/>
    <x v="11"/>
    <n v="9"/>
    <x v="0"/>
  </r>
  <r>
    <d v="2022-05-09T00:00:00"/>
    <x v="3"/>
    <x v="2"/>
    <x v="0"/>
    <n v="629026374.40999997"/>
    <x v="3"/>
    <x v="2"/>
    <x v="0"/>
    <x v="9"/>
    <x v="3"/>
    <x v="0"/>
    <x v="3"/>
    <x v="0"/>
    <x v="11"/>
    <n v="9"/>
    <x v="0"/>
  </r>
  <r>
    <d v="2022-05-09T00:00:00"/>
    <x v="3"/>
    <x v="2"/>
    <x v="1"/>
    <n v="19349026789.27"/>
    <x v="3"/>
    <x v="2"/>
    <x v="1"/>
    <x v="10"/>
    <x v="3"/>
    <x v="0"/>
    <x v="3"/>
    <x v="0"/>
    <x v="11"/>
    <n v="9"/>
    <x v="0"/>
  </r>
  <r>
    <d v="2022-05-09T00:00:00"/>
    <x v="3"/>
    <x v="1"/>
    <x v="0"/>
    <n v="39732391.729999997"/>
    <x v="3"/>
    <x v="1"/>
    <x v="0"/>
    <x v="11"/>
    <x v="3"/>
    <x v="0"/>
    <x v="3"/>
    <x v="0"/>
    <x v="11"/>
    <n v="9"/>
    <x v="0"/>
  </r>
  <r>
    <d v="2022-05-06T00:00:00"/>
    <x v="3"/>
    <x v="2"/>
    <x v="2"/>
    <n v="189045.19"/>
    <x v="3"/>
    <x v="2"/>
    <x v="2"/>
    <x v="4"/>
    <x v="3"/>
    <x v="0"/>
    <x v="3"/>
    <x v="0"/>
    <x v="11"/>
    <n v="6"/>
    <x v="0"/>
  </r>
  <r>
    <d v="2022-05-06T00:00:00"/>
    <x v="2"/>
    <x v="1"/>
    <x v="0"/>
    <n v="125068108.81"/>
    <x v="2"/>
    <x v="1"/>
    <x v="0"/>
    <x v="5"/>
    <x v="3"/>
    <x v="0"/>
    <x v="3"/>
    <x v="0"/>
    <x v="11"/>
    <n v="6"/>
    <x v="0"/>
  </r>
  <r>
    <d v="2022-05-06T00:00:00"/>
    <x v="0"/>
    <x v="1"/>
    <x v="0"/>
    <n v="12549114.26"/>
    <x v="0"/>
    <x v="1"/>
    <x v="0"/>
    <x v="1"/>
    <x v="3"/>
    <x v="0"/>
    <x v="3"/>
    <x v="0"/>
    <x v="11"/>
    <n v="6"/>
    <x v="0"/>
  </r>
  <r>
    <d v="2022-05-06T00:00:00"/>
    <x v="1"/>
    <x v="1"/>
    <x v="0"/>
    <n v="1787.97"/>
    <x v="1"/>
    <x v="1"/>
    <x v="0"/>
    <x v="0"/>
    <x v="3"/>
    <x v="0"/>
    <x v="3"/>
    <x v="0"/>
    <x v="11"/>
    <n v="6"/>
    <x v="0"/>
  </r>
  <r>
    <d v="2022-05-06T00:00:00"/>
    <x v="3"/>
    <x v="3"/>
    <x v="0"/>
    <n v="2435907188.25"/>
    <x v="3"/>
    <x v="3"/>
    <x v="0"/>
    <x v="6"/>
    <x v="3"/>
    <x v="0"/>
    <x v="3"/>
    <x v="0"/>
    <x v="11"/>
    <n v="6"/>
    <x v="0"/>
  </r>
  <r>
    <d v="2022-05-06T00:00:00"/>
    <x v="0"/>
    <x v="1"/>
    <x v="1"/>
    <n v="22922652.920000002"/>
    <x v="0"/>
    <x v="1"/>
    <x v="1"/>
    <x v="2"/>
    <x v="3"/>
    <x v="0"/>
    <x v="3"/>
    <x v="0"/>
    <x v="11"/>
    <n v="6"/>
    <x v="0"/>
  </r>
  <r>
    <d v="2022-05-06T00:00:00"/>
    <x v="2"/>
    <x v="1"/>
    <x v="2"/>
    <n v="9787.1200000000008"/>
    <x v="2"/>
    <x v="1"/>
    <x v="2"/>
    <x v="3"/>
    <x v="3"/>
    <x v="0"/>
    <x v="3"/>
    <x v="0"/>
    <x v="11"/>
    <n v="6"/>
    <x v="0"/>
  </r>
  <r>
    <d v="2022-05-06T00:00:00"/>
    <x v="1"/>
    <x v="0"/>
    <x v="0"/>
    <n v="86753889.200000003"/>
    <x v="1"/>
    <x v="0"/>
    <x v="0"/>
    <x v="7"/>
    <x v="3"/>
    <x v="0"/>
    <x v="3"/>
    <x v="0"/>
    <x v="11"/>
    <n v="6"/>
    <x v="0"/>
  </r>
  <r>
    <d v="2022-05-06T00:00:00"/>
    <x v="2"/>
    <x v="1"/>
    <x v="1"/>
    <n v="1442054814.0899999"/>
    <x v="2"/>
    <x v="1"/>
    <x v="1"/>
    <x v="8"/>
    <x v="3"/>
    <x v="0"/>
    <x v="3"/>
    <x v="0"/>
    <x v="11"/>
    <n v="6"/>
    <x v="0"/>
  </r>
  <r>
    <d v="2022-05-06T00:00:00"/>
    <x v="3"/>
    <x v="2"/>
    <x v="0"/>
    <n v="471855779.44"/>
    <x v="3"/>
    <x v="2"/>
    <x v="0"/>
    <x v="9"/>
    <x v="3"/>
    <x v="0"/>
    <x v="3"/>
    <x v="0"/>
    <x v="11"/>
    <n v="6"/>
    <x v="0"/>
  </r>
  <r>
    <d v="2022-05-06T00:00:00"/>
    <x v="1"/>
    <x v="0"/>
    <x v="1"/>
    <n v="6382465382.8800001"/>
    <x v="1"/>
    <x v="0"/>
    <x v="1"/>
    <x v="10"/>
    <x v="3"/>
    <x v="0"/>
    <x v="3"/>
    <x v="0"/>
    <x v="11"/>
    <n v="6"/>
    <x v="0"/>
  </r>
  <r>
    <d v="2022-05-06T00:00:00"/>
    <x v="3"/>
    <x v="2"/>
    <x v="1"/>
    <n v="7912617037.1899996"/>
    <x v="3"/>
    <x v="2"/>
    <x v="1"/>
    <x v="11"/>
    <x v="3"/>
    <x v="0"/>
    <x v="3"/>
    <x v="0"/>
    <x v="11"/>
    <n v="6"/>
    <x v="0"/>
  </r>
  <r>
    <d v="2022-05-06T00:00:00"/>
    <x v="3"/>
    <x v="1"/>
    <x v="0"/>
    <n v="13487856.4"/>
    <x v="3"/>
    <x v="1"/>
    <x v="0"/>
    <x v="12"/>
    <x v="3"/>
    <x v="0"/>
    <x v="3"/>
    <x v="0"/>
    <x v="11"/>
    <n v="6"/>
    <x v="0"/>
  </r>
  <r>
    <d v="2022-05-05T00:00:00"/>
    <x v="0"/>
    <x v="1"/>
    <x v="0"/>
    <n v="23772035.399999999"/>
    <x v="0"/>
    <x v="1"/>
    <x v="0"/>
    <x v="0"/>
    <x v="3"/>
    <x v="0"/>
    <x v="3"/>
    <x v="0"/>
    <x v="11"/>
    <n v="5"/>
    <x v="0"/>
  </r>
  <r>
    <d v="2022-05-05T00:00:00"/>
    <x v="2"/>
    <x v="1"/>
    <x v="0"/>
    <n v="92878625.670000002"/>
    <x v="2"/>
    <x v="1"/>
    <x v="0"/>
    <x v="4"/>
    <x v="3"/>
    <x v="0"/>
    <x v="3"/>
    <x v="0"/>
    <x v="11"/>
    <n v="5"/>
    <x v="0"/>
  </r>
  <r>
    <d v="2022-05-05T00:00:00"/>
    <x v="2"/>
    <x v="1"/>
    <x v="2"/>
    <n v="10750"/>
    <x v="2"/>
    <x v="1"/>
    <x v="2"/>
    <x v="1"/>
    <x v="3"/>
    <x v="0"/>
    <x v="3"/>
    <x v="0"/>
    <x v="11"/>
    <n v="5"/>
    <x v="0"/>
  </r>
  <r>
    <d v="2022-05-05T00:00:00"/>
    <x v="1"/>
    <x v="0"/>
    <x v="0"/>
    <n v="91883726.400000006"/>
    <x v="1"/>
    <x v="0"/>
    <x v="0"/>
    <x v="6"/>
    <x v="3"/>
    <x v="0"/>
    <x v="3"/>
    <x v="0"/>
    <x v="11"/>
    <n v="5"/>
    <x v="0"/>
  </r>
  <r>
    <d v="2022-05-05T00:00:00"/>
    <x v="0"/>
    <x v="1"/>
    <x v="1"/>
    <n v="42779447.68"/>
    <x v="0"/>
    <x v="1"/>
    <x v="1"/>
    <x v="2"/>
    <x v="3"/>
    <x v="0"/>
    <x v="3"/>
    <x v="0"/>
    <x v="11"/>
    <n v="5"/>
    <x v="0"/>
  </r>
  <r>
    <d v="2022-05-05T00:00:00"/>
    <x v="2"/>
    <x v="1"/>
    <x v="1"/>
    <n v="989362984.47000003"/>
    <x v="2"/>
    <x v="1"/>
    <x v="1"/>
    <x v="7"/>
    <x v="3"/>
    <x v="0"/>
    <x v="3"/>
    <x v="0"/>
    <x v="11"/>
    <n v="5"/>
    <x v="0"/>
  </r>
  <r>
    <d v="2022-05-05T00:00:00"/>
    <x v="3"/>
    <x v="2"/>
    <x v="2"/>
    <n v="87641"/>
    <x v="3"/>
    <x v="2"/>
    <x v="2"/>
    <x v="3"/>
    <x v="3"/>
    <x v="0"/>
    <x v="3"/>
    <x v="0"/>
    <x v="11"/>
    <n v="5"/>
    <x v="0"/>
  </r>
  <r>
    <d v="2022-05-05T00:00:00"/>
    <x v="3"/>
    <x v="3"/>
    <x v="0"/>
    <n v="4612919425.1999998"/>
    <x v="3"/>
    <x v="3"/>
    <x v="0"/>
    <x v="5"/>
    <x v="3"/>
    <x v="0"/>
    <x v="3"/>
    <x v="0"/>
    <x v="11"/>
    <n v="5"/>
    <x v="0"/>
  </r>
  <r>
    <d v="2022-05-05T00:00:00"/>
    <x v="1"/>
    <x v="0"/>
    <x v="1"/>
    <n v="7728312357.6599998"/>
    <x v="1"/>
    <x v="0"/>
    <x v="1"/>
    <x v="8"/>
    <x v="3"/>
    <x v="0"/>
    <x v="3"/>
    <x v="0"/>
    <x v="11"/>
    <n v="5"/>
    <x v="0"/>
  </r>
  <r>
    <d v="2022-05-05T00:00:00"/>
    <x v="3"/>
    <x v="2"/>
    <x v="0"/>
    <n v="452783737.06"/>
    <x v="3"/>
    <x v="2"/>
    <x v="0"/>
    <x v="9"/>
    <x v="3"/>
    <x v="0"/>
    <x v="3"/>
    <x v="0"/>
    <x v="11"/>
    <n v="5"/>
    <x v="0"/>
  </r>
  <r>
    <d v="2022-05-05T00:00:00"/>
    <x v="3"/>
    <x v="2"/>
    <x v="1"/>
    <n v="3206424449.9099998"/>
    <x v="3"/>
    <x v="2"/>
    <x v="1"/>
    <x v="10"/>
    <x v="3"/>
    <x v="0"/>
    <x v="3"/>
    <x v="0"/>
    <x v="11"/>
    <n v="5"/>
    <x v="0"/>
  </r>
  <r>
    <d v="2022-05-05T00:00:00"/>
    <x v="3"/>
    <x v="1"/>
    <x v="0"/>
    <n v="14054862.93"/>
    <x v="3"/>
    <x v="1"/>
    <x v="0"/>
    <x v="11"/>
    <x v="3"/>
    <x v="0"/>
    <x v="3"/>
    <x v="0"/>
    <x v="11"/>
    <n v="5"/>
    <x v="0"/>
  </r>
  <r>
    <d v="2022-05-04T00:00:00"/>
    <x v="2"/>
    <x v="1"/>
    <x v="0"/>
    <n v="198084811.80000001"/>
    <x v="2"/>
    <x v="1"/>
    <x v="0"/>
    <x v="7"/>
    <x v="3"/>
    <x v="0"/>
    <x v="3"/>
    <x v="0"/>
    <x v="11"/>
    <n v="4"/>
    <x v="0"/>
  </r>
  <r>
    <d v="2022-05-04T00:00:00"/>
    <x v="2"/>
    <x v="1"/>
    <x v="2"/>
    <n v="93836.02"/>
    <x v="2"/>
    <x v="1"/>
    <x v="2"/>
    <x v="6"/>
    <x v="3"/>
    <x v="0"/>
    <x v="3"/>
    <x v="0"/>
    <x v="11"/>
    <n v="4"/>
    <x v="0"/>
  </r>
  <r>
    <d v="2022-05-04T00:00:00"/>
    <x v="1"/>
    <x v="1"/>
    <x v="0"/>
    <n v="869"/>
    <x v="1"/>
    <x v="1"/>
    <x v="0"/>
    <x v="0"/>
    <x v="3"/>
    <x v="0"/>
    <x v="3"/>
    <x v="0"/>
    <x v="11"/>
    <n v="4"/>
    <x v="0"/>
  </r>
  <r>
    <d v="2022-05-04T00:00:00"/>
    <x v="0"/>
    <x v="1"/>
    <x v="0"/>
    <n v="4902748.1399999997"/>
    <x v="0"/>
    <x v="1"/>
    <x v="0"/>
    <x v="2"/>
    <x v="3"/>
    <x v="0"/>
    <x v="3"/>
    <x v="0"/>
    <x v="11"/>
    <n v="4"/>
    <x v="0"/>
  </r>
  <r>
    <d v="2022-05-04T00:00:00"/>
    <x v="3"/>
    <x v="3"/>
    <x v="1"/>
    <n v="728059.84"/>
    <x v="3"/>
    <x v="3"/>
    <x v="1"/>
    <x v="4"/>
    <x v="3"/>
    <x v="0"/>
    <x v="3"/>
    <x v="0"/>
    <x v="11"/>
    <n v="4"/>
    <x v="0"/>
  </r>
  <r>
    <d v="2022-05-04T00:00:00"/>
    <x v="0"/>
    <x v="1"/>
    <x v="1"/>
    <n v="94830999.799999997"/>
    <x v="0"/>
    <x v="1"/>
    <x v="1"/>
    <x v="5"/>
    <x v="3"/>
    <x v="0"/>
    <x v="3"/>
    <x v="0"/>
    <x v="11"/>
    <n v="4"/>
    <x v="0"/>
  </r>
  <r>
    <d v="2022-05-04T00:00:00"/>
    <x v="2"/>
    <x v="1"/>
    <x v="1"/>
    <n v="1603285859.1700001"/>
    <x v="2"/>
    <x v="1"/>
    <x v="1"/>
    <x v="9"/>
    <x v="3"/>
    <x v="0"/>
    <x v="3"/>
    <x v="0"/>
    <x v="11"/>
    <n v="4"/>
    <x v="0"/>
  </r>
  <r>
    <d v="2022-05-04T00:00:00"/>
    <x v="0"/>
    <x v="0"/>
    <x v="0"/>
    <n v="150"/>
    <x v="0"/>
    <x v="0"/>
    <x v="0"/>
    <x v="1"/>
    <x v="3"/>
    <x v="0"/>
    <x v="3"/>
    <x v="0"/>
    <x v="11"/>
    <n v="4"/>
    <x v="0"/>
  </r>
  <r>
    <d v="2022-05-04T00:00:00"/>
    <x v="3"/>
    <x v="3"/>
    <x v="0"/>
    <n v="3808692486.1999998"/>
    <x v="3"/>
    <x v="3"/>
    <x v="0"/>
    <x v="8"/>
    <x v="3"/>
    <x v="0"/>
    <x v="3"/>
    <x v="0"/>
    <x v="11"/>
    <n v="4"/>
    <x v="0"/>
  </r>
  <r>
    <d v="2022-05-04T00:00:00"/>
    <x v="3"/>
    <x v="2"/>
    <x v="2"/>
    <n v="222015.05"/>
    <x v="3"/>
    <x v="2"/>
    <x v="2"/>
    <x v="3"/>
    <x v="3"/>
    <x v="0"/>
    <x v="3"/>
    <x v="0"/>
    <x v="11"/>
    <n v="4"/>
    <x v="0"/>
  </r>
  <r>
    <d v="2022-05-04T00:00:00"/>
    <x v="1"/>
    <x v="0"/>
    <x v="0"/>
    <n v="133999865.64"/>
    <x v="1"/>
    <x v="0"/>
    <x v="0"/>
    <x v="10"/>
    <x v="3"/>
    <x v="0"/>
    <x v="3"/>
    <x v="0"/>
    <x v="11"/>
    <n v="4"/>
    <x v="0"/>
  </r>
  <r>
    <d v="2022-05-04T00:00:00"/>
    <x v="1"/>
    <x v="0"/>
    <x v="1"/>
    <n v="8909807296.3299999"/>
    <x v="1"/>
    <x v="0"/>
    <x v="1"/>
    <x v="11"/>
    <x v="3"/>
    <x v="0"/>
    <x v="3"/>
    <x v="0"/>
    <x v="11"/>
    <n v="4"/>
    <x v="0"/>
  </r>
  <r>
    <d v="2022-05-04T00:00:00"/>
    <x v="3"/>
    <x v="2"/>
    <x v="0"/>
    <n v="417755689.88999999"/>
    <x v="3"/>
    <x v="2"/>
    <x v="0"/>
    <x v="12"/>
    <x v="3"/>
    <x v="0"/>
    <x v="3"/>
    <x v="0"/>
    <x v="11"/>
    <n v="4"/>
    <x v="0"/>
  </r>
  <r>
    <d v="2022-05-04T00:00:00"/>
    <x v="3"/>
    <x v="1"/>
    <x v="0"/>
    <n v="14257302.470000001"/>
    <x v="3"/>
    <x v="1"/>
    <x v="0"/>
    <x v="13"/>
    <x v="3"/>
    <x v="0"/>
    <x v="3"/>
    <x v="0"/>
    <x v="11"/>
    <n v="4"/>
    <x v="0"/>
  </r>
  <r>
    <d v="2022-05-04T00:00:00"/>
    <x v="3"/>
    <x v="2"/>
    <x v="1"/>
    <n v="12290862809.889999"/>
    <x v="3"/>
    <x v="2"/>
    <x v="1"/>
    <x v="14"/>
    <x v="3"/>
    <x v="0"/>
    <x v="3"/>
    <x v="0"/>
    <x v="11"/>
    <n v="4"/>
    <x v="0"/>
  </r>
  <r>
    <d v="2022-05-03T00:00:00"/>
    <x v="2"/>
    <x v="1"/>
    <x v="2"/>
    <n v="17310"/>
    <x v="2"/>
    <x v="1"/>
    <x v="2"/>
    <x v="2"/>
    <x v="3"/>
    <x v="0"/>
    <x v="3"/>
    <x v="0"/>
    <x v="11"/>
    <n v="3"/>
    <x v="0"/>
  </r>
  <r>
    <d v="2022-05-03T00:00:00"/>
    <x v="3"/>
    <x v="3"/>
    <x v="0"/>
    <n v="3569486010.6300001"/>
    <x v="3"/>
    <x v="3"/>
    <x v="0"/>
    <x v="6"/>
    <x v="3"/>
    <x v="0"/>
    <x v="3"/>
    <x v="0"/>
    <x v="11"/>
    <n v="3"/>
    <x v="0"/>
  </r>
  <r>
    <d v="2022-05-03T00:00:00"/>
    <x v="0"/>
    <x v="1"/>
    <x v="0"/>
    <n v="9628101.4900000002"/>
    <x v="0"/>
    <x v="1"/>
    <x v="0"/>
    <x v="1"/>
    <x v="3"/>
    <x v="0"/>
    <x v="3"/>
    <x v="0"/>
    <x v="11"/>
    <n v="3"/>
    <x v="0"/>
  </r>
  <r>
    <d v="2022-05-03T00:00:00"/>
    <x v="1"/>
    <x v="1"/>
    <x v="0"/>
    <n v="3263.51"/>
    <x v="1"/>
    <x v="1"/>
    <x v="0"/>
    <x v="0"/>
    <x v="3"/>
    <x v="0"/>
    <x v="3"/>
    <x v="0"/>
    <x v="11"/>
    <n v="3"/>
    <x v="0"/>
  </r>
  <r>
    <d v="2022-05-03T00:00:00"/>
    <x v="0"/>
    <x v="1"/>
    <x v="1"/>
    <n v="2860340.99"/>
    <x v="0"/>
    <x v="1"/>
    <x v="1"/>
    <x v="3"/>
    <x v="3"/>
    <x v="0"/>
    <x v="3"/>
    <x v="0"/>
    <x v="11"/>
    <n v="3"/>
    <x v="0"/>
  </r>
  <r>
    <d v="2022-05-03T00:00:00"/>
    <x v="3"/>
    <x v="3"/>
    <x v="1"/>
    <n v="6582.15"/>
    <x v="3"/>
    <x v="3"/>
    <x v="1"/>
    <x v="4"/>
    <x v="3"/>
    <x v="0"/>
    <x v="3"/>
    <x v="0"/>
    <x v="11"/>
    <n v="3"/>
    <x v="0"/>
  </r>
  <r>
    <d v="2022-05-03T00:00:00"/>
    <x v="3"/>
    <x v="2"/>
    <x v="2"/>
    <n v="195237"/>
    <x v="3"/>
    <x v="2"/>
    <x v="2"/>
    <x v="5"/>
    <x v="3"/>
    <x v="0"/>
    <x v="3"/>
    <x v="0"/>
    <x v="11"/>
    <n v="3"/>
    <x v="0"/>
  </r>
  <r>
    <d v="2022-05-03T00:00:00"/>
    <x v="2"/>
    <x v="1"/>
    <x v="0"/>
    <n v="103510779.18000001"/>
    <x v="2"/>
    <x v="1"/>
    <x v="0"/>
    <x v="7"/>
    <x v="3"/>
    <x v="0"/>
    <x v="3"/>
    <x v="0"/>
    <x v="11"/>
    <n v="3"/>
    <x v="0"/>
  </r>
  <r>
    <d v="2022-05-03T00:00:00"/>
    <x v="2"/>
    <x v="1"/>
    <x v="1"/>
    <n v="3013639203.6599998"/>
    <x v="2"/>
    <x v="1"/>
    <x v="1"/>
    <x v="8"/>
    <x v="3"/>
    <x v="0"/>
    <x v="3"/>
    <x v="0"/>
    <x v="11"/>
    <n v="3"/>
    <x v="0"/>
  </r>
  <r>
    <d v="2022-05-03T00:00:00"/>
    <x v="1"/>
    <x v="0"/>
    <x v="0"/>
    <n v="80881608.230000004"/>
    <x v="1"/>
    <x v="0"/>
    <x v="0"/>
    <x v="9"/>
    <x v="3"/>
    <x v="0"/>
    <x v="3"/>
    <x v="0"/>
    <x v="11"/>
    <n v="3"/>
    <x v="0"/>
  </r>
  <r>
    <d v="2022-05-03T00:00:00"/>
    <x v="1"/>
    <x v="0"/>
    <x v="1"/>
    <n v="21679575534.830002"/>
    <x v="1"/>
    <x v="0"/>
    <x v="1"/>
    <x v="10"/>
    <x v="3"/>
    <x v="0"/>
    <x v="3"/>
    <x v="0"/>
    <x v="11"/>
    <n v="3"/>
    <x v="0"/>
  </r>
  <r>
    <d v="2022-05-03T00:00:00"/>
    <x v="3"/>
    <x v="2"/>
    <x v="0"/>
    <n v="902580382.84000003"/>
    <x v="3"/>
    <x v="2"/>
    <x v="0"/>
    <x v="11"/>
    <x v="3"/>
    <x v="0"/>
    <x v="3"/>
    <x v="0"/>
    <x v="11"/>
    <n v="3"/>
    <x v="0"/>
  </r>
  <r>
    <d v="2022-05-03T00:00:00"/>
    <x v="3"/>
    <x v="1"/>
    <x v="0"/>
    <n v="11069198.130000001"/>
    <x v="3"/>
    <x v="1"/>
    <x v="0"/>
    <x v="12"/>
    <x v="3"/>
    <x v="0"/>
    <x v="3"/>
    <x v="0"/>
    <x v="11"/>
    <n v="3"/>
    <x v="0"/>
  </r>
  <r>
    <d v="2022-05-03T00:00:00"/>
    <x v="3"/>
    <x v="2"/>
    <x v="1"/>
    <n v="6818542699.96"/>
    <x v="3"/>
    <x v="2"/>
    <x v="1"/>
    <x v="13"/>
    <x v="3"/>
    <x v="0"/>
    <x v="3"/>
    <x v="0"/>
    <x v="11"/>
    <n v="3"/>
    <x v="0"/>
  </r>
  <r>
    <d v="2022-05-02T00:00:00"/>
    <x v="2"/>
    <x v="1"/>
    <x v="0"/>
    <n v="89770820.109999999"/>
    <x v="2"/>
    <x v="1"/>
    <x v="0"/>
    <x v="5"/>
    <x v="3"/>
    <x v="0"/>
    <x v="3"/>
    <x v="0"/>
    <x v="11"/>
    <n v="2"/>
    <x v="0"/>
  </r>
  <r>
    <d v="2022-05-02T00:00:00"/>
    <x v="2"/>
    <x v="1"/>
    <x v="2"/>
    <n v="2915"/>
    <x v="2"/>
    <x v="1"/>
    <x v="2"/>
    <x v="2"/>
    <x v="3"/>
    <x v="0"/>
    <x v="3"/>
    <x v="0"/>
    <x v="11"/>
    <n v="2"/>
    <x v="0"/>
  </r>
  <r>
    <d v="2022-05-02T00:00:00"/>
    <x v="3"/>
    <x v="3"/>
    <x v="0"/>
    <n v="8067212814.6000004"/>
    <x v="3"/>
    <x v="3"/>
    <x v="0"/>
    <x v="6"/>
    <x v="3"/>
    <x v="0"/>
    <x v="3"/>
    <x v="0"/>
    <x v="11"/>
    <n v="2"/>
    <x v="0"/>
  </r>
  <r>
    <d v="2022-05-02T00:00:00"/>
    <x v="1"/>
    <x v="1"/>
    <x v="0"/>
    <n v="802"/>
    <x v="1"/>
    <x v="1"/>
    <x v="0"/>
    <x v="0"/>
    <x v="3"/>
    <x v="0"/>
    <x v="3"/>
    <x v="0"/>
    <x v="11"/>
    <n v="2"/>
    <x v="0"/>
  </r>
  <r>
    <d v="2022-05-02T00:00:00"/>
    <x v="0"/>
    <x v="1"/>
    <x v="0"/>
    <n v="29793135.550000001"/>
    <x v="0"/>
    <x v="1"/>
    <x v="0"/>
    <x v="1"/>
    <x v="3"/>
    <x v="0"/>
    <x v="3"/>
    <x v="0"/>
    <x v="11"/>
    <n v="2"/>
    <x v="0"/>
  </r>
  <r>
    <d v="2022-05-02T00:00:00"/>
    <x v="0"/>
    <x v="1"/>
    <x v="1"/>
    <n v="10956893.24"/>
    <x v="0"/>
    <x v="1"/>
    <x v="1"/>
    <x v="3"/>
    <x v="3"/>
    <x v="0"/>
    <x v="3"/>
    <x v="0"/>
    <x v="11"/>
    <n v="2"/>
    <x v="0"/>
  </r>
  <r>
    <d v="2022-05-02T00:00:00"/>
    <x v="1"/>
    <x v="0"/>
    <x v="0"/>
    <n v="72205145.200000003"/>
    <x v="1"/>
    <x v="0"/>
    <x v="0"/>
    <x v="8"/>
    <x v="3"/>
    <x v="0"/>
    <x v="3"/>
    <x v="0"/>
    <x v="11"/>
    <n v="2"/>
    <x v="0"/>
  </r>
  <r>
    <d v="2022-05-02T00:00:00"/>
    <x v="3"/>
    <x v="2"/>
    <x v="2"/>
    <n v="100755.93"/>
    <x v="3"/>
    <x v="2"/>
    <x v="2"/>
    <x v="4"/>
    <x v="3"/>
    <x v="0"/>
    <x v="3"/>
    <x v="0"/>
    <x v="11"/>
    <n v="2"/>
    <x v="0"/>
  </r>
  <r>
    <d v="2022-05-02T00:00:00"/>
    <x v="2"/>
    <x v="1"/>
    <x v="1"/>
    <n v="1078243967.0699999"/>
    <x v="2"/>
    <x v="1"/>
    <x v="1"/>
    <x v="7"/>
    <x v="3"/>
    <x v="0"/>
    <x v="3"/>
    <x v="0"/>
    <x v="11"/>
    <n v="2"/>
    <x v="0"/>
  </r>
  <r>
    <d v="2022-05-02T00:00:00"/>
    <x v="1"/>
    <x v="0"/>
    <x v="1"/>
    <n v="10481687290.08"/>
    <x v="1"/>
    <x v="0"/>
    <x v="1"/>
    <x v="9"/>
    <x v="3"/>
    <x v="0"/>
    <x v="3"/>
    <x v="0"/>
    <x v="11"/>
    <n v="2"/>
    <x v="0"/>
  </r>
  <r>
    <d v="2022-05-02T00:00:00"/>
    <x v="3"/>
    <x v="2"/>
    <x v="0"/>
    <n v="597852752.69000006"/>
    <x v="3"/>
    <x v="2"/>
    <x v="0"/>
    <x v="10"/>
    <x v="3"/>
    <x v="0"/>
    <x v="3"/>
    <x v="0"/>
    <x v="11"/>
    <n v="2"/>
    <x v="0"/>
  </r>
  <r>
    <d v="2022-05-02T00:00:00"/>
    <x v="3"/>
    <x v="2"/>
    <x v="1"/>
    <n v="48547833716.199997"/>
    <x v="3"/>
    <x v="2"/>
    <x v="1"/>
    <x v="11"/>
    <x v="3"/>
    <x v="0"/>
    <x v="3"/>
    <x v="0"/>
    <x v="11"/>
    <n v="2"/>
    <x v="0"/>
  </r>
  <r>
    <d v="2022-05-02T00:00:00"/>
    <x v="3"/>
    <x v="1"/>
    <x v="0"/>
    <n v="46318479.369999997"/>
    <x v="3"/>
    <x v="1"/>
    <x v="0"/>
    <x v="12"/>
    <x v="3"/>
    <x v="0"/>
    <x v="3"/>
    <x v="0"/>
    <x v="11"/>
    <n v="2"/>
    <x v="0"/>
  </r>
  <r>
    <d v="2022-04-29T00:00:00"/>
    <x v="1"/>
    <x v="1"/>
    <x v="0"/>
    <n v="2332.5"/>
    <x v="1"/>
    <x v="1"/>
    <x v="0"/>
    <x v="0"/>
    <x v="3"/>
    <x v="0"/>
    <x v="3"/>
    <x v="0"/>
    <x v="0"/>
    <n v="29"/>
    <x v="0"/>
  </r>
  <r>
    <d v="2022-04-29T00:00:00"/>
    <x v="0"/>
    <x v="1"/>
    <x v="0"/>
    <n v="12491928.289999999"/>
    <x v="0"/>
    <x v="1"/>
    <x v="0"/>
    <x v="1"/>
    <x v="3"/>
    <x v="0"/>
    <x v="3"/>
    <x v="0"/>
    <x v="0"/>
    <n v="29"/>
    <x v="0"/>
  </r>
  <r>
    <d v="2022-04-29T00:00:00"/>
    <x v="3"/>
    <x v="3"/>
    <x v="0"/>
    <n v="3855893192.8299999"/>
    <x v="3"/>
    <x v="3"/>
    <x v="0"/>
    <x v="5"/>
    <x v="3"/>
    <x v="0"/>
    <x v="3"/>
    <x v="0"/>
    <x v="0"/>
    <n v="29"/>
    <x v="0"/>
  </r>
  <r>
    <d v="2022-04-29T00:00:00"/>
    <x v="2"/>
    <x v="1"/>
    <x v="0"/>
    <n v="107239037.92"/>
    <x v="2"/>
    <x v="1"/>
    <x v="0"/>
    <x v="6"/>
    <x v="3"/>
    <x v="0"/>
    <x v="3"/>
    <x v="0"/>
    <x v="0"/>
    <n v="29"/>
    <x v="0"/>
  </r>
  <r>
    <d v="2022-04-29T00:00:00"/>
    <x v="3"/>
    <x v="2"/>
    <x v="2"/>
    <n v="336760"/>
    <x v="3"/>
    <x v="2"/>
    <x v="2"/>
    <x v="4"/>
    <x v="3"/>
    <x v="0"/>
    <x v="3"/>
    <x v="0"/>
    <x v="0"/>
    <n v="29"/>
    <x v="0"/>
  </r>
  <r>
    <d v="2022-04-29T00:00:00"/>
    <x v="1"/>
    <x v="0"/>
    <x v="0"/>
    <n v="104702500.91"/>
    <x v="1"/>
    <x v="0"/>
    <x v="0"/>
    <x v="7"/>
    <x v="3"/>
    <x v="0"/>
    <x v="3"/>
    <x v="0"/>
    <x v="0"/>
    <n v="29"/>
    <x v="0"/>
  </r>
  <r>
    <d v="2022-04-29T00:00:00"/>
    <x v="2"/>
    <x v="1"/>
    <x v="1"/>
    <n v="1204135247.97"/>
    <x v="2"/>
    <x v="1"/>
    <x v="1"/>
    <x v="8"/>
    <x v="3"/>
    <x v="0"/>
    <x v="3"/>
    <x v="0"/>
    <x v="0"/>
    <n v="29"/>
    <x v="0"/>
  </r>
  <r>
    <d v="2022-04-29T00:00:00"/>
    <x v="0"/>
    <x v="1"/>
    <x v="1"/>
    <n v="4999967.22"/>
    <x v="0"/>
    <x v="1"/>
    <x v="1"/>
    <x v="2"/>
    <x v="3"/>
    <x v="0"/>
    <x v="3"/>
    <x v="0"/>
    <x v="0"/>
    <n v="29"/>
    <x v="0"/>
  </r>
  <r>
    <d v="2022-04-29T00:00:00"/>
    <x v="2"/>
    <x v="1"/>
    <x v="2"/>
    <n v="11172.37"/>
    <x v="2"/>
    <x v="1"/>
    <x v="2"/>
    <x v="3"/>
    <x v="3"/>
    <x v="0"/>
    <x v="3"/>
    <x v="0"/>
    <x v="0"/>
    <n v="29"/>
    <x v="0"/>
  </r>
  <r>
    <d v="2022-04-29T00:00:00"/>
    <x v="1"/>
    <x v="0"/>
    <x v="1"/>
    <n v="13465704489.889999"/>
    <x v="1"/>
    <x v="0"/>
    <x v="1"/>
    <x v="9"/>
    <x v="3"/>
    <x v="0"/>
    <x v="3"/>
    <x v="0"/>
    <x v="0"/>
    <n v="29"/>
    <x v="0"/>
  </r>
  <r>
    <d v="2022-04-29T00:00:00"/>
    <x v="3"/>
    <x v="2"/>
    <x v="0"/>
    <n v="1084691449.49"/>
    <x v="3"/>
    <x v="2"/>
    <x v="0"/>
    <x v="10"/>
    <x v="3"/>
    <x v="0"/>
    <x v="3"/>
    <x v="0"/>
    <x v="0"/>
    <n v="29"/>
    <x v="0"/>
  </r>
  <r>
    <d v="2022-04-29T00:00:00"/>
    <x v="3"/>
    <x v="1"/>
    <x v="0"/>
    <n v="13730849.560000001"/>
    <x v="3"/>
    <x v="1"/>
    <x v="0"/>
    <x v="11"/>
    <x v="3"/>
    <x v="0"/>
    <x v="3"/>
    <x v="0"/>
    <x v="0"/>
    <n v="29"/>
    <x v="0"/>
  </r>
  <r>
    <d v="2022-04-29T00:00:00"/>
    <x v="3"/>
    <x v="2"/>
    <x v="1"/>
    <n v="15312804605.219999"/>
    <x v="3"/>
    <x v="2"/>
    <x v="1"/>
    <x v="12"/>
    <x v="3"/>
    <x v="0"/>
    <x v="3"/>
    <x v="0"/>
    <x v="0"/>
    <n v="29"/>
    <x v="0"/>
  </r>
  <r>
    <d v="2022-04-28T00:00:00"/>
    <x v="2"/>
    <x v="1"/>
    <x v="0"/>
    <n v="144277442.02000001"/>
    <x v="2"/>
    <x v="1"/>
    <x v="0"/>
    <x v="5"/>
    <x v="3"/>
    <x v="0"/>
    <x v="3"/>
    <x v="0"/>
    <x v="0"/>
    <n v="28"/>
    <x v="0"/>
  </r>
  <r>
    <d v="2022-04-28T00:00:00"/>
    <x v="1"/>
    <x v="1"/>
    <x v="0"/>
    <n v="765"/>
    <x v="1"/>
    <x v="1"/>
    <x v="0"/>
    <x v="1"/>
    <x v="3"/>
    <x v="0"/>
    <x v="3"/>
    <x v="0"/>
    <x v="0"/>
    <n v="28"/>
    <x v="0"/>
  </r>
  <r>
    <d v="2022-04-28T00:00:00"/>
    <x v="0"/>
    <x v="1"/>
    <x v="0"/>
    <n v="14738393.630000001"/>
    <x v="0"/>
    <x v="1"/>
    <x v="0"/>
    <x v="2"/>
    <x v="3"/>
    <x v="0"/>
    <x v="3"/>
    <x v="0"/>
    <x v="0"/>
    <n v="28"/>
    <x v="0"/>
  </r>
  <r>
    <d v="2022-04-28T00:00:00"/>
    <x v="3"/>
    <x v="3"/>
    <x v="0"/>
    <n v="2541288244.1599998"/>
    <x v="3"/>
    <x v="3"/>
    <x v="0"/>
    <x v="6"/>
    <x v="3"/>
    <x v="0"/>
    <x v="3"/>
    <x v="0"/>
    <x v="0"/>
    <n v="28"/>
    <x v="0"/>
  </r>
  <r>
    <d v="2022-04-28T00:00:00"/>
    <x v="0"/>
    <x v="1"/>
    <x v="1"/>
    <n v="16203177.41"/>
    <x v="0"/>
    <x v="1"/>
    <x v="1"/>
    <x v="3"/>
    <x v="3"/>
    <x v="0"/>
    <x v="3"/>
    <x v="0"/>
    <x v="0"/>
    <n v="28"/>
    <x v="0"/>
  </r>
  <r>
    <d v="2022-04-28T00:00:00"/>
    <x v="1"/>
    <x v="0"/>
    <x v="0"/>
    <n v="83521020.069999993"/>
    <x v="1"/>
    <x v="0"/>
    <x v="0"/>
    <x v="8"/>
    <x v="3"/>
    <x v="0"/>
    <x v="3"/>
    <x v="0"/>
    <x v="0"/>
    <n v="28"/>
    <x v="0"/>
  </r>
  <r>
    <d v="2022-04-28T00:00:00"/>
    <x v="3"/>
    <x v="2"/>
    <x v="2"/>
    <n v="385764.02"/>
    <x v="3"/>
    <x v="2"/>
    <x v="2"/>
    <x v="4"/>
    <x v="3"/>
    <x v="0"/>
    <x v="3"/>
    <x v="0"/>
    <x v="0"/>
    <n v="28"/>
    <x v="0"/>
  </r>
  <r>
    <d v="2022-04-28T00:00:00"/>
    <x v="0"/>
    <x v="0"/>
    <x v="0"/>
    <n v="180"/>
    <x v="0"/>
    <x v="0"/>
    <x v="0"/>
    <x v="0"/>
    <x v="3"/>
    <x v="0"/>
    <x v="3"/>
    <x v="0"/>
    <x v="0"/>
    <n v="28"/>
    <x v="0"/>
  </r>
  <r>
    <d v="2022-04-28T00:00:00"/>
    <x v="2"/>
    <x v="1"/>
    <x v="1"/>
    <n v="1948802966.51"/>
    <x v="2"/>
    <x v="1"/>
    <x v="1"/>
    <x v="7"/>
    <x v="3"/>
    <x v="0"/>
    <x v="3"/>
    <x v="0"/>
    <x v="0"/>
    <n v="28"/>
    <x v="0"/>
  </r>
  <r>
    <d v="2022-04-28T00:00:00"/>
    <x v="3"/>
    <x v="2"/>
    <x v="0"/>
    <n v="634540612.69000006"/>
    <x v="3"/>
    <x v="2"/>
    <x v="0"/>
    <x v="9"/>
    <x v="3"/>
    <x v="0"/>
    <x v="3"/>
    <x v="0"/>
    <x v="0"/>
    <n v="28"/>
    <x v="0"/>
  </r>
  <r>
    <d v="2022-04-28T00:00:00"/>
    <x v="1"/>
    <x v="0"/>
    <x v="1"/>
    <n v="15066650178.959999"/>
    <x v="1"/>
    <x v="0"/>
    <x v="1"/>
    <x v="10"/>
    <x v="3"/>
    <x v="0"/>
    <x v="3"/>
    <x v="0"/>
    <x v="0"/>
    <n v="28"/>
    <x v="0"/>
  </r>
  <r>
    <d v="2022-04-28T00:00:00"/>
    <x v="3"/>
    <x v="1"/>
    <x v="0"/>
    <n v="13359561.970000001"/>
    <x v="3"/>
    <x v="1"/>
    <x v="0"/>
    <x v="11"/>
    <x v="3"/>
    <x v="0"/>
    <x v="3"/>
    <x v="0"/>
    <x v="0"/>
    <n v="28"/>
    <x v="0"/>
  </r>
  <r>
    <d v="2022-04-28T00:00:00"/>
    <x v="3"/>
    <x v="2"/>
    <x v="1"/>
    <n v="4170906559.1999998"/>
    <x v="3"/>
    <x v="2"/>
    <x v="1"/>
    <x v="12"/>
    <x v="3"/>
    <x v="0"/>
    <x v="3"/>
    <x v="0"/>
    <x v="0"/>
    <n v="28"/>
    <x v="0"/>
  </r>
  <r>
    <d v="2022-04-27T00:00:00"/>
    <x v="2"/>
    <x v="1"/>
    <x v="0"/>
    <n v="120395743.63"/>
    <x v="2"/>
    <x v="1"/>
    <x v="0"/>
    <x v="5"/>
    <x v="3"/>
    <x v="0"/>
    <x v="3"/>
    <x v="0"/>
    <x v="0"/>
    <n v="27"/>
    <x v="0"/>
  </r>
  <r>
    <d v="2022-04-27T00:00:00"/>
    <x v="2"/>
    <x v="1"/>
    <x v="2"/>
    <n v="863308.65"/>
    <x v="2"/>
    <x v="1"/>
    <x v="2"/>
    <x v="2"/>
    <x v="3"/>
    <x v="0"/>
    <x v="3"/>
    <x v="0"/>
    <x v="0"/>
    <n v="27"/>
    <x v="0"/>
  </r>
  <r>
    <d v="2022-04-27T00:00:00"/>
    <x v="3"/>
    <x v="3"/>
    <x v="0"/>
    <n v="2065349847.01"/>
    <x v="3"/>
    <x v="3"/>
    <x v="0"/>
    <x v="6"/>
    <x v="3"/>
    <x v="0"/>
    <x v="3"/>
    <x v="0"/>
    <x v="0"/>
    <n v="27"/>
    <x v="0"/>
  </r>
  <r>
    <d v="2022-04-27T00:00:00"/>
    <x v="1"/>
    <x v="1"/>
    <x v="0"/>
    <n v="1074.5"/>
    <x v="1"/>
    <x v="1"/>
    <x v="0"/>
    <x v="0"/>
    <x v="3"/>
    <x v="0"/>
    <x v="3"/>
    <x v="0"/>
    <x v="0"/>
    <n v="27"/>
    <x v="0"/>
  </r>
  <r>
    <d v="2022-04-27T00:00:00"/>
    <x v="0"/>
    <x v="1"/>
    <x v="0"/>
    <n v="50804822.369999997"/>
    <x v="0"/>
    <x v="1"/>
    <x v="0"/>
    <x v="1"/>
    <x v="3"/>
    <x v="0"/>
    <x v="3"/>
    <x v="0"/>
    <x v="0"/>
    <n v="27"/>
    <x v="0"/>
  </r>
  <r>
    <d v="2022-04-27T00:00:00"/>
    <x v="0"/>
    <x v="1"/>
    <x v="1"/>
    <n v="22281019.350000001"/>
    <x v="0"/>
    <x v="1"/>
    <x v="1"/>
    <x v="3"/>
    <x v="3"/>
    <x v="0"/>
    <x v="3"/>
    <x v="0"/>
    <x v="0"/>
    <n v="27"/>
    <x v="0"/>
  </r>
  <r>
    <d v="2022-04-27T00:00:00"/>
    <x v="3"/>
    <x v="2"/>
    <x v="2"/>
    <n v="204944.11"/>
    <x v="3"/>
    <x v="2"/>
    <x v="2"/>
    <x v="4"/>
    <x v="3"/>
    <x v="0"/>
    <x v="3"/>
    <x v="0"/>
    <x v="0"/>
    <n v="27"/>
    <x v="0"/>
  </r>
  <r>
    <d v="2022-04-27T00:00:00"/>
    <x v="2"/>
    <x v="1"/>
    <x v="1"/>
    <n v="1878806052.49"/>
    <x v="2"/>
    <x v="1"/>
    <x v="1"/>
    <x v="7"/>
    <x v="3"/>
    <x v="0"/>
    <x v="3"/>
    <x v="0"/>
    <x v="0"/>
    <n v="27"/>
    <x v="0"/>
  </r>
  <r>
    <d v="2022-04-27T00:00:00"/>
    <x v="1"/>
    <x v="0"/>
    <x v="0"/>
    <n v="112913693.48999999"/>
    <x v="1"/>
    <x v="0"/>
    <x v="0"/>
    <x v="8"/>
    <x v="3"/>
    <x v="0"/>
    <x v="3"/>
    <x v="0"/>
    <x v="0"/>
    <n v="27"/>
    <x v="0"/>
  </r>
  <r>
    <d v="2022-04-27T00:00:00"/>
    <x v="1"/>
    <x v="0"/>
    <x v="1"/>
    <n v="15606189295.459999"/>
    <x v="1"/>
    <x v="0"/>
    <x v="1"/>
    <x v="9"/>
    <x v="3"/>
    <x v="0"/>
    <x v="3"/>
    <x v="0"/>
    <x v="0"/>
    <n v="27"/>
    <x v="0"/>
  </r>
  <r>
    <d v="2022-04-27T00:00:00"/>
    <x v="3"/>
    <x v="2"/>
    <x v="0"/>
    <n v="431887862.38"/>
    <x v="3"/>
    <x v="2"/>
    <x v="0"/>
    <x v="10"/>
    <x v="3"/>
    <x v="0"/>
    <x v="3"/>
    <x v="0"/>
    <x v="0"/>
    <n v="27"/>
    <x v="0"/>
  </r>
  <r>
    <d v="2022-04-27T00:00:00"/>
    <x v="3"/>
    <x v="1"/>
    <x v="0"/>
    <n v="13396665.76"/>
    <x v="3"/>
    <x v="1"/>
    <x v="0"/>
    <x v="11"/>
    <x v="3"/>
    <x v="0"/>
    <x v="3"/>
    <x v="0"/>
    <x v="0"/>
    <n v="27"/>
    <x v="0"/>
  </r>
  <r>
    <d v="2022-04-27T00:00:00"/>
    <x v="3"/>
    <x v="2"/>
    <x v="1"/>
    <n v="11481082821.18"/>
    <x v="3"/>
    <x v="2"/>
    <x v="1"/>
    <x v="12"/>
    <x v="3"/>
    <x v="0"/>
    <x v="3"/>
    <x v="0"/>
    <x v="0"/>
    <n v="27"/>
    <x v="0"/>
  </r>
  <r>
    <d v="2022-04-26T00:00:00"/>
    <x v="1"/>
    <x v="1"/>
    <x v="0"/>
    <n v="78.25"/>
    <x v="1"/>
    <x v="1"/>
    <x v="0"/>
    <x v="1"/>
    <x v="3"/>
    <x v="0"/>
    <x v="3"/>
    <x v="0"/>
    <x v="0"/>
    <n v="26"/>
    <x v="0"/>
  </r>
  <r>
    <d v="2022-04-26T00:00:00"/>
    <x v="0"/>
    <x v="1"/>
    <x v="0"/>
    <n v="8745003.3699999992"/>
    <x v="0"/>
    <x v="1"/>
    <x v="0"/>
    <x v="2"/>
    <x v="3"/>
    <x v="0"/>
    <x v="3"/>
    <x v="0"/>
    <x v="0"/>
    <n v="26"/>
    <x v="0"/>
  </r>
  <r>
    <d v="2022-04-26T00:00:00"/>
    <x v="2"/>
    <x v="1"/>
    <x v="0"/>
    <n v="108913284.12"/>
    <x v="2"/>
    <x v="1"/>
    <x v="0"/>
    <x v="7"/>
    <x v="3"/>
    <x v="0"/>
    <x v="3"/>
    <x v="0"/>
    <x v="0"/>
    <n v="26"/>
    <x v="0"/>
  </r>
  <r>
    <d v="2022-04-26T00:00:00"/>
    <x v="3"/>
    <x v="3"/>
    <x v="1"/>
    <n v="6750161.54"/>
    <x v="3"/>
    <x v="3"/>
    <x v="1"/>
    <x v="3"/>
    <x v="3"/>
    <x v="0"/>
    <x v="3"/>
    <x v="0"/>
    <x v="0"/>
    <n v="26"/>
    <x v="0"/>
  </r>
  <r>
    <d v="2022-04-26T00:00:00"/>
    <x v="2"/>
    <x v="1"/>
    <x v="1"/>
    <n v="1977717071.71"/>
    <x v="2"/>
    <x v="1"/>
    <x v="1"/>
    <x v="9"/>
    <x v="3"/>
    <x v="0"/>
    <x v="3"/>
    <x v="0"/>
    <x v="0"/>
    <n v="26"/>
    <x v="0"/>
  </r>
  <r>
    <d v="2022-04-26T00:00:00"/>
    <x v="2"/>
    <x v="1"/>
    <x v="2"/>
    <n v="-900"/>
    <x v="2"/>
    <x v="1"/>
    <x v="2"/>
    <x v="5"/>
    <x v="3"/>
    <x v="0"/>
    <x v="3"/>
    <x v="0"/>
    <x v="0"/>
    <n v="26"/>
    <x v="1"/>
  </r>
  <r>
    <d v="2022-04-26T00:00:00"/>
    <x v="0"/>
    <x v="1"/>
    <x v="1"/>
    <n v="21025175.66"/>
    <x v="0"/>
    <x v="1"/>
    <x v="1"/>
    <x v="4"/>
    <x v="3"/>
    <x v="0"/>
    <x v="3"/>
    <x v="0"/>
    <x v="0"/>
    <n v="26"/>
    <x v="0"/>
  </r>
  <r>
    <d v="2022-04-26T00:00:00"/>
    <x v="1"/>
    <x v="0"/>
    <x v="0"/>
    <n v="96519731.849999994"/>
    <x v="1"/>
    <x v="0"/>
    <x v="0"/>
    <x v="10"/>
    <x v="3"/>
    <x v="0"/>
    <x v="3"/>
    <x v="0"/>
    <x v="0"/>
    <n v="26"/>
    <x v="0"/>
  </r>
  <r>
    <d v="2022-04-26T00:00:00"/>
    <x v="3"/>
    <x v="2"/>
    <x v="2"/>
    <n v="49399.8"/>
    <x v="3"/>
    <x v="2"/>
    <x v="2"/>
    <x v="6"/>
    <x v="3"/>
    <x v="0"/>
    <x v="3"/>
    <x v="0"/>
    <x v="0"/>
    <n v="26"/>
    <x v="0"/>
  </r>
  <r>
    <d v="2022-04-26T00:00:00"/>
    <x v="0"/>
    <x v="0"/>
    <x v="0"/>
    <n v="25"/>
    <x v="0"/>
    <x v="0"/>
    <x v="0"/>
    <x v="0"/>
    <x v="3"/>
    <x v="0"/>
    <x v="3"/>
    <x v="0"/>
    <x v="0"/>
    <n v="26"/>
    <x v="0"/>
  </r>
  <r>
    <d v="2022-04-26T00:00:00"/>
    <x v="3"/>
    <x v="3"/>
    <x v="0"/>
    <n v="1339237310.6500001"/>
    <x v="3"/>
    <x v="3"/>
    <x v="0"/>
    <x v="8"/>
    <x v="3"/>
    <x v="0"/>
    <x v="3"/>
    <x v="0"/>
    <x v="0"/>
    <n v="26"/>
    <x v="0"/>
  </r>
  <r>
    <d v="2022-04-26T00:00:00"/>
    <x v="1"/>
    <x v="0"/>
    <x v="1"/>
    <n v="37451514553.169998"/>
    <x v="1"/>
    <x v="0"/>
    <x v="1"/>
    <x v="11"/>
    <x v="3"/>
    <x v="0"/>
    <x v="3"/>
    <x v="0"/>
    <x v="0"/>
    <n v="26"/>
    <x v="0"/>
  </r>
  <r>
    <d v="2022-04-26T00:00:00"/>
    <x v="3"/>
    <x v="2"/>
    <x v="0"/>
    <n v="460931575.93000001"/>
    <x v="3"/>
    <x v="2"/>
    <x v="0"/>
    <x v="12"/>
    <x v="3"/>
    <x v="0"/>
    <x v="3"/>
    <x v="0"/>
    <x v="0"/>
    <n v="26"/>
    <x v="0"/>
  </r>
  <r>
    <d v="2022-04-26T00:00:00"/>
    <x v="3"/>
    <x v="2"/>
    <x v="1"/>
    <n v="4080836521.6399999"/>
    <x v="3"/>
    <x v="2"/>
    <x v="1"/>
    <x v="13"/>
    <x v="3"/>
    <x v="0"/>
    <x v="3"/>
    <x v="0"/>
    <x v="0"/>
    <n v="26"/>
    <x v="0"/>
  </r>
  <r>
    <d v="2022-04-26T00:00:00"/>
    <x v="3"/>
    <x v="1"/>
    <x v="0"/>
    <n v="9780691.25"/>
    <x v="3"/>
    <x v="1"/>
    <x v="0"/>
    <x v="14"/>
    <x v="3"/>
    <x v="0"/>
    <x v="3"/>
    <x v="0"/>
    <x v="0"/>
    <n v="26"/>
    <x v="0"/>
  </r>
  <r>
    <d v="2022-04-25T00:00:00"/>
    <x v="2"/>
    <x v="1"/>
    <x v="0"/>
    <n v="104850939.91"/>
    <x v="2"/>
    <x v="1"/>
    <x v="0"/>
    <x v="6"/>
    <x v="3"/>
    <x v="0"/>
    <x v="3"/>
    <x v="0"/>
    <x v="0"/>
    <n v="25"/>
    <x v="0"/>
  </r>
  <r>
    <d v="2022-04-25T00:00:00"/>
    <x v="2"/>
    <x v="1"/>
    <x v="2"/>
    <n v="12515"/>
    <x v="2"/>
    <x v="1"/>
    <x v="2"/>
    <x v="2"/>
    <x v="3"/>
    <x v="0"/>
    <x v="3"/>
    <x v="0"/>
    <x v="0"/>
    <n v="25"/>
    <x v="0"/>
  </r>
  <r>
    <d v="2022-04-25T00:00:00"/>
    <x v="3"/>
    <x v="2"/>
    <x v="2"/>
    <n v="462178"/>
    <x v="3"/>
    <x v="2"/>
    <x v="2"/>
    <x v="4"/>
    <x v="3"/>
    <x v="0"/>
    <x v="3"/>
    <x v="0"/>
    <x v="0"/>
    <n v="25"/>
    <x v="0"/>
  </r>
  <r>
    <d v="2022-04-25T00:00:00"/>
    <x v="2"/>
    <x v="1"/>
    <x v="1"/>
    <n v="1636799053.8199999"/>
    <x v="2"/>
    <x v="1"/>
    <x v="1"/>
    <x v="7"/>
    <x v="3"/>
    <x v="0"/>
    <x v="3"/>
    <x v="0"/>
    <x v="0"/>
    <n v="25"/>
    <x v="0"/>
  </r>
  <r>
    <d v="2022-04-25T00:00:00"/>
    <x v="1"/>
    <x v="0"/>
    <x v="0"/>
    <n v="82666524.549999997"/>
    <x v="1"/>
    <x v="0"/>
    <x v="0"/>
    <x v="8"/>
    <x v="3"/>
    <x v="0"/>
    <x v="3"/>
    <x v="0"/>
    <x v="0"/>
    <n v="25"/>
    <x v="0"/>
  </r>
  <r>
    <d v="2022-04-25T00:00:00"/>
    <x v="0"/>
    <x v="1"/>
    <x v="1"/>
    <n v="66588097.420000002"/>
    <x v="0"/>
    <x v="1"/>
    <x v="1"/>
    <x v="3"/>
    <x v="3"/>
    <x v="0"/>
    <x v="3"/>
    <x v="0"/>
    <x v="0"/>
    <n v="25"/>
    <x v="0"/>
  </r>
  <r>
    <d v="2022-04-25T00:00:00"/>
    <x v="1"/>
    <x v="1"/>
    <x v="0"/>
    <n v="735.5"/>
    <x v="1"/>
    <x v="1"/>
    <x v="0"/>
    <x v="0"/>
    <x v="3"/>
    <x v="0"/>
    <x v="3"/>
    <x v="0"/>
    <x v="0"/>
    <n v="25"/>
    <x v="0"/>
  </r>
  <r>
    <d v="2022-04-25T00:00:00"/>
    <x v="0"/>
    <x v="1"/>
    <x v="0"/>
    <n v="6481041.8099999996"/>
    <x v="0"/>
    <x v="1"/>
    <x v="0"/>
    <x v="1"/>
    <x v="3"/>
    <x v="0"/>
    <x v="3"/>
    <x v="0"/>
    <x v="0"/>
    <n v="25"/>
    <x v="0"/>
  </r>
  <r>
    <d v="2022-04-25T00:00:00"/>
    <x v="3"/>
    <x v="3"/>
    <x v="0"/>
    <n v="1551677639.8599999"/>
    <x v="3"/>
    <x v="3"/>
    <x v="0"/>
    <x v="5"/>
    <x v="3"/>
    <x v="0"/>
    <x v="3"/>
    <x v="0"/>
    <x v="0"/>
    <n v="25"/>
    <x v="0"/>
  </r>
  <r>
    <d v="2022-04-25T00:00:00"/>
    <x v="1"/>
    <x v="0"/>
    <x v="1"/>
    <n v="18551369073.75"/>
    <x v="1"/>
    <x v="0"/>
    <x v="1"/>
    <x v="9"/>
    <x v="3"/>
    <x v="0"/>
    <x v="3"/>
    <x v="0"/>
    <x v="0"/>
    <n v="25"/>
    <x v="0"/>
  </r>
  <r>
    <d v="2022-04-25T00:00:00"/>
    <x v="3"/>
    <x v="2"/>
    <x v="0"/>
    <n v="401615331.49000001"/>
    <x v="3"/>
    <x v="2"/>
    <x v="0"/>
    <x v="10"/>
    <x v="3"/>
    <x v="0"/>
    <x v="3"/>
    <x v="0"/>
    <x v="0"/>
    <n v="25"/>
    <x v="0"/>
  </r>
  <r>
    <d v="2022-04-25T00:00:00"/>
    <x v="3"/>
    <x v="2"/>
    <x v="1"/>
    <n v="20331508261.360001"/>
    <x v="3"/>
    <x v="2"/>
    <x v="1"/>
    <x v="11"/>
    <x v="3"/>
    <x v="0"/>
    <x v="3"/>
    <x v="0"/>
    <x v="0"/>
    <n v="25"/>
    <x v="0"/>
  </r>
  <r>
    <d v="2022-04-25T00:00:00"/>
    <x v="3"/>
    <x v="1"/>
    <x v="0"/>
    <n v="40867759.950000003"/>
    <x v="3"/>
    <x v="1"/>
    <x v="0"/>
    <x v="12"/>
    <x v="3"/>
    <x v="0"/>
    <x v="3"/>
    <x v="0"/>
    <x v="0"/>
    <n v="25"/>
    <x v="0"/>
  </r>
  <r>
    <d v="2022-04-22T00:00:00"/>
    <x v="2"/>
    <x v="1"/>
    <x v="2"/>
    <n v="11927.78"/>
    <x v="2"/>
    <x v="1"/>
    <x v="2"/>
    <x v="3"/>
    <x v="3"/>
    <x v="0"/>
    <x v="3"/>
    <x v="0"/>
    <x v="0"/>
    <n v="22"/>
    <x v="0"/>
  </r>
  <r>
    <d v="2022-04-22T00:00:00"/>
    <x v="3"/>
    <x v="2"/>
    <x v="2"/>
    <n v="443648.41"/>
    <x v="3"/>
    <x v="2"/>
    <x v="2"/>
    <x v="6"/>
    <x v="3"/>
    <x v="0"/>
    <x v="3"/>
    <x v="0"/>
    <x v="0"/>
    <n v="22"/>
    <x v="0"/>
  </r>
  <r>
    <d v="2022-04-22T00:00:00"/>
    <x v="3"/>
    <x v="3"/>
    <x v="0"/>
    <n v="1411144693.0899999"/>
    <x v="3"/>
    <x v="3"/>
    <x v="0"/>
    <x v="8"/>
    <x v="3"/>
    <x v="0"/>
    <x v="3"/>
    <x v="0"/>
    <x v="0"/>
    <n v="22"/>
    <x v="0"/>
  </r>
  <r>
    <d v="2022-04-22T00:00:00"/>
    <x v="3"/>
    <x v="3"/>
    <x v="1"/>
    <n v="13382471.57"/>
    <x v="3"/>
    <x v="3"/>
    <x v="1"/>
    <x v="4"/>
    <x v="3"/>
    <x v="0"/>
    <x v="3"/>
    <x v="0"/>
    <x v="0"/>
    <n v="22"/>
    <x v="0"/>
  </r>
  <r>
    <d v="2022-04-22T00:00:00"/>
    <x v="1"/>
    <x v="1"/>
    <x v="0"/>
    <n v="1145"/>
    <x v="1"/>
    <x v="1"/>
    <x v="0"/>
    <x v="1"/>
    <x v="3"/>
    <x v="0"/>
    <x v="3"/>
    <x v="0"/>
    <x v="0"/>
    <n v="22"/>
    <x v="0"/>
  </r>
  <r>
    <d v="2022-04-22T00:00:00"/>
    <x v="2"/>
    <x v="1"/>
    <x v="1"/>
    <n v="2536181950.71"/>
    <x v="2"/>
    <x v="1"/>
    <x v="1"/>
    <x v="9"/>
    <x v="3"/>
    <x v="0"/>
    <x v="3"/>
    <x v="0"/>
    <x v="0"/>
    <n v="22"/>
    <x v="0"/>
  </r>
  <r>
    <d v="2022-04-22T00:00:00"/>
    <x v="0"/>
    <x v="1"/>
    <x v="1"/>
    <n v="26365112.149999999"/>
    <x v="0"/>
    <x v="1"/>
    <x v="1"/>
    <x v="5"/>
    <x v="3"/>
    <x v="0"/>
    <x v="3"/>
    <x v="0"/>
    <x v="0"/>
    <n v="22"/>
    <x v="0"/>
  </r>
  <r>
    <d v="2022-04-22T00:00:00"/>
    <x v="0"/>
    <x v="1"/>
    <x v="0"/>
    <n v="13746271.630000001"/>
    <x v="0"/>
    <x v="1"/>
    <x v="0"/>
    <x v="2"/>
    <x v="3"/>
    <x v="0"/>
    <x v="3"/>
    <x v="0"/>
    <x v="0"/>
    <n v="22"/>
    <x v="0"/>
  </r>
  <r>
    <d v="2022-04-22T00:00:00"/>
    <x v="1"/>
    <x v="0"/>
    <x v="0"/>
    <n v="97872592.890000001"/>
    <x v="1"/>
    <x v="0"/>
    <x v="0"/>
    <x v="10"/>
    <x v="3"/>
    <x v="0"/>
    <x v="3"/>
    <x v="0"/>
    <x v="0"/>
    <n v="22"/>
    <x v="0"/>
  </r>
  <r>
    <d v="2022-04-22T00:00:00"/>
    <x v="2"/>
    <x v="1"/>
    <x v="0"/>
    <n v="105564007.26000001"/>
    <x v="2"/>
    <x v="1"/>
    <x v="0"/>
    <x v="7"/>
    <x v="3"/>
    <x v="0"/>
    <x v="3"/>
    <x v="0"/>
    <x v="0"/>
    <n v="22"/>
    <x v="0"/>
  </r>
  <r>
    <d v="2022-04-22T00:00:00"/>
    <x v="0"/>
    <x v="0"/>
    <x v="0"/>
    <n v="20000"/>
    <x v="0"/>
    <x v="0"/>
    <x v="0"/>
    <x v="0"/>
    <x v="3"/>
    <x v="0"/>
    <x v="3"/>
    <x v="0"/>
    <x v="0"/>
    <n v="22"/>
    <x v="0"/>
  </r>
  <r>
    <d v="2022-04-22T00:00:00"/>
    <x v="1"/>
    <x v="0"/>
    <x v="1"/>
    <n v="15987566372.120001"/>
    <x v="1"/>
    <x v="0"/>
    <x v="1"/>
    <x v="11"/>
    <x v="3"/>
    <x v="0"/>
    <x v="3"/>
    <x v="0"/>
    <x v="0"/>
    <n v="22"/>
    <x v="0"/>
  </r>
  <r>
    <d v="2022-04-22T00:00:00"/>
    <x v="3"/>
    <x v="2"/>
    <x v="0"/>
    <n v="7317976954.1700001"/>
    <x v="3"/>
    <x v="2"/>
    <x v="0"/>
    <x v="12"/>
    <x v="3"/>
    <x v="0"/>
    <x v="3"/>
    <x v="0"/>
    <x v="0"/>
    <n v="22"/>
    <x v="0"/>
  </r>
  <r>
    <d v="2022-04-22T00:00:00"/>
    <x v="3"/>
    <x v="1"/>
    <x v="0"/>
    <n v="13147605.17"/>
    <x v="3"/>
    <x v="1"/>
    <x v="0"/>
    <x v="13"/>
    <x v="3"/>
    <x v="0"/>
    <x v="3"/>
    <x v="0"/>
    <x v="0"/>
    <n v="22"/>
    <x v="0"/>
  </r>
  <r>
    <d v="2022-04-22T00:00:00"/>
    <x v="3"/>
    <x v="2"/>
    <x v="1"/>
    <n v="8081895541.0200005"/>
    <x v="3"/>
    <x v="2"/>
    <x v="1"/>
    <x v="14"/>
    <x v="3"/>
    <x v="0"/>
    <x v="3"/>
    <x v="0"/>
    <x v="0"/>
    <n v="22"/>
    <x v="0"/>
  </r>
  <r>
    <d v="2022-04-21T00:00:00"/>
    <x v="2"/>
    <x v="1"/>
    <x v="2"/>
    <n v="10705"/>
    <x v="2"/>
    <x v="1"/>
    <x v="2"/>
    <x v="2"/>
    <x v="3"/>
    <x v="0"/>
    <x v="3"/>
    <x v="0"/>
    <x v="0"/>
    <n v="21"/>
    <x v="0"/>
  </r>
  <r>
    <d v="2022-04-21T00:00:00"/>
    <x v="0"/>
    <x v="1"/>
    <x v="1"/>
    <n v="8106872.2800000003"/>
    <x v="0"/>
    <x v="1"/>
    <x v="1"/>
    <x v="4"/>
    <x v="3"/>
    <x v="0"/>
    <x v="3"/>
    <x v="0"/>
    <x v="0"/>
    <n v="21"/>
    <x v="0"/>
  </r>
  <r>
    <d v="2022-04-21T00:00:00"/>
    <x v="0"/>
    <x v="1"/>
    <x v="0"/>
    <n v="9549094.2599999998"/>
    <x v="0"/>
    <x v="1"/>
    <x v="0"/>
    <x v="1"/>
    <x v="3"/>
    <x v="0"/>
    <x v="3"/>
    <x v="0"/>
    <x v="0"/>
    <n v="21"/>
    <x v="0"/>
  </r>
  <r>
    <d v="2022-04-21T00:00:00"/>
    <x v="3"/>
    <x v="2"/>
    <x v="2"/>
    <n v="125582"/>
    <x v="3"/>
    <x v="2"/>
    <x v="2"/>
    <x v="5"/>
    <x v="3"/>
    <x v="0"/>
    <x v="3"/>
    <x v="0"/>
    <x v="0"/>
    <n v="21"/>
    <x v="0"/>
  </r>
  <r>
    <d v="2022-04-21T00:00:00"/>
    <x v="2"/>
    <x v="1"/>
    <x v="0"/>
    <n v="96345902.840000004"/>
    <x v="2"/>
    <x v="1"/>
    <x v="0"/>
    <x v="6"/>
    <x v="3"/>
    <x v="0"/>
    <x v="3"/>
    <x v="0"/>
    <x v="0"/>
    <n v="21"/>
    <x v="0"/>
  </r>
  <r>
    <d v="2022-04-21T00:00:00"/>
    <x v="1"/>
    <x v="1"/>
    <x v="0"/>
    <n v="520"/>
    <x v="1"/>
    <x v="1"/>
    <x v="0"/>
    <x v="0"/>
    <x v="3"/>
    <x v="0"/>
    <x v="3"/>
    <x v="0"/>
    <x v="0"/>
    <n v="21"/>
    <x v="0"/>
  </r>
  <r>
    <d v="2022-04-21T00:00:00"/>
    <x v="3"/>
    <x v="3"/>
    <x v="1"/>
    <n v="95389"/>
    <x v="3"/>
    <x v="3"/>
    <x v="1"/>
    <x v="3"/>
    <x v="3"/>
    <x v="0"/>
    <x v="3"/>
    <x v="0"/>
    <x v="0"/>
    <n v="21"/>
    <x v="0"/>
  </r>
  <r>
    <d v="2022-04-21T00:00:00"/>
    <x v="2"/>
    <x v="1"/>
    <x v="1"/>
    <n v="1554069547.4300001"/>
    <x v="2"/>
    <x v="1"/>
    <x v="1"/>
    <x v="8"/>
    <x v="3"/>
    <x v="0"/>
    <x v="3"/>
    <x v="0"/>
    <x v="0"/>
    <n v="21"/>
    <x v="0"/>
  </r>
  <r>
    <d v="2022-04-21T00:00:00"/>
    <x v="3"/>
    <x v="3"/>
    <x v="0"/>
    <n v="3323760569.5100002"/>
    <x v="3"/>
    <x v="3"/>
    <x v="0"/>
    <x v="7"/>
    <x v="3"/>
    <x v="0"/>
    <x v="3"/>
    <x v="0"/>
    <x v="0"/>
    <n v="21"/>
    <x v="0"/>
  </r>
  <r>
    <d v="2022-04-21T00:00:00"/>
    <x v="1"/>
    <x v="0"/>
    <x v="0"/>
    <n v="114453808.5"/>
    <x v="1"/>
    <x v="0"/>
    <x v="0"/>
    <x v="9"/>
    <x v="3"/>
    <x v="0"/>
    <x v="3"/>
    <x v="0"/>
    <x v="0"/>
    <n v="21"/>
    <x v="0"/>
  </r>
  <r>
    <d v="2022-04-21T00:00:00"/>
    <x v="1"/>
    <x v="0"/>
    <x v="1"/>
    <n v="14959346331.629999"/>
    <x v="1"/>
    <x v="0"/>
    <x v="1"/>
    <x v="10"/>
    <x v="3"/>
    <x v="0"/>
    <x v="3"/>
    <x v="0"/>
    <x v="0"/>
    <n v="21"/>
    <x v="0"/>
  </r>
  <r>
    <d v="2022-04-21T00:00:00"/>
    <x v="3"/>
    <x v="2"/>
    <x v="0"/>
    <n v="352324034.85000002"/>
    <x v="3"/>
    <x v="2"/>
    <x v="0"/>
    <x v="11"/>
    <x v="3"/>
    <x v="0"/>
    <x v="3"/>
    <x v="0"/>
    <x v="0"/>
    <n v="21"/>
    <x v="0"/>
  </r>
  <r>
    <d v="2022-04-21T00:00:00"/>
    <x v="3"/>
    <x v="1"/>
    <x v="0"/>
    <n v="13571216.470000001"/>
    <x v="3"/>
    <x v="1"/>
    <x v="0"/>
    <x v="12"/>
    <x v="3"/>
    <x v="0"/>
    <x v="3"/>
    <x v="0"/>
    <x v="0"/>
    <n v="21"/>
    <x v="0"/>
  </r>
  <r>
    <d v="2022-04-21T00:00:00"/>
    <x v="3"/>
    <x v="2"/>
    <x v="1"/>
    <n v="9115033293.4300003"/>
    <x v="3"/>
    <x v="2"/>
    <x v="1"/>
    <x v="13"/>
    <x v="3"/>
    <x v="0"/>
    <x v="3"/>
    <x v="0"/>
    <x v="0"/>
    <n v="21"/>
    <x v="0"/>
  </r>
  <r>
    <d v="2022-04-20T00:00:00"/>
    <x v="2"/>
    <x v="1"/>
    <x v="2"/>
    <n v="49108.02"/>
    <x v="2"/>
    <x v="1"/>
    <x v="2"/>
    <x v="3"/>
    <x v="3"/>
    <x v="0"/>
    <x v="3"/>
    <x v="0"/>
    <x v="0"/>
    <n v="20"/>
    <x v="0"/>
  </r>
  <r>
    <d v="2022-04-20T00:00:00"/>
    <x v="0"/>
    <x v="1"/>
    <x v="1"/>
    <n v="4997994.32"/>
    <x v="0"/>
    <x v="1"/>
    <x v="1"/>
    <x v="4"/>
    <x v="3"/>
    <x v="0"/>
    <x v="3"/>
    <x v="0"/>
    <x v="0"/>
    <n v="20"/>
    <x v="0"/>
  </r>
  <r>
    <d v="2022-04-20T00:00:00"/>
    <x v="1"/>
    <x v="1"/>
    <x v="0"/>
    <n v="7151.81"/>
    <x v="1"/>
    <x v="1"/>
    <x v="0"/>
    <x v="0"/>
    <x v="3"/>
    <x v="0"/>
    <x v="3"/>
    <x v="0"/>
    <x v="0"/>
    <n v="20"/>
    <x v="0"/>
  </r>
  <r>
    <d v="2022-04-20T00:00:00"/>
    <x v="0"/>
    <x v="1"/>
    <x v="0"/>
    <n v="14522162.48"/>
    <x v="0"/>
    <x v="1"/>
    <x v="0"/>
    <x v="2"/>
    <x v="3"/>
    <x v="0"/>
    <x v="3"/>
    <x v="0"/>
    <x v="0"/>
    <n v="20"/>
    <x v="0"/>
  </r>
  <r>
    <d v="2022-04-20T00:00:00"/>
    <x v="3"/>
    <x v="3"/>
    <x v="0"/>
    <n v="2660643616.9000001"/>
    <x v="3"/>
    <x v="3"/>
    <x v="0"/>
    <x v="6"/>
    <x v="3"/>
    <x v="0"/>
    <x v="3"/>
    <x v="0"/>
    <x v="0"/>
    <n v="20"/>
    <x v="0"/>
  </r>
  <r>
    <d v="2022-04-20T00:00:00"/>
    <x v="2"/>
    <x v="1"/>
    <x v="0"/>
    <n v="117228408"/>
    <x v="2"/>
    <x v="1"/>
    <x v="0"/>
    <x v="7"/>
    <x v="3"/>
    <x v="0"/>
    <x v="3"/>
    <x v="0"/>
    <x v="0"/>
    <n v="20"/>
    <x v="0"/>
  </r>
  <r>
    <d v="2022-04-20T00:00:00"/>
    <x v="0"/>
    <x v="0"/>
    <x v="0"/>
    <n v="2679.9"/>
    <x v="0"/>
    <x v="0"/>
    <x v="0"/>
    <x v="1"/>
    <x v="3"/>
    <x v="0"/>
    <x v="3"/>
    <x v="0"/>
    <x v="0"/>
    <n v="20"/>
    <x v="0"/>
  </r>
  <r>
    <d v="2022-04-20T00:00:00"/>
    <x v="3"/>
    <x v="2"/>
    <x v="2"/>
    <n v="45879"/>
    <x v="3"/>
    <x v="2"/>
    <x v="2"/>
    <x v="5"/>
    <x v="3"/>
    <x v="0"/>
    <x v="3"/>
    <x v="0"/>
    <x v="0"/>
    <n v="20"/>
    <x v="0"/>
  </r>
  <r>
    <d v="2022-04-20T00:00:00"/>
    <x v="2"/>
    <x v="1"/>
    <x v="1"/>
    <n v="1165202917.9200001"/>
    <x v="2"/>
    <x v="1"/>
    <x v="1"/>
    <x v="8"/>
    <x v="3"/>
    <x v="0"/>
    <x v="3"/>
    <x v="0"/>
    <x v="0"/>
    <n v="20"/>
    <x v="0"/>
  </r>
  <r>
    <d v="2022-04-20T00:00:00"/>
    <x v="1"/>
    <x v="0"/>
    <x v="0"/>
    <n v="113947975.59999999"/>
    <x v="1"/>
    <x v="0"/>
    <x v="0"/>
    <x v="9"/>
    <x v="3"/>
    <x v="0"/>
    <x v="3"/>
    <x v="0"/>
    <x v="0"/>
    <n v="20"/>
    <x v="0"/>
  </r>
  <r>
    <d v="2022-04-20T00:00:00"/>
    <x v="1"/>
    <x v="0"/>
    <x v="1"/>
    <n v="13074233607.610001"/>
    <x v="1"/>
    <x v="0"/>
    <x v="1"/>
    <x v="10"/>
    <x v="3"/>
    <x v="0"/>
    <x v="3"/>
    <x v="0"/>
    <x v="0"/>
    <n v="20"/>
    <x v="0"/>
  </r>
  <r>
    <d v="2022-04-20T00:00:00"/>
    <x v="3"/>
    <x v="2"/>
    <x v="0"/>
    <n v="580590744.13999999"/>
    <x v="3"/>
    <x v="2"/>
    <x v="0"/>
    <x v="11"/>
    <x v="3"/>
    <x v="0"/>
    <x v="3"/>
    <x v="0"/>
    <x v="0"/>
    <n v="20"/>
    <x v="0"/>
  </r>
  <r>
    <d v="2022-04-20T00:00:00"/>
    <x v="3"/>
    <x v="1"/>
    <x v="0"/>
    <n v="13779425.1"/>
    <x v="3"/>
    <x v="1"/>
    <x v="0"/>
    <x v="12"/>
    <x v="3"/>
    <x v="0"/>
    <x v="3"/>
    <x v="0"/>
    <x v="0"/>
    <n v="20"/>
    <x v="0"/>
  </r>
  <r>
    <d v="2022-04-20T00:00:00"/>
    <x v="3"/>
    <x v="2"/>
    <x v="1"/>
    <n v="110009734971.21001"/>
    <x v="3"/>
    <x v="2"/>
    <x v="1"/>
    <x v="13"/>
    <x v="3"/>
    <x v="0"/>
    <x v="3"/>
    <x v="0"/>
    <x v="0"/>
    <n v="20"/>
    <x v="0"/>
  </r>
  <r>
    <d v="2022-04-19T00:00:00"/>
    <x v="3"/>
    <x v="3"/>
    <x v="0"/>
    <n v="977343102.00999999"/>
    <x v="3"/>
    <x v="3"/>
    <x v="0"/>
    <x v="7"/>
    <x v="3"/>
    <x v="0"/>
    <x v="3"/>
    <x v="0"/>
    <x v="0"/>
    <n v="19"/>
    <x v="0"/>
  </r>
  <r>
    <d v="2022-04-19T00:00:00"/>
    <x v="2"/>
    <x v="1"/>
    <x v="1"/>
    <n v="2302045535.2399998"/>
    <x v="2"/>
    <x v="1"/>
    <x v="1"/>
    <x v="8"/>
    <x v="3"/>
    <x v="0"/>
    <x v="3"/>
    <x v="0"/>
    <x v="0"/>
    <n v="19"/>
    <x v="0"/>
  </r>
  <r>
    <d v="2022-04-19T00:00:00"/>
    <x v="0"/>
    <x v="1"/>
    <x v="1"/>
    <n v="433781156.74000001"/>
    <x v="0"/>
    <x v="1"/>
    <x v="1"/>
    <x v="3"/>
    <x v="3"/>
    <x v="0"/>
    <x v="3"/>
    <x v="0"/>
    <x v="0"/>
    <n v="19"/>
    <x v="0"/>
  </r>
  <r>
    <d v="2022-04-19T00:00:00"/>
    <x v="3"/>
    <x v="2"/>
    <x v="2"/>
    <n v="378084"/>
    <x v="3"/>
    <x v="2"/>
    <x v="2"/>
    <x v="4"/>
    <x v="3"/>
    <x v="0"/>
    <x v="3"/>
    <x v="0"/>
    <x v="0"/>
    <n v="19"/>
    <x v="0"/>
  </r>
  <r>
    <d v="2022-04-19T00:00:00"/>
    <x v="2"/>
    <x v="1"/>
    <x v="2"/>
    <n v="9515"/>
    <x v="2"/>
    <x v="1"/>
    <x v="2"/>
    <x v="2"/>
    <x v="3"/>
    <x v="0"/>
    <x v="3"/>
    <x v="0"/>
    <x v="0"/>
    <n v="19"/>
    <x v="0"/>
  </r>
  <r>
    <d v="2022-04-19T00:00:00"/>
    <x v="1"/>
    <x v="1"/>
    <x v="0"/>
    <n v="112"/>
    <x v="1"/>
    <x v="1"/>
    <x v="0"/>
    <x v="0"/>
    <x v="3"/>
    <x v="0"/>
    <x v="3"/>
    <x v="0"/>
    <x v="0"/>
    <n v="19"/>
    <x v="0"/>
  </r>
  <r>
    <d v="2022-04-19T00:00:00"/>
    <x v="0"/>
    <x v="1"/>
    <x v="0"/>
    <n v="6553084.7199999997"/>
    <x v="0"/>
    <x v="1"/>
    <x v="0"/>
    <x v="1"/>
    <x v="3"/>
    <x v="0"/>
    <x v="3"/>
    <x v="0"/>
    <x v="0"/>
    <n v="19"/>
    <x v="0"/>
  </r>
  <r>
    <d v="2022-04-19T00:00:00"/>
    <x v="3"/>
    <x v="2"/>
    <x v="1"/>
    <n v="1924080885.3299999"/>
    <x v="3"/>
    <x v="2"/>
    <x v="1"/>
    <x v="5"/>
    <x v="3"/>
    <x v="0"/>
    <x v="3"/>
    <x v="0"/>
    <x v="0"/>
    <n v="19"/>
    <x v="0"/>
  </r>
  <r>
    <d v="2022-04-19T00:00:00"/>
    <x v="2"/>
    <x v="1"/>
    <x v="0"/>
    <n v="112170536.04000001"/>
    <x v="2"/>
    <x v="1"/>
    <x v="0"/>
    <x v="6"/>
    <x v="3"/>
    <x v="0"/>
    <x v="3"/>
    <x v="0"/>
    <x v="0"/>
    <n v="19"/>
    <x v="0"/>
  </r>
  <r>
    <d v="2022-04-19T00:00:00"/>
    <x v="1"/>
    <x v="0"/>
    <x v="0"/>
    <n v="82955421.620000005"/>
    <x v="1"/>
    <x v="0"/>
    <x v="0"/>
    <x v="9"/>
    <x v="3"/>
    <x v="0"/>
    <x v="3"/>
    <x v="0"/>
    <x v="0"/>
    <n v="19"/>
    <x v="0"/>
  </r>
  <r>
    <d v="2022-04-19T00:00:00"/>
    <x v="1"/>
    <x v="0"/>
    <x v="1"/>
    <n v="16480486344.16"/>
    <x v="1"/>
    <x v="0"/>
    <x v="1"/>
    <x v="10"/>
    <x v="3"/>
    <x v="0"/>
    <x v="3"/>
    <x v="0"/>
    <x v="0"/>
    <n v="19"/>
    <x v="0"/>
  </r>
  <r>
    <d v="2022-04-19T00:00:00"/>
    <x v="3"/>
    <x v="2"/>
    <x v="0"/>
    <n v="375363065.18000001"/>
    <x v="3"/>
    <x v="2"/>
    <x v="0"/>
    <x v="11"/>
    <x v="3"/>
    <x v="0"/>
    <x v="3"/>
    <x v="0"/>
    <x v="0"/>
    <n v="19"/>
    <x v="0"/>
  </r>
  <r>
    <d v="2022-04-19T00:00:00"/>
    <x v="3"/>
    <x v="1"/>
    <x v="0"/>
    <n v="9092521.75"/>
    <x v="3"/>
    <x v="1"/>
    <x v="0"/>
    <x v="12"/>
    <x v="3"/>
    <x v="0"/>
    <x v="3"/>
    <x v="0"/>
    <x v="0"/>
    <n v="19"/>
    <x v="0"/>
  </r>
  <r>
    <d v="2022-04-18T00:00:00"/>
    <x v="3"/>
    <x v="2"/>
    <x v="2"/>
    <n v="290403.28000000003"/>
    <x v="3"/>
    <x v="2"/>
    <x v="2"/>
    <x v="3"/>
    <x v="3"/>
    <x v="0"/>
    <x v="3"/>
    <x v="0"/>
    <x v="0"/>
    <n v="18"/>
    <x v="0"/>
  </r>
  <r>
    <d v="2022-04-18T00:00:00"/>
    <x v="3"/>
    <x v="3"/>
    <x v="0"/>
    <n v="2126151800.74"/>
    <x v="3"/>
    <x v="3"/>
    <x v="0"/>
    <x v="5"/>
    <x v="3"/>
    <x v="0"/>
    <x v="3"/>
    <x v="0"/>
    <x v="0"/>
    <n v="18"/>
    <x v="0"/>
  </r>
  <r>
    <d v="2022-04-18T00:00:00"/>
    <x v="2"/>
    <x v="1"/>
    <x v="2"/>
    <n v="11435"/>
    <x v="2"/>
    <x v="1"/>
    <x v="2"/>
    <x v="2"/>
    <x v="3"/>
    <x v="0"/>
    <x v="3"/>
    <x v="0"/>
    <x v="0"/>
    <n v="18"/>
    <x v="0"/>
  </r>
  <r>
    <d v="2022-04-18T00:00:00"/>
    <x v="2"/>
    <x v="1"/>
    <x v="1"/>
    <n v="868173737.57000005"/>
    <x v="2"/>
    <x v="1"/>
    <x v="1"/>
    <x v="7"/>
    <x v="3"/>
    <x v="0"/>
    <x v="3"/>
    <x v="0"/>
    <x v="0"/>
    <n v="18"/>
    <x v="0"/>
  </r>
  <r>
    <d v="2022-04-18T00:00:00"/>
    <x v="1"/>
    <x v="0"/>
    <x v="0"/>
    <n v="97648399.060000002"/>
    <x v="1"/>
    <x v="0"/>
    <x v="0"/>
    <x v="8"/>
    <x v="3"/>
    <x v="0"/>
    <x v="3"/>
    <x v="0"/>
    <x v="0"/>
    <n v="18"/>
    <x v="0"/>
  </r>
  <r>
    <d v="2022-04-18T00:00:00"/>
    <x v="1"/>
    <x v="1"/>
    <x v="0"/>
    <n v="338"/>
    <x v="1"/>
    <x v="1"/>
    <x v="0"/>
    <x v="0"/>
    <x v="3"/>
    <x v="0"/>
    <x v="3"/>
    <x v="0"/>
    <x v="0"/>
    <n v="18"/>
    <x v="0"/>
  </r>
  <r>
    <d v="2022-04-18T00:00:00"/>
    <x v="0"/>
    <x v="1"/>
    <x v="0"/>
    <n v="20230003.530000001"/>
    <x v="0"/>
    <x v="1"/>
    <x v="0"/>
    <x v="1"/>
    <x v="3"/>
    <x v="0"/>
    <x v="3"/>
    <x v="0"/>
    <x v="0"/>
    <n v="18"/>
    <x v="0"/>
  </r>
  <r>
    <d v="2022-04-18T00:00:00"/>
    <x v="0"/>
    <x v="1"/>
    <x v="1"/>
    <n v="19858986.140000001"/>
    <x v="0"/>
    <x v="1"/>
    <x v="1"/>
    <x v="4"/>
    <x v="3"/>
    <x v="0"/>
    <x v="3"/>
    <x v="0"/>
    <x v="0"/>
    <n v="18"/>
    <x v="0"/>
  </r>
  <r>
    <d v="2022-04-18T00:00:00"/>
    <x v="2"/>
    <x v="1"/>
    <x v="0"/>
    <n v="112658292.63"/>
    <x v="2"/>
    <x v="1"/>
    <x v="0"/>
    <x v="6"/>
    <x v="3"/>
    <x v="0"/>
    <x v="3"/>
    <x v="0"/>
    <x v="0"/>
    <n v="18"/>
    <x v="0"/>
  </r>
  <r>
    <d v="2022-04-18T00:00:00"/>
    <x v="1"/>
    <x v="0"/>
    <x v="1"/>
    <n v="6257113838.3299999"/>
    <x v="1"/>
    <x v="0"/>
    <x v="1"/>
    <x v="9"/>
    <x v="3"/>
    <x v="0"/>
    <x v="3"/>
    <x v="0"/>
    <x v="0"/>
    <n v="18"/>
    <x v="0"/>
  </r>
  <r>
    <d v="2022-04-18T00:00:00"/>
    <x v="3"/>
    <x v="2"/>
    <x v="0"/>
    <n v="443966233.91000003"/>
    <x v="3"/>
    <x v="2"/>
    <x v="0"/>
    <x v="10"/>
    <x v="3"/>
    <x v="0"/>
    <x v="3"/>
    <x v="0"/>
    <x v="0"/>
    <n v="18"/>
    <x v="0"/>
  </r>
  <r>
    <d v="2022-04-18T00:00:00"/>
    <x v="3"/>
    <x v="1"/>
    <x v="0"/>
    <n v="43959292.210000001"/>
    <x v="3"/>
    <x v="1"/>
    <x v="0"/>
    <x v="11"/>
    <x v="3"/>
    <x v="0"/>
    <x v="3"/>
    <x v="0"/>
    <x v="0"/>
    <n v="18"/>
    <x v="0"/>
  </r>
  <r>
    <d v="2022-04-18T00:00:00"/>
    <x v="3"/>
    <x v="2"/>
    <x v="1"/>
    <n v="155629620895.39999"/>
    <x v="3"/>
    <x v="2"/>
    <x v="1"/>
    <x v="12"/>
    <x v="3"/>
    <x v="0"/>
    <x v="3"/>
    <x v="0"/>
    <x v="0"/>
    <n v="18"/>
    <x v="0"/>
  </r>
  <r>
    <d v="2022-04-15T00:00:00"/>
    <x v="2"/>
    <x v="1"/>
    <x v="2"/>
    <n v="6198.78"/>
    <x v="2"/>
    <x v="1"/>
    <x v="2"/>
    <x v="3"/>
    <x v="3"/>
    <x v="0"/>
    <x v="3"/>
    <x v="0"/>
    <x v="0"/>
    <n v="15"/>
    <x v="0"/>
  </r>
  <r>
    <d v="2022-04-15T00:00:00"/>
    <x v="2"/>
    <x v="1"/>
    <x v="0"/>
    <n v="80775350.620000005"/>
    <x v="2"/>
    <x v="1"/>
    <x v="0"/>
    <x v="7"/>
    <x v="3"/>
    <x v="0"/>
    <x v="3"/>
    <x v="0"/>
    <x v="0"/>
    <n v="15"/>
    <x v="0"/>
  </r>
  <r>
    <d v="2022-04-15T00:00:00"/>
    <x v="2"/>
    <x v="1"/>
    <x v="1"/>
    <n v="874559914.98000002"/>
    <x v="2"/>
    <x v="1"/>
    <x v="1"/>
    <x v="8"/>
    <x v="3"/>
    <x v="0"/>
    <x v="3"/>
    <x v="0"/>
    <x v="0"/>
    <n v="15"/>
    <x v="0"/>
  </r>
  <r>
    <d v="2022-04-15T00:00:00"/>
    <x v="0"/>
    <x v="1"/>
    <x v="1"/>
    <n v="2508775.09"/>
    <x v="0"/>
    <x v="1"/>
    <x v="1"/>
    <x v="4"/>
    <x v="3"/>
    <x v="0"/>
    <x v="3"/>
    <x v="0"/>
    <x v="0"/>
    <n v="15"/>
    <x v="0"/>
  </r>
  <r>
    <d v="2022-04-15T00:00:00"/>
    <x v="1"/>
    <x v="0"/>
    <x v="0"/>
    <n v="78487456.700000003"/>
    <x v="1"/>
    <x v="0"/>
    <x v="0"/>
    <x v="9"/>
    <x v="3"/>
    <x v="0"/>
    <x v="3"/>
    <x v="0"/>
    <x v="0"/>
    <n v="15"/>
    <x v="0"/>
  </r>
  <r>
    <d v="2022-04-15T00:00:00"/>
    <x v="3"/>
    <x v="2"/>
    <x v="2"/>
    <n v="619827.03"/>
    <x v="3"/>
    <x v="2"/>
    <x v="2"/>
    <x v="5"/>
    <x v="3"/>
    <x v="0"/>
    <x v="3"/>
    <x v="0"/>
    <x v="0"/>
    <n v="15"/>
    <x v="0"/>
  </r>
  <r>
    <d v="2022-04-15T00:00:00"/>
    <x v="1"/>
    <x v="1"/>
    <x v="0"/>
    <n v="2135.7600000000002"/>
    <x v="1"/>
    <x v="1"/>
    <x v="0"/>
    <x v="0"/>
    <x v="3"/>
    <x v="0"/>
    <x v="3"/>
    <x v="0"/>
    <x v="0"/>
    <n v="15"/>
    <x v="0"/>
  </r>
  <r>
    <d v="2022-04-15T00:00:00"/>
    <x v="0"/>
    <x v="1"/>
    <x v="0"/>
    <n v="144190889.77000001"/>
    <x v="0"/>
    <x v="1"/>
    <x v="0"/>
    <x v="1"/>
    <x v="3"/>
    <x v="0"/>
    <x v="3"/>
    <x v="0"/>
    <x v="0"/>
    <n v="15"/>
    <x v="0"/>
  </r>
  <r>
    <d v="2022-04-15T00:00:00"/>
    <x v="3"/>
    <x v="3"/>
    <x v="2"/>
    <n v="100768.84"/>
    <x v="3"/>
    <x v="3"/>
    <x v="2"/>
    <x v="2"/>
    <x v="3"/>
    <x v="0"/>
    <x v="3"/>
    <x v="0"/>
    <x v="0"/>
    <n v="15"/>
    <x v="0"/>
  </r>
  <r>
    <d v="2022-04-15T00:00:00"/>
    <x v="3"/>
    <x v="3"/>
    <x v="0"/>
    <n v="1286756927.5899999"/>
    <x v="3"/>
    <x v="3"/>
    <x v="0"/>
    <x v="6"/>
    <x v="3"/>
    <x v="0"/>
    <x v="3"/>
    <x v="0"/>
    <x v="0"/>
    <n v="15"/>
    <x v="0"/>
  </r>
  <r>
    <d v="2022-04-15T00:00:00"/>
    <x v="1"/>
    <x v="0"/>
    <x v="1"/>
    <n v="4225025906.6900001"/>
    <x v="1"/>
    <x v="0"/>
    <x v="1"/>
    <x v="10"/>
    <x v="3"/>
    <x v="0"/>
    <x v="3"/>
    <x v="0"/>
    <x v="0"/>
    <n v="15"/>
    <x v="0"/>
  </r>
  <r>
    <d v="2022-04-15T00:00:00"/>
    <x v="3"/>
    <x v="2"/>
    <x v="0"/>
    <n v="1151834648"/>
    <x v="3"/>
    <x v="2"/>
    <x v="0"/>
    <x v="11"/>
    <x v="3"/>
    <x v="0"/>
    <x v="3"/>
    <x v="0"/>
    <x v="0"/>
    <n v="15"/>
    <x v="0"/>
  </r>
  <r>
    <d v="2022-04-15T00:00:00"/>
    <x v="3"/>
    <x v="1"/>
    <x v="0"/>
    <n v="16323977.51"/>
    <x v="3"/>
    <x v="1"/>
    <x v="0"/>
    <x v="12"/>
    <x v="3"/>
    <x v="0"/>
    <x v="3"/>
    <x v="0"/>
    <x v="0"/>
    <n v="15"/>
    <x v="0"/>
  </r>
  <r>
    <d v="2022-04-15T00:00:00"/>
    <x v="3"/>
    <x v="2"/>
    <x v="1"/>
    <n v="82945107106.630005"/>
    <x v="3"/>
    <x v="2"/>
    <x v="1"/>
    <x v="13"/>
    <x v="3"/>
    <x v="0"/>
    <x v="3"/>
    <x v="0"/>
    <x v="0"/>
    <n v="15"/>
    <x v="0"/>
  </r>
  <r>
    <d v="2022-04-14T00:00:00"/>
    <x v="2"/>
    <x v="1"/>
    <x v="2"/>
    <n v="22575"/>
    <x v="2"/>
    <x v="1"/>
    <x v="2"/>
    <x v="2"/>
    <x v="3"/>
    <x v="0"/>
    <x v="3"/>
    <x v="0"/>
    <x v="0"/>
    <n v="14"/>
    <x v="0"/>
  </r>
  <r>
    <d v="2022-04-14T00:00:00"/>
    <x v="2"/>
    <x v="1"/>
    <x v="0"/>
    <n v="91363416.040000007"/>
    <x v="2"/>
    <x v="1"/>
    <x v="0"/>
    <x v="5"/>
    <x v="3"/>
    <x v="0"/>
    <x v="3"/>
    <x v="0"/>
    <x v="0"/>
    <n v="14"/>
    <x v="0"/>
  </r>
  <r>
    <d v="2022-04-14T00:00:00"/>
    <x v="3"/>
    <x v="3"/>
    <x v="0"/>
    <n v="4431740672.9700003"/>
    <x v="3"/>
    <x v="3"/>
    <x v="0"/>
    <x v="6"/>
    <x v="3"/>
    <x v="0"/>
    <x v="3"/>
    <x v="0"/>
    <x v="0"/>
    <n v="14"/>
    <x v="0"/>
  </r>
  <r>
    <d v="2022-04-14T00:00:00"/>
    <x v="0"/>
    <x v="1"/>
    <x v="1"/>
    <n v="7723947.5499999998"/>
    <x v="0"/>
    <x v="1"/>
    <x v="1"/>
    <x v="4"/>
    <x v="3"/>
    <x v="0"/>
    <x v="3"/>
    <x v="0"/>
    <x v="0"/>
    <n v="14"/>
    <x v="0"/>
  </r>
  <r>
    <d v="2022-04-14T00:00:00"/>
    <x v="2"/>
    <x v="1"/>
    <x v="1"/>
    <n v="452960624.92000002"/>
    <x v="2"/>
    <x v="1"/>
    <x v="1"/>
    <x v="7"/>
    <x v="3"/>
    <x v="0"/>
    <x v="3"/>
    <x v="0"/>
    <x v="0"/>
    <n v="14"/>
    <x v="0"/>
  </r>
  <r>
    <d v="2022-04-14T00:00:00"/>
    <x v="1"/>
    <x v="0"/>
    <x v="0"/>
    <n v="107842956.22"/>
    <x v="1"/>
    <x v="0"/>
    <x v="0"/>
    <x v="8"/>
    <x v="3"/>
    <x v="0"/>
    <x v="3"/>
    <x v="0"/>
    <x v="0"/>
    <n v="14"/>
    <x v="0"/>
  </r>
  <r>
    <d v="2022-04-14T00:00:00"/>
    <x v="1"/>
    <x v="1"/>
    <x v="0"/>
    <n v="5784.72"/>
    <x v="1"/>
    <x v="1"/>
    <x v="0"/>
    <x v="0"/>
    <x v="3"/>
    <x v="0"/>
    <x v="3"/>
    <x v="0"/>
    <x v="0"/>
    <n v="14"/>
    <x v="0"/>
  </r>
  <r>
    <d v="2022-04-14T00:00:00"/>
    <x v="0"/>
    <x v="1"/>
    <x v="0"/>
    <n v="23124469.210000001"/>
    <x v="0"/>
    <x v="1"/>
    <x v="0"/>
    <x v="1"/>
    <x v="3"/>
    <x v="0"/>
    <x v="3"/>
    <x v="0"/>
    <x v="0"/>
    <n v="14"/>
    <x v="0"/>
  </r>
  <r>
    <d v="2022-04-14T00:00:00"/>
    <x v="3"/>
    <x v="2"/>
    <x v="2"/>
    <n v="132187.82"/>
    <x v="3"/>
    <x v="2"/>
    <x v="2"/>
    <x v="3"/>
    <x v="3"/>
    <x v="0"/>
    <x v="3"/>
    <x v="0"/>
    <x v="0"/>
    <n v="14"/>
    <x v="0"/>
  </r>
  <r>
    <d v="2022-04-14T00:00:00"/>
    <x v="1"/>
    <x v="0"/>
    <x v="1"/>
    <n v="5919411446.3299999"/>
    <x v="1"/>
    <x v="0"/>
    <x v="1"/>
    <x v="9"/>
    <x v="3"/>
    <x v="0"/>
    <x v="3"/>
    <x v="0"/>
    <x v="0"/>
    <n v="14"/>
    <x v="0"/>
  </r>
  <r>
    <d v="2022-04-14T00:00:00"/>
    <x v="3"/>
    <x v="2"/>
    <x v="0"/>
    <n v="600727272.24000001"/>
    <x v="3"/>
    <x v="2"/>
    <x v="0"/>
    <x v="10"/>
    <x v="3"/>
    <x v="0"/>
    <x v="3"/>
    <x v="0"/>
    <x v="0"/>
    <n v="14"/>
    <x v="0"/>
  </r>
  <r>
    <d v="2022-04-14T00:00:00"/>
    <x v="3"/>
    <x v="1"/>
    <x v="0"/>
    <n v="12860622.65"/>
    <x v="3"/>
    <x v="1"/>
    <x v="0"/>
    <x v="11"/>
    <x v="3"/>
    <x v="0"/>
    <x v="3"/>
    <x v="0"/>
    <x v="0"/>
    <n v="14"/>
    <x v="0"/>
  </r>
  <r>
    <d v="2022-04-14T00:00:00"/>
    <x v="3"/>
    <x v="2"/>
    <x v="1"/>
    <n v="60831208109.889999"/>
    <x v="3"/>
    <x v="2"/>
    <x v="1"/>
    <x v="12"/>
    <x v="3"/>
    <x v="0"/>
    <x v="3"/>
    <x v="0"/>
    <x v="0"/>
    <n v="14"/>
    <x v="0"/>
  </r>
  <r>
    <d v="2022-04-13T00:00:00"/>
    <x v="3"/>
    <x v="3"/>
    <x v="0"/>
    <n v="2026751289.6600001"/>
    <x v="3"/>
    <x v="3"/>
    <x v="0"/>
    <x v="7"/>
    <x v="3"/>
    <x v="0"/>
    <x v="3"/>
    <x v="0"/>
    <x v="0"/>
    <n v="13"/>
    <x v="0"/>
  </r>
  <r>
    <d v="2022-04-13T00:00:00"/>
    <x v="2"/>
    <x v="1"/>
    <x v="1"/>
    <n v="281159452.29000002"/>
    <x v="2"/>
    <x v="1"/>
    <x v="1"/>
    <x v="8"/>
    <x v="3"/>
    <x v="0"/>
    <x v="3"/>
    <x v="0"/>
    <x v="0"/>
    <n v="13"/>
    <x v="0"/>
  </r>
  <r>
    <d v="2022-04-13T00:00:00"/>
    <x v="0"/>
    <x v="1"/>
    <x v="1"/>
    <n v="2880534.46"/>
    <x v="0"/>
    <x v="1"/>
    <x v="1"/>
    <x v="3"/>
    <x v="3"/>
    <x v="0"/>
    <x v="3"/>
    <x v="0"/>
    <x v="0"/>
    <n v="13"/>
    <x v="0"/>
  </r>
  <r>
    <d v="2022-04-13T00:00:00"/>
    <x v="1"/>
    <x v="0"/>
    <x v="0"/>
    <n v="89308956.450000003"/>
    <x v="1"/>
    <x v="0"/>
    <x v="0"/>
    <x v="9"/>
    <x v="3"/>
    <x v="0"/>
    <x v="3"/>
    <x v="0"/>
    <x v="0"/>
    <n v="13"/>
    <x v="0"/>
  </r>
  <r>
    <d v="2022-04-13T00:00:00"/>
    <x v="2"/>
    <x v="1"/>
    <x v="2"/>
    <n v="24212.23"/>
    <x v="2"/>
    <x v="1"/>
    <x v="2"/>
    <x v="4"/>
    <x v="3"/>
    <x v="0"/>
    <x v="3"/>
    <x v="0"/>
    <x v="0"/>
    <n v="13"/>
    <x v="0"/>
  </r>
  <r>
    <d v="2022-04-13T00:00:00"/>
    <x v="3"/>
    <x v="2"/>
    <x v="2"/>
    <n v="151411.01"/>
    <x v="3"/>
    <x v="2"/>
    <x v="2"/>
    <x v="5"/>
    <x v="3"/>
    <x v="0"/>
    <x v="3"/>
    <x v="0"/>
    <x v="0"/>
    <n v="13"/>
    <x v="0"/>
  </r>
  <r>
    <d v="2022-04-13T00:00:00"/>
    <x v="1"/>
    <x v="1"/>
    <x v="0"/>
    <n v="1234"/>
    <x v="1"/>
    <x v="1"/>
    <x v="0"/>
    <x v="0"/>
    <x v="3"/>
    <x v="0"/>
    <x v="3"/>
    <x v="0"/>
    <x v="0"/>
    <n v="13"/>
    <x v="0"/>
  </r>
  <r>
    <d v="2022-04-13T00:00:00"/>
    <x v="0"/>
    <x v="1"/>
    <x v="0"/>
    <n v="9362124.2599999998"/>
    <x v="0"/>
    <x v="1"/>
    <x v="0"/>
    <x v="2"/>
    <x v="3"/>
    <x v="0"/>
    <x v="3"/>
    <x v="0"/>
    <x v="0"/>
    <n v="13"/>
    <x v="0"/>
  </r>
  <r>
    <d v="2022-04-13T00:00:00"/>
    <x v="2"/>
    <x v="1"/>
    <x v="0"/>
    <n v="113969471.31999999"/>
    <x v="2"/>
    <x v="1"/>
    <x v="0"/>
    <x v="6"/>
    <x v="3"/>
    <x v="0"/>
    <x v="3"/>
    <x v="0"/>
    <x v="0"/>
    <n v="13"/>
    <x v="0"/>
  </r>
  <r>
    <d v="2022-04-13T00:00:00"/>
    <x v="0"/>
    <x v="0"/>
    <x v="0"/>
    <n v="320"/>
    <x v="0"/>
    <x v="0"/>
    <x v="0"/>
    <x v="1"/>
    <x v="3"/>
    <x v="0"/>
    <x v="3"/>
    <x v="0"/>
    <x v="0"/>
    <n v="13"/>
    <x v="0"/>
  </r>
  <r>
    <d v="2022-04-13T00:00:00"/>
    <x v="1"/>
    <x v="0"/>
    <x v="1"/>
    <n v="6190111809.9099998"/>
    <x v="1"/>
    <x v="0"/>
    <x v="1"/>
    <x v="10"/>
    <x v="3"/>
    <x v="0"/>
    <x v="3"/>
    <x v="0"/>
    <x v="0"/>
    <n v="13"/>
    <x v="0"/>
  </r>
  <r>
    <d v="2022-04-13T00:00:00"/>
    <x v="3"/>
    <x v="2"/>
    <x v="0"/>
    <n v="412580117.69999999"/>
    <x v="3"/>
    <x v="2"/>
    <x v="0"/>
    <x v="11"/>
    <x v="3"/>
    <x v="0"/>
    <x v="3"/>
    <x v="0"/>
    <x v="0"/>
    <n v="13"/>
    <x v="0"/>
  </r>
  <r>
    <d v="2022-04-13T00:00:00"/>
    <x v="3"/>
    <x v="1"/>
    <x v="0"/>
    <n v="13865901.99"/>
    <x v="3"/>
    <x v="1"/>
    <x v="0"/>
    <x v="12"/>
    <x v="3"/>
    <x v="0"/>
    <x v="3"/>
    <x v="0"/>
    <x v="0"/>
    <n v="13"/>
    <x v="0"/>
  </r>
  <r>
    <d v="2022-04-13T00:00:00"/>
    <x v="3"/>
    <x v="2"/>
    <x v="1"/>
    <n v="32277284590.740002"/>
    <x v="3"/>
    <x v="2"/>
    <x v="1"/>
    <x v="13"/>
    <x v="3"/>
    <x v="0"/>
    <x v="3"/>
    <x v="0"/>
    <x v="0"/>
    <n v="13"/>
    <x v="0"/>
  </r>
  <r>
    <d v="2022-04-12T00:00:00"/>
    <x v="2"/>
    <x v="1"/>
    <x v="0"/>
    <n v="74304127.549999997"/>
    <x v="2"/>
    <x v="1"/>
    <x v="0"/>
    <x v="6"/>
    <x v="3"/>
    <x v="0"/>
    <x v="3"/>
    <x v="0"/>
    <x v="0"/>
    <n v="12"/>
    <x v="0"/>
  </r>
  <r>
    <d v="2022-04-12T00:00:00"/>
    <x v="2"/>
    <x v="1"/>
    <x v="2"/>
    <n v="8795"/>
    <x v="2"/>
    <x v="1"/>
    <x v="2"/>
    <x v="2"/>
    <x v="3"/>
    <x v="0"/>
    <x v="3"/>
    <x v="0"/>
    <x v="0"/>
    <n v="12"/>
    <x v="0"/>
  </r>
  <r>
    <d v="2022-04-12T00:00:00"/>
    <x v="3"/>
    <x v="3"/>
    <x v="0"/>
    <n v="1582240828.3299999"/>
    <x v="3"/>
    <x v="3"/>
    <x v="0"/>
    <x v="7"/>
    <x v="3"/>
    <x v="0"/>
    <x v="3"/>
    <x v="0"/>
    <x v="0"/>
    <n v="12"/>
    <x v="0"/>
  </r>
  <r>
    <d v="2022-04-12T00:00:00"/>
    <x v="3"/>
    <x v="3"/>
    <x v="1"/>
    <n v="24238.95"/>
    <x v="3"/>
    <x v="3"/>
    <x v="1"/>
    <x v="3"/>
    <x v="3"/>
    <x v="0"/>
    <x v="3"/>
    <x v="0"/>
    <x v="0"/>
    <n v="12"/>
    <x v="0"/>
  </r>
  <r>
    <d v="2022-04-12T00:00:00"/>
    <x v="0"/>
    <x v="1"/>
    <x v="1"/>
    <n v="8540711.3000000007"/>
    <x v="0"/>
    <x v="1"/>
    <x v="1"/>
    <x v="4"/>
    <x v="3"/>
    <x v="0"/>
    <x v="3"/>
    <x v="0"/>
    <x v="0"/>
    <n v="12"/>
    <x v="0"/>
  </r>
  <r>
    <d v="2022-04-12T00:00:00"/>
    <x v="3"/>
    <x v="2"/>
    <x v="2"/>
    <n v="89817"/>
    <x v="3"/>
    <x v="2"/>
    <x v="2"/>
    <x v="5"/>
    <x v="3"/>
    <x v="0"/>
    <x v="3"/>
    <x v="0"/>
    <x v="0"/>
    <n v="12"/>
    <x v="0"/>
  </r>
  <r>
    <d v="2022-04-12T00:00:00"/>
    <x v="1"/>
    <x v="1"/>
    <x v="0"/>
    <n v="230"/>
    <x v="1"/>
    <x v="1"/>
    <x v="0"/>
    <x v="0"/>
    <x v="3"/>
    <x v="0"/>
    <x v="3"/>
    <x v="0"/>
    <x v="0"/>
    <n v="12"/>
    <x v="0"/>
  </r>
  <r>
    <d v="2022-04-12T00:00:00"/>
    <x v="0"/>
    <x v="1"/>
    <x v="0"/>
    <n v="15500159.689999999"/>
    <x v="0"/>
    <x v="1"/>
    <x v="0"/>
    <x v="1"/>
    <x v="3"/>
    <x v="0"/>
    <x v="3"/>
    <x v="0"/>
    <x v="0"/>
    <n v="12"/>
    <x v="0"/>
  </r>
  <r>
    <d v="2022-04-12T00:00:00"/>
    <x v="2"/>
    <x v="1"/>
    <x v="1"/>
    <n v="418825608.83999997"/>
    <x v="2"/>
    <x v="1"/>
    <x v="1"/>
    <x v="8"/>
    <x v="3"/>
    <x v="0"/>
    <x v="3"/>
    <x v="0"/>
    <x v="0"/>
    <n v="12"/>
    <x v="0"/>
  </r>
  <r>
    <d v="2022-04-12T00:00:00"/>
    <x v="1"/>
    <x v="0"/>
    <x v="0"/>
    <n v="74563632.540000007"/>
    <x v="1"/>
    <x v="0"/>
    <x v="0"/>
    <x v="9"/>
    <x v="3"/>
    <x v="0"/>
    <x v="3"/>
    <x v="0"/>
    <x v="0"/>
    <n v="12"/>
    <x v="0"/>
  </r>
  <r>
    <d v="2022-04-12T00:00:00"/>
    <x v="1"/>
    <x v="0"/>
    <x v="1"/>
    <n v="4451125084.0699997"/>
    <x v="1"/>
    <x v="0"/>
    <x v="1"/>
    <x v="10"/>
    <x v="3"/>
    <x v="0"/>
    <x v="3"/>
    <x v="0"/>
    <x v="0"/>
    <n v="12"/>
    <x v="0"/>
  </r>
  <r>
    <d v="2022-04-12T00:00:00"/>
    <x v="3"/>
    <x v="2"/>
    <x v="0"/>
    <n v="436707562.62"/>
    <x v="3"/>
    <x v="2"/>
    <x v="0"/>
    <x v="11"/>
    <x v="3"/>
    <x v="0"/>
    <x v="3"/>
    <x v="0"/>
    <x v="0"/>
    <n v="12"/>
    <x v="0"/>
  </r>
  <r>
    <d v="2022-04-12T00:00:00"/>
    <x v="3"/>
    <x v="1"/>
    <x v="0"/>
    <n v="10247322"/>
    <x v="3"/>
    <x v="1"/>
    <x v="0"/>
    <x v="12"/>
    <x v="3"/>
    <x v="0"/>
    <x v="3"/>
    <x v="0"/>
    <x v="0"/>
    <n v="12"/>
    <x v="0"/>
  </r>
  <r>
    <d v="2022-04-12T00:00:00"/>
    <x v="3"/>
    <x v="2"/>
    <x v="1"/>
    <n v="19771863681.09"/>
    <x v="3"/>
    <x v="2"/>
    <x v="1"/>
    <x v="13"/>
    <x v="3"/>
    <x v="0"/>
    <x v="3"/>
    <x v="0"/>
    <x v="0"/>
    <n v="12"/>
    <x v="0"/>
  </r>
  <r>
    <d v="2022-04-11T00:00:00"/>
    <x v="2"/>
    <x v="1"/>
    <x v="2"/>
    <n v="12145"/>
    <x v="2"/>
    <x v="1"/>
    <x v="2"/>
    <x v="2"/>
    <x v="3"/>
    <x v="0"/>
    <x v="3"/>
    <x v="0"/>
    <x v="0"/>
    <n v="11"/>
    <x v="0"/>
  </r>
  <r>
    <d v="2022-04-11T00:00:00"/>
    <x v="2"/>
    <x v="1"/>
    <x v="1"/>
    <n v="393514082.19999999"/>
    <x v="2"/>
    <x v="1"/>
    <x v="1"/>
    <x v="7"/>
    <x v="3"/>
    <x v="0"/>
    <x v="3"/>
    <x v="0"/>
    <x v="0"/>
    <n v="11"/>
    <x v="0"/>
  </r>
  <r>
    <d v="2022-04-11T00:00:00"/>
    <x v="0"/>
    <x v="1"/>
    <x v="1"/>
    <n v="9946410.6400000006"/>
    <x v="0"/>
    <x v="1"/>
    <x v="1"/>
    <x v="3"/>
    <x v="3"/>
    <x v="0"/>
    <x v="3"/>
    <x v="0"/>
    <x v="0"/>
    <n v="11"/>
    <x v="0"/>
  </r>
  <r>
    <d v="2022-04-11T00:00:00"/>
    <x v="1"/>
    <x v="0"/>
    <x v="0"/>
    <n v="62430976.990000002"/>
    <x v="1"/>
    <x v="0"/>
    <x v="0"/>
    <x v="8"/>
    <x v="3"/>
    <x v="0"/>
    <x v="3"/>
    <x v="0"/>
    <x v="0"/>
    <n v="11"/>
    <x v="0"/>
  </r>
  <r>
    <d v="2022-04-11T00:00:00"/>
    <x v="3"/>
    <x v="2"/>
    <x v="2"/>
    <n v="198964.01"/>
    <x v="3"/>
    <x v="2"/>
    <x v="2"/>
    <x v="4"/>
    <x v="3"/>
    <x v="0"/>
    <x v="3"/>
    <x v="0"/>
    <x v="0"/>
    <n v="11"/>
    <x v="0"/>
  </r>
  <r>
    <d v="2022-04-11T00:00:00"/>
    <x v="1"/>
    <x v="1"/>
    <x v="0"/>
    <n v="795.25"/>
    <x v="1"/>
    <x v="1"/>
    <x v="0"/>
    <x v="0"/>
    <x v="3"/>
    <x v="0"/>
    <x v="3"/>
    <x v="0"/>
    <x v="0"/>
    <n v="11"/>
    <x v="0"/>
  </r>
  <r>
    <d v="2022-04-11T00:00:00"/>
    <x v="0"/>
    <x v="1"/>
    <x v="0"/>
    <n v="26416619.739999998"/>
    <x v="0"/>
    <x v="1"/>
    <x v="0"/>
    <x v="1"/>
    <x v="3"/>
    <x v="0"/>
    <x v="3"/>
    <x v="0"/>
    <x v="0"/>
    <n v="11"/>
    <x v="0"/>
  </r>
  <r>
    <d v="2022-04-11T00:00:00"/>
    <x v="3"/>
    <x v="3"/>
    <x v="0"/>
    <n v="1761627934.5899999"/>
    <x v="3"/>
    <x v="3"/>
    <x v="0"/>
    <x v="6"/>
    <x v="3"/>
    <x v="0"/>
    <x v="3"/>
    <x v="0"/>
    <x v="0"/>
    <n v="11"/>
    <x v="0"/>
  </r>
  <r>
    <d v="2022-04-11T00:00:00"/>
    <x v="2"/>
    <x v="1"/>
    <x v="0"/>
    <n v="83040484.079999998"/>
    <x v="2"/>
    <x v="1"/>
    <x v="0"/>
    <x v="5"/>
    <x v="3"/>
    <x v="0"/>
    <x v="3"/>
    <x v="0"/>
    <x v="0"/>
    <n v="11"/>
    <x v="0"/>
  </r>
  <r>
    <d v="2022-04-11T00:00:00"/>
    <x v="1"/>
    <x v="0"/>
    <x v="1"/>
    <n v="3007066108.0700002"/>
    <x v="1"/>
    <x v="0"/>
    <x v="1"/>
    <x v="9"/>
    <x v="3"/>
    <x v="0"/>
    <x v="3"/>
    <x v="0"/>
    <x v="0"/>
    <n v="11"/>
    <x v="0"/>
  </r>
  <r>
    <d v="2022-04-11T00:00:00"/>
    <x v="3"/>
    <x v="2"/>
    <x v="0"/>
    <n v="414664080.70999998"/>
    <x v="3"/>
    <x v="2"/>
    <x v="0"/>
    <x v="10"/>
    <x v="3"/>
    <x v="0"/>
    <x v="3"/>
    <x v="0"/>
    <x v="0"/>
    <n v="11"/>
    <x v="0"/>
  </r>
  <r>
    <d v="2022-04-11T00:00:00"/>
    <x v="3"/>
    <x v="2"/>
    <x v="1"/>
    <n v="31591031452.779999"/>
    <x v="3"/>
    <x v="2"/>
    <x v="1"/>
    <x v="11"/>
    <x v="3"/>
    <x v="0"/>
    <x v="3"/>
    <x v="0"/>
    <x v="0"/>
    <n v="11"/>
    <x v="0"/>
  </r>
  <r>
    <d v="2022-04-11T00:00:00"/>
    <x v="3"/>
    <x v="1"/>
    <x v="0"/>
    <n v="42587558.340000004"/>
    <x v="3"/>
    <x v="1"/>
    <x v="0"/>
    <x v="12"/>
    <x v="3"/>
    <x v="0"/>
    <x v="3"/>
    <x v="0"/>
    <x v="0"/>
    <n v="11"/>
    <x v="0"/>
  </r>
  <r>
    <d v="2022-04-08T00:00:00"/>
    <x v="2"/>
    <x v="1"/>
    <x v="2"/>
    <n v="7279.24"/>
    <x v="2"/>
    <x v="1"/>
    <x v="2"/>
    <x v="3"/>
    <x v="3"/>
    <x v="0"/>
    <x v="3"/>
    <x v="0"/>
    <x v="0"/>
    <n v="8"/>
    <x v="0"/>
  </r>
  <r>
    <d v="2022-04-08T00:00:00"/>
    <x v="0"/>
    <x v="1"/>
    <x v="1"/>
    <n v="4929950.9400000004"/>
    <x v="0"/>
    <x v="1"/>
    <x v="1"/>
    <x v="4"/>
    <x v="3"/>
    <x v="0"/>
    <x v="3"/>
    <x v="0"/>
    <x v="0"/>
    <n v="8"/>
    <x v="0"/>
  </r>
  <r>
    <d v="2022-04-08T00:00:00"/>
    <x v="2"/>
    <x v="1"/>
    <x v="0"/>
    <n v="112251276.3"/>
    <x v="2"/>
    <x v="1"/>
    <x v="0"/>
    <x v="6"/>
    <x v="3"/>
    <x v="0"/>
    <x v="3"/>
    <x v="0"/>
    <x v="0"/>
    <n v="8"/>
    <x v="0"/>
  </r>
  <r>
    <d v="2022-04-08T00:00:00"/>
    <x v="2"/>
    <x v="1"/>
    <x v="1"/>
    <n v="377804655.86000001"/>
    <x v="2"/>
    <x v="1"/>
    <x v="1"/>
    <x v="8"/>
    <x v="3"/>
    <x v="0"/>
    <x v="3"/>
    <x v="0"/>
    <x v="0"/>
    <n v="8"/>
    <x v="0"/>
  </r>
  <r>
    <d v="2022-04-08T00:00:00"/>
    <x v="1"/>
    <x v="1"/>
    <x v="0"/>
    <n v="4686.6099999999997"/>
    <x v="1"/>
    <x v="1"/>
    <x v="0"/>
    <x v="1"/>
    <x v="3"/>
    <x v="0"/>
    <x v="3"/>
    <x v="0"/>
    <x v="0"/>
    <n v="8"/>
    <x v="0"/>
  </r>
  <r>
    <d v="2022-04-08T00:00:00"/>
    <x v="0"/>
    <x v="1"/>
    <x v="0"/>
    <n v="21922548.66"/>
    <x v="0"/>
    <x v="1"/>
    <x v="0"/>
    <x v="2"/>
    <x v="3"/>
    <x v="0"/>
    <x v="3"/>
    <x v="0"/>
    <x v="0"/>
    <n v="8"/>
    <x v="0"/>
  </r>
  <r>
    <d v="2022-04-08T00:00:00"/>
    <x v="3"/>
    <x v="2"/>
    <x v="2"/>
    <n v="157896.95000000001"/>
    <x v="3"/>
    <x v="2"/>
    <x v="2"/>
    <x v="5"/>
    <x v="3"/>
    <x v="0"/>
    <x v="3"/>
    <x v="0"/>
    <x v="0"/>
    <n v="8"/>
    <x v="0"/>
  </r>
  <r>
    <d v="2022-04-08T00:00:00"/>
    <x v="0"/>
    <x v="0"/>
    <x v="0"/>
    <n v="1214.1600000000001"/>
    <x v="0"/>
    <x v="0"/>
    <x v="0"/>
    <x v="0"/>
    <x v="3"/>
    <x v="0"/>
    <x v="3"/>
    <x v="0"/>
    <x v="0"/>
    <n v="8"/>
    <x v="0"/>
  </r>
  <r>
    <d v="2022-04-08T00:00:00"/>
    <x v="3"/>
    <x v="3"/>
    <x v="0"/>
    <n v="1142761346.72"/>
    <x v="3"/>
    <x v="3"/>
    <x v="0"/>
    <x v="7"/>
    <x v="3"/>
    <x v="0"/>
    <x v="3"/>
    <x v="0"/>
    <x v="0"/>
    <n v="8"/>
    <x v="0"/>
  </r>
  <r>
    <d v="2022-04-08T00:00:00"/>
    <x v="1"/>
    <x v="0"/>
    <x v="0"/>
    <n v="67458142.060000002"/>
    <x v="1"/>
    <x v="0"/>
    <x v="0"/>
    <x v="9"/>
    <x v="3"/>
    <x v="0"/>
    <x v="3"/>
    <x v="0"/>
    <x v="0"/>
    <n v="8"/>
    <x v="0"/>
  </r>
  <r>
    <d v="2022-04-08T00:00:00"/>
    <x v="1"/>
    <x v="0"/>
    <x v="1"/>
    <n v="1480434211.26"/>
    <x v="1"/>
    <x v="0"/>
    <x v="1"/>
    <x v="10"/>
    <x v="3"/>
    <x v="0"/>
    <x v="3"/>
    <x v="0"/>
    <x v="0"/>
    <n v="8"/>
    <x v="0"/>
  </r>
  <r>
    <d v="2022-04-08T00:00:00"/>
    <x v="3"/>
    <x v="2"/>
    <x v="0"/>
    <n v="519755282.13"/>
    <x v="3"/>
    <x v="2"/>
    <x v="0"/>
    <x v="11"/>
    <x v="3"/>
    <x v="0"/>
    <x v="3"/>
    <x v="0"/>
    <x v="0"/>
    <n v="8"/>
    <x v="0"/>
  </r>
  <r>
    <d v="2022-04-08T00:00:00"/>
    <x v="3"/>
    <x v="1"/>
    <x v="0"/>
    <n v="13201507.91"/>
    <x v="3"/>
    <x v="1"/>
    <x v="0"/>
    <x v="12"/>
    <x v="3"/>
    <x v="0"/>
    <x v="3"/>
    <x v="0"/>
    <x v="0"/>
    <n v="8"/>
    <x v="0"/>
  </r>
  <r>
    <d v="2022-04-08T00:00:00"/>
    <x v="3"/>
    <x v="2"/>
    <x v="1"/>
    <n v="14486890229.530001"/>
    <x v="3"/>
    <x v="2"/>
    <x v="1"/>
    <x v="13"/>
    <x v="3"/>
    <x v="0"/>
    <x v="3"/>
    <x v="0"/>
    <x v="0"/>
    <n v="8"/>
    <x v="0"/>
  </r>
  <r>
    <d v="2022-04-07T00:00:00"/>
    <x v="2"/>
    <x v="1"/>
    <x v="2"/>
    <n v="25075"/>
    <x v="2"/>
    <x v="1"/>
    <x v="2"/>
    <x v="2"/>
    <x v="3"/>
    <x v="0"/>
    <x v="3"/>
    <x v="0"/>
    <x v="0"/>
    <n v="7"/>
    <x v="0"/>
  </r>
  <r>
    <d v="2022-04-07T00:00:00"/>
    <x v="2"/>
    <x v="1"/>
    <x v="1"/>
    <n v="323051865.99000001"/>
    <x v="2"/>
    <x v="1"/>
    <x v="1"/>
    <x v="6"/>
    <x v="3"/>
    <x v="0"/>
    <x v="3"/>
    <x v="0"/>
    <x v="0"/>
    <n v="7"/>
    <x v="0"/>
  </r>
  <r>
    <d v="2022-04-07T00:00:00"/>
    <x v="0"/>
    <x v="1"/>
    <x v="1"/>
    <n v="8317368.3499999996"/>
    <x v="0"/>
    <x v="1"/>
    <x v="1"/>
    <x v="3"/>
    <x v="3"/>
    <x v="0"/>
    <x v="3"/>
    <x v="0"/>
    <x v="0"/>
    <n v="7"/>
    <x v="0"/>
  </r>
  <r>
    <d v="2022-04-07T00:00:00"/>
    <x v="3"/>
    <x v="3"/>
    <x v="0"/>
    <n v="931998584.01999998"/>
    <x v="3"/>
    <x v="3"/>
    <x v="0"/>
    <x v="7"/>
    <x v="3"/>
    <x v="0"/>
    <x v="3"/>
    <x v="0"/>
    <x v="0"/>
    <n v="7"/>
    <x v="0"/>
  </r>
  <r>
    <d v="2022-04-07T00:00:00"/>
    <x v="1"/>
    <x v="1"/>
    <x v="0"/>
    <n v="99"/>
    <x v="1"/>
    <x v="1"/>
    <x v="0"/>
    <x v="0"/>
    <x v="3"/>
    <x v="0"/>
    <x v="3"/>
    <x v="0"/>
    <x v="0"/>
    <n v="7"/>
    <x v="0"/>
  </r>
  <r>
    <d v="2022-04-07T00:00:00"/>
    <x v="0"/>
    <x v="1"/>
    <x v="0"/>
    <n v="8336810.96"/>
    <x v="0"/>
    <x v="1"/>
    <x v="0"/>
    <x v="1"/>
    <x v="3"/>
    <x v="0"/>
    <x v="3"/>
    <x v="0"/>
    <x v="0"/>
    <n v="7"/>
    <x v="0"/>
  </r>
  <r>
    <d v="2022-04-07T00:00:00"/>
    <x v="3"/>
    <x v="2"/>
    <x v="2"/>
    <n v="64620"/>
    <x v="3"/>
    <x v="2"/>
    <x v="2"/>
    <x v="4"/>
    <x v="3"/>
    <x v="0"/>
    <x v="3"/>
    <x v="0"/>
    <x v="0"/>
    <n v="7"/>
    <x v="0"/>
  </r>
  <r>
    <d v="2022-04-07T00:00:00"/>
    <x v="2"/>
    <x v="1"/>
    <x v="0"/>
    <n v="137689991.44"/>
    <x v="2"/>
    <x v="1"/>
    <x v="0"/>
    <x v="5"/>
    <x v="3"/>
    <x v="0"/>
    <x v="3"/>
    <x v="0"/>
    <x v="0"/>
    <n v="7"/>
    <x v="0"/>
  </r>
  <r>
    <d v="2022-04-07T00:00:00"/>
    <x v="1"/>
    <x v="0"/>
    <x v="0"/>
    <n v="75953296.319999993"/>
    <x v="1"/>
    <x v="0"/>
    <x v="0"/>
    <x v="8"/>
    <x v="3"/>
    <x v="0"/>
    <x v="3"/>
    <x v="0"/>
    <x v="0"/>
    <n v="7"/>
    <x v="0"/>
  </r>
  <r>
    <d v="2022-04-07T00:00:00"/>
    <x v="1"/>
    <x v="0"/>
    <x v="1"/>
    <n v="2258508674.9000001"/>
    <x v="1"/>
    <x v="0"/>
    <x v="1"/>
    <x v="9"/>
    <x v="3"/>
    <x v="0"/>
    <x v="3"/>
    <x v="0"/>
    <x v="0"/>
    <n v="7"/>
    <x v="0"/>
  </r>
  <r>
    <d v="2022-04-07T00:00:00"/>
    <x v="3"/>
    <x v="2"/>
    <x v="0"/>
    <n v="523527751.55000001"/>
    <x v="3"/>
    <x v="2"/>
    <x v="0"/>
    <x v="10"/>
    <x v="3"/>
    <x v="0"/>
    <x v="3"/>
    <x v="0"/>
    <x v="0"/>
    <n v="7"/>
    <x v="0"/>
  </r>
  <r>
    <d v="2022-04-07T00:00:00"/>
    <x v="3"/>
    <x v="1"/>
    <x v="0"/>
    <n v="13920393.92"/>
    <x v="3"/>
    <x v="1"/>
    <x v="0"/>
    <x v="11"/>
    <x v="3"/>
    <x v="0"/>
    <x v="3"/>
    <x v="0"/>
    <x v="0"/>
    <n v="7"/>
    <x v="0"/>
  </r>
  <r>
    <d v="2022-04-07T00:00:00"/>
    <x v="3"/>
    <x v="2"/>
    <x v="1"/>
    <n v="7629584265.8199997"/>
    <x v="3"/>
    <x v="2"/>
    <x v="1"/>
    <x v="12"/>
    <x v="3"/>
    <x v="0"/>
    <x v="3"/>
    <x v="0"/>
    <x v="0"/>
    <n v="7"/>
    <x v="0"/>
  </r>
  <r>
    <d v="2022-04-06T00:00:00"/>
    <x v="3"/>
    <x v="3"/>
    <x v="0"/>
    <n v="1670044011.9100001"/>
    <x v="3"/>
    <x v="3"/>
    <x v="0"/>
    <x v="6"/>
    <x v="3"/>
    <x v="0"/>
    <x v="3"/>
    <x v="0"/>
    <x v="0"/>
    <n v="6"/>
    <x v="0"/>
  </r>
  <r>
    <d v="2022-04-06T00:00:00"/>
    <x v="2"/>
    <x v="1"/>
    <x v="0"/>
    <n v="141575071.62"/>
    <x v="2"/>
    <x v="1"/>
    <x v="0"/>
    <x v="7"/>
    <x v="3"/>
    <x v="0"/>
    <x v="3"/>
    <x v="0"/>
    <x v="0"/>
    <n v="6"/>
    <x v="0"/>
  </r>
  <r>
    <d v="2022-04-06T00:00:00"/>
    <x v="2"/>
    <x v="1"/>
    <x v="2"/>
    <n v="91943.55"/>
    <x v="2"/>
    <x v="1"/>
    <x v="2"/>
    <x v="3"/>
    <x v="3"/>
    <x v="0"/>
    <x v="3"/>
    <x v="0"/>
    <x v="0"/>
    <n v="6"/>
    <x v="0"/>
  </r>
  <r>
    <d v="2022-04-06T00:00:00"/>
    <x v="0"/>
    <x v="1"/>
    <x v="1"/>
    <n v="15837533.82"/>
    <x v="0"/>
    <x v="1"/>
    <x v="1"/>
    <x v="4"/>
    <x v="3"/>
    <x v="0"/>
    <x v="3"/>
    <x v="0"/>
    <x v="0"/>
    <n v="6"/>
    <x v="0"/>
  </r>
  <r>
    <d v="2022-04-06T00:00:00"/>
    <x v="0"/>
    <x v="1"/>
    <x v="0"/>
    <n v="15441644.76"/>
    <x v="0"/>
    <x v="1"/>
    <x v="0"/>
    <x v="2"/>
    <x v="3"/>
    <x v="0"/>
    <x v="3"/>
    <x v="0"/>
    <x v="0"/>
    <n v="6"/>
    <x v="0"/>
  </r>
  <r>
    <d v="2022-04-06T00:00:00"/>
    <x v="3"/>
    <x v="2"/>
    <x v="2"/>
    <n v="99037.119999999995"/>
    <x v="3"/>
    <x v="2"/>
    <x v="2"/>
    <x v="5"/>
    <x v="3"/>
    <x v="0"/>
    <x v="3"/>
    <x v="0"/>
    <x v="0"/>
    <n v="6"/>
    <x v="0"/>
  </r>
  <r>
    <d v="2022-04-06T00:00:00"/>
    <x v="0"/>
    <x v="0"/>
    <x v="0"/>
    <n v="500"/>
    <x v="0"/>
    <x v="0"/>
    <x v="0"/>
    <x v="0"/>
    <x v="3"/>
    <x v="0"/>
    <x v="3"/>
    <x v="0"/>
    <x v="0"/>
    <n v="6"/>
    <x v="0"/>
  </r>
  <r>
    <d v="2022-04-06T00:00:00"/>
    <x v="1"/>
    <x v="1"/>
    <x v="0"/>
    <n v="84"/>
    <x v="1"/>
    <x v="1"/>
    <x v="0"/>
    <x v="1"/>
    <x v="3"/>
    <x v="0"/>
    <x v="3"/>
    <x v="0"/>
    <x v="0"/>
    <n v="6"/>
    <x v="0"/>
  </r>
  <r>
    <d v="2022-04-06T00:00:00"/>
    <x v="2"/>
    <x v="1"/>
    <x v="1"/>
    <n v="552298490.20000005"/>
    <x v="2"/>
    <x v="1"/>
    <x v="1"/>
    <x v="8"/>
    <x v="3"/>
    <x v="0"/>
    <x v="3"/>
    <x v="0"/>
    <x v="0"/>
    <n v="6"/>
    <x v="0"/>
  </r>
  <r>
    <d v="2022-04-06T00:00:00"/>
    <x v="1"/>
    <x v="0"/>
    <x v="0"/>
    <n v="89620000.430000007"/>
    <x v="1"/>
    <x v="0"/>
    <x v="0"/>
    <x v="9"/>
    <x v="3"/>
    <x v="0"/>
    <x v="3"/>
    <x v="0"/>
    <x v="0"/>
    <n v="6"/>
    <x v="0"/>
  </r>
  <r>
    <d v="2022-04-06T00:00:00"/>
    <x v="1"/>
    <x v="0"/>
    <x v="1"/>
    <n v="3423632432.5"/>
    <x v="1"/>
    <x v="0"/>
    <x v="1"/>
    <x v="10"/>
    <x v="3"/>
    <x v="0"/>
    <x v="3"/>
    <x v="0"/>
    <x v="0"/>
    <n v="6"/>
    <x v="0"/>
  </r>
  <r>
    <d v="2022-04-06T00:00:00"/>
    <x v="3"/>
    <x v="2"/>
    <x v="0"/>
    <n v="557986915.5"/>
    <x v="3"/>
    <x v="2"/>
    <x v="0"/>
    <x v="11"/>
    <x v="3"/>
    <x v="0"/>
    <x v="3"/>
    <x v="0"/>
    <x v="0"/>
    <n v="6"/>
    <x v="0"/>
  </r>
  <r>
    <d v="2022-04-06T00:00:00"/>
    <x v="3"/>
    <x v="1"/>
    <x v="0"/>
    <n v="13809064.51"/>
    <x v="3"/>
    <x v="1"/>
    <x v="0"/>
    <x v="12"/>
    <x v="3"/>
    <x v="0"/>
    <x v="3"/>
    <x v="0"/>
    <x v="0"/>
    <n v="6"/>
    <x v="0"/>
  </r>
  <r>
    <d v="2022-04-06T00:00:00"/>
    <x v="3"/>
    <x v="2"/>
    <x v="1"/>
    <n v="17926381481.34"/>
    <x v="3"/>
    <x v="2"/>
    <x v="1"/>
    <x v="13"/>
    <x v="3"/>
    <x v="0"/>
    <x v="3"/>
    <x v="0"/>
    <x v="0"/>
    <n v="6"/>
    <x v="0"/>
  </r>
  <r>
    <d v="2022-04-05T00:00:00"/>
    <x v="3"/>
    <x v="3"/>
    <x v="0"/>
    <n v="1550654957.5999999"/>
    <x v="3"/>
    <x v="3"/>
    <x v="0"/>
    <x v="8"/>
    <x v="3"/>
    <x v="0"/>
    <x v="3"/>
    <x v="0"/>
    <x v="0"/>
    <n v="5"/>
    <x v="0"/>
  </r>
  <r>
    <d v="2022-04-05T00:00:00"/>
    <x v="2"/>
    <x v="1"/>
    <x v="1"/>
    <n v="347793077.95999998"/>
    <x v="2"/>
    <x v="1"/>
    <x v="1"/>
    <x v="9"/>
    <x v="3"/>
    <x v="0"/>
    <x v="3"/>
    <x v="0"/>
    <x v="0"/>
    <n v="5"/>
    <x v="0"/>
  </r>
  <r>
    <d v="2022-04-05T00:00:00"/>
    <x v="2"/>
    <x v="1"/>
    <x v="2"/>
    <n v="14520"/>
    <x v="2"/>
    <x v="1"/>
    <x v="2"/>
    <x v="5"/>
    <x v="3"/>
    <x v="0"/>
    <x v="3"/>
    <x v="0"/>
    <x v="0"/>
    <n v="5"/>
    <x v="0"/>
  </r>
  <r>
    <d v="2022-04-05T00:00:00"/>
    <x v="1"/>
    <x v="1"/>
    <x v="0"/>
    <n v="555.5"/>
    <x v="1"/>
    <x v="1"/>
    <x v="0"/>
    <x v="1"/>
    <x v="3"/>
    <x v="0"/>
    <x v="3"/>
    <x v="0"/>
    <x v="0"/>
    <n v="5"/>
    <x v="0"/>
  </r>
  <r>
    <d v="2022-04-05T00:00:00"/>
    <x v="3"/>
    <x v="3"/>
    <x v="1"/>
    <n v="5166.82"/>
    <x v="3"/>
    <x v="3"/>
    <x v="1"/>
    <x v="3"/>
    <x v="3"/>
    <x v="0"/>
    <x v="3"/>
    <x v="0"/>
    <x v="0"/>
    <n v="5"/>
    <x v="0"/>
  </r>
  <r>
    <d v="2022-04-05T00:00:00"/>
    <x v="0"/>
    <x v="1"/>
    <x v="1"/>
    <n v="13470704.49"/>
    <x v="0"/>
    <x v="1"/>
    <x v="1"/>
    <x v="4"/>
    <x v="3"/>
    <x v="0"/>
    <x v="3"/>
    <x v="0"/>
    <x v="0"/>
    <n v="5"/>
    <x v="0"/>
  </r>
  <r>
    <d v="2022-04-05T00:00:00"/>
    <x v="0"/>
    <x v="1"/>
    <x v="0"/>
    <n v="10778218.689999999"/>
    <x v="0"/>
    <x v="1"/>
    <x v="0"/>
    <x v="2"/>
    <x v="3"/>
    <x v="0"/>
    <x v="3"/>
    <x v="0"/>
    <x v="0"/>
    <n v="5"/>
    <x v="0"/>
  </r>
  <r>
    <d v="2022-04-05T00:00:00"/>
    <x v="1"/>
    <x v="0"/>
    <x v="1"/>
    <n v="1395931953.51"/>
    <x v="1"/>
    <x v="0"/>
    <x v="1"/>
    <x v="10"/>
    <x v="3"/>
    <x v="0"/>
    <x v="3"/>
    <x v="0"/>
    <x v="0"/>
    <n v="5"/>
    <x v="0"/>
  </r>
  <r>
    <d v="2022-04-05T00:00:00"/>
    <x v="1"/>
    <x v="0"/>
    <x v="0"/>
    <n v="75906797.950000003"/>
    <x v="1"/>
    <x v="0"/>
    <x v="0"/>
    <x v="11"/>
    <x v="3"/>
    <x v="0"/>
    <x v="3"/>
    <x v="0"/>
    <x v="0"/>
    <n v="5"/>
    <x v="0"/>
  </r>
  <r>
    <d v="2022-04-05T00:00:00"/>
    <x v="3"/>
    <x v="2"/>
    <x v="2"/>
    <n v="121877.61"/>
    <x v="3"/>
    <x v="2"/>
    <x v="2"/>
    <x v="6"/>
    <x v="3"/>
    <x v="0"/>
    <x v="3"/>
    <x v="0"/>
    <x v="0"/>
    <n v="5"/>
    <x v="0"/>
  </r>
  <r>
    <d v="2022-04-05T00:00:00"/>
    <x v="2"/>
    <x v="1"/>
    <x v="0"/>
    <n v="197870298.30000001"/>
    <x v="2"/>
    <x v="1"/>
    <x v="0"/>
    <x v="7"/>
    <x v="3"/>
    <x v="0"/>
    <x v="3"/>
    <x v="0"/>
    <x v="0"/>
    <n v="5"/>
    <x v="0"/>
  </r>
  <r>
    <d v="2022-04-05T00:00:00"/>
    <x v="0"/>
    <x v="0"/>
    <x v="0"/>
    <n v="1"/>
    <x v="0"/>
    <x v="0"/>
    <x v="0"/>
    <x v="0"/>
    <x v="3"/>
    <x v="0"/>
    <x v="3"/>
    <x v="0"/>
    <x v="0"/>
    <n v="5"/>
    <x v="0"/>
  </r>
  <r>
    <d v="2022-04-05T00:00:00"/>
    <x v="3"/>
    <x v="2"/>
    <x v="0"/>
    <n v="667881217.04999995"/>
    <x v="3"/>
    <x v="2"/>
    <x v="0"/>
    <x v="12"/>
    <x v="3"/>
    <x v="0"/>
    <x v="3"/>
    <x v="0"/>
    <x v="0"/>
    <n v="5"/>
    <x v="0"/>
  </r>
  <r>
    <d v="2022-04-05T00:00:00"/>
    <x v="3"/>
    <x v="1"/>
    <x v="0"/>
    <n v="10616037.310000001"/>
    <x v="3"/>
    <x v="1"/>
    <x v="0"/>
    <x v="13"/>
    <x v="3"/>
    <x v="0"/>
    <x v="3"/>
    <x v="0"/>
    <x v="0"/>
    <n v="5"/>
    <x v="0"/>
  </r>
  <r>
    <d v="2022-04-05T00:00:00"/>
    <x v="3"/>
    <x v="2"/>
    <x v="1"/>
    <n v="7160646819.1800003"/>
    <x v="3"/>
    <x v="2"/>
    <x v="1"/>
    <x v="14"/>
    <x v="3"/>
    <x v="0"/>
    <x v="3"/>
    <x v="0"/>
    <x v="0"/>
    <n v="5"/>
    <x v="0"/>
  </r>
  <r>
    <d v="2022-04-04T00:00:00"/>
    <x v="2"/>
    <x v="1"/>
    <x v="0"/>
    <n v="107004421.29000001"/>
    <x v="2"/>
    <x v="1"/>
    <x v="0"/>
    <x v="5"/>
    <x v="3"/>
    <x v="0"/>
    <x v="3"/>
    <x v="0"/>
    <x v="0"/>
    <n v="4"/>
    <x v="0"/>
  </r>
  <r>
    <d v="2022-04-04T00:00:00"/>
    <x v="2"/>
    <x v="1"/>
    <x v="1"/>
    <n v="124655948.95999999"/>
    <x v="2"/>
    <x v="1"/>
    <x v="1"/>
    <x v="7"/>
    <x v="3"/>
    <x v="0"/>
    <x v="3"/>
    <x v="0"/>
    <x v="0"/>
    <n v="4"/>
    <x v="0"/>
  </r>
  <r>
    <d v="2022-04-04T00:00:00"/>
    <x v="1"/>
    <x v="1"/>
    <x v="0"/>
    <n v="758.48"/>
    <x v="1"/>
    <x v="1"/>
    <x v="0"/>
    <x v="0"/>
    <x v="3"/>
    <x v="0"/>
    <x v="3"/>
    <x v="0"/>
    <x v="0"/>
    <n v="4"/>
    <x v="0"/>
  </r>
  <r>
    <d v="2022-04-04T00:00:00"/>
    <x v="0"/>
    <x v="1"/>
    <x v="0"/>
    <n v="9346796.3900000006"/>
    <x v="0"/>
    <x v="1"/>
    <x v="0"/>
    <x v="1"/>
    <x v="3"/>
    <x v="0"/>
    <x v="3"/>
    <x v="0"/>
    <x v="0"/>
    <n v="4"/>
    <x v="0"/>
  </r>
  <r>
    <d v="2022-04-04T00:00:00"/>
    <x v="0"/>
    <x v="1"/>
    <x v="1"/>
    <n v="19551661.670000002"/>
    <x v="0"/>
    <x v="1"/>
    <x v="1"/>
    <x v="2"/>
    <x v="3"/>
    <x v="0"/>
    <x v="3"/>
    <x v="0"/>
    <x v="0"/>
    <n v="4"/>
    <x v="0"/>
  </r>
  <r>
    <d v="2022-04-04T00:00:00"/>
    <x v="1"/>
    <x v="0"/>
    <x v="1"/>
    <n v="1187762469.46"/>
    <x v="1"/>
    <x v="0"/>
    <x v="1"/>
    <x v="8"/>
    <x v="3"/>
    <x v="0"/>
    <x v="3"/>
    <x v="0"/>
    <x v="0"/>
    <n v="4"/>
    <x v="0"/>
  </r>
  <r>
    <d v="2022-04-04T00:00:00"/>
    <x v="2"/>
    <x v="1"/>
    <x v="2"/>
    <n v="66849.75"/>
    <x v="2"/>
    <x v="1"/>
    <x v="2"/>
    <x v="3"/>
    <x v="3"/>
    <x v="0"/>
    <x v="3"/>
    <x v="0"/>
    <x v="0"/>
    <n v="4"/>
    <x v="0"/>
  </r>
  <r>
    <d v="2022-04-04T00:00:00"/>
    <x v="1"/>
    <x v="0"/>
    <x v="0"/>
    <n v="58135805.810000002"/>
    <x v="1"/>
    <x v="0"/>
    <x v="0"/>
    <x v="9"/>
    <x v="3"/>
    <x v="0"/>
    <x v="3"/>
    <x v="0"/>
    <x v="0"/>
    <n v="4"/>
    <x v="0"/>
  </r>
  <r>
    <d v="2022-04-04T00:00:00"/>
    <x v="3"/>
    <x v="2"/>
    <x v="2"/>
    <n v="163971.10999999999"/>
    <x v="3"/>
    <x v="2"/>
    <x v="2"/>
    <x v="4"/>
    <x v="3"/>
    <x v="0"/>
    <x v="3"/>
    <x v="0"/>
    <x v="0"/>
    <n v="4"/>
    <x v="0"/>
  </r>
  <r>
    <d v="2022-04-04T00:00:00"/>
    <x v="3"/>
    <x v="3"/>
    <x v="0"/>
    <n v="1456413412.5999999"/>
    <x v="3"/>
    <x v="3"/>
    <x v="0"/>
    <x v="6"/>
    <x v="3"/>
    <x v="0"/>
    <x v="3"/>
    <x v="0"/>
    <x v="0"/>
    <n v="4"/>
    <x v="0"/>
  </r>
  <r>
    <d v="2022-04-04T00:00:00"/>
    <x v="3"/>
    <x v="2"/>
    <x v="0"/>
    <n v="818958652.41999996"/>
    <x v="3"/>
    <x v="2"/>
    <x v="0"/>
    <x v="10"/>
    <x v="3"/>
    <x v="0"/>
    <x v="3"/>
    <x v="0"/>
    <x v="0"/>
    <n v="4"/>
    <x v="0"/>
  </r>
  <r>
    <d v="2022-04-04T00:00:00"/>
    <x v="3"/>
    <x v="1"/>
    <x v="0"/>
    <n v="47507221.109999999"/>
    <x v="3"/>
    <x v="1"/>
    <x v="0"/>
    <x v="11"/>
    <x v="3"/>
    <x v="0"/>
    <x v="3"/>
    <x v="0"/>
    <x v="0"/>
    <n v="4"/>
    <x v="0"/>
  </r>
  <r>
    <d v="2022-04-04T00:00:00"/>
    <x v="3"/>
    <x v="2"/>
    <x v="1"/>
    <n v="31496723216.099998"/>
    <x v="3"/>
    <x v="2"/>
    <x v="1"/>
    <x v="12"/>
    <x v="3"/>
    <x v="0"/>
    <x v="3"/>
    <x v="0"/>
    <x v="0"/>
    <n v="4"/>
    <x v="0"/>
  </r>
  <r>
    <d v="2022-04-01T00:00:00"/>
    <x v="2"/>
    <x v="1"/>
    <x v="0"/>
    <n v="85429503.739999995"/>
    <x v="2"/>
    <x v="1"/>
    <x v="0"/>
    <x v="5"/>
    <x v="3"/>
    <x v="0"/>
    <x v="3"/>
    <x v="0"/>
    <x v="0"/>
    <n v="1"/>
    <x v="0"/>
  </r>
  <r>
    <d v="2022-04-01T00:00:00"/>
    <x v="1"/>
    <x v="1"/>
    <x v="0"/>
    <n v="2081.25"/>
    <x v="1"/>
    <x v="1"/>
    <x v="0"/>
    <x v="0"/>
    <x v="3"/>
    <x v="0"/>
    <x v="3"/>
    <x v="0"/>
    <x v="0"/>
    <n v="1"/>
    <x v="0"/>
  </r>
  <r>
    <d v="2022-04-01T00:00:00"/>
    <x v="2"/>
    <x v="1"/>
    <x v="1"/>
    <n v="192697122.59999999"/>
    <x v="2"/>
    <x v="1"/>
    <x v="1"/>
    <x v="6"/>
    <x v="3"/>
    <x v="0"/>
    <x v="3"/>
    <x v="0"/>
    <x v="0"/>
    <n v="1"/>
    <x v="0"/>
  </r>
  <r>
    <d v="2022-04-01T00:00:00"/>
    <x v="0"/>
    <x v="1"/>
    <x v="0"/>
    <n v="15980539.16"/>
    <x v="0"/>
    <x v="1"/>
    <x v="0"/>
    <x v="1"/>
    <x v="3"/>
    <x v="0"/>
    <x v="3"/>
    <x v="0"/>
    <x v="0"/>
    <n v="1"/>
    <x v="0"/>
  </r>
  <r>
    <d v="2022-04-01T00:00:00"/>
    <x v="0"/>
    <x v="1"/>
    <x v="1"/>
    <n v="25309628.43"/>
    <x v="0"/>
    <x v="1"/>
    <x v="1"/>
    <x v="2"/>
    <x v="3"/>
    <x v="0"/>
    <x v="3"/>
    <x v="0"/>
    <x v="0"/>
    <n v="1"/>
    <x v="0"/>
  </r>
  <r>
    <d v="2022-04-01T00:00:00"/>
    <x v="1"/>
    <x v="0"/>
    <x v="0"/>
    <n v="76751808.920000002"/>
    <x v="1"/>
    <x v="0"/>
    <x v="0"/>
    <x v="7"/>
    <x v="3"/>
    <x v="0"/>
    <x v="3"/>
    <x v="0"/>
    <x v="0"/>
    <n v="1"/>
    <x v="0"/>
  </r>
  <r>
    <d v="2022-04-01T00:00:00"/>
    <x v="2"/>
    <x v="1"/>
    <x v="2"/>
    <n v="6147"/>
    <x v="2"/>
    <x v="1"/>
    <x v="2"/>
    <x v="3"/>
    <x v="3"/>
    <x v="0"/>
    <x v="3"/>
    <x v="0"/>
    <x v="0"/>
    <n v="1"/>
    <x v="0"/>
  </r>
  <r>
    <d v="2022-04-01T00:00:00"/>
    <x v="3"/>
    <x v="2"/>
    <x v="2"/>
    <n v="400600.69"/>
    <x v="3"/>
    <x v="2"/>
    <x v="2"/>
    <x v="4"/>
    <x v="3"/>
    <x v="0"/>
    <x v="3"/>
    <x v="0"/>
    <x v="0"/>
    <n v="1"/>
    <x v="0"/>
  </r>
  <r>
    <d v="2022-04-01T00:00:00"/>
    <x v="1"/>
    <x v="0"/>
    <x v="1"/>
    <n v="339275736.19"/>
    <x v="1"/>
    <x v="0"/>
    <x v="1"/>
    <x v="8"/>
    <x v="3"/>
    <x v="0"/>
    <x v="3"/>
    <x v="0"/>
    <x v="0"/>
    <n v="1"/>
    <x v="0"/>
  </r>
  <r>
    <d v="2022-04-01T00:00:00"/>
    <x v="3"/>
    <x v="2"/>
    <x v="0"/>
    <n v="517893051.80000001"/>
    <x v="3"/>
    <x v="2"/>
    <x v="0"/>
    <x v="9"/>
    <x v="3"/>
    <x v="0"/>
    <x v="3"/>
    <x v="0"/>
    <x v="0"/>
    <n v="1"/>
    <x v="0"/>
  </r>
  <r>
    <d v="2022-04-01T00:00:00"/>
    <x v="3"/>
    <x v="1"/>
    <x v="0"/>
    <n v="14241790.41"/>
    <x v="3"/>
    <x v="1"/>
    <x v="0"/>
    <x v="10"/>
    <x v="3"/>
    <x v="0"/>
    <x v="3"/>
    <x v="0"/>
    <x v="0"/>
    <n v="1"/>
    <x v="0"/>
  </r>
  <r>
    <d v="2022-04-01T00:00:00"/>
    <x v="3"/>
    <x v="2"/>
    <x v="1"/>
    <n v="30457420958.299999"/>
    <x v="3"/>
    <x v="2"/>
    <x v="1"/>
    <x v="11"/>
    <x v="3"/>
    <x v="0"/>
    <x v="3"/>
    <x v="0"/>
    <x v="0"/>
    <n v="1"/>
    <x v="0"/>
  </r>
  <r>
    <d v="2022-04-01T00:00:00"/>
    <x v="3"/>
    <x v="3"/>
    <x v="0"/>
    <n v="5001269746.1000004"/>
    <x v="3"/>
    <x v="3"/>
    <x v="0"/>
    <x v="12"/>
    <x v="3"/>
    <x v="0"/>
    <x v="3"/>
    <x v="0"/>
    <x v="0"/>
    <n v="1"/>
    <x v="0"/>
  </r>
  <r>
    <d v="2022-03-31T00:00:00"/>
    <x v="3"/>
    <x v="2"/>
    <x v="2"/>
    <n v="609053.72"/>
    <x v="3"/>
    <x v="2"/>
    <x v="2"/>
    <x v="4"/>
    <x v="3"/>
    <x v="1"/>
    <x v="3"/>
    <x v="1"/>
    <x v="1"/>
    <n v="31"/>
    <x v="0"/>
  </r>
  <r>
    <d v="2022-03-31T00:00:00"/>
    <x v="2"/>
    <x v="1"/>
    <x v="2"/>
    <n v="16570"/>
    <x v="2"/>
    <x v="1"/>
    <x v="2"/>
    <x v="2"/>
    <x v="3"/>
    <x v="1"/>
    <x v="3"/>
    <x v="1"/>
    <x v="1"/>
    <n v="31"/>
    <x v="0"/>
  </r>
  <r>
    <d v="2022-03-31T00:00:00"/>
    <x v="3"/>
    <x v="3"/>
    <x v="0"/>
    <n v="5432080795.9899998"/>
    <x v="3"/>
    <x v="3"/>
    <x v="0"/>
    <x v="6"/>
    <x v="3"/>
    <x v="1"/>
    <x v="3"/>
    <x v="1"/>
    <x v="1"/>
    <n v="31"/>
    <x v="0"/>
  </r>
  <r>
    <d v="2022-03-31T00:00:00"/>
    <x v="1"/>
    <x v="1"/>
    <x v="0"/>
    <n v="222.5"/>
    <x v="1"/>
    <x v="1"/>
    <x v="0"/>
    <x v="0"/>
    <x v="3"/>
    <x v="1"/>
    <x v="3"/>
    <x v="1"/>
    <x v="1"/>
    <n v="31"/>
    <x v="0"/>
  </r>
  <r>
    <d v="2022-03-31T00:00:00"/>
    <x v="0"/>
    <x v="1"/>
    <x v="0"/>
    <n v="13738365.49"/>
    <x v="0"/>
    <x v="1"/>
    <x v="0"/>
    <x v="1"/>
    <x v="3"/>
    <x v="1"/>
    <x v="3"/>
    <x v="1"/>
    <x v="1"/>
    <n v="31"/>
    <x v="0"/>
  </r>
  <r>
    <d v="2022-03-31T00:00:00"/>
    <x v="2"/>
    <x v="1"/>
    <x v="1"/>
    <n v="220069487.28999999"/>
    <x v="2"/>
    <x v="1"/>
    <x v="1"/>
    <x v="7"/>
    <x v="3"/>
    <x v="1"/>
    <x v="3"/>
    <x v="1"/>
    <x v="1"/>
    <n v="31"/>
    <x v="0"/>
  </r>
  <r>
    <d v="2022-03-31T00:00:00"/>
    <x v="0"/>
    <x v="1"/>
    <x v="1"/>
    <n v="35255183.390000001"/>
    <x v="0"/>
    <x v="1"/>
    <x v="1"/>
    <x v="3"/>
    <x v="3"/>
    <x v="1"/>
    <x v="3"/>
    <x v="1"/>
    <x v="1"/>
    <n v="31"/>
    <x v="0"/>
  </r>
  <r>
    <d v="2022-03-31T00:00:00"/>
    <x v="1"/>
    <x v="0"/>
    <x v="1"/>
    <n v="876833345.87"/>
    <x v="1"/>
    <x v="0"/>
    <x v="1"/>
    <x v="9"/>
    <x v="3"/>
    <x v="1"/>
    <x v="3"/>
    <x v="1"/>
    <x v="1"/>
    <n v="31"/>
    <x v="0"/>
  </r>
  <r>
    <d v="2022-03-31T00:00:00"/>
    <x v="2"/>
    <x v="1"/>
    <x v="0"/>
    <n v="80409454.180000007"/>
    <x v="2"/>
    <x v="1"/>
    <x v="0"/>
    <x v="5"/>
    <x v="3"/>
    <x v="1"/>
    <x v="3"/>
    <x v="1"/>
    <x v="1"/>
    <n v="31"/>
    <x v="0"/>
  </r>
  <r>
    <d v="2022-03-31T00:00:00"/>
    <x v="1"/>
    <x v="0"/>
    <x v="0"/>
    <n v="85718553.260000005"/>
    <x v="1"/>
    <x v="0"/>
    <x v="0"/>
    <x v="8"/>
    <x v="3"/>
    <x v="1"/>
    <x v="3"/>
    <x v="1"/>
    <x v="1"/>
    <n v="31"/>
    <x v="0"/>
  </r>
  <r>
    <d v="2022-03-31T00:00:00"/>
    <x v="3"/>
    <x v="2"/>
    <x v="0"/>
    <n v="1604394434.1600001"/>
    <x v="3"/>
    <x v="2"/>
    <x v="0"/>
    <x v="10"/>
    <x v="3"/>
    <x v="1"/>
    <x v="3"/>
    <x v="1"/>
    <x v="1"/>
    <n v="31"/>
    <x v="0"/>
  </r>
  <r>
    <d v="2022-03-31T00:00:00"/>
    <x v="3"/>
    <x v="1"/>
    <x v="0"/>
    <n v="12659849.609999999"/>
    <x v="3"/>
    <x v="1"/>
    <x v="0"/>
    <x v="11"/>
    <x v="3"/>
    <x v="1"/>
    <x v="3"/>
    <x v="1"/>
    <x v="1"/>
    <n v="31"/>
    <x v="0"/>
  </r>
  <r>
    <d v="2022-03-31T00:00:00"/>
    <x v="3"/>
    <x v="2"/>
    <x v="1"/>
    <n v="7925098229.5699997"/>
    <x v="3"/>
    <x v="2"/>
    <x v="1"/>
    <x v="12"/>
    <x v="3"/>
    <x v="1"/>
    <x v="3"/>
    <x v="1"/>
    <x v="1"/>
    <n v="31"/>
    <x v="0"/>
  </r>
  <r>
    <d v="2022-03-30T00:00:00"/>
    <x v="2"/>
    <x v="1"/>
    <x v="2"/>
    <n v="28264.92"/>
    <x v="2"/>
    <x v="1"/>
    <x v="2"/>
    <x v="2"/>
    <x v="3"/>
    <x v="1"/>
    <x v="3"/>
    <x v="1"/>
    <x v="1"/>
    <n v="30"/>
    <x v="0"/>
  </r>
  <r>
    <d v="2022-03-30T00:00:00"/>
    <x v="0"/>
    <x v="1"/>
    <x v="0"/>
    <n v="9528494.4600000009"/>
    <x v="0"/>
    <x v="1"/>
    <x v="0"/>
    <x v="1"/>
    <x v="3"/>
    <x v="1"/>
    <x v="3"/>
    <x v="1"/>
    <x v="1"/>
    <n v="30"/>
    <x v="0"/>
  </r>
  <r>
    <d v="2022-03-30T00:00:00"/>
    <x v="2"/>
    <x v="1"/>
    <x v="1"/>
    <n v="553187716.26999998"/>
    <x v="2"/>
    <x v="1"/>
    <x v="1"/>
    <x v="7"/>
    <x v="3"/>
    <x v="1"/>
    <x v="3"/>
    <x v="1"/>
    <x v="1"/>
    <n v="30"/>
    <x v="0"/>
  </r>
  <r>
    <d v="2022-03-30T00:00:00"/>
    <x v="0"/>
    <x v="1"/>
    <x v="1"/>
    <n v="2853469.43"/>
    <x v="0"/>
    <x v="1"/>
    <x v="1"/>
    <x v="3"/>
    <x v="3"/>
    <x v="1"/>
    <x v="3"/>
    <x v="1"/>
    <x v="1"/>
    <n v="30"/>
    <x v="0"/>
  </r>
  <r>
    <d v="2022-03-30T00:00:00"/>
    <x v="1"/>
    <x v="0"/>
    <x v="0"/>
    <n v="90000234.640000001"/>
    <x v="1"/>
    <x v="0"/>
    <x v="0"/>
    <x v="8"/>
    <x v="3"/>
    <x v="1"/>
    <x v="3"/>
    <x v="1"/>
    <x v="1"/>
    <n v="30"/>
    <x v="0"/>
  </r>
  <r>
    <d v="2022-03-30T00:00:00"/>
    <x v="1"/>
    <x v="0"/>
    <x v="1"/>
    <n v="1918785376.0599999"/>
    <x v="1"/>
    <x v="0"/>
    <x v="1"/>
    <x v="9"/>
    <x v="3"/>
    <x v="1"/>
    <x v="3"/>
    <x v="1"/>
    <x v="1"/>
    <n v="30"/>
    <x v="0"/>
  </r>
  <r>
    <d v="2022-03-30T00:00:00"/>
    <x v="3"/>
    <x v="2"/>
    <x v="2"/>
    <n v="49432.01"/>
    <x v="3"/>
    <x v="2"/>
    <x v="2"/>
    <x v="4"/>
    <x v="3"/>
    <x v="1"/>
    <x v="3"/>
    <x v="1"/>
    <x v="1"/>
    <n v="30"/>
    <x v="0"/>
  </r>
  <r>
    <d v="2022-03-30T00:00:00"/>
    <x v="0"/>
    <x v="0"/>
    <x v="0"/>
    <n v="95.88"/>
    <x v="0"/>
    <x v="0"/>
    <x v="0"/>
    <x v="0"/>
    <x v="3"/>
    <x v="1"/>
    <x v="3"/>
    <x v="1"/>
    <x v="1"/>
    <n v="30"/>
    <x v="0"/>
  </r>
  <r>
    <d v="2022-03-30T00:00:00"/>
    <x v="3"/>
    <x v="3"/>
    <x v="0"/>
    <n v="1630560873.8"/>
    <x v="3"/>
    <x v="3"/>
    <x v="0"/>
    <x v="5"/>
    <x v="3"/>
    <x v="1"/>
    <x v="3"/>
    <x v="1"/>
    <x v="1"/>
    <n v="30"/>
    <x v="0"/>
  </r>
  <r>
    <d v="2022-03-30T00:00:00"/>
    <x v="2"/>
    <x v="1"/>
    <x v="0"/>
    <n v="116413447.08"/>
    <x v="2"/>
    <x v="1"/>
    <x v="0"/>
    <x v="6"/>
    <x v="3"/>
    <x v="1"/>
    <x v="3"/>
    <x v="1"/>
    <x v="1"/>
    <n v="30"/>
    <x v="0"/>
  </r>
  <r>
    <d v="2022-03-30T00:00:00"/>
    <x v="3"/>
    <x v="2"/>
    <x v="0"/>
    <n v="534446007.00999999"/>
    <x v="3"/>
    <x v="2"/>
    <x v="0"/>
    <x v="10"/>
    <x v="3"/>
    <x v="1"/>
    <x v="3"/>
    <x v="1"/>
    <x v="1"/>
    <n v="30"/>
    <x v="0"/>
  </r>
  <r>
    <d v="2022-03-30T00:00:00"/>
    <x v="3"/>
    <x v="1"/>
    <x v="0"/>
    <n v="13023289.789999999"/>
    <x v="3"/>
    <x v="1"/>
    <x v="0"/>
    <x v="11"/>
    <x v="3"/>
    <x v="1"/>
    <x v="3"/>
    <x v="1"/>
    <x v="1"/>
    <n v="30"/>
    <x v="0"/>
  </r>
  <r>
    <d v="2022-03-30T00:00:00"/>
    <x v="3"/>
    <x v="2"/>
    <x v="1"/>
    <n v="11873545648.43"/>
    <x v="3"/>
    <x v="2"/>
    <x v="1"/>
    <x v="12"/>
    <x v="3"/>
    <x v="1"/>
    <x v="3"/>
    <x v="1"/>
    <x v="1"/>
    <n v="30"/>
    <x v="0"/>
  </r>
  <r>
    <d v="2022-03-29T00:00:00"/>
    <x v="2"/>
    <x v="1"/>
    <x v="2"/>
    <n v="16190"/>
    <x v="2"/>
    <x v="1"/>
    <x v="2"/>
    <x v="2"/>
    <x v="3"/>
    <x v="1"/>
    <x v="3"/>
    <x v="1"/>
    <x v="1"/>
    <n v="29"/>
    <x v="0"/>
  </r>
  <r>
    <d v="2022-03-29T00:00:00"/>
    <x v="1"/>
    <x v="1"/>
    <x v="0"/>
    <n v="960.5"/>
    <x v="1"/>
    <x v="1"/>
    <x v="0"/>
    <x v="0"/>
    <x v="3"/>
    <x v="1"/>
    <x v="3"/>
    <x v="1"/>
    <x v="1"/>
    <n v="29"/>
    <x v="0"/>
  </r>
  <r>
    <d v="2022-03-29T00:00:00"/>
    <x v="0"/>
    <x v="1"/>
    <x v="0"/>
    <n v="8100680.2800000003"/>
    <x v="0"/>
    <x v="1"/>
    <x v="0"/>
    <x v="1"/>
    <x v="3"/>
    <x v="1"/>
    <x v="3"/>
    <x v="1"/>
    <x v="1"/>
    <n v="29"/>
    <x v="0"/>
  </r>
  <r>
    <d v="2022-03-29T00:00:00"/>
    <x v="2"/>
    <x v="1"/>
    <x v="1"/>
    <n v="366687467.33999997"/>
    <x v="2"/>
    <x v="1"/>
    <x v="1"/>
    <x v="7"/>
    <x v="3"/>
    <x v="1"/>
    <x v="3"/>
    <x v="1"/>
    <x v="1"/>
    <n v="29"/>
    <x v="0"/>
  </r>
  <r>
    <d v="2022-03-29T00:00:00"/>
    <x v="0"/>
    <x v="1"/>
    <x v="1"/>
    <n v="22469605.48"/>
    <x v="0"/>
    <x v="1"/>
    <x v="1"/>
    <x v="3"/>
    <x v="3"/>
    <x v="1"/>
    <x v="3"/>
    <x v="1"/>
    <x v="1"/>
    <n v="29"/>
    <x v="0"/>
  </r>
  <r>
    <d v="2022-03-29T00:00:00"/>
    <x v="1"/>
    <x v="0"/>
    <x v="1"/>
    <n v="710724812.37"/>
    <x v="1"/>
    <x v="0"/>
    <x v="1"/>
    <x v="8"/>
    <x v="3"/>
    <x v="1"/>
    <x v="3"/>
    <x v="1"/>
    <x v="1"/>
    <n v="29"/>
    <x v="0"/>
  </r>
  <r>
    <d v="2022-03-29T00:00:00"/>
    <x v="3"/>
    <x v="2"/>
    <x v="2"/>
    <n v="343797.32"/>
    <x v="3"/>
    <x v="2"/>
    <x v="2"/>
    <x v="4"/>
    <x v="3"/>
    <x v="1"/>
    <x v="3"/>
    <x v="1"/>
    <x v="1"/>
    <n v="29"/>
    <x v="0"/>
  </r>
  <r>
    <d v="2022-03-29T00:00:00"/>
    <x v="3"/>
    <x v="3"/>
    <x v="0"/>
    <n v="2952972207.8000002"/>
    <x v="3"/>
    <x v="3"/>
    <x v="0"/>
    <x v="5"/>
    <x v="3"/>
    <x v="1"/>
    <x v="3"/>
    <x v="1"/>
    <x v="1"/>
    <n v="29"/>
    <x v="0"/>
  </r>
  <r>
    <d v="2022-03-29T00:00:00"/>
    <x v="2"/>
    <x v="1"/>
    <x v="0"/>
    <n v="105564690.25"/>
    <x v="2"/>
    <x v="1"/>
    <x v="0"/>
    <x v="6"/>
    <x v="3"/>
    <x v="1"/>
    <x v="3"/>
    <x v="1"/>
    <x v="1"/>
    <n v="29"/>
    <x v="0"/>
  </r>
  <r>
    <d v="2022-03-29T00:00:00"/>
    <x v="1"/>
    <x v="0"/>
    <x v="0"/>
    <n v="83620308.370000005"/>
    <x v="1"/>
    <x v="0"/>
    <x v="0"/>
    <x v="9"/>
    <x v="3"/>
    <x v="1"/>
    <x v="3"/>
    <x v="1"/>
    <x v="1"/>
    <n v="29"/>
    <x v="0"/>
  </r>
  <r>
    <d v="2022-03-29T00:00:00"/>
    <x v="3"/>
    <x v="2"/>
    <x v="0"/>
    <n v="693032105.52999997"/>
    <x v="3"/>
    <x v="2"/>
    <x v="0"/>
    <x v="10"/>
    <x v="3"/>
    <x v="1"/>
    <x v="3"/>
    <x v="1"/>
    <x v="1"/>
    <n v="29"/>
    <x v="0"/>
  </r>
  <r>
    <d v="2022-03-29T00:00:00"/>
    <x v="3"/>
    <x v="1"/>
    <x v="0"/>
    <n v="9350883.0199999996"/>
    <x v="3"/>
    <x v="1"/>
    <x v="0"/>
    <x v="11"/>
    <x v="3"/>
    <x v="1"/>
    <x v="3"/>
    <x v="1"/>
    <x v="1"/>
    <n v="29"/>
    <x v="0"/>
  </r>
  <r>
    <d v="2022-03-29T00:00:00"/>
    <x v="3"/>
    <x v="2"/>
    <x v="1"/>
    <n v="6162435265.4899998"/>
    <x v="3"/>
    <x v="2"/>
    <x v="1"/>
    <x v="12"/>
    <x v="3"/>
    <x v="1"/>
    <x v="3"/>
    <x v="1"/>
    <x v="1"/>
    <n v="29"/>
    <x v="0"/>
  </r>
  <r>
    <d v="2022-03-28T00:00:00"/>
    <x v="3"/>
    <x v="2"/>
    <x v="2"/>
    <n v="317487.43"/>
    <x v="3"/>
    <x v="2"/>
    <x v="2"/>
    <x v="4"/>
    <x v="3"/>
    <x v="1"/>
    <x v="3"/>
    <x v="1"/>
    <x v="1"/>
    <n v="28"/>
    <x v="0"/>
  </r>
  <r>
    <d v="2022-03-28T00:00:00"/>
    <x v="2"/>
    <x v="1"/>
    <x v="2"/>
    <n v="15810"/>
    <x v="2"/>
    <x v="1"/>
    <x v="2"/>
    <x v="2"/>
    <x v="3"/>
    <x v="1"/>
    <x v="3"/>
    <x v="1"/>
    <x v="1"/>
    <n v="28"/>
    <x v="0"/>
  </r>
  <r>
    <d v="2022-03-28T00:00:00"/>
    <x v="1"/>
    <x v="1"/>
    <x v="0"/>
    <n v="142921.07"/>
    <x v="1"/>
    <x v="1"/>
    <x v="0"/>
    <x v="0"/>
    <x v="3"/>
    <x v="1"/>
    <x v="3"/>
    <x v="1"/>
    <x v="1"/>
    <n v="28"/>
    <x v="0"/>
  </r>
  <r>
    <d v="2022-03-28T00:00:00"/>
    <x v="0"/>
    <x v="1"/>
    <x v="0"/>
    <n v="10538657.35"/>
    <x v="0"/>
    <x v="1"/>
    <x v="0"/>
    <x v="1"/>
    <x v="3"/>
    <x v="1"/>
    <x v="3"/>
    <x v="1"/>
    <x v="1"/>
    <n v="28"/>
    <x v="0"/>
  </r>
  <r>
    <d v="2022-03-28T00:00:00"/>
    <x v="2"/>
    <x v="1"/>
    <x v="0"/>
    <n v="77597088.700000003"/>
    <x v="2"/>
    <x v="1"/>
    <x v="0"/>
    <x v="6"/>
    <x v="3"/>
    <x v="1"/>
    <x v="3"/>
    <x v="1"/>
    <x v="1"/>
    <n v="28"/>
    <x v="0"/>
  </r>
  <r>
    <d v="2022-03-28T00:00:00"/>
    <x v="0"/>
    <x v="1"/>
    <x v="1"/>
    <n v="1714021.41"/>
    <x v="0"/>
    <x v="1"/>
    <x v="1"/>
    <x v="3"/>
    <x v="3"/>
    <x v="1"/>
    <x v="3"/>
    <x v="1"/>
    <x v="1"/>
    <n v="28"/>
    <x v="0"/>
  </r>
  <r>
    <d v="2022-03-28T00:00:00"/>
    <x v="2"/>
    <x v="1"/>
    <x v="1"/>
    <n v="139504556.61000001"/>
    <x v="2"/>
    <x v="1"/>
    <x v="1"/>
    <x v="7"/>
    <x v="3"/>
    <x v="1"/>
    <x v="3"/>
    <x v="1"/>
    <x v="1"/>
    <n v="28"/>
    <x v="0"/>
  </r>
  <r>
    <d v="2022-03-28T00:00:00"/>
    <x v="3"/>
    <x v="3"/>
    <x v="0"/>
    <n v="2738210716.77"/>
    <x v="3"/>
    <x v="3"/>
    <x v="0"/>
    <x v="5"/>
    <x v="3"/>
    <x v="1"/>
    <x v="3"/>
    <x v="1"/>
    <x v="1"/>
    <n v="28"/>
    <x v="0"/>
  </r>
  <r>
    <d v="2022-03-28T00:00:00"/>
    <x v="1"/>
    <x v="0"/>
    <x v="1"/>
    <n v="649192401.34000003"/>
    <x v="1"/>
    <x v="0"/>
    <x v="1"/>
    <x v="8"/>
    <x v="3"/>
    <x v="1"/>
    <x v="3"/>
    <x v="1"/>
    <x v="1"/>
    <n v="28"/>
    <x v="0"/>
  </r>
  <r>
    <d v="2022-03-28T00:00:00"/>
    <x v="1"/>
    <x v="0"/>
    <x v="0"/>
    <n v="75043645.060000002"/>
    <x v="1"/>
    <x v="0"/>
    <x v="0"/>
    <x v="9"/>
    <x v="3"/>
    <x v="1"/>
    <x v="3"/>
    <x v="1"/>
    <x v="1"/>
    <n v="28"/>
    <x v="0"/>
  </r>
  <r>
    <d v="2022-03-28T00:00:00"/>
    <x v="3"/>
    <x v="2"/>
    <x v="0"/>
    <n v="487167187.85000002"/>
    <x v="3"/>
    <x v="2"/>
    <x v="0"/>
    <x v="10"/>
    <x v="3"/>
    <x v="1"/>
    <x v="3"/>
    <x v="1"/>
    <x v="1"/>
    <n v="28"/>
    <x v="0"/>
  </r>
  <r>
    <d v="2022-03-28T00:00:00"/>
    <x v="3"/>
    <x v="1"/>
    <x v="0"/>
    <n v="41104776.640000001"/>
    <x v="3"/>
    <x v="1"/>
    <x v="0"/>
    <x v="11"/>
    <x v="3"/>
    <x v="1"/>
    <x v="3"/>
    <x v="1"/>
    <x v="1"/>
    <n v="28"/>
    <x v="0"/>
  </r>
  <r>
    <d v="2022-03-28T00:00:00"/>
    <x v="3"/>
    <x v="2"/>
    <x v="1"/>
    <n v="23574548798.82"/>
    <x v="3"/>
    <x v="2"/>
    <x v="1"/>
    <x v="12"/>
    <x v="3"/>
    <x v="1"/>
    <x v="3"/>
    <x v="1"/>
    <x v="1"/>
    <n v="28"/>
    <x v="0"/>
  </r>
  <r>
    <d v="2022-03-25T00:00:00"/>
    <x v="0"/>
    <x v="0"/>
    <x v="0"/>
    <n v="182"/>
    <x v="0"/>
    <x v="0"/>
    <x v="0"/>
    <x v="1"/>
    <x v="3"/>
    <x v="1"/>
    <x v="3"/>
    <x v="1"/>
    <x v="1"/>
    <n v="25"/>
    <x v="0"/>
  </r>
  <r>
    <d v="2022-03-25T00:00:00"/>
    <x v="0"/>
    <x v="1"/>
    <x v="0"/>
    <n v="16239719.02"/>
    <x v="0"/>
    <x v="1"/>
    <x v="0"/>
    <x v="2"/>
    <x v="3"/>
    <x v="1"/>
    <x v="3"/>
    <x v="1"/>
    <x v="1"/>
    <n v="25"/>
    <x v="0"/>
  </r>
  <r>
    <d v="2022-03-25T00:00:00"/>
    <x v="2"/>
    <x v="1"/>
    <x v="1"/>
    <n v="231210247.68000001"/>
    <x v="2"/>
    <x v="1"/>
    <x v="1"/>
    <x v="7"/>
    <x v="3"/>
    <x v="1"/>
    <x v="3"/>
    <x v="1"/>
    <x v="1"/>
    <n v="25"/>
    <x v="0"/>
  </r>
  <r>
    <d v="2022-03-25T00:00:00"/>
    <x v="0"/>
    <x v="1"/>
    <x v="1"/>
    <n v="25553070.609999999"/>
    <x v="0"/>
    <x v="1"/>
    <x v="1"/>
    <x v="4"/>
    <x v="3"/>
    <x v="1"/>
    <x v="3"/>
    <x v="1"/>
    <x v="1"/>
    <n v="25"/>
    <x v="0"/>
  </r>
  <r>
    <d v="2022-03-25T00:00:00"/>
    <x v="1"/>
    <x v="0"/>
    <x v="1"/>
    <n v="301476522.80000001"/>
    <x v="1"/>
    <x v="0"/>
    <x v="1"/>
    <x v="9"/>
    <x v="3"/>
    <x v="1"/>
    <x v="3"/>
    <x v="1"/>
    <x v="1"/>
    <n v="25"/>
    <x v="0"/>
  </r>
  <r>
    <d v="2022-03-25T00:00:00"/>
    <x v="3"/>
    <x v="2"/>
    <x v="2"/>
    <n v="144202.54999999999"/>
    <x v="3"/>
    <x v="2"/>
    <x v="2"/>
    <x v="5"/>
    <x v="3"/>
    <x v="1"/>
    <x v="3"/>
    <x v="1"/>
    <x v="1"/>
    <n v="25"/>
    <x v="0"/>
  </r>
  <r>
    <d v="2022-03-25T00:00:00"/>
    <x v="2"/>
    <x v="1"/>
    <x v="2"/>
    <n v="779930.72"/>
    <x v="2"/>
    <x v="1"/>
    <x v="2"/>
    <x v="3"/>
    <x v="3"/>
    <x v="1"/>
    <x v="3"/>
    <x v="1"/>
    <x v="1"/>
    <n v="25"/>
    <x v="0"/>
  </r>
  <r>
    <d v="2022-03-25T00:00:00"/>
    <x v="1"/>
    <x v="1"/>
    <x v="0"/>
    <n v="584"/>
    <x v="1"/>
    <x v="1"/>
    <x v="0"/>
    <x v="0"/>
    <x v="3"/>
    <x v="1"/>
    <x v="3"/>
    <x v="1"/>
    <x v="1"/>
    <n v="25"/>
    <x v="0"/>
  </r>
  <r>
    <d v="2022-03-25T00:00:00"/>
    <x v="2"/>
    <x v="1"/>
    <x v="0"/>
    <n v="101163341.27"/>
    <x v="2"/>
    <x v="1"/>
    <x v="0"/>
    <x v="6"/>
    <x v="3"/>
    <x v="1"/>
    <x v="3"/>
    <x v="1"/>
    <x v="1"/>
    <n v="25"/>
    <x v="0"/>
  </r>
  <r>
    <d v="2022-03-25T00:00:00"/>
    <x v="1"/>
    <x v="0"/>
    <x v="0"/>
    <n v="95299488.519999996"/>
    <x v="1"/>
    <x v="0"/>
    <x v="0"/>
    <x v="8"/>
    <x v="3"/>
    <x v="1"/>
    <x v="3"/>
    <x v="1"/>
    <x v="1"/>
    <n v="25"/>
    <x v="0"/>
  </r>
  <r>
    <d v="2022-03-25T00:00:00"/>
    <x v="3"/>
    <x v="2"/>
    <x v="0"/>
    <n v="353453518.33999997"/>
    <x v="3"/>
    <x v="2"/>
    <x v="0"/>
    <x v="10"/>
    <x v="3"/>
    <x v="1"/>
    <x v="3"/>
    <x v="1"/>
    <x v="1"/>
    <n v="25"/>
    <x v="0"/>
  </r>
  <r>
    <d v="2022-03-25T00:00:00"/>
    <x v="3"/>
    <x v="1"/>
    <x v="0"/>
    <n v="12649085.73"/>
    <x v="3"/>
    <x v="1"/>
    <x v="0"/>
    <x v="11"/>
    <x v="3"/>
    <x v="1"/>
    <x v="3"/>
    <x v="1"/>
    <x v="1"/>
    <n v="25"/>
    <x v="0"/>
  </r>
  <r>
    <d v="2022-03-25T00:00:00"/>
    <x v="3"/>
    <x v="2"/>
    <x v="1"/>
    <n v="8744645351.6700001"/>
    <x v="3"/>
    <x v="2"/>
    <x v="1"/>
    <x v="12"/>
    <x v="3"/>
    <x v="1"/>
    <x v="3"/>
    <x v="1"/>
    <x v="1"/>
    <n v="25"/>
    <x v="0"/>
  </r>
  <r>
    <d v="2022-03-25T00:00:00"/>
    <x v="3"/>
    <x v="3"/>
    <x v="0"/>
    <n v="1708887205.8499999"/>
    <x v="3"/>
    <x v="3"/>
    <x v="0"/>
    <x v="13"/>
    <x v="3"/>
    <x v="1"/>
    <x v="3"/>
    <x v="1"/>
    <x v="1"/>
    <n v="25"/>
    <x v="0"/>
  </r>
  <r>
    <d v="2022-03-24T00:00:00"/>
    <x v="2"/>
    <x v="1"/>
    <x v="0"/>
    <n v="100695195.72"/>
    <x v="2"/>
    <x v="1"/>
    <x v="0"/>
    <x v="5"/>
    <x v="3"/>
    <x v="1"/>
    <x v="3"/>
    <x v="1"/>
    <x v="1"/>
    <n v="24"/>
    <x v="0"/>
  </r>
  <r>
    <d v="2022-03-24T00:00:00"/>
    <x v="2"/>
    <x v="1"/>
    <x v="2"/>
    <n v="40530"/>
    <x v="2"/>
    <x v="1"/>
    <x v="2"/>
    <x v="2"/>
    <x v="3"/>
    <x v="1"/>
    <x v="3"/>
    <x v="1"/>
    <x v="1"/>
    <n v="24"/>
    <x v="0"/>
  </r>
  <r>
    <d v="2022-03-24T00:00:00"/>
    <x v="0"/>
    <x v="1"/>
    <x v="0"/>
    <n v="16189688"/>
    <x v="0"/>
    <x v="1"/>
    <x v="0"/>
    <x v="1"/>
    <x v="3"/>
    <x v="1"/>
    <x v="3"/>
    <x v="1"/>
    <x v="1"/>
    <n v="24"/>
    <x v="0"/>
  </r>
  <r>
    <d v="2022-03-24T00:00:00"/>
    <x v="0"/>
    <x v="1"/>
    <x v="1"/>
    <n v="20718774.289999999"/>
    <x v="0"/>
    <x v="1"/>
    <x v="1"/>
    <x v="3"/>
    <x v="3"/>
    <x v="1"/>
    <x v="3"/>
    <x v="1"/>
    <x v="1"/>
    <n v="24"/>
    <x v="0"/>
  </r>
  <r>
    <d v="2022-03-24T00:00:00"/>
    <x v="1"/>
    <x v="0"/>
    <x v="1"/>
    <n v="444965387.47000003"/>
    <x v="1"/>
    <x v="0"/>
    <x v="1"/>
    <x v="8"/>
    <x v="3"/>
    <x v="1"/>
    <x v="3"/>
    <x v="1"/>
    <x v="1"/>
    <n v="24"/>
    <x v="0"/>
  </r>
  <r>
    <d v="2022-03-24T00:00:00"/>
    <x v="1"/>
    <x v="0"/>
    <x v="0"/>
    <n v="115708703.90000001"/>
    <x v="1"/>
    <x v="0"/>
    <x v="0"/>
    <x v="9"/>
    <x v="3"/>
    <x v="1"/>
    <x v="3"/>
    <x v="1"/>
    <x v="1"/>
    <n v="24"/>
    <x v="0"/>
  </r>
  <r>
    <d v="2022-03-24T00:00:00"/>
    <x v="3"/>
    <x v="2"/>
    <x v="2"/>
    <n v="89426"/>
    <x v="3"/>
    <x v="2"/>
    <x v="2"/>
    <x v="4"/>
    <x v="3"/>
    <x v="1"/>
    <x v="3"/>
    <x v="1"/>
    <x v="1"/>
    <n v="24"/>
    <x v="0"/>
  </r>
  <r>
    <d v="2022-03-24T00:00:00"/>
    <x v="0"/>
    <x v="0"/>
    <x v="0"/>
    <n v="462.78"/>
    <x v="0"/>
    <x v="0"/>
    <x v="0"/>
    <x v="0"/>
    <x v="3"/>
    <x v="1"/>
    <x v="3"/>
    <x v="1"/>
    <x v="1"/>
    <n v="24"/>
    <x v="0"/>
  </r>
  <r>
    <d v="2022-03-24T00:00:00"/>
    <x v="3"/>
    <x v="3"/>
    <x v="0"/>
    <n v="880136597.25"/>
    <x v="3"/>
    <x v="3"/>
    <x v="0"/>
    <x v="6"/>
    <x v="3"/>
    <x v="1"/>
    <x v="3"/>
    <x v="1"/>
    <x v="1"/>
    <n v="24"/>
    <x v="0"/>
  </r>
  <r>
    <d v="2022-03-24T00:00:00"/>
    <x v="2"/>
    <x v="1"/>
    <x v="1"/>
    <n v="477041511.02999997"/>
    <x v="2"/>
    <x v="1"/>
    <x v="1"/>
    <x v="7"/>
    <x v="3"/>
    <x v="1"/>
    <x v="3"/>
    <x v="1"/>
    <x v="1"/>
    <n v="24"/>
    <x v="0"/>
  </r>
  <r>
    <d v="2022-03-24T00:00:00"/>
    <x v="3"/>
    <x v="2"/>
    <x v="0"/>
    <n v="400814056.23000002"/>
    <x v="3"/>
    <x v="2"/>
    <x v="0"/>
    <x v="10"/>
    <x v="3"/>
    <x v="1"/>
    <x v="3"/>
    <x v="1"/>
    <x v="1"/>
    <n v="24"/>
    <x v="0"/>
  </r>
  <r>
    <d v="2022-03-24T00:00:00"/>
    <x v="3"/>
    <x v="1"/>
    <x v="0"/>
    <n v="13203423.220000001"/>
    <x v="3"/>
    <x v="1"/>
    <x v="0"/>
    <x v="11"/>
    <x v="3"/>
    <x v="1"/>
    <x v="3"/>
    <x v="1"/>
    <x v="1"/>
    <n v="24"/>
    <x v="0"/>
  </r>
  <r>
    <d v="2022-03-24T00:00:00"/>
    <x v="3"/>
    <x v="2"/>
    <x v="1"/>
    <n v="3972221212.3200002"/>
    <x v="3"/>
    <x v="2"/>
    <x v="1"/>
    <x v="12"/>
    <x v="3"/>
    <x v="1"/>
    <x v="3"/>
    <x v="1"/>
    <x v="1"/>
    <n v="24"/>
    <x v="0"/>
  </r>
  <r>
    <d v="2022-03-23T00:00:00"/>
    <x v="2"/>
    <x v="1"/>
    <x v="2"/>
    <n v="19560.47"/>
    <x v="2"/>
    <x v="1"/>
    <x v="2"/>
    <x v="2"/>
    <x v="3"/>
    <x v="1"/>
    <x v="3"/>
    <x v="1"/>
    <x v="1"/>
    <n v="23"/>
    <x v="0"/>
  </r>
  <r>
    <d v="2022-03-23T00:00:00"/>
    <x v="0"/>
    <x v="1"/>
    <x v="0"/>
    <n v="16080365.27"/>
    <x v="0"/>
    <x v="1"/>
    <x v="0"/>
    <x v="1"/>
    <x v="3"/>
    <x v="1"/>
    <x v="3"/>
    <x v="1"/>
    <x v="1"/>
    <n v="23"/>
    <x v="0"/>
  </r>
  <r>
    <d v="2022-03-23T00:00:00"/>
    <x v="3"/>
    <x v="3"/>
    <x v="0"/>
    <n v="2702085493.2800002"/>
    <x v="3"/>
    <x v="3"/>
    <x v="0"/>
    <x v="7"/>
    <x v="3"/>
    <x v="1"/>
    <x v="3"/>
    <x v="1"/>
    <x v="1"/>
    <n v="23"/>
    <x v="0"/>
  </r>
  <r>
    <d v="2022-03-23T00:00:00"/>
    <x v="2"/>
    <x v="1"/>
    <x v="1"/>
    <n v="337122364.35000002"/>
    <x v="2"/>
    <x v="1"/>
    <x v="1"/>
    <x v="8"/>
    <x v="3"/>
    <x v="1"/>
    <x v="3"/>
    <x v="1"/>
    <x v="1"/>
    <n v="23"/>
    <x v="0"/>
  </r>
  <r>
    <d v="2022-03-23T00:00:00"/>
    <x v="0"/>
    <x v="1"/>
    <x v="1"/>
    <n v="2007582.74"/>
    <x v="0"/>
    <x v="1"/>
    <x v="1"/>
    <x v="3"/>
    <x v="3"/>
    <x v="1"/>
    <x v="3"/>
    <x v="1"/>
    <x v="1"/>
    <n v="23"/>
    <x v="0"/>
  </r>
  <r>
    <d v="2022-03-23T00:00:00"/>
    <x v="1"/>
    <x v="0"/>
    <x v="0"/>
    <n v="142422283.63999999"/>
    <x v="1"/>
    <x v="0"/>
    <x v="0"/>
    <x v="9"/>
    <x v="3"/>
    <x v="1"/>
    <x v="3"/>
    <x v="1"/>
    <x v="1"/>
    <n v="23"/>
    <x v="0"/>
  </r>
  <r>
    <d v="2022-03-23T00:00:00"/>
    <x v="1"/>
    <x v="0"/>
    <x v="1"/>
    <n v="1320029272.8"/>
    <x v="1"/>
    <x v="0"/>
    <x v="1"/>
    <x v="10"/>
    <x v="3"/>
    <x v="1"/>
    <x v="3"/>
    <x v="1"/>
    <x v="1"/>
    <n v="23"/>
    <x v="0"/>
  </r>
  <r>
    <d v="2022-03-23T00:00:00"/>
    <x v="1"/>
    <x v="1"/>
    <x v="0"/>
    <n v="-72180.81"/>
    <x v="1"/>
    <x v="1"/>
    <x v="0"/>
    <x v="4"/>
    <x v="3"/>
    <x v="1"/>
    <x v="3"/>
    <x v="1"/>
    <x v="1"/>
    <n v="23"/>
    <x v="1"/>
  </r>
  <r>
    <d v="2022-03-23T00:00:00"/>
    <x v="3"/>
    <x v="2"/>
    <x v="2"/>
    <n v="156917.79"/>
    <x v="3"/>
    <x v="2"/>
    <x v="2"/>
    <x v="5"/>
    <x v="3"/>
    <x v="1"/>
    <x v="3"/>
    <x v="1"/>
    <x v="1"/>
    <n v="23"/>
    <x v="0"/>
  </r>
  <r>
    <d v="2022-03-23T00:00:00"/>
    <x v="0"/>
    <x v="0"/>
    <x v="0"/>
    <n v="100"/>
    <x v="0"/>
    <x v="0"/>
    <x v="0"/>
    <x v="0"/>
    <x v="3"/>
    <x v="1"/>
    <x v="3"/>
    <x v="1"/>
    <x v="1"/>
    <n v="23"/>
    <x v="0"/>
  </r>
  <r>
    <d v="2022-03-23T00:00:00"/>
    <x v="2"/>
    <x v="1"/>
    <x v="0"/>
    <n v="111181325.59999999"/>
    <x v="2"/>
    <x v="1"/>
    <x v="0"/>
    <x v="6"/>
    <x v="3"/>
    <x v="1"/>
    <x v="3"/>
    <x v="1"/>
    <x v="1"/>
    <n v="23"/>
    <x v="0"/>
  </r>
  <r>
    <d v="2022-03-23T00:00:00"/>
    <x v="3"/>
    <x v="2"/>
    <x v="0"/>
    <n v="323617939.63"/>
    <x v="3"/>
    <x v="2"/>
    <x v="0"/>
    <x v="11"/>
    <x v="3"/>
    <x v="1"/>
    <x v="3"/>
    <x v="1"/>
    <x v="1"/>
    <n v="23"/>
    <x v="0"/>
  </r>
  <r>
    <d v="2022-03-23T00:00:00"/>
    <x v="3"/>
    <x v="1"/>
    <x v="0"/>
    <n v="13169838.32"/>
    <x v="3"/>
    <x v="1"/>
    <x v="0"/>
    <x v="12"/>
    <x v="3"/>
    <x v="1"/>
    <x v="3"/>
    <x v="1"/>
    <x v="1"/>
    <n v="23"/>
    <x v="0"/>
  </r>
  <r>
    <d v="2022-03-23T00:00:00"/>
    <x v="3"/>
    <x v="2"/>
    <x v="1"/>
    <n v="10446039050.299999"/>
    <x v="3"/>
    <x v="2"/>
    <x v="1"/>
    <x v="13"/>
    <x v="3"/>
    <x v="1"/>
    <x v="3"/>
    <x v="1"/>
    <x v="1"/>
    <n v="23"/>
    <x v="0"/>
  </r>
  <r>
    <d v="2022-03-22T00:00:00"/>
    <x v="2"/>
    <x v="1"/>
    <x v="0"/>
    <n v="94323718.420000002"/>
    <x v="2"/>
    <x v="1"/>
    <x v="0"/>
    <x v="5"/>
    <x v="3"/>
    <x v="1"/>
    <x v="3"/>
    <x v="1"/>
    <x v="1"/>
    <n v="22"/>
    <x v="0"/>
  </r>
  <r>
    <d v="2022-03-22T00:00:00"/>
    <x v="1"/>
    <x v="1"/>
    <x v="0"/>
    <n v="110.5"/>
    <x v="1"/>
    <x v="1"/>
    <x v="0"/>
    <x v="0"/>
    <x v="3"/>
    <x v="1"/>
    <x v="3"/>
    <x v="1"/>
    <x v="1"/>
    <n v="22"/>
    <x v="0"/>
  </r>
  <r>
    <d v="2022-03-22T00:00:00"/>
    <x v="0"/>
    <x v="1"/>
    <x v="1"/>
    <n v="3905468.97"/>
    <x v="0"/>
    <x v="1"/>
    <x v="1"/>
    <x v="3"/>
    <x v="3"/>
    <x v="1"/>
    <x v="3"/>
    <x v="1"/>
    <x v="1"/>
    <n v="22"/>
    <x v="0"/>
  </r>
  <r>
    <d v="2022-03-22T00:00:00"/>
    <x v="0"/>
    <x v="1"/>
    <x v="0"/>
    <n v="18775983.129999999"/>
    <x v="0"/>
    <x v="1"/>
    <x v="0"/>
    <x v="1"/>
    <x v="3"/>
    <x v="1"/>
    <x v="3"/>
    <x v="1"/>
    <x v="1"/>
    <n v="22"/>
    <x v="0"/>
  </r>
  <r>
    <d v="2022-03-22T00:00:00"/>
    <x v="3"/>
    <x v="2"/>
    <x v="2"/>
    <n v="66909.429999999993"/>
    <x v="3"/>
    <x v="2"/>
    <x v="2"/>
    <x v="4"/>
    <x v="3"/>
    <x v="1"/>
    <x v="3"/>
    <x v="1"/>
    <x v="1"/>
    <n v="22"/>
    <x v="0"/>
  </r>
  <r>
    <d v="2022-03-22T00:00:00"/>
    <x v="2"/>
    <x v="1"/>
    <x v="2"/>
    <n v="18410"/>
    <x v="2"/>
    <x v="1"/>
    <x v="2"/>
    <x v="2"/>
    <x v="3"/>
    <x v="1"/>
    <x v="3"/>
    <x v="1"/>
    <x v="1"/>
    <n v="22"/>
    <x v="0"/>
  </r>
  <r>
    <d v="2022-03-22T00:00:00"/>
    <x v="3"/>
    <x v="3"/>
    <x v="0"/>
    <n v="2756452646.0999999"/>
    <x v="3"/>
    <x v="3"/>
    <x v="0"/>
    <x v="6"/>
    <x v="3"/>
    <x v="1"/>
    <x v="3"/>
    <x v="1"/>
    <x v="1"/>
    <n v="22"/>
    <x v="0"/>
  </r>
  <r>
    <d v="2022-03-22T00:00:00"/>
    <x v="2"/>
    <x v="1"/>
    <x v="1"/>
    <n v="264616714.83000001"/>
    <x v="2"/>
    <x v="1"/>
    <x v="1"/>
    <x v="7"/>
    <x v="3"/>
    <x v="1"/>
    <x v="3"/>
    <x v="1"/>
    <x v="1"/>
    <n v="22"/>
    <x v="0"/>
  </r>
  <r>
    <d v="2022-03-22T00:00:00"/>
    <x v="1"/>
    <x v="0"/>
    <x v="1"/>
    <n v="561791343.41999996"/>
    <x v="1"/>
    <x v="0"/>
    <x v="1"/>
    <x v="8"/>
    <x v="3"/>
    <x v="1"/>
    <x v="3"/>
    <x v="1"/>
    <x v="1"/>
    <n v="22"/>
    <x v="0"/>
  </r>
  <r>
    <d v="2022-03-22T00:00:00"/>
    <x v="1"/>
    <x v="0"/>
    <x v="0"/>
    <n v="83317592.329999998"/>
    <x v="1"/>
    <x v="0"/>
    <x v="0"/>
    <x v="9"/>
    <x v="3"/>
    <x v="1"/>
    <x v="3"/>
    <x v="1"/>
    <x v="1"/>
    <n v="22"/>
    <x v="0"/>
  </r>
  <r>
    <d v="2022-03-22T00:00:00"/>
    <x v="3"/>
    <x v="2"/>
    <x v="0"/>
    <n v="6467518681.1700001"/>
    <x v="3"/>
    <x v="2"/>
    <x v="0"/>
    <x v="10"/>
    <x v="3"/>
    <x v="1"/>
    <x v="3"/>
    <x v="1"/>
    <x v="1"/>
    <n v="22"/>
    <x v="0"/>
  </r>
  <r>
    <d v="2022-03-22T00:00:00"/>
    <x v="3"/>
    <x v="1"/>
    <x v="0"/>
    <n v="9982297.3300000001"/>
    <x v="3"/>
    <x v="1"/>
    <x v="0"/>
    <x v="11"/>
    <x v="3"/>
    <x v="1"/>
    <x v="3"/>
    <x v="1"/>
    <x v="1"/>
    <n v="22"/>
    <x v="0"/>
  </r>
  <r>
    <d v="2022-03-22T00:00:00"/>
    <x v="3"/>
    <x v="2"/>
    <x v="1"/>
    <n v="3646777204.4499998"/>
    <x v="3"/>
    <x v="2"/>
    <x v="1"/>
    <x v="12"/>
    <x v="3"/>
    <x v="1"/>
    <x v="3"/>
    <x v="1"/>
    <x v="1"/>
    <n v="22"/>
    <x v="0"/>
  </r>
  <r>
    <d v="2022-03-21T00:00:00"/>
    <x v="2"/>
    <x v="1"/>
    <x v="0"/>
    <n v="86295236.359999999"/>
    <x v="2"/>
    <x v="1"/>
    <x v="0"/>
    <x v="5"/>
    <x v="3"/>
    <x v="1"/>
    <x v="3"/>
    <x v="1"/>
    <x v="1"/>
    <n v="21"/>
    <x v="0"/>
  </r>
  <r>
    <d v="2022-03-21T00:00:00"/>
    <x v="2"/>
    <x v="1"/>
    <x v="2"/>
    <n v="32413.83"/>
    <x v="2"/>
    <x v="1"/>
    <x v="2"/>
    <x v="2"/>
    <x v="3"/>
    <x v="1"/>
    <x v="3"/>
    <x v="1"/>
    <x v="1"/>
    <n v="21"/>
    <x v="0"/>
  </r>
  <r>
    <d v="2022-03-21T00:00:00"/>
    <x v="1"/>
    <x v="1"/>
    <x v="0"/>
    <n v="74315.08"/>
    <x v="1"/>
    <x v="1"/>
    <x v="0"/>
    <x v="0"/>
    <x v="3"/>
    <x v="1"/>
    <x v="3"/>
    <x v="1"/>
    <x v="1"/>
    <n v="21"/>
    <x v="0"/>
  </r>
  <r>
    <d v="2022-03-21T00:00:00"/>
    <x v="0"/>
    <x v="1"/>
    <x v="0"/>
    <n v="9708234.3900000006"/>
    <x v="0"/>
    <x v="1"/>
    <x v="0"/>
    <x v="1"/>
    <x v="3"/>
    <x v="1"/>
    <x v="3"/>
    <x v="1"/>
    <x v="1"/>
    <n v="21"/>
    <x v="0"/>
  </r>
  <r>
    <d v="2022-03-21T00:00:00"/>
    <x v="0"/>
    <x v="1"/>
    <x v="1"/>
    <n v="8596594.1199999992"/>
    <x v="0"/>
    <x v="1"/>
    <x v="1"/>
    <x v="3"/>
    <x v="3"/>
    <x v="1"/>
    <x v="3"/>
    <x v="1"/>
    <x v="1"/>
    <n v="21"/>
    <x v="0"/>
  </r>
  <r>
    <d v="2022-03-21T00:00:00"/>
    <x v="1"/>
    <x v="0"/>
    <x v="1"/>
    <n v="586845686.60000002"/>
    <x v="1"/>
    <x v="0"/>
    <x v="1"/>
    <x v="8"/>
    <x v="3"/>
    <x v="1"/>
    <x v="3"/>
    <x v="1"/>
    <x v="1"/>
    <n v="21"/>
    <x v="0"/>
  </r>
  <r>
    <d v="2022-03-21T00:00:00"/>
    <x v="1"/>
    <x v="0"/>
    <x v="0"/>
    <n v="91982169.370000005"/>
    <x v="1"/>
    <x v="0"/>
    <x v="0"/>
    <x v="9"/>
    <x v="3"/>
    <x v="1"/>
    <x v="3"/>
    <x v="1"/>
    <x v="1"/>
    <n v="21"/>
    <x v="0"/>
  </r>
  <r>
    <d v="2022-03-21T00:00:00"/>
    <x v="3"/>
    <x v="2"/>
    <x v="2"/>
    <n v="348256"/>
    <x v="3"/>
    <x v="2"/>
    <x v="2"/>
    <x v="4"/>
    <x v="3"/>
    <x v="1"/>
    <x v="3"/>
    <x v="1"/>
    <x v="1"/>
    <n v="21"/>
    <x v="0"/>
  </r>
  <r>
    <d v="2022-03-21T00:00:00"/>
    <x v="3"/>
    <x v="3"/>
    <x v="0"/>
    <n v="2502611725.8699999"/>
    <x v="3"/>
    <x v="3"/>
    <x v="0"/>
    <x v="6"/>
    <x v="3"/>
    <x v="1"/>
    <x v="3"/>
    <x v="1"/>
    <x v="1"/>
    <n v="21"/>
    <x v="0"/>
  </r>
  <r>
    <d v="2022-03-21T00:00:00"/>
    <x v="2"/>
    <x v="1"/>
    <x v="1"/>
    <n v="173959733.19999999"/>
    <x v="2"/>
    <x v="1"/>
    <x v="1"/>
    <x v="7"/>
    <x v="3"/>
    <x v="1"/>
    <x v="3"/>
    <x v="1"/>
    <x v="1"/>
    <n v="21"/>
    <x v="0"/>
  </r>
  <r>
    <d v="2022-03-21T00:00:00"/>
    <x v="3"/>
    <x v="2"/>
    <x v="0"/>
    <n v="707262384.54999995"/>
    <x v="3"/>
    <x v="2"/>
    <x v="0"/>
    <x v="10"/>
    <x v="3"/>
    <x v="1"/>
    <x v="3"/>
    <x v="1"/>
    <x v="1"/>
    <n v="21"/>
    <x v="0"/>
  </r>
  <r>
    <d v="2022-03-21T00:00:00"/>
    <x v="3"/>
    <x v="2"/>
    <x v="1"/>
    <n v="25140673456.48"/>
    <x v="3"/>
    <x v="2"/>
    <x v="1"/>
    <x v="11"/>
    <x v="3"/>
    <x v="1"/>
    <x v="3"/>
    <x v="1"/>
    <x v="1"/>
    <n v="21"/>
    <x v="0"/>
  </r>
  <r>
    <d v="2022-03-21T00:00:00"/>
    <x v="3"/>
    <x v="1"/>
    <x v="0"/>
    <n v="41349909.82"/>
    <x v="3"/>
    <x v="1"/>
    <x v="0"/>
    <x v="12"/>
    <x v="3"/>
    <x v="1"/>
    <x v="3"/>
    <x v="1"/>
    <x v="1"/>
    <n v="21"/>
    <x v="0"/>
  </r>
  <r>
    <d v="2022-03-18T00:00:00"/>
    <x v="0"/>
    <x v="1"/>
    <x v="0"/>
    <n v="16760217.789999999"/>
    <x v="0"/>
    <x v="1"/>
    <x v="0"/>
    <x v="1"/>
    <x v="3"/>
    <x v="1"/>
    <x v="3"/>
    <x v="1"/>
    <x v="1"/>
    <n v="18"/>
    <x v="0"/>
  </r>
  <r>
    <d v="2022-03-18T00:00:00"/>
    <x v="2"/>
    <x v="1"/>
    <x v="2"/>
    <n v="1405"/>
    <x v="2"/>
    <x v="1"/>
    <x v="2"/>
    <x v="2"/>
    <x v="3"/>
    <x v="1"/>
    <x v="3"/>
    <x v="1"/>
    <x v="1"/>
    <n v="18"/>
    <x v="0"/>
  </r>
  <r>
    <d v="2022-03-18T00:00:00"/>
    <x v="1"/>
    <x v="1"/>
    <x v="0"/>
    <n v="4116.5"/>
    <x v="1"/>
    <x v="1"/>
    <x v="0"/>
    <x v="0"/>
    <x v="3"/>
    <x v="1"/>
    <x v="3"/>
    <x v="1"/>
    <x v="1"/>
    <n v="18"/>
    <x v="0"/>
  </r>
  <r>
    <d v="2022-03-18T00:00:00"/>
    <x v="3"/>
    <x v="3"/>
    <x v="0"/>
    <n v="2478792335.3200002"/>
    <x v="3"/>
    <x v="3"/>
    <x v="0"/>
    <x v="6"/>
    <x v="3"/>
    <x v="1"/>
    <x v="3"/>
    <x v="1"/>
    <x v="1"/>
    <n v="18"/>
    <x v="0"/>
  </r>
  <r>
    <d v="2022-03-18T00:00:00"/>
    <x v="2"/>
    <x v="1"/>
    <x v="1"/>
    <n v="210599651.31999999"/>
    <x v="2"/>
    <x v="1"/>
    <x v="1"/>
    <x v="7"/>
    <x v="3"/>
    <x v="1"/>
    <x v="3"/>
    <x v="1"/>
    <x v="1"/>
    <n v="18"/>
    <x v="0"/>
  </r>
  <r>
    <d v="2022-03-18T00:00:00"/>
    <x v="0"/>
    <x v="1"/>
    <x v="1"/>
    <n v="13469992.529999999"/>
    <x v="0"/>
    <x v="1"/>
    <x v="1"/>
    <x v="3"/>
    <x v="3"/>
    <x v="1"/>
    <x v="3"/>
    <x v="1"/>
    <x v="1"/>
    <n v="18"/>
    <x v="0"/>
  </r>
  <r>
    <d v="2022-03-18T00:00:00"/>
    <x v="1"/>
    <x v="0"/>
    <x v="1"/>
    <n v="229682409.00999999"/>
    <x v="1"/>
    <x v="0"/>
    <x v="1"/>
    <x v="9"/>
    <x v="3"/>
    <x v="1"/>
    <x v="3"/>
    <x v="1"/>
    <x v="1"/>
    <n v="18"/>
    <x v="0"/>
  </r>
  <r>
    <d v="2022-03-18T00:00:00"/>
    <x v="3"/>
    <x v="2"/>
    <x v="2"/>
    <n v="186726.82"/>
    <x v="3"/>
    <x v="2"/>
    <x v="2"/>
    <x v="4"/>
    <x v="3"/>
    <x v="1"/>
    <x v="3"/>
    <x v="1"/>
    <x v="1"/>
    <n v="18"/>
    <x v="0"/>
  </r>
  <r>
    <d v="2022-03-18T00:00:00"/>
    <x v="2"/>
    <x v="1"/>
    <x v="0"/>
    <n v="111244520.05"/>
    <x v="2"/>
    <x v="1"/>
    <x v="0"/>
    <x v="5"/>
    <x v="3"/>
    <x v="1"/>
    <x v="3"/>
    <x v="1"/>
    <x v="1"/>
    <n v="18"/>
    <x v="0"/>
  </r>
  <r>
    <d v="2022-03-18T00:00:00"/>
    <x v="1"/>
    <x v="0"/>
    <x v="0"/>
    <n v="89906058.450000003"/>
    <x v="1"/>
    <x v="0"/>
    <x v="0"/>
    <x v="8"/>
    <x v="3"/>
    <x v="1"/>
    <x v="3"/>
    <x v="1"/>
    <x v="1"/>
    <n v="18"/>
    <x v="0"/>
  </r>
  <r>
    <d v="2022-03-18T00:00:00"/>
    <x v="3"/>
    <x v="2"/>
    <x v="0"/>
    <n v="454745569.25"/>
    <x v="3"/>
    <x v="2"/>
    <x v="0"/>
    <x v="10"/>
    <x v="3"/>
    <x v="1"/>
    <x v="3"/>
    <x v="1"/>
    <x v="1"/>
    <n v="18"/>
    <x v="0"/>
  </r>
  <r>
    <d v="2022-03-18T00:00:00"/>
    <x v="3"/>
    <x v="1"/>
    <x v="0"/>
    <n v="13438475.82"/>
    <x v="3"/>
    <x v="1"/>
    <x v="0"/>
    <x v="11"/>
    <x v="3"/>
    <x v="1"/>
    <x v="3"/>
    <x v="1"/>
    <x v="1"/>
    <n v="18"/>
    <x v="0"/>
  </r>
  <r>
    <d v="2022-03-18T00:00:00"/>
    <x v="3"/>
    <x v="2"/>
    <x v="1"/>
    <n v="13614275111.110001"/>
    <x v="3"/>
    <x v="2"/>
    <x v="1"/>
    <x v="12"/>
    <x v="3"/>
    <x v="1"/>
    <x v="3"/>
    <x v="1"/>
    <x v="1"/>
    <n v="18"/>
    <x v="0"/>
  </r>
  <r>
    <d v="2022-03-17T00:00:00"/>
    <x v="0"/>
    <x v="1"/>
    <x v="0"/>
    <n v="9436789.8100000005"/>
    <x v="0"/>
    <x v="1"/>
    <x v="0"/>
    <x v="0"/>
    <x v="3"/>
    <x v="1"/>
    <x v="3"/>
    <x v="1"/>
    <x v="1"/>
    <n v="17"/>
    <x v="0"/>
  </r>
  <r>
    <d v="2022-03-17T00:00:00"/>
    <x v="2"/>
    <x v="1"/>
    <x v="0"/>
    <n v="124099591.70999999"/>
    <x v="2"/>
    <x v="1"/>
    <x v="0"/>
    <x v="5"/>
    <x v="3"/>
    <x v="1"/>
    <x v="3"/>
    <x v="1"/>
    <x v="1"/>
    <n v="17"/>
    <x v="0"/>
  </r>
  <r>
    <d v="2022-03-17T00:00:00"/>
    <x v="2"/>
    <x v="1"/>
    <x v="1"/>
    <n v="211117893.66999999"/>
    <x v="2"/>
    <x v="1"/>
    <x v="1"/>
    <x v="6"/>
    <x v="3"/>
    <x v="1"/>
    <x v="3"/>
    <x v="1"/>
    <x v="1"/>
    <n v="17"/>
    <x v="0"/>
  </r>
  <r>
    <d v="2022-03-17T00:00:00"/>
    <x v="0"/>
    <x v="1"/>
    <x v="1"/>
    <n v="10643813.710000001"/>
    <x v="0"/>
    <x v="1"/>
    <x v="1"/>
    <x v="2"/>
    <x v="3"/>
    <x v="1"/>
    <x v="3"/>
    <x v="1"/>
    <x v="1"/>
    <n v="17"/>
    <x v="0"/>
  </r>
  <r>
    <d v="2022-03-17T00:00:00"/>
    <x v="1"/>
    <x v="0"/>
    <x v="1"/>
    <n v="412845469.38"/>
    <x v="1"/>
    <x v="0"/>
    <x v="1"/>
    <x v="7"/>
    <x v="3"/>
    <x v="1"/>
    <x v="3"/>
    <x v="1"/>
    <x v="1"/>
    <n v="17"/>
    <x v="0"/>
  </r>
  <r>
    <d v="2022-03-17T00:00:00"/>
    <x v="2"/>
    <x v="1"/>
    <x v="2"/>
    <n v="5810"/>
    <x v="2"/>
    <x v="1"/>
    <x v="2"/>
    <x v="3"/>
    <x v="3"/>
    <x v="1"/>
    <x v="3"/>
    <x v="1"/>
    <x v="1"/>
    <n v="17"/>
    <x v="0"/>
  </r>
  <r>
    <d v="2022-03-17T00:00:00"/>
    <x v="3"/>
    <x v="2"/>
    <x v="2"/>
    <n v="576178.02"/>
    <x v="3"/>
    <x v="2"/>
    <x v="2"/>
    <x v="4"/>
    <x v="3"/>
    <x v="1"/>
    <x v="3"/>
    <x v="1"/>
    <x v="1"/>
    <n v="17"/>
    <x v="0"/>
  </r>
  <r>
    <d v="2022-03-17T00:00:00"/>
    <x v="3"/>
    <x v="3"/>
    <x v="1"/>
    <n v="5930.58"/>
    <x v="3"/>
    <x v="3"/>
    <x v="1"/>
    <x v="1"/>
    <x v="3"/>
    <x v="1"/>
    <x v="3"/>
    <x v="1"/>
    <x v="1"/>
    <n v="17"/>
    <x v="0"/>
  </r>
  <r>
    <d v="2022-03-17T00:00:00"/>
    <x v="1"/>
    <x v="0"/>
    <x v="0"/>
    <n v="85100905.189999998"/>
    <x v="1"/>
    <x v="0"/>
    <x v="0"/>
    <x v="8"/>
    <x v="3"/>
    <x v="1"/>
    <x v="3"/>
    <x v="1"/>
    <x v="1"/>
    <n v="17"/>
    <x v="0"/>
  </r>
  <r>
    <d v="2022-03-17T00:00:00"/>
    <x v="3"/>
    <x v="2"/>
    <x v="0"/>
    <n v="530519333.67000002"/>
    <x v="3"/>
    <x v="2"/>
    <x v="0"/>
    <x v="9"/>
    <x v="3"/>
    <x v="1"/>
    <x v="3"/>
    <x v="1"/>
    <x v="1"/>
    <n v="17"/>
    <x v="0"/>
  </r>
  <r>
    <d v="2022-03-17T00:00:00"/>
    <x v="3"/>
    <x v="3"/>
    <x v="0"/>
    <n v="2206374207.1300001"/>
    <x v="3"/>
    <x v="3"/>
    <x v="0"/>
    <x v="10"/>
    <x v="3"/>
    <x v="1"/>
    <x v="3"/>
    <x v="1"/>
    <x v="1"/>
    <n v="17"/>
    <x v="0"/>
  </r>
  <r>
    <d v="2022-03-17T00:00:00"/>
    <x v="3"/>
    <x v="1"/>
    <x v="0"/>
    <n v="13741753.800000001"/>
    <x v="3"/>
    <x v="1"/>
    <x v="0"/>
    <x v="11"/>
    <x v="3"/>
    <x v="1"/>
    <x v="3"/>
    <x v="1"/>
    <x v="1"/>
    <n v="17"/>
    <x v="0"/>
  </r>
  <r>
    <d v="2022-03-17T00:00:00"/>
    <x v="3"/>
    <x v="2"/>
    <x v="1"/>
    <n v="6047501908.1700001"/>
    <x v="3"/>
    <x v="2"/>
    <x v="1"/>
    <x v="12"/>
    <x v="3"/>
    <x v="1"/>
    <x v="3"/>
    <x v="1"/>
    <x v="1"/>
    <n v="17"/>
    <x v="0"/>
  </r>
  <r>
    <d v="2022-03-16T00:00:00"/>
    <x v="1"/>
    <x v="1"/>
    <x v="0"/>
    <n v="26"/>
    <x v="1"/>
    <x v="1"/>
    <x v="0"/>
    <x v="0"/>
    <x v="3"/>
    <x v="1"/>
    <x v="3"/>
    <x v="1"/>
    <x v="1"/>
    <n v="16"/>
    <x v="0"/>
  </r>
  <r>
    <d v="2022-03-16T00:00:00"/>
    <x v="0"/>
    <x v="1"/>
    <x v="0"/>
    <n v="21556055.850000001"/>
    <x v="0"/>
    <x v="1"/>
    <x v="0"/>
    <x v="2"/>
    <x v="3"/>
    <x v="1"/>
    <x v="3"/>
    <x v="1"/>
    <x v="1"/>
    <n v="16"/>
    <x v="0"/>
  </r>
  <r>
    <d v="2022-03-16T00:00:00"/>
    <x v="2"/>
    <x v="1"/>
    <x v="1"/>
    <n v="329642041"/>
    <x v="2"/>
    <x v="1"/>
    <x v="1"/>
    <x v="9"/>
    <x v="3"/>
    <x v="1"/>
    <x v="3"/>
    <x v="1"/>
    <x v="1"/>
    <n v="16"/>
    <x v="0"/>
  </r>
  <r>
    <d v="2022-03-16T00:00:00"/>
    <x v="0"/>
    <x v="1"/>
    <x v="1"/>
    <n v="9316618.5399999991"/>
    <x v="0"/>
    <x v="1"/>
    <x v="1"/>
    <x v="4"/>
    <x v="3"/>
    <x v="1"/>
    <x v="3"/>
    <x v="1"/>
    <x v="1"/>
    <n v="16"/>
    <x v="0"/>
  </r>
  <r>
    <d v="2022-03-16T00:00:00"/>
    <x v="2"/>
    <x v="1"/>
    <x v="2"/>
    <n v="123934.88"/>
    <x v="2"/>
    <x v="1"/>
    <x v="2"/>
    <x v="5"/>
    <x v="3"/>
    <x v="1"/>
    <x v="3"/>
    <x v="1"/>
    <x v="1"/>
    <n v="16"/>
    <x v="0"/>
  </r>
  <r>
    <d v="2022-03-16T00:00:00"/>
    <x v="3"/>
    <x v="2"/>
    <x v="2"/>
    <n v="237170.24"/>
    <x v="3"/>
    <x v="2"/>
    <x v="2"/>
    <x v="6"/>
    <x v="3"/>
    <x v="1"/>
    <x v="3"/>
    <x v="1"/>
    <x v="1"/>
    <n v="16"/>
    <x v="0"/>
  </r>
  <r>
    <d v="2022-03-16T00:00:00"/>
    <x v="0"/>
    <x v="0"/>
    <x v="0"/>
    <n v="962.78"/>
    <x v="0"/>
    <x v="0"/>
    <x v="0"/>
    <x v="1"/>
    <x v="3"/>
    <x v="1"/>
    <x v="3"/>
    <x v="1"/>
    <x v="1"/>
    <n v="16"/>
    <x v="0"/>
  </r>
  <r>
    <d v="2022-03-16T00:00:00"/>
    <x v="3"/>
    <x v="3"/>
    <x v="0"/>
    <n v="1543134703.55"/>
    <x v="3"/>
    <x v="3"/>
    <x v="0"/>
    <x v="7"/>
    <x v="3"/>
    <x v="1"/>
    <x v="3"/>
    <x v="1"/>
    <x v="1"/>
    <n v="16"/>
    <x v="0"/>
  </r>
  <r>
    <d v="2022-03-16T00:00:00"/>
    <x v="3"/>
    <x v="3"/>
    <x v="1"/>
    <n v="34.950000000000003"/>
    <x v="3"/>
    <x v="3"/>
    <x v="1"/>
    <x v="3"/>
    <x v="3"/>
    <x v="1"/>
    <x v="3"/>
    <x v="1"/>
    <x v="1"/>
    <n v="16"/>
    <x v="0"/>
  </r>
  <r>
    <d v="2022-03-16T00:00:00"/>
    <x v="2"/>
    <x v="1"/>
    <x v="0"/>
    <n v="125984981.44"/>
    <x v="2"/>
    <x v="1"/>
    <x v="0"/>
    <x v="8"/>
    <x v="3"/>
    <x v="1"/>
    <x v="3"/>
    <x v="1"/>
    <x v="1"/>
    <n v="16"/>
    <x v="0"/>
  </r>
  <r>
    <d v="2022-03-16T00:00:00"/>
    <x v="1"/>
    <x v="0"/>
    <x v="1"/>
    <n v="917459182.90999997"/>
    <x v="1"/>
    <x v="0"/>
    <x v="1"/>
    <x v="10"/>
    <x v="3"/>
    <x v="1"/>
    <x v="3"/>
    <x v="1"/>
    <x v="1"/>
    <n v="16"/>
    <x v="0"/>
  </r>
  <r>
    <d v="2022-03-16T00:00:00"/>
    <x v="1"/>
    <x v="0"/>
    <x v="0"/>
    <n v="94588845.980000004"/>
    <x v="1"/>
    <x v="0"/>
    <x v="0"/>
    <x v="11"/>
    <x v="3"/>
    <x v="1"/>
    <x v="3"/>
    <x v="1"/>
    <x v="1"/>
    <n v="16"/>
    <x v="0"/>
  </r>
  <r>
    <d v="2022-03-16T00:00:00"/>
    <x v="3"/>
    <x v="2"/>
    <x v="0"/>
    <n v="343973416.12"/>
    <x v="3"/>
    <x v="2"/>
    <x v="0"/>
    <x v="12"/>
    <x v="3"/>
    <x v="1"/>
    <x v="3"/>
    <x v="1"/>
    <x v="1"/>
    <n v="16"/>
    <x v="0"/>
  </r>
  <r>
    <d v="2022-03-16T00:00:00"/>
    <x v="3"/>
    <x v="1"/>
    <x v="0"/>
    <n v="14644515.720000001"/>
    <x v="3"/>
    <x v="1"/>
    <x v="0"/>
    <x v="13"/>
    <x v="3"/>
    <x v="1"/>
    <x v="3"/>
    <x v="1"/>
    <x v="1"/>
    <n v="16"/>
    <x v="0"/>
  </r>
  <r>
    <d v="2022-03-16T00:00:00"/>
    <x v="3"/>
    <x v="2"/>
    <x v="1"/>
    <n v="33828562060.59"/>
    <x v="3"/>
    <x v="2"/>
    <x v="1"/>
    <x v="14"/>
    <x v="3"/>
    <x v="1"/>
    <x v="3"/>
    <x v="1"/>
    <x v="1"/>
    <n v="16"/>
    <x v="0"/>
  </r>
  <r>
    <d v="2022-03-15T00:00:00"/>
    <x v="1"/>
    <x v="1"/>
    <x v="0"/>
    <n v="678"/>
    <x v="1"/>
    <x v="1"/>
    <x v="0"/>
    <x v="0"/>
    <x v="3"/>
    <x v="1"/>
    <x v="3"/>
    <x v="1"/>
    <x v="1"/>
    <n v="15"/>
    <x v="0"/>
  </r>
  <r>
    <d v="2022-03-15T00:00:00"/>
    <x v="0"/>
    <x v="1"/>
    <x v="0"/>
    <n v="37504765.159999996"/>
    <x v="0"/>
    <x v="1"/>
    <x v="0"/>
    <x v="1"/>
    <x v="3"/>
    <x v="1"/>
    <x v="3"/>
    <x v="1"/>
    <x v="1"/>
    <n v="15"/>
    <x v="0"/>
  </r>
  <r>
    <d v="2022-03-15T00:00:00"/>
    <x v="2"/>
    <x v="1"/>
    <x v="2"/>
    <n v="22395"/>
    <x v="2"/>
    <x v="1"/>
    <x v="2"/>
    <x v="2"/>
    <x v="3"/>
    <x v="1"/>
    <x v="3"/>
    <x v="1"/>
    <x v="1"/>
    <n v="15"/>
    <x v="0"/>
  </r>
  <r>
    <d v="2022-03-15T00:00:00"/>
    <x v="3"/>
    <x v="3"/>
    <x v="0"/>
    <n v="1721530895.8199999"/>
    <x v="3"/>
    <x v="3"/>
    <x v="0"/>
    <x v="7"/>
    <x v="3"/>
    <x v="1"/>
    <x v="3"/>
    <x v="1"/>
    <x v="1"/>
    <n v="15"/>
    <x v="0"/>
  </r>
  <r>
    <d v="2022-03-15T00:00:00"/>
    <x v="0"/>
    <x v="1"/>
    <x v="1"/>
    <n v="10448230.59"/>
    <x v="0"/>
    <x v="1"/>
    <x v="1"/>
    <x v="3"/>
    <x v="3"/>
    <x v="1"/>
    <x v="3"/>
    <x v="1"/>
    <x v="1"/>
    <n v="15"/>
    <x v="0"/>
  </r>
  <r>
    <d v="2022-03-15T00:00:00"/>
    <x v="1"/>
    <x v="0"/>
    <x v="0"/>
    <n v="87562103.709999993"/>
    <x v="1"/>
    <x v="0"/>
    <x v="0"/>
    <x v="9"/>
    <x v="3"/>
    <x v="1"/>
    <x v="3"/>
    <x v="1"/>
    <x v="1"/>
    <n v="15"/>
    <x v="0"/>
  </r>
  <r>
    <d v="2022-03-15T00:00:00"/>
    <x v="3"/>
    <x v="2"/>
    <x v="2"/>
    <n v="282426.99"/>
    <x v="3"/>
    <x v="2"/>
    <x v="2"/>
    <x v="4"/>
    <x v="3"/>
    <x v="1"/>
    <x v="3"/>
    <x v="1"/>
    <x v="1"/>
    <n v="15"/>
    <x v="0"/>
  </r>
  <r>
    <d v="2022-03-15T00:00:00"/>
    <x v="2"/>
    <x v="1"/>
    <x v="0"/>
    <n v="118338034.06999999"/>
    <x v="2"/>
    <x v="1"/>
    <x v="0"/>
    <x v="5"/>
    <x v="3"/>
    <x v="1"/>
    <x v="3"/>
    <x v="1"/>
    <x v="1"/>
    <n v="15"/>
    <x v="0"/>
  </r>
  <r>
    <d v="2022-03-15T00:00:00"/>
    <x v="2"/>
    <x v="1"/>
    <x v="1"/>
    <n v="784198160.05999994"/>
    <x v="2"/>
    <x v="1"/>
    <x v="1"/>
    <x v="6"/>
    <x v="3"/>
    <x v="1"/>
    <x v="3"/>
    <x v="1"/>
    <x v="1"/>
    <n v="15"/>
    <x v="0"/>
  </r>
  <r>
    <d v="2022-03-15T00:00:00"/>
    <x v="1"/>
    <x v="0"/>
    <x v="1"/>
    <n v="408711462.75"/>
    <x v="1"/>
    <x v="0"/>
    <x v="1"/>
    <x v="8"/>
    <x v="3"/>
    <x v="1"/>
    <x v="3"/>
    <x v="1"/>
    <x v="1"/>
    <n v="15"/>
    <x v="0"/>
  </r>
  <r>
    <d v="2022-03-15T00:00:00"/>
    <x v="3"/>
    <x v="2"/>
    <x v="0"/>
    <n v="634722592.50999999"/>
    <x v="3"/>
    <x v="2"/>
    <x v="0"/>
    <x v="10"/>
    <x v="3"/>
    <x v="1"/>
    <x v="3"/>
    <x v="1"/>
    <x v="1"/>
    <n v="15"/>
    <x v="0"/>
  </r>
  <r>
    <d v="2022-03-15T00:00:00"/>
    <x v="3"/>
    <x v="1"/>
    <x v="0"/>
    <n v="10451047.84"/>
    <x v="3"/>
    <x v="1"/>
    <x v="0"/>
    <x v="11"/>
    <x v="3"/>
    <x v="1"/>
    <x v="3"/>
    <x v="1"/>
    <x v="1"/>
    <n v="15"/>
    <x v="0"/>
  </r>
  <r>
    <d v="2022-03-15T00:00:00"/>
    <x v="3"/>
    <x v="2"/>
    <x v="1"/>
    <n v="16183041582.1"/>
    <x v="3"/>
    <x v="2"/>
    <x v="1"/>
    <x v="12"/>
    <x v="3"/>
    <x v="1"/>
    <x v="3"/>
    <x v="1"/>
    <x v="1"/>
    <n v="15"/>
    <x v="0"/>
  </r>
  <r>
    <d v="2022-03-14T00:00:00"/>
    <x v="1"/>
    <x v="1"/>
    <x v="0"/>
    <n v="59824.98"/>
    <x v="1"/>
    <x v="1"/>
    <x v="0"/>
    <x v="0"/>
    <x v="3"/>
    <x v="1"/>
    <x v="3"/>
    <x v="1"/>
    <x v="1"/>
    <n v="14"/>
    <x v="0"/>
  </r>
  <r>
    <d v="2022-03-14T00:00:00"/>
    <x v="0"/>
    <x v="1"/>
    <x v="0"/>
    <n v="10985542.539999999"/>
    <x v="0"/>
    <x v="1"/>
    <x v="0"/>
    <x v="1"/>
    <x v="3"/>
    <x v="1"/>
    <x v="3"/>
    <x v="1"/>
    <x v="1"/>
    <n v="14"/>
    <x v="0"/>
  </r>
  <r>
    <d v="2022-03-14T00:00:00"/>
    <x v="2"/>
    <x v="1"/>
    <x v="0"/>
    <n v="62242999.020000003"/>
    <x v="2"/>
    <x v="1"/>
    <x v="0"/>
    <x v="6"/>
    <x v="3"/>
    <x v="1"/>
    <x v="3"/>
    <x v="1"/>
    <x v="1"/>
    <n v="14"/>
    <x v="0"/>
  </r>
  <r>
    <d v="2022-03-14T00:00:00"/>
    <x v="0"/>
    <x v="1"/>
    <x v="1"/>
    <n v="15660913.18"/>
    <x v="0"/>
    <x v="1"/>
    <x v="1"/>
    <x v="2"/>
    <x v="3"/>
    <x v="1"/>
    <x v="3"/>
    <x v="1"/>
    <x v="1"/>
    <n v="14"/>
    <x v="0"/>
  </r>
  <r>
    <d v="2022-03-14T00:00:00"/>
    <x v="1"/>
    <x v="0"/>
    <x v="1"/>
    <n v="369863675.17000002"/>
    <x v="1"/>
    <x v="0"/>
    <x v="1"/>
    <x v="8"/>
    <x v="3"/>
    <x v="1"/>
    <x v="3"/>
    <x v="1"/>
    <x v="1"/>
    <n v="14"/>
    <x v="0"/>
  </r>
  <r>
    <d v="2022-03-14T00:00:00"/>
    <x v="2"/>
    <x v="1"/>
    <x v="2"/>
    <n v="31122.93"/>
    <x v="2"/>
    <x v="1"/>
    <x v="2"/>
    <x v="3"/>
    <x v="3"/>
    <x v="1"/>
    <x v="3"/>
    <x v="1"/>
    <x v="1"/>
    <n v="14"/>
    <x v="0"/>
  </r>
  <r>
    <d v="2022-03-14T00:00:00"/>
    <x v="3"/>
    <x v="2"/>
    <x v="2"/>
    <n v="269897"/>
    <x v="3"/>
    <x v="2"/>
    <x v="2"/>
    <x v="4"/>
    <x v="3"/>
    <x v="1"/>
    <x v="3"/>
    <x v="1"/>
    <x v="1"/>
    <n v="14"/>
    <x v="0"/>
  </r>
  <r>
    <d v="2022-03-14T00:00:00"/>
    <x v="2"/>
    <x v="1"/>
    <x v="1"/>
    <n v="122996761.14"/>
    <x v="2"/>
    <x v="1"/>
    <x v="1"/>
    <x v="7"/>
    <x v="3"/>
    <x v="1"/>
    <x v="3"/>
    <x v="1"/>
    <x v="1"/>
    <n v="14"/>
    <x v="0"/>
  </r>
  <r>
    <d v="2022-03-14T00:00:00"/>
    <x v="3"/>
    <x v="3"/>
    <x v="0"/>
    <n v="1495718671.72"/>
    <x v="3"/>
    <x v="3"/>
    <x v="0"/>
    <x v="5"/>
    <x v="3"/>
    <x v="1"/>
    <x v="3"/>
    <x v="1"/>
    <x v="1"/>
    <n v="14"/>
    <x v="0"/>
  </r>
  <r>
    <d v="2022-03-14T00:00:00"/>
    <x v="1"/>
    <x v="0"/>
    <x v="0"/>
    <n v="66212672.880000003"/>
    <x v="1"/>
    <x v="0"/>
    <x v="0"/>
    <x v="9"/>
    <x v="3"/>
    <x v="1"/>
    <x v="3"/>
    <x v="1"/>
    <x v="1"/>
    <n v="14"/>
    <x v="0"/>
  </r>
  <r>
    <d v="2022-03-14T00:00:00"/>
    <x v="3"/>
    <x v="2"/>
    <x v="0"/>
    <n v="587163494.70000005"/>
    <x v="3"/>
    <x v="2"/>
    <x v="0"/>
    <x v="10"/>
    <x v="3"/>
    <x v="1"/>
    <x v="3"/>
    <x v="1"/>
    <x v="1"/>
    <n v="14"/>
    <x v="0"/>
  </r>
  <r>
    <d v="2022-03-14T00:00:00"/>
    <x v="3"/>
    <x v="2"/>
    <x v="1"/>
    <n v="35194174628.959999"/>
    <x v="3"/>
    <x v="2"/>
    <x v="1"/>
    <x v="11"/>
    <x v="3"/>
    <x v="1"/>
    <x v="3"/>
    <x v="1"/>
    <x v="1"/>
    <n v="14"/>
    <x v="0"/>
  </r>
  <r>
    <d v="2022-03-14T00:00:00"/>
    <x v="3"/>
    <x v="1"/>
    <x v="0"/>
    <n v="42727031.609999999"/>
    <x v="3"/>
    <x v="1"/>
    <x v="0"/>
    <x v="12"/>
    <x v="3"/>
    <x v="1"/>
    <x v="3"/>
    <x v="1"/>
    <x v="1"/>
    <n v="14"/>
    <x v="0"/>
  </r>
  <r>
    <d v="2022-03-11T00:00:00"/>
    <x v="1"/>
    <x v="1"/>
    <x v="0"/>
    <n v="8287.32"/>
    <x v="1"/>
    <x v="1"/>
    <x v="0"/>
    <x v="1"/>
    <x v="3"/>
    <x v="1"/>
    <x v="3"/>
    <x v="1"/>
    <x v="1"/>
    <n v="11"/>
    <x v="0"/>
  </r>
  <r>
    <d v="2022-03-11T00:00:00"/>
    <x v="2"/>
    <x v="1"/>
    <x v="2"/>
    <n v="8005"/>
    <x v="2"/>
    <x v="1"/>
    <x v="2"/>
    <x v="3"/>
    <x v="3"/>
    <x v="1"/>
    <x v="3"/>
    <x v="1"/>
    <x v="1"/>
    <n v="11"/>
    <x v="0"/>
  </r>
  <r>
    <d v="2022-03-11T00:00:00"/>
    <x v="2"/>
    <x v="1"/>
    <x v="0"/>
    <n v="114242613.14"/>
    <x v="2"/>
    <x v="1"/>
    <x v="0"/>
    <x v="6"/>
    <x v="3"/>
    <x v="1"/>
    <x v="3"/>
    <x v="1"/>
    <x v="1"/>
    <n v="11"/>
    <x v="0"/>
  </r>
  <r>
    <d v="2022-03-11T00:00:00"/>
    <x v="3"/>
    <x v="3"/>
    <x v="0"/>
    <n v="2222640927.9400001"/>
    <x v="3"/>
    <x v="3"/>
    <x v="0"/>
    <x v="7"/>
    <x v="3"/>
    <x v="1"/>
    <x v="3"/>
    <x v="1"/>
    <x v="1"/>
    <n v="11"/>
    <x v="0"/>
  </r>
  <r>
    <d v="2022-03-11T00:00:00"/>
    <x v="2"/>
    <x v="1"/>
    <x v="1"/>
    <n v="111912243.27"/>
    <x v="2"/>
    <x v="1"/>
    <x v="1"/>
    <x v="8"/>
    <x v="3"/>
    <x v="1"/>
    <x v="3"/>
    <x v="1"/>
    <x v="1"/>
    <n v="11"/>
    <x v="0"/>
  </r>
  <r>
    <d v="2022-03-11T00:00:00"/>
    <x v="0"/>
    <x v="1"/>
    <x v="1"/>
    <n v="7053514.5300000003"/>
    <x v="0"/>
    <x v="1"/>
    <x v="1"/>
    <x v="4"/>
    <x v="3"/>
    <x v="1"/>
    <x v="3"/>
    <x v="1"/>
    <x v="1"/>
    <n v="11"/>
    <x v="0"/>
  </r>
  <r>
    <d v="2022-03-11T00:00:00"/>
    <x v="0"/>
    <x v="0"/>
    <x v="0"/>
    <n v="1000"/>
    <x v="0"/>
    <x v="0"/>
    <x v="0"/>
    <x v="0"/>
    <x v="3"/>
    <x v="1"/>
    <x v="3"/>
    <x v="1"/>
    <x v="1"/>
    <n v="11"/>
    <x v="0"/>
  </r>
  <r>
    <d v="2022-03-11T00:00:00"/>
    <x v="0"/>
    <x v="1"/>
    <x v="0"/>
    <n v="12969444.48"/>
    <x v="0"/>
    <x v="1"/>
    <x v="0"/>
    <x v="2"/>
    <x v="3"/>
    <x v="1"/>
    <x v="3"/>
    <x v="1"/>
    <x v="1"/>
    <n v="11"/>
    <x v="0"/>
  </r>
  <r>
    <d v="2022-03-11T00:00:00"/>
    <x v="3"/>
    <x v="2"/>
    <x v="2"/>
    <n v="299482"/>
    <x v="3"/>
    <x v="2"/>
    <x v="2"/>
    <x v="5"/>
    <x v="3"/>
    <x v="1"/>
    <x v="3"/>
    <x v="1"/>
    <x v="1"/>
    <n v="11"/>
    <x v="0"/>
  </r>
  <r>
    <d v="2022-03-11T00:00:00"/>
    <x v="1"/>
    <x v="0"/>
    <x v="1"/>
    <n v="145642348.13999999"/>
    <x v="1"/>
    <x v="0"/>
    <x v="1"/>
    <x v="9"/>
    <x v="3"/>
    <x v="1"/>
    <x v="3"/>
    <x v="1"/>
    <x v="1"/>
    <n v="11"/>
    <x v="0"/>
  </r>
  <r>
    <d v="2022-03-11T00:00:00"/>
    <x v="1"/>
    <x v="0"/>
    <x v="0"/>
    <n v="97177858.069999993"/>
    <x v="1"/>
    <x v="0"/>
    <x v="0"/>
    <x v="10"/>
    <x v="3"/>
    <x v="1"/>
    <x v="3"/>
    <x v="1"/>
    <x v="1"/>
    <n v="11"/>
    <x v="0"/>
  </r>
  <r>
    <d v="2022-03-11T00:00:00"/>
    <x v="3"/>
    <x v="2"/>
    <x v="0"/>
    <n v="429493758.08999997"/>
    <x v="3"/>
    <x v="2"/>
    <x v="0"/>
    <x v="11"/>
    <x v="3"/>
    <x v="1"/>
    <x v="3"/>
    <x v="1"/>
    <x v="1"/>
    <n v="11"/>
    <x v="0"/>
  </r>
  <r>
    <d v="2022-03-11T00:00:00"/>
    <x v="3"/>
    <x v="1"/>
    <x v="0"/>
    <n v="13455859.35"/>
    <x v="3"/>
    <x v="1"/>
    <x v="0"/>
    <x v="12"/>
    <x v="3"/>
    <x v="1"/>
    <x v="3"/>
    <x v="1"/>
    <x v="1"/>
    <n v="11"/>
    <x v="0"/>
  </r>
  <r>
    <d v="2022-03-11T00:00:00"/>
    <x v="3"/>
    <x v="2"/>
    <x v="1"/>
    <n v="12816385249.34"/>
    <x v="3"/>
    <x v="2"/>
    <x v="1"/>
    <x v="13"/>
    <x v="3"/>
    <x v="1"/>
    <x v="3"/>
    <x v="1"/>
    <x v="1"/>
    <n v="11"/>
    <x v="0"/>
  </r>
  <r>
    <d v="2022-03-10T00:00:00"/>
    <x v="0"/>
    <x v="1"/>
    <x v="0"/>
    <n v="10066713.539999999"/>
    <x v="0"/>
    <x v="1"/>
    <x v="0"/>
    <x v="1"/>
    <x v="3"/>
    <x v="1"/>
    <x v="3"/>
    <x v="1"/>
    <x v="1"/>
    <n v="10"/>
    <x v="0"/>
  </r>
  <r>
    <d v="2022-03-10T00:00:00"/>
    <x v="0"/>
    <x v="1"/>
    <x v="1"/>
    <n v="17209000.039999999"/>
    <x v="0"/>
    <x v="1"/>
    <x v="1"/>
    <x v="3"/>
    <x v="3"/>
    <x v="1"/>
    <x v="3"/>
    <x v="1"/>
    <x v="1"/>
    <n v="10"/>
    <x v="0"/>
  </r>
  <r>
    <d v="2022-03-10T00:00:00"/>
    <x v="2"/>
    <x v="1"/>
    <x v="0"/>
    <n v="92498599.700000003"/>
    <x v="2"/>
    <x v="1"/>
    <x v="0"/>
    <x v="6"/>
    <x v="3"/>
    <x v="1"/>
    <x v="3"/>
    <x v="1"/>
    <x v="1"/>
    <n v="10"/>
    <x v="0"/>
  </r>
  <r>
    <d v="2022-03-10T00:00:00"/>
    <x v="1"/>
    <x v="0"/>
    <x v="0"/>
    <n v="81851945.359999999"/>
    <x v="1"/>
    <x v="0"/>
    <x v="0"/>
    <x v="8"/>
    <x v="3"/>
    <x v="1"/>
    <x v="3"/>
    <x v="1"/>
    <x v="1"/>
    <n v="10"/>
    <x v="0"/>
  </r>
  <r>
    <d v="2022-03-10T00:00:00"/>
    <x v="1"/>
    <x v="1"/>
    <x v="0"/>
    <n v="352"/>
    <x v="1"/>
    <x v="1"/>
    <x v="0"/>
    <x v="0"/>
    <x v="3"/>
    <x v="1"/>
    <x v="3"/>
    <x v="1"/>
    <x v="1"/>
    <n v="10"/>
    <x v="0"/>
  </r>
  <r>
    <d v="2022-03-10T00:00:00"/>
    <x v="2"/>
    <x v="1"/>
    <x v="2"/>
    <n v="33330"/>
    <x v="2"/>
    <x v="1"/>
    <x v="2"/>
    <x v="4"/>
    <x v="3"/>
    <x v="1"/>
    <x v="3"/>
    <x v="1"/>
    <x v="1"/>
    <n v="10"/>
    <x v="0"/>
  </r>
  <r>
    <d v="2022-03-10T00:00:00"/>
    <x v="3"/>
    <x v="2"/>
    <x v="2"/>
    <n v="161233"/>
    <x v="3"/>
    <x v="2"/>
    <x v="2"/>
    <x v="5"/>
    <x v="3"/>
    <x v="1"/>
    <x v="3"/>
    <x v="1"/>
    <x v="1"/>
    <n v="10"/>
    <x v="0"/>
  </r>
  <r>
    <d v="2022-03-10T00:00:00"/>
    <x v="3"/>
    <x v="3"/>
    <x v="1"/>
    <n v="651498.93999999994"/>
    <x v="3"/>
    <x v="3"/>
    <x v="1"/>
    <x v="2"/>
    <x v="3"/>
    <x v="1"/>
    <x v="3"/>
    <x v="1"/>
    <x v="1"/>
    <n v="10"/>
    <x v="0"/>
  </r>
  <r>
    <d v="2022-03-10T00:00:00"/>
    <x v="3"/>
    <x v="3"/>
    <x v="0"/>
    <n v="1158950305.05"/>
    <x v="3"/>
    <x v="3"/>
    <x v="0"/>
    <x v="9"/>
    <x v="3"/>
    <x v="1"/>
    <x v="3"/>
    <x v="1"/>
    <x v="1"/>
    <n v="10"/>
    <x v="0"/>
  </r>
  <r>
    <d v="2022-03-10T00:00:00"/>
    <x v="2"/>
    <x v="1"/>
    <x v="1"/>
    <n v="271753780.68000001"/>
    <x v="2"/>
    <x v="1"/>
    <x v="1"/>
    <x v="7"/>
    <x v="3"/>
    <x v="1"/>
    <x v="3"/>
    <x v="1"/>
    <x v="1"/>
    <n v="10"/>
    <x v="0"/>
  </r>
  <r>
    <d v="2022-03-10T00:00:00"/>
    <x v="1"/>
    <x v="0"/>
    <x v="1"/>
    <n v="431511896.38999999"/>
    <x v="1"/>
    <x v="0"/>
    <x v="1"/>
    <x v="10"/>
    <x v="3"/>
    <x v="1"/>
    <x v="3"/>
    <x v="1"/>
    <x v="1"/>
    <n v="10"/>
    <x v="0"/>
  </r>
  <r>
    <d v="2022-03-10T00:00:00"/>
    <x v="3"/>
    <x v="2"/>
    <x v="0"/>
    <n v="344891566.23000002"/>
    <x v="3"/>
    <x v="2"/>
    <x v="0"/>
    <x v="11"/>
    <x v="3"/>
    <x v="1"/>
    <x v="3"/>
    <x v="1"/>
    <x v="1"/>
    <n v="10"/>
    <x v="0"/>
  </r>
  <r>
    <d v="2022-03-10T00:00:00"/>
    <x v="3"/>
    <x v="1"/>
    <x v="0"/>
    <n v="13331548.42"/>
    <x v="3"/>
    <x v="1"/>
    <x v="0"/>
    <x v="12"/>
    <x v="3"/>
    <x v="1"/>
    <x v="3"/>
    <x v="1"/>
    <x v="1"/>
    <n v="10"/>
    <x v="0"/>
  </r>
  <r>
    <d v="2022-03-10T00:00:00"/>
    <x v="3"/>
    <x v="2"/>
    <x v="1"/>
    <n v="6407380071.21"/>
    <x v="3"/>
    <x v="2"/>
    <x v="1"/>
    <x v="13"/>
    <x v="3"/>
    <x v="1"/>
    <x v="3"/>
    <x v="1"/>
    <x v="1"/>
    <n v="10"/>
    <x v="0"/>
  </r>
  <r>
    <d v="2022-03-09T00:00:00"/>
    <x v="2"/>
    <x v="1"/>
    <x v="1"/>
    <n v="197775026.38"/>
    <x v="2"/>
    <x v="1"/>
    <x v="1"/>
    <x v="8"/>
    <x v="3"/>
    <x v="1"/>
    <x v="3"/>
    <x v="1"/>
    <x v="1"/>
    <n v="9"/>
    <x v="0"/>
  </r>
  <r>
    <d v="2022-03-09T00:00:00"/>
    <x v="0"/>
    <x v="1"/>
    <x v="1"/>
    <n v="4931529.8"/>
    <x v="0"/>
    <x v="1"/>
    <x v="1"/>
    <x v="3"/>
    <x v="3"/>
    <x v="1"/>
    <x v="3"/>
    <x v="1"/>
    <x v="1"/>
    <n v="9"/>
    <x v="0"/>
  </r>
  <r>
    <d v="2022-03-09T00:00:00"/>
    <x v="1"/>
    <x v="0"/>
    <x v="0"/>
    <n v="96477561.519999996"/>
    <x v="1"/>
    <x v="0"/>
    <x v="0"/>
    <x v="10"/>
    <x v="3"/>
    <x v="1"/>
    <x v="3"/>
    <x v="1"/>
    <x v="1"/>
    <n v="9"/>
    <x v="0"/>
  </r>
  <r>
    <d v="2022-03-09T00:00:00"/>
    <x v="0"/>
    <x v="0"/>
    <x v="0"/>
    <n v="30"/>
    <x v="0"/>
    <x v="0"/>
    <x v="0"/>
    <x v="0"/>
    <x v="3"/>
    <x v="1"/>
    <x v="3"/>
    <x v="1"/>
    <x v="1"/>
    <n v="9"/>
    <x v="0"/>
  </r>
  <r>
    <d v="2022-03-09T00:00:00"/>
    <x v="2"/>
    <x v="1"/>
    <x v="2"/>
    <n v="110291.24"/>
    <x v="2"/>
    <x v="1"/>
    <x v="2"/>
    <x v="4"/>
    <x v="3"/>
    <x v="1"/>
    <x v="3"/>
    <x v="1"/>
    <x v="1"/>
    <n v="9"/>
    <x v="0"/>
  </r>
  <r>
    <d v="2022-03-09T00:00:00"/>
    <x v="3"/>
    <x v="2"/>
    <x v="2"/>
    <n v="174787"/>
    <x v="3"/>
    <x v="2"/>
    <x v="2"/>
    <x v="5"/>
    <x v="3"/>
    <x v="1"/>
    <x v="3"/>
    <x v="1"/>
    <x v="1"/>
    <n v="9"/>
    <x v="0"/>
  </r>
  <r>
    <d v="2022-03-09T00:00:00"/>
    <x v="0"/>
    <x v="1"/>
    <x v="0"/>
    <n v="8677376.3900000006"/>
    <x v="0"/>
    <x v="1"/>
    <x v="0"/>
    <x v="2"/>
    <x v="3"/>
    <x v="1"/>
    <x v="3"/>
    <x v="1"/>
    <x v="1"/>
    <n v="9"/>
    <x v="0"/>
  </r>
  <r>
    <d v="2022-03-09T00:00:00"/>
    <x v="1"/>
    <x v="1"/>
    <x v="0"/>
    <n v="477.5"/>
    <x v="1"/>
    <x v="1"/>
    <x v="0"/>
    <x v="1"/>
    <x v="3"/>
    <x v="1"/>
    <x v="3"/>
    <x v="1"/>
    <x v="1"/>
    <n v="9"/>
    <x v="0"/>
  </r>
  <r>
    <d v="2022-03-09T00:00:00"/>
    <x v="2"/>
    <x v="1"/>
    <x v="0"/>
    <n v="131689210.38"/>
    <x v="2"/>
    <x v="1"/>
    <x v="0"/>
    <x v="6"/>
    <x v="3"/>
    <x v="1"/>
    <x v="3"/>
    <x v="1"/>
    <x v="1"/>
    <n v="9"/>
    <x v="0"/>
  </r>
  <r>
    <d v="2022-03-09T00:00:00"/>
    <x v="3"/>
    <x v="3"/>
    <x v="0"/>
    <n v="1443216231.49"/>
    <x v="3"/>
    <x v="3"/>
    <x v="0"/>
    <x v="7"/>
    <x v="3"/>
    <x v="1"/>
    <x v="3"/>
    <x v="1"/>
    <x v="1"/>
    <n v="9"/>
    <x v="0"/>
  </r>
  <r>
    <d v="2022-03-09T00:00:00"/>
    <x v="1"/>
    <x v="0"/>
    <x v="1"/>
    <n v="1094583738.5999999"/>
    <x v="1"/>
    <x v="0"/>
    <x v="1"/>
    <x v="9"/>
    <x v="3"/>
    <x v="1"/>
    <x v="3"/>
    <x v="1"/>
    <x v="1"/>
    <n v="9"/>
    <x v="0"/>
  </r>
  <r>
    <d v="2022-03-09T00:00:00"/>
    <x v="3"/>
    <x v="2"/>
    <x v="0"/>
    <n v="382837236.10000002"/>
    <x v="3"/>
    <x v="2"/>
    <x v="0"/>
    <x v="11"/>
    <x v="3"/>
    <x v="1"/>
    <x v="3"/>
    <x v="1"/>
    <x v="1"/>
    <n v="9"/>
    <x v="0"/>
  </r>
  <r>
    <d v="2022-03-09T00:00:00"/>
    <x v="3"/>
    <x v="1"/>
    <x v="0"/>
    <n v="13468307.16"/>
    <x v="3"/>
    <x v="1"/>
    <x v="0"/>
    <x v="12"/>
    <x v="3"/>
    <x v="1"/>
    <x v="3"/>
    <x v="1"/>
    <x v="1"/>
    <n v="9"/>
    <x v="0"/>
  </r>
  <r>
    <d v="2022-03-09T00:00:00"/>
    <x v="3"/>
    <x v="2"/>
    <x v="1"/>
    <n v="10424377251.75"/>
    <x v="3"/>
    <x v="2"/>
    <x v="1"/>
    <x v="13"/>
    <x v="3"/>
    <x v="1"/>
    <x v="3"/>
    <x v="1"/>
    <x v="1"/>
    <n v="9"/>
    <x v="0"/>
  </r>
  <r>
    <d v="2022-03-08T00:00:00"/>
    <x v="2"/>
    <x v="1"/>
    <x v="1"/>
    <n v="185364962.84999999"/>
    <x v="2"/>
    <x v="1"/>
    <x v="1"/>
    <x v="8"/>
    <x v="3"/>
    <x v="1"/>
    <x v="3"/>
    <x v="1"/>
    <x v="1"/>
    <n v="8"/>
    <x v="0"/>
  </r>
  <r>
    <d v="2022-03-08T00:00:00"/>
    <x v="3"/>
    <x v="3"/>
    <x v="1"/>
    <n v="459812.27"/>
    <x v="3"/>
    <x v="3"/>
    <x v="1"/>
    <x v="3"/>
    <x v="3"/>
    <x v="1"/>
    <x v="3"/>
    <x v="1"/>
    <x v="1"/>
    <n v="8"/>
    <x v="0"/>
  </r>
  <r>
    <d v="2022-03-08T00:00:00"/>
    <x v="0"/>
    <x v="1"/>
    <x v="1"/>
    <n v="5605037.8600000003"/>
    <x v="0"/>
    <x v="1"/>
    <x v="1"/>
    <x v="4"/>
    <x v="3"/>
    <x v="1"/>
    <x v="3"/>
    <x v="1"/>
    <x v="1"/>
    <n v="8"/>
    <x v="0"/>
  </r>
  <r>
    <d v="2022-03-08T00:00:00"/>
    <x v="3"/>
    <x v="2"/>
    <x v="2"/>
    <n v="367021"/>
    <x v="3"/>
    <x v="2"/>
    <x v="2"/>
    <x v="5"/>
    <x v="3"/>
    <x v="1"/>
    <x v="3"/>
    <x v="1"/>
    <x v="1"/>
    <n v="8"/>
    <x v="0"/>
  </r>
  <r>
    <d v="2022-03-08T00:00:00"/>
    <x v="2"/>
    <x v="1"/>
    <x v="2"/>
    <n v="8495"/>
    <x v="2"/>
    <x v="1"/>
    <x v="2"/>
    <x v="2"/>
    <x v="3"/>
    <x v="1"/>
    <x v="3"/>
    <x v="1"/>
    <x v="1"/>
    <n v="8"/>
    <x v="0"/>
  </r>
  <r>
    <d v="2022-03-08T00:00:00"/>
    <x v="1"/>
    <x v="1"/>
    <x v="0"/>
    <n v="351.5"/>
    <x v="1"/>
    <x v="1"/>
    <x v="0"/>
    <x v="0"/>
    <x v="3"/>
    <x v="1"/>
    <x v="3"/>
    <x v="1"/>
    <x v="1"/>
    <n v="8"/>
    <x v="0"/>
  </r>
  <r>
    <d v="2022-03-08T00:00:00"/>
    <x v="0"/>
    <x v="1"/>
    <x v="0"/>
    <n v="54830918.829999998"/>
    <x v="0"/>
    <x v="1"/>
    <x v="0"/>
    <x v="1"/>
    <x v="3"/>
    <x v="1"/>
    <x v="3"/>
    <x v="1"/>
    <x v="1"/>
    <n v="8"/>
    <x v="0"/>
  </r>
  <r>
    <d v="2022-03-08T00:00:00"/>
    <x v="2"/>
    <x v="1"/>
    <x v="0"/>
    <n v="88149123.780000001"/>
    <x v="2"/>
    <x v="1"/>
    <x v="0"/>
    <x v="6"/>
    <x v="3"/>
    <x v="1"/>
    <x v="3"/>
    <x v="1"/>
    <x v="1"/>
    <n v="8"/>
    <x v="0"/>
  </r>
  <r>
    <d v="2022-03-08T00:00:00"/>
    <x v="3"/>
    <x v="3"/>
    <x v="0"/>
    <n v="1631008967"/>
    <x v="3"/>
    <x v="3"/>
    <x v="0"/>
    <x v="7"/>
    <x v="3"/>
    <x v="1"/>
    <x v="3"/>
    <x v="1"/>
    <x v="1"/>
    <n v="8"/>
    <x v="0"/>
  </r>
  <r>
    <d v="2022-03-08T00:00:00"/>
    <x v="1"/>
    <x v="0"/>
    <x v="1"/>
    <n v="768921587.83000004"/>
    <x v="1"/>
    <x v="0"/>
    <x v="1"/>
    <x v="9"/>
    <x v="3"/>
    <x v="1"/>
    <x v="3"/>
    <x v="1"/>
    <x v="1"/>
    <n v="8"/>
    <x v="0"/>
  </r>
  <r>
    <d v="2022-03-08T00:00:00"/>
    <x v="1"/>
    <x v="0"/>
    <x v="0"/>
    <n v="82469670.510000005"/>
    <x v="1"/>
    <x v="0"/>
    <x v="0"/>
    <x v="10"/>
    <x v="3"/>
    <x v="1"/>
    <x v="3"/>
    <x v="1"/>
    <x v="1"/>
    <n v="8"/>
    <x v="0"/>
  </r>
  <r>
    <d v="2022-03-08T00:00:00"/>
    <x v="3"/>
    <x v="2"/>
    <x v="0"/>
    <n v="786058782.92999995"/>
    <x v="3"/>
    <x v="2"/>
    <x v="0"/>
    <x v="11"/>
    <x v="3"/>
    <x v="1"/>
    <x v="3"/>
    <x v="1"/>
    <x v="1"/>
    <n v="8"/>
    <x v="0"/>
  </r>
  <r>
    <d v="2022-03-08T00:00:00"/>
    <x v="3"/>
    <x v="1"/>
    <x v="0"/>
    <n v="10496596.73"/>
    <x v="3"/>
    <x v="1"/>
    <x v="0"/>
    <x v="12"/>
    <x v="3"/>
    <x v="1"/>
    <x v="3"/>
    <x v="1"/>
    <x v="1"/>
    <n v="8"/>
    <x v="0"/>
  </r>
  <r>
    <d v="2022-03-08T00:00:00"/>
    <x v="3"/>
    <x v="2"/>
    <x v="1"/>
    <n v="4834700854.1999998"/>
    <x v="3"/>
    <x v="2"/>
    <x v="1"/>
    <x v="13"/>
    <x v="3"/>
    <x v="1"/>
    <x v="3"/>
    <x v="1"/>
    <x v="1"/>
    <n v="8"/>
    <x v="0"/>
  </r>
  <r>
    <d v="2022-03-07T00:00:00"/>
    <x v="2"/>
    <x v="1"/>
    <x v="2"/>
    <n v="48541.61"/>
    <x v="2"/>
    <x v="1"/>
    <x v="2"/>
    <x v="2"/>
    <x v="3"/>
    <x v="1"/>
    <x v="3"/>
    <x v="1"/>
    <x v="1"/>
    <n v="7"/>
    <x v="0"/>
  </r>
  <r>
    <d v="2022-03-07T00:00:00"/>
    <x v="1"/>
    <x v="0"/>
    <x v="1"/>
    <n v="700140824.35000002"/>
    <x v="1"/>
    <x v="0"/>
    <x v="1"/>
    <x v="8"/>
    <x v="3"/>
    <x v="1"/>
    <x v="3"/>
    <x v="1"/>
    <x v="1"/>
    <n v="7"/>
    <x v="0"/>
  </r>
  <r>
    <d v="2022-03-07T00:00:00"/>
    <x v="0"/>
    <x v="1"/>
    <x v="1"/>
    <n v="-83829769.329999998"/>
    <x v="0"/>
    <x v="1"/>
    <x v="1"/>
    <x v="3"/>
    <x v="3"/>
    <x v="1"/>
    <x v="3"/>
    <x v="1"/>
    <x v="1"/>
    <n v="7"/>
    <x v="1"/>
  </r>
  <r>
    <d v="2022-03-07T00:00:00"/>
    <x v="1"/>
    <x v="0"/>
    <x v="0"/>
    <n v="64868231.079999998"/>
    <x v="1"/>
    <x v="0"/>
    <x v="0"/>
    <x v="9"/>
    <x v="3"/>
    <x v="1"/>
    <x v="3"/>
    <x v="1"/>
    <x v="1"/>
    <n v="7"/>
    <x v="0"/>
  </r>
  <r>
    <d v="2022-03-07T00:00:00"/>
    <x v="3"/>
    <x v="2"/>
    <x v="2"/>
    <n v="135724"/>
    <x v="3"/>
    <x v="2"/>
    <x v="2"/>
    <x v="4"/>
    <x v="3"/>
    <x v="1"/>
    <x v="3"/>
    <x v="1"/>
    <x v="1"/>
    <n v="7"/>
    <x v="0"/>
  </r>
  <r>
    <d v="2022-03-07T00:00:00"/>
    <x v="1"/>
    <x v="1"/>
    <x v="0"/>
    <n v="662"/>
    <x v="1"/>
    <x v="1"/>
    <x v="0"/>
    <x v="0"/>
    <x v="3"/>
    <x v="1"/>
    <x v="3"/>
    <x v="1"/>
    <x v="1"/>
    <n v="7"/>
    <x v="0"/>
  </r>
  <r>
    <d v="2022-03-07T00:00:00"/>
    <x v="0"/>
    <x v="1"/>
    <x v="0"/>
    <n v="12211058.880000001"/>
    <x v="0"/>
    <x v="1"/>
    <x v="0"/>
    <x v="1"/>
    <x v="3"/>
    <x v="1"/>
    <x v="3"/>
    <x v="1"/>
    <x v="1"/>
    <n v="7"/>
    <x v="0"/>
  </r>
  <r>
    <d v="2022-03-07T00:00:00"/>
    <x v="3"/>
    <x v="3"/>
    <x v="0"/>
    <n v="1269350583.99"/>
    <x v="3"/>
    <x v="3"/>
    <x v="0"/>
    <x v="6"/>
    <x v="3"/>
    <x v="1"/>
    <x v="3"/>
    <x v="1"/>
    <x v="1"/>
    <n v="7"/>
    <x v="0"/>
  </r>
  <r>
    <d v="2022-03-07T00:00:00"/>
    <x v="2"/>
    <x v="1"/>
    <x v="1"/>
    <n v="270165016.61000001"/>
    <x v="2"/>
    <x v="1"/>
    <x v="1"/>
    <x v="7"/>
    <x v="3"/>
    <x v="1"/>
    <x v="3"/>
    <x v="1"/>
    <x v="1"/>
    <n v="7"/>
    <x v="0"/>
  </r>
  <r>
    <d v="2022-03-07T00:00:00"/>
    <x v="2"/>
    <x v="1"/>
    <x v="0"/>
    <n v="112596653.44"/>
    <x v="2"/>
    <x v="1"/>
    <x v="0"/>
    <x v="5"/>
    <x v="3"/>
    <x v="1"/>
    <x v="3"/>
    <x v="1"/>
    <x v="1"/>
    <n v="7"/>
    <x v="0"/>
  </r>
  <r>
    <d v="2022-03-07T00:00:00"/>
    <x v="3"/>
    <x v="2"/>
    <x v="0"/>
    <n v="1070499463.04"/>
    <x v="3"/>
    <x v="2"/>
    <x v="0"/>
    <x v="10"/>
    <x v="3"/>
    <x v="1"/>
    <x v="3"/>
    <x v="1"/>
    <x v="1"/>
    <n v="7"/>
    <x v="0"/>
  </r>
  <r>
    <d v="2022-03-07T00:00:00"/>
    <x v="3"/>
    <x v="2"/>
    <x v="1"/>
    <n v="32808252453.630001"/>
    <x v="3"/>
    <x v="2"/>
    <x v="1"/>
    <x v="11"/>
    <x v="3"/>
    <x v="1"/>
    <x v="3"/>
    <x v="1"/>
    <x v="1"/>
    <n v="7"/>
    <x v="0"/>
  </r>
  <r>
    <d v="2022-03-07T00:00:00"/>
    <x v="3"/>
    <x v="1"/>
    <x v="0"/>
    <n v="44209119.729999997"/>
    <x v="3"/>
    <x v="1"/>
    <x v="0"/>
    <x v="12"/>
    <x v="3"/>
    <x v="1"/>
    <x v="3"/>
    <x v="1"/>
    <x v="1"/>
    <n v="7"/>
    <x v="0"/>
  </r>
  <r>
    <d v="2022-03-04T00:00:00"/>
    <x v="2"/>
    <x v="1"/>
    <x v="1"/>
    <n v="286692672.79000002"/>
    <x v="2"/>
    <x v="1"/>
    <x v="1"/>
    <x v="7"/>
    <x v="3"/>
    <x v="1"/>
    <x v="3"/>
    <x v="1"/>
    <x v="1"/>
    <n v="4"/>
    <x v="0"/>
  </r>
  <r>
    <d v="2022-03-04T00:00:00"/>
    <x v="0"/>
    <x v="1"/>
    <x v="1"/>
    <n v="19416757.350000001"/>
    <x v="0"/>
    <x v="1"/>
    <x v="1"/>
    <x v="4"/>
    <x v="3"/>
    <x v="1"/>
    <x v="3"/>
    <x v="1"/>
    <x v="1"/>
    <n v="4"/>
    <x v="0"/>
  </r>
  <r>
    <d v="2022-03-04T00:00:00"/>
    <x v="3"/>
    <x v="3"/>
    <x v="0"/>
    <n v="996850255.19000006"/>
    <x v="3"/>
    <x v="3"/>
    <x v="0"/>
    <x v="8"/>
    <x v="3"/>
    <x v="1"/>
    <x v="3"/>
    <x v="1"/>
    <x v="1"/>
    <n v="4"/>
    <x v="0"/>
  </r>
  <r>
    <d v="2022-03-04T00:00:00"/>
    <x v="1"/>
    <x v="0"/>
    <x v="1"/>
    <n v="277060487.32999998"/>
    <x v="1"/>
    <x v="0"/>
    <x v="1"/>
    <x v="9"/>
    <x v="3"/>
    <x v="1"/>
    <x v="3"/>
    <x v="1"/>
    <x v="1"/>
    <n v="4"/>
    <x v="0"/>
  </r>
  <r>
    <d v="2022-03-04T00:00:00"/>
    <x v="1"/>
    <x v="0"/>
    <x v="0"/>
    <n v="97309188.510000005"/>
    <x v="1"/>
    <x v="0"/>
    <x v="0"/>
    <x v="10"/>
    <x v="3"/>
    <x v="1"/>
    <x v="3"/>
    <x v="1"/>
    <x v="1"/>
    <n v="4"/>
    <x v="0"/>
  </r>
  <r>
    <d v="2022-03-04T00:00:00"/>
    <x v="3"/>
    <x v="2"/>
    <x v="2"/>
    <n v="242292.6"/>
    <x v="3"/>
    <x v="2"/>
    <x v="2"/>
    <x v="5"/>
    <x v="3"/>
    <x v="1"/>
    <x v="3"/>
    <x v="1"/>
    <x v="1"/>
    <n v="4"/>
    <x v="0"/>
  </r>
  <r>
    <d v="2022-03-04T00:00:00"/>
    <x v="2"/>
    <x v="1"/>
    <x v="2"/>
    <n v="4195"/>
    <x v="2"/>
    <x v="1"/>
    <x v="2"/>
    <x v="3"/>
    <x v="3"/>
    <x v="1"/>
    <x v="3"/>
    <x v="1"/>
    <x v="1"/>
    <n v="4"/>
    <x v="0"/>
  </r>
  <r>
    <d v="2022-03-04T00:00:00"/>
    <x v="0"/>
    <x v="0"/>
    <x v="0"/>
    <n v="180"/>
    <x v="0"/>
    <x v="0"/>
    <x v="0"/>
    <x v="0"/>
    <x v="3"/>
    <x v="1"/>
    <x v="3"/>
    <x v="1"/>
    <x v="1"/>
    <n v="4"/>
    <x v="0"/>
  </r>
  <r>
    <d v="2022-03-04T00:00:00"/>
    <x v="1"/>
    <x v="1"/>
    <x v="0"/>
    <n v="1082"/>
    <x v="1"/>
    <x v="1"/>
    <x v="0"/>
    <x v="1"/>
    <x v="3"/>
    <x v="1"/>
    <x v="3"/>
    <x v="1"/>
    <x v="1"/>
    <n v="4"/>
    <x v="0"/>
  </r>
  <r>
    <d v="2022-03-04T00:00:00"/>
    <x v="0"/>
    <x v="1"/>
    <x v="0"/>
    <n v="17078209.640000001"/>
    <x v="0"/>
    <x v="1"/>
    <x v="0"/>
    <x v="2"/>
    <x v="3"/>
    <x v="1"/>
    <x v="3"/>
    <x v="1"/>
    <x v="1"/>
    <n v="4"/>
    <x v="0"/>
  </r>
  <r>
    <d v="2022-03-04T00:00:00"/>
    <x v="2"/>
    <x v="1"/>
    <x v="0"/>
    <n v="166092011.13"/>
    <x v="2"/>
    <x v="1"/>
    <x v="0"/>
    <x v="6"/>
    <x v="3"/>
    <x v="1"/>
    <x v="3"/>
    <x v="1"/>
    <x v="1"/>
    <n v="4"/>
    <x v="0"/>
  </r>
  <r>
    <d v="2022-03-04T00:00:00"/>
    <x v="3"/>
    <x v="2"/>
    <x v="0"/>
    <n v="476894298.86000001"/>
    <x v="3"/>
    <x v="2"/>
    <x v="0"/>
    <x v="11"/>
    <x v="3"/>
    <x v="1"/>
    <x v="3"/>
    <x v="1"/>
    <x v="1"/>
    <n v="4"/>
    <x v="0"/>
  </r>
  <r>
    <d v="2022-03-04T00:00:00"/>
    <x v="3"/>
    <x v="1"/>
    <x v="0"/>
    <n v="13873648.6"/>
    <x v="3"/>
    <x v="1"/>
    <x v="0"/>
    <x v="12"/>
    <x v="3"/>
    <x v="1"/>
    <x v="3"/>
    <x v="1"/>
    <x v="1"/>
    <n v="4"/>
    <x v="0"/>
  </r>
  <r>
    <d v="2022-03-04T00:00:00"/>
    <x v="3"/>
    <x v="2"/>
    <x v="1"/>
    <n v="14365993170.110001"/>
    <x v="3"/>
    <x v="2"/>
    <x v="1"/>
    <x v="13"/>
    <x v="3"/>
    <x v="1"/>
    <x v="3"/>
    <x v="1"/>
    <x v="1"/>
    <n v="4"/>
    <x v="0"/>
  </r>
  <r>
    <d v="2022-03-03T00:00:00"/>
    <x v="2"/>
    <x v="1"/>
    <x v="2"/>
    <n v="23875"/>
    <x v="2"/>
    <x v="1"/>
    <x v="2"/>
    <x v="1"/>
    <x v="3"/>
    <x v="1"/>
    <x v="3"/>
    <x v="1"/>
    <x v="1"/>
    <n v="3"/>
    <x v="0"/>
  </r>
  <r>
    <d v="2022-03-03T00:00:00"/>
    <x v="2"/>
    <x v="1"/>
    <x v="1"/>
    <n v="187088746.41999999"/>
    <x v="2"/>
    <x v="1"/>
    <x v="1"/>
    <x v="7"/>
    <x v="3"/>
    <x v="1"/>
    <x v="3"/>
    <x v="1"/>
    <x v="1"/>
    <n v="3"/>
    <x v="0"/>
  </r>
  <r>
    <d v="2022-03-03T00:00:00"/>
    <x v="3"/>
    <x v="3"/>
    <x v="1"/>
    <n v="1263.18"/>
    <x v="3"/>
    <x v="3"/>
    <x v="1"/>
    <x v="2"/>
    <x v="3"/>
    <x v="1"/>
    <x v="3"/>
    <x v="1"/>
    <x v="1"/>
    <n v="3"/>
    <x v="0"/>
  </r>
  <r>
    <d v="2022-03-03T00:00:00"/>
    <x v="0"/>
    <x v="1"/>
    <x v="1"/>
    <n v="111453283.78"/>
    <x v="0"/>
    <x v="1"/>
    <x v="1"/>
    <x v="3"/>
    <x v="3"/>
    <x v="1"/>
    <x v="3"/>
    <x v="1"/>
    <x v="1"/>
    <n v="3"/>
    <x v="0"/>
  </r>
  <r>
    <d v="2022-03-03T00:00:00"/>
    <x v="3"/>
    <x v="2"/>
    <x v="2"/>
    <n v="220094"/>
    <x v="3"/>
    <x v="2"/>
    <x v="2"/>
    <x v="4"/>
    <x v="3"/>
    <x v="1"/>
    <x v="3"/>
    <x v="1"/>
    <x v="1"/>
    <n v="3"/>
    <x v="0"/>
  </r>
  <r>
    <d v="2022-03-03T00:00:00"/>
    <x v="0"/>
    <x v="1"/>
    <x v="0"/>
    <n v="11954809.01"/>
    <x v="0"/>
    <x v="1"/>
    <x v="0"/>
    <x v="0"/>
    <x v="3"/>
    <x v="1"/>
    <x v="3"/>
    <x v="1"/>
    <x v="1"/>
    <n v="3"/>
    <x v="0"/>
  </r>
  <r>
    <d v="2022-03-03T00:00:00"/>
    <x v="3"/>
    <x v="3"/>
    <x v="0"/>
    <n v="1399261730.0699999"/>
    <x v="3"/>
    <x v="3"/>
    <x v="0"/>
    <x v="5"/>
    <x v="3"/>
    <x v="1"/>
    <x v="3"/>
    <x v="1"/>
    <x v="1"/>
    <n v="3"/>
    <x v="0"/>
  </r>
  <r>
    <d v="2022-03-03T00:00:00"/>
    <x v="2"/>
    <x v="1"/>
    <x v="0"/>
    <n v="122220627.54000001"/>
    <x v="2"/>
    <x v="1"/>
    <x v="0"/>
    <x v="6"/>
    <x v="3"/>
    <x v="1"/>
    <x v="3"/>
    <x v="1"/>
    <x v="1"/>
    <n v="3"/>
    <x v="0"/>
  </r>
  <r>
    <d v="2022-03-03T00:00:00"/>
    <x v="1"/>
    <x v="0"/>
    <x v="1"/>
    <n v="336941256.69999999"/>
    <x v="1"/>
    <x v="0"/>
    <x v="1"/>
    <x v="8"/>
    <x v="3"/>
    <x v="1"/>
    <x v="3"/>
    <x v="1"/>
    <x v="1"/>
    <n v="3"/>
    <x v="0"/>
  </r>
  <r>
    <d v="2022-03-03T00:00:00"/>
    <x v="1"/>
    <x v="0"/>
    <x v="0"/>
    <n v="79996424.25"/>
    <x v="1"/>
    <x v="0"/>
    <x v="0"/>
    <x v="9"/>
    <x v="3"/>
    <x v="1"/>
    <x v="3"/>
    <x v="1"/>
    <x v="1"/>
    <n v="3"/>
    <x v="0"/>
  </r>
  <r>
    <d v="2022-03-03T00:00:00"/>
    <x v="3"/>
    <x v="2"/>
    <x v="0"/>
    <n v="448458638.19999999"/>
    <x v="3"/>
    <x v="2"/>
    <x v="0"/>
    <x v="10"/>
    <x v="3"/>
    <x v="1"/>
    <x v="3"/>
    <x v="1"/>
    <x v="1"/>
    <n v="3"/>
    <x v="0"/>
  </r>
  <r>
    <d v="2022-03-03T00:00:00"/>
    <x v="3"/>
    <x v="1"/>
    <x v="0"/>
    <n v="14221986.98"/>
    <x v="3"/>
    <x v="1"/>
    <x v="0"/>
    <x v="11"/>
    <x v="3"/>
    <x v="1"/>
    <x v="3"/>
    <x v="1"/>
    <x v="1"/>
    <n v="3"/>
    <x v="0"/>
  </r>
  <r>
    <d v="2022-03-03T00:00:00"/>
    <x v="3"/>
    <x v="2"/>
    <x v="1"/>
    <n v="6675964506.21"/>
    <x v="3"/>
    <x v="2"/>
    <x v="1"/>
    <x v="12"/>
    <x v="3"/>
    <x v="1"/>
    <x v="3"/>
    <x v="1"/>
    <x v="1"/>
    <n v="3"/>
    <x v="0"/>
  </r>
  <r>
    <d v="2022-03-02T00:00:00"/>
    <x v="2"/>
    <x v="1"/>
    <x v="0"/>
    <n v="119904736.81999999"/>
    <x v="2"/>
    <x v="1"/>
    <x v="0"/>
    <x v="6"/>
    <x v="3"/>
    <x v="1"/>
    <x v="3"/>
    <x v="1"/>
    <x v="1"/>
    <n v="2"/>
    <x v="0"/>
  </r>
  <r>
    <d v="2022-03-02T00:00:00"/>
    <x v="2"/>
    <x v="1"/>
    <x v="2"/>
    <n v="33323.75"/>
    <x v="2"/>
    <x v="1"/>
    <x v="2"/>
    <x v="2"/>
    <x v="3"/>
    <x v="1"/>
    <x v="3"/>
    <x v="1"/>
    <x v="1"/>
    <n v="2"/>
    <x v="0"/>
  </r>
  <r>
    <d v="2022-03-02T00:00:00"/>
    <x v="0"/>
    <x v="1"/>
    <x v="1"/>
    <n v="8107511.79"/>
    <x v="0"/>
    <x v="1"/>
    <x v="1"/>
    <x v="3"/>
    <x v="3"/>
    <x v="1"/>
    <x v="3"/>
    <x v="1"/>
    <x v="1"/>
    <n v="2"/>
    <x v="0"/>
  </r>
  <r>
    <d v="2022-03-02T00:00:00"/>
    <x v="1"/>
    <x v="0"/>
    <x v="0"/>
    <n v="96605472.859999999"/>
    <x v="1"/>
    <x v="0"/>
    <x v="0"/>
    <x v="9"/>
    <x v="3"/>
    <x v="1"/>
    <x v="3"/>
    <x v="1"/>
    <x v="1"/>
    <n v="2"/>
    <x v="0"/>
  </r>
  <r>
    <d v="2022-03-02T00:00:00"/>
    <x v="1"/>
    <x v="1"/>
    <x v="0"/>
    <n v="1023"/>
    <x v="1"/>
    <x v="1"/>
    <x v="0"/>
    <x v="0"/>
    <x v="3"/>
    <x v="1"/>
    <x v="3"/>
    <x v="1"/>
    <x v="1"/>
    <n v="2"/>
    <x v="0"/>
  </r>
  <r>
    <d v="2022-03-02T00:00:00"/>
    <x v="0"/>
    <x v="1"/>
    <x v="0"/>
    <n v="9683619.0500000007"/>
    <x v="0"/>
    <x v="1"/>
    <x v="0"/>
    <x v="1"/>
    <x v="3"/>
    <x v="1"/>
    <x v="3"/>
    <x v="1"/>
    <x v="1"/>
    <n v="2"/>
    <x v="0"/>
  </r>
  <r>
    <d v="2022-03-02T00:00:00"/>
    <x v="2"/>
    <x v="1"/>
    <x v="1"/>
    <n v="312860119.49000001"/>
    <x v="2"/>
    <x v="1"/>
    <x v="1"/>
    <x v="7"/>
    <x v="3"/>
    <x v="1"/>
    <x v="3"/>
    <x v="1"/>
    <x v="1"/>
    <n v="2"/>
    <x v="0"/>
  </r>
  <r>
    <d v="2022-03-02T00:00:00"/>
    <x v="3"/>
    <x v="2"/>
    <x v="2"/>
    <n v="83297"/>
    <x v="3"/>
    <x v="2"/>
    <x v="2"/>
    <x v="4"/>
    <x v="3"/>
    <x v="1"/>
    <x v="3"/>
    <x v="1"/>
    <x v="1"/>
    <n v="2"/>
    <x v="0"/>
  </r>
  <r>
    <d v="2022-03-02T00:00:00"/>
    <x v="1"/>
    <x v="0"/>
    <x v="1"/>
    <n v="993842136.23000002"/>
    <x v="1"/>
    <x v="0"/>
    <x v="1"/>
    <x v="8"/>
    <x v="3"/>
    <x v="1"/>
    <x v="3"/>
    <x v="1"/>
    <x v="1"/>
    <n v="2"/>
    <x v="0"/>
  </r>
  <r>
    <d v="2022-03-02T00:00:00"/>
    <x v="3"/>
    <x v="3"/>
    <x v="0"/>
    <n v="1400423605.9400001"/>
    <x v="3"/>
    <x v="3"/>
    <x v="0"/>
    <x v="5"/>
    <x v="3"/>
    <x v="1"/>
    <x v="3"/>
    <x v="1"/>
    <x v="1"/>
    <n v="2"/>
    <x v="0"/>
  </r>
  <r>
    <d v="2022-03-02T00:00:00"/>
    <x v="3"/>
    <x v="2"/>
    <x v="0"/>
    <n v="380243840.00999999"/>
    <x v="3"/>
    <x v="2"/>
    <x v="0"/>
    <x v="10"/>
    <x v="3"/>
    <x v="1"/>
    <x v="3"/>
    <x v="1"/>
    <x v="1"/>
    <n v="2"/>
    <x v="0"/>
  </r>
  <r>
    <d v="2022-03-02T00:00:00"/>
    <x v="3"/>
    <x v="1"/>
    <x v="0"/>
    <n v="15442800.24"/>
    <x v="3"/>
    <x v="1"/>
    <x v="0"/>
    <x v="11"/>
    <x v="3"/>
    <x v="1"/>
    <x v="3"/>
    <x v="1"/>
    <x v="1"/>
    <n v="2"/>
    <x v="0"/>
  </r>
  <r>
    <d v="2022-03-02T00:00:00"/>
    <x v="3"/>
    <x v="2"/>
    <x v="1"/>
    <n v="15448505730.24"/>
    <x v="3"/>
    <x v="2"/>
    <x v="1"/>
    <x v="12"/>
    <x v="3"/>
    <x v="1"/>
    <x v="3"/>
    <x v="1"/>
    <x v="1"/>
    <n v="2"/>
    <x v="0"/>
  </r>
  <r>
    <d v="2022-03-01T00:00:00"/>
    <x v="1"/>
    <x v="0"/>
    <x v="1"/>
    <n v="307533585.81"/>
    <x v="1"/>
    <x v="0"/>
    <x v="1"/>
    <x v="8"/>
    <x v="3"/>
    <x v="1"/>
    <x v="3"/>
    <x v="1"/>
    <x v="1"/>
    <n v="1"/>
    <x v="0"/>
  </r>
  <r>
    <d v="2022-03-01T00:00:00"/>
    <x v="2"/>
    <x v="1"/>
    <x v="1"/>
    <n v="363189902.94"/>
    <x v="2"/>
    <x v="1"/>
    <x v="1"/>
    <x v="9"/>
    <x v="3"/>
    <x v="1"/>
    <x v="3"/>
    <x v="1"/>
    <x v="1"/>
    <n v="1"/>
    <x v="0"/>
  </r>
  <r>
    <d v="2022-03-01T00:00:00"/>
    <x v="0"/>
    <x v="1"/>
    <x v="1"/>
    <n v="5808848.5700000003"/>
    <x v="0"/>
    <x v="1"/>
    <x v="1"/>
    <x v="3"/>
    <x v="3"/>
    <x v="1"/>
    <x v="3"/>
    <x v="1"/>
    <x v="1"/>
    <n v="1"/>
    <x v="0"/>
  </r>
  <r>
    <d v="2022-03-01T00:00:00"/>
    <x v="2"/>
    <x v="1"/>
    <x v="2"/>
    <n v="30850"/>
    <x v="2"/>
    <x v="1"/>
    <x v="2"/>
    <x v="4"/>
    <x v="3"/>
    <x v="1"/>
    <x v="3"/>
    <x v="1"/>
    <x v="1"/>
    <n v="1"/>
    <x v="0"/>
  </r>
  <r>
    <d v="2022-03-01T00:00:00"/>
    <x v="1"/>
    <x v="1"/>
    <x v="0"/>
    <n v="1095.5"/>
    <x v="1"/>
    <x v="1"/>
    <x v="0"/>
    <x v="1"/>
    <x v="3"/>
    <x v="1"/>
    <x v="3"/>
    <x v="1"/>
    <x v="1"/>
    <n v="1"/>
    <x v="0"/>
  </r>
  <r>
    <d v="2022-03-01T00:00:00"/>
    <x v="0"/>
    <x v="1"/>
    <x v="0"/>
    <n v="8756127.3000000007"/>
    <x v="0"/>
    <x v="1"/>
    <x v="0"/>
    <x v="2"/>
    <x v="3"/>
    <x v="1"/>
    <x v="3"/>
    <x v="1"/>
    <x v="1"/>
    <n v="1"/>
    <x v="0"/>
  </r>
  <r>
    <d v="2022-03-01T00:00:00"/>
    <x v="0"/>
    <x v="0"/>
    <x v="0"/>
    <n v="5"/>
    <x v="0"/>
    <x v="0"/>
    <x v="0"/>
    <x v="0"/>
    <x v="3"/>
    <x v="1"/>
    <x v="3"/>
    <x v="1"/>
    <x v="1"/>
    <n v="1"/>
    <x v="0"/>
  </r>
  <r>
    <d v="2022-03-01T00:00:00"/>
    <x v="2"/>
    <x v="1"/>
    <x v="0"/>
    <n v="85571276.189999998"/>
    <x v="2"/>
    <x v="1"/>
    <x v="0"/>
    <x v="6"/>
    <x v="3"/>
    <x v="1"/>
    <x v="3"/>
    <x v="1"/>
    <x v="1"/>
    <n v="1"/>
    <x v="0"/>
  </r>
  <r>
    <d v="2022-03-01T00:00:00"/>
    <x v="3"/>
    <x v="2"/>
    <x v="2"/>
    <n v="333371.69"/>
    <x v="3"/>
    <x v="2"/>
    <x v="2"/>
    <x v="5"/>
    <x v="3"/>
    <x v="1"/>
    <x v="3"/>
    <x v="1"/>
    <x v="1"/>
    <n v="1"/>
    <x v="0"/>
  </r>
  <r>
    <d v="2022-03-01T00:00:00"/>
    <x v="3"/>
    <x v="3"/>
    <x v="0"/>
    <n v="5199125649.0200005"/>
    <x v="3"/>
    <x v="3"/>
    <x v="0"/>
    <x v="7"/>
    <x v="3"/>
    <x v="1"/>
    <x v="3"/>
    <x v="1"/>
    <x v="1"/>
    <n v="1"/>
    <x v="0"/>
  </r>
  <r>
    <d v="2022-03-01T00:00:00"/>
    <x v="1"/>
    <x v="0"/>
    <x v="0"/>
    <n v="76132705.120000005"/>
    <x v="1"/>
    <x v="0"/>
    <x v="0"/>
    <x v="10"/>
    <x v="3"/>
    <x v="1"/>
    <x v="3"/>
    <x v="1"/>
    <x v="1"/>
    <n v="1"/>
    <x v="0"/>
  </r>
  <r>
    <d v="2022-03-01T00:00:00"/>
    <x v="3"/>
    <x v="1"/>
    <x v="0"/>
    <n v="10868309.119999999"/>
    <x v="3"/>
    <x v="1"/>
    <x v="0"/>
    <x v="11"/>
    <x v="3"/>
    <x v="1"/>
    <x v="3"/>
    <x v="1"/>
    <x v="1"/>
    <n v="1"/>
    <x v="0"/>
  </r>
  <r>
    <d v="2022-03-01T00:00:00"/>
    <x v="3"/>
    <x v="2"/>
    <x v="0"/>
    <n v="961236535.83000004"/>
    <x v="3"/>
    <x v="2"/>
    <x v="0"/>
    <x v="12"/>
    <x v="3"/>
    <x v="1"/>
    <x v="3"/>
    <x v="1"/>
    <x v="1"/>
    <n v="1"/>
    <x v="0"/>
  </r>
  <r>
    <d v="2022-03-01T00:00:00"/>
    <x v="3"/>
    <x v="2"/>
    <x v="1"/>
    <n v="31117158211.889999"/>
    <x v="3"/>
    <x v="2"/>
    <x v="1"/>
    <x v="13"/>
    <x v="3"/>
    <x v="1"/>
    <x v="3"/>
    <x v="1"/>
    <x v="1"/>
    <n v="1"/>
    <x v="0"/>
  </r>
  <r>
    <d v="2022-02-28T00:00:00"/>
    <x v="0"/>
    <x v="1"/>
    <x v="2"/>
    <n v="5.45"/>
    <x v="0"/>
    <x v="1"/>
    <x v="2"/>
    <x v="3"/>
    <x v="3"/>
    <x v="1"/>
    <x v="3"/>
    <x v="1"/>
    <x v="2"/>
    <n v="28"/>
    <x v="0"/>
  </r>
  <r>
    <d v="2022-02-28T00:00:00"/>
    <x v="2"/>
    <x v="1"/>
    <x v="2"/>
    <n v="104996.04"/>
    <x v="2"/>
    <x v="1"/>
    <x v="2"/>
    <x v="4"/>
    <x v="3"/>
    <x v="1"/>
    <x v="3"/>
    <x v="1"/>
    <x v="2"/>
    <n v="28"/>
    <x v="0"/>
  </r>
  <r>
    <d v="2022-02-28T00:00:00"/>
    <x v="2"/>
    <x v="1"/>
    <x v="0"/>
    <n v="84426228.329999998"/>
    <x v="2"/>
    <x v="1"/>
    <x v="0"/>
    <x v="7"/>
    <x v="3"/>
    <x v="1"/>
    <x v="3"/>
    <x v="1"/>
    <x v="2"/>
    <n v="28"/>
    <x v="0"/>
  </r>
  <r>
    <d v="2022-02-28T00:00:00"/>
    <x v="3"/>
    <x v="3"/>
    <x v="0"/>
    <n v="3657700810.1700001"/>
    <x v="3"/>
    <x v="3"/>
    <x v="0"/>
    <x v="8"/>
    <x v="3"/>
    <x v="1"/>
    <x v="3"/>
    <x v="1"/>
    <x v="2"/>
    <n v="28"/>
    <x v="0"/>
  </r>
  <r>
    <d v="2022-02-28T00:00:00"/>
    <x v="2"/>
    <x v="1"/>
    <x v="1"/>
    <n v="521007243.54000002"/>
    <x v="2"/>
    <x v="1"/>
    <x v="1"/>
    <x v="9"/>
    <x v="3"/>
    <x v="1"/>
    <x v="3"/>
    <x v="1"/>
    <x v="2"/>
    <n v="28"/>
    <x v="0"/>
  </r>
  <r>
    <d v="2022-02-28T00:00:00"/>
    <x v="0"/>
    <x v="1"/>
    <x v="1"/>
    <n v="11408903.42"/>
    <x v="0"/>
    <x v="1"/>
    <x v="1"/>
    <x v="5"/>
    <x v="3"/>
    <x v="1"/>
    <x v="3"/>
    <x v="1"/>
    <x v="2"/>
    <n v="28"/>
    <x v="0"/>
  </r>
  <r>
    <d v="2022-02-28T00:00:00"/>
    <x v="1"/>
    <x v="0"/>
    <x v="0"/>
    <n v="85195790.019999996"/>
    <x v="1"/>
    <x v="0"/>
    <x v="0"/>
    <x v="11"/>
    <x v="3"/>
    <x v="1"/>
    <x v="3"/>
    <x v="1"/>
    <x v="2"/>
    <n v="28"/>
    <x v="0"/>
  </r>
  <r>
    <d v="2022-02-28T00:00:00"/>
    <x v="3"/>
    <x v="2"/>
    <x v="2"/>
    <n v="523391.81"/>
    <x v="3"/>
    <x v="2"/>
    <x v="2"/>
    <x v="6"/>
    <x v="3"/>
    <x v="1"/>
    <x v="3"/>
    <x v="1"/>
    <x v="2"/>
    <n v="28"/>
    <x v="0"/>
  </r>
  <r>
    <d v="2022-02-28T00:00:00"/>
    <x v="1"/>
    <x v="1"/>
    <x v="0"/>
    <n v="361.5"/>
    <x v="1"/>
    <x v="1"/>
    <x v="0"/>
    <x v="0"/>
    <x v="3"/>
    <x v="1"/>
    <x v="3"/>
    <x v="1"/>
    <x v="2"/>
    <n v="28"/>
    <x v="0"/>
  </r>
  <r>
    <d v="2022-02-28T00:00:00"/>
    <x v="0"/>
    <x v="1"/>
    <x v="0"/>
    <n v="11312638.880000001"/>
    <x v="0"/>
    <x v="1"/>
    <x v="0"/>
    <x v="2"/>
    <x v="3"/>
    <x v="1"/>
    <x v="3"/>
    <x v="1"/>
    <x v="2"/>
    <n v="28"/>
    <x v="0"/>
  </r>
  <r>
    <d v="2022-02-28T00:00:00"/>
    <x v="0"/>
    <x v="0"/>
    <x v="0"/>
    <n v="962.78"/>
    <x v="0"/>
    <x v="0"/>
    <x v="0"/>
    <x v="1"/>
    <x v="3"/>
    <x v="1"/>
    <x v="3"/>
    <x v="1"/>
    <x v="2"/>
    <n v="28"/>
    <x v="0"/>
  </r>
  <r>
    <d v="2022-02-28T00:00:00"/>
    <x v="1"/>
    <x v="0"/>
    <x v="1"/>
    <n v="126464573.95999999"/>
    <x v="1"/>
    <x v="0"/>
    <x v="1"/>
    <x v="10"/>
    <x v="3"/>
    <x v="1"/>
    <x v="3"/>
    <x v="1"/>
    <x v="2"/>
    <n v="28"/>
    <x v="0"/>
  </r>
  <r>
    <d v="2022-02-28T00:00:00"/>
    <x v="3"/>
    <x v="2"/>
    <x v="0"/>
    <n v="972896686.92999995"/>
    <x v="3"/>
    <x v="2"/>
    <x v="0"/>
    <x v="12"/>
    <x v="3"/>
    <x v="1"/>
    <x v="3"/>
    <x v="1"/>
    <x v="2"/>
    <n v="28"/>
    <x v="0"/>
  </r>
  <r>
    <d v="2022-02-28T00:00:00"/>
    <x v="3"/>
    <x v="2"/>
    <x v="1"/>
    <n v="30291632053.740002"/>
    <x v="3"/>
    <x v="2"/>
    <x v="1"/>
    <x v="13"/>
    <x v="3"/>
    <x v="1"/>
    <x v="3"/>
    <x v="1"/>
    <x v="2"/>
    <n v="28"/>
    <x v="0"/>
  </r>
  <r>
    <d v="2022-02-28T00:00:00"/>
    <x v="3"/>
    <x v="1"/>
    <x v="0"/>
    <n v="42663869.829999998"/>
    <x v="3"/>
    <x v="1"/>
    <x v="0"/>
    <x v="14"/>
    <x v="3"/>
    <x v="1"/>
    <x v="3"/>
    <x v="1"/>
    <x v="2"/>
    <n v="28"/>
    <x v="0"/>
  </r>
  <r>
    <d v="2022-02-25T00:00:00"/>
    <x v="3"/>
    <x v="2"/>
    <x v="2"/>
    <n v="194258.04"/>
    <x v="3"/>
    <x v="2"/>
    <x v="2"/>
    <x v="6"/>
    <x v="3"/>
    <x v="1"/>
    <x v="3"/>
    <x v="1"/>
    <x v="2"/>
    <n v="25"/>
    <x v="0"/>
  </r>
  <r>
    <d v="2022-02-25T00:00:00"/>
    <x v="2"/>
    <x v="1"/>
    <x v="0"/>
    <n v="85969814.409999996"/>
    <x v="2"/>
    <x v="1"/>
    <x v="0"/>
    <x v="7"/>
    <x v="3"/>
    <x v="1"/>
    <x v="3"/>
    <x v="1"/>
    <x v="2"/>
    <n v="25"/>
    <x v="0"/>
  </r>
  <r>
    <d v="2022-02-25T00:00:00"/>
    <x v="2"/>
    <x v="1"/>
    <x v="2"/>
    <n v="32991"/>
    <x v="2"/>
    <x v="1"/>
    <x v="2"/>
    <x v="5"/>
    <x v="3"/>
    <x v="1"/>
    <x v="3"/>
    <x v="1"/>
    <x v="2"/>
    <n v="25"/>
    <x v="0"/>
  </r>
  <r>
    <d v="2022-02-25T00:00:00"/>
    <x v="0"/>
    <x v="1"/>
    <x v="1"/>
    <n v="146776.14000000001"/>
    <x v="0"/>
    <x v="1"/>
    <x v="1"/>
    <x v="4"/>
    <x v="3"/>
    <x v="1"/>
    <x v="3"/>
    <x v="1"/>
    <x v="2"/>
    <n v="25"/>
    <x v="0"/>
  </r>
  <r>
    <d v="2022-02-25T00:00:00"/>
    <x v="1"/>
    <x v="0"/>
    <x v="1"/>
    <n v="230280688.49000001"/>
    <x v="1"/>
    <x v="0"/>
    <x v="1"/>
    <x v="9"/>
    <x v="3"/>
    <x v="1"/>
    <x v="3"/>
    <x v="1"/>
    <x v="2"/>
    <n v="25"/>
    <x v="0"/>
  </r>
  <r>
    <d v="2022-02-25T00:00:00"/>
    <x v="1"/>
    <x v="0"/>
    <x v="0"/>
    <n v="76770042.930000007"/>
    <x v="1"/>
    <x v="0"/>
    <x v="0"/>
    <x v="10"/>
    <x v="3"/>
    <x v="1"/>
    <x v="3"/>
    <x v="1"/>
    <x v="2"/>
    <n v="25"/>
    <x v="0"/>
  </r>
  <r>
    <d v="2022-02-25T00:00:00"/>
    <x v="0"/>
    <x v="0"/>
    <x v="0"/>
    <n v="250"/>
    <x v="0"/>
    <x v="0"/>
    <x v="0"/>
    <x v="0"/>
    <x v="3"/>
    <x v="1"/>
    <x v="3"/>
    <x v="1"/>
    <x v="2"/>
    <n v="25"/>
    <x v="0"/>
  </r>
  <r>
    <d v="2022-02-25T00:00:00"/>
    <x v="1"/>
    <x v="1"/>
    <x v="0"/>
    <n v="2118.69"/>
    <x v="1"/>
    <x v="1"/>
    <x v="0"/>
    <x v="1"/>
    <x v="3"/>
    <x v="1"/>
    <x v="3"/>
    <x v="1"/>
    <x v="2"/>
    <n v="25"/>
    <x v="0"/>
  </r>
  <r>
    <d v="2022-02-25T00:00:00"/>
    <x v="0"/>
    <x v="1"/>
    <x v="0"/>
    <n v="8970309.2400000002"/>
    <x v="0"/>
    <x v="1"/>
    <x v="0"/>
    <x v="2"/>
    <x v="3"/>
    <x v="1"/>
    <x v="3"/>
    <x v="1"/>
    <x v="2"/>
    <n v="25"/>
    <x v="0"/>
  </r>
  <r>
    <d v="2022-02-25T00:00:00"/>
    <x v="0"/>
    <x v="0"/>
    <x v="1"/>
    <n v="-73705.919999999998"/>
    <x v="0"/>
    <x v="0"/>
    <x v="1"/>
    <x v="3"/>
    <x v="3"/>
    <x v="1"/>
    <x v="3"/>
    <x v="1"/>
    <x v="2"/>
    <n v="25"/>
    <x v="1"/>
  </r>
  <r>
    <d v="2022-02-25T00:00:00"/>
    <x v="2"/>
    <x v="1"/>
    <x v="1"/>
    <n v="388303996.69"/>
    <x v="2"/>
    <x v="1"/>
    <x v="1"/>
    <x v="8"/>
    <x v="3"/>
    <x v="1"/>
    <x v="3"/>
    <x v="1"/>
    <x v="2"/>
    <n v="25"/>
    <x v="0"/>
  </r>
  <r>
    <d v="2022-02-25T00:00:00"/>
    <x v="3"/>
    <x v="3"/>
    <x v="0"/>
    <n v="4630667329.8800001"/>
    <x v="3"/>
    <x v="3"/>
    <x v="0"/>
    <x v="11"/>
    <x v="3"/>
    <x v="1"/>
    <x v="3"/>
    <x v="1"/>
    <x v="2"/>
    <n v="25"/>
    <x v="0"/>
  </r>
  <r>
    <d v="2022-02-25T00:00:00"/>
    <x v="3"/>
    <x v="1"/>
    <x v="0"/>
    <n v="12735460.460000001"/>
    <x v="3"/>
    <x v="1"/>
    <x v="0"/>
    <x v="12"/>
    <x v="3"/>
    <x v="1"/>
    <x v="3"/>
    <x v="1"/>
    <x v="2"/>
    <n v="25"/>
    <x v="0"/>
  </r>
  <r>
    <d v="2022-02-25T00:00:00"/>
    <x v="3"/>
    <x v="2"/>
    <x v="0"/>
    <n v="420308855.44999999"/>
    <x v="3"/>
    <x v="2"/>
    <x v="0"/>
    <x v="13"/>
    <x v="3"/>
    <x v="1"/>
    <x v="3"/>
    <x v="1"/>
    <x v="2"/>
    <n v="25"/>
    <x v="0"/>
  </r>
  <r>
    <d v="2022-02-25T00:00:00"/>
    <x v="3"/>
    <x v="2"/>
    <x v="1"/>
    <n v="10566792059.219999"/>
    <x v="3"/>
    <x v="2"/>
    <x v="1"/>
    <x v="14"/>
    <x v="3"/>
    <x v="1"/>
    <x v="3"/>
    <x v="1"/>
    <x v="2"/>
    <n v="25"/>
    <x v="0"/>
  </r>
  <r>
    <d v="2022-02-24T00:00:00"/>
    <x v="0"/>
    <x v="0"/>
    <x v="1"/>
    <n v="-9127"/>
    <x v="0"/>
    <x v="0"/>
    <x v="1"/>
    <x v="2"/>
    <x v="3"/>
    <x v="1"/>
    <x v="3"/>
    <x v="1"/>
    <x v="2"/>
    <n v="24"/>
    <x v="1"/>
  </r>
  <r>
    <d v="2022-02-24T00:00:00"/>
    <x v="1"/>
    <x v="0"/>
    <x v="1"/>
    <n v="1605908662.2"/>
    <x v="1"/>
    <x v="0"/>
    <x v="1"/>
    <x v="9"/>
    <x v="3"/>
    <x v="1"/>
    <x v="3"/>
    <x v="1"/>
    <x v="2"/>
    <n v="24"/>
    <x v="0"/>
  </r>
  <r>
    <d v="2022-02-24T00:00:00"/>
    <x v="1"/>
    <x v="0"/>
    <x v="0"/>
    <n v="115230080.43000001"/>
    <x v="1"/>
    <x v="0"/>
    <x v="0"/>
    <x v="10"/>
    <x v="3"/>
    <x v="1"/>
    <x v="3"/>
    <x v="1"/>
    <x v="2"/>
    <n v="24"/>
    <x v="0"/>
  </r>
  <r>
    <d v="2022-02-24T00:00:00"/>
    <x v="0"/>
    <x v="1"/>
    <x v="0"/>
    <n v="14174904"/>
    <x v="0"/>
    <x v="1"/>
    <x v="0"/>
    <x v="1"/>
    <x v="3"/>
    <x v="1"/>
    <x v="3"/>
    <x v="1"/>
    <x v="2"/>
    <n v="24"/>
    <x v="0"/>
  </r>
  <r>
    <d v="2022-02-24T00:00:00"/>
    <x v="0"/>
    <x v="1"/>
    <x v="1"/>
    <n v="11176641.92"/>
    <x v="0"/>
    <x v="1"/>
    <x v="1"/>
    <x v="3"/>
    <x v="3"/>
    <x v="1"/>
    <x v="3"/>
    <x v="1"/>
    <x v="2"/>
    <n v="24"/>
    <x v="0"/>
  </r>
  <r>
    <d v="2022-02-24T00:00:00"/>
    <x v="2"/>
    <x v="1"/>
    <x v="2"/>
    <n v="50335"/>
    <x v="2"/>
    <x v="1"/>
    <x v="2"/>
    <x v="4"/>
    <x v="3"/>
    <x v="1"/>
    <x v="3"/>
    <x v="1"/>
    <x v="2"/>
    <n v="24"/>
    <x v="0"/>
  </r>
  <r>
    <d v="2022-02-24T00:00:00"/>
    <x v="3"/>
    <x v="2"/>
    <x v="2"/>
    <n v="71157.350000000006"/>
    <x v="3"/>
    <x v="2"/>
    <x v="2"/>
    <x v="5"/>
    <x v="3"/>
    <x v="1"/>
    <x v="3"/>
    <x v="1"/>
    <x v="2"/>
    <n v="24"/>
    <x v="0"/>
  </r>
  <r>
    <d v="2022-02-24T00:00:00"/>
    <x v="3"/>
    <x v="3"/>
    <x v="0"/>
    <n v="1560856514.72"/>
    <x v="3"/>
    <x v="3"/>
    <x v="0"/>
    <x v="6"/>
    <x v="3"/>
    <x v="1"/>
    <x v="3"/>
    <x v="1"/>
    <x v="2"/>
    <n v="24"/>
    <x v="0"/>
  </r>
  <r>
    <d v="2022-02-24T00:00:00"/>
    <x v="2"/>
    <x v="1"/>
    <x v="0"/>
    <n v="75966859.420000002"/>
    <x v="2"/>
    <x v="1"/>
    <x v="0"/>
    <x v="7"/>
    <x v="3"/>
    <x v="1"/>
    <x v="3"/>
    <x v="1"/>
    <x v="2"/>
    <n v="24"/>
    <x v="0"/>
  </r>
  <r>
    <d v="2022-02-24T00:00:00"/>
    <x v="1"/>
    <x v="1"/>
    <x v="0"/>
    <n v="688"/>
    <x v="1"/>
    <x v="1"/>
    <x v="0"/>
    <x v="0"/>
    <x v="3"/>
    <x v="1"/>
    <x v="3"/>
    <x v="1"/>
    <x v="2"/>
    <n v="24"/>
    <x v="0"/>
  </r>
  <r>
    <d v="2022-02-24T00:00:00"/>
    <x v="2"/>
    <x v="1"/>
    <x v="1"/>
    <n v="180574624.56"/>
    <x v="2"/>
    <x v="1"/>
    <x v="1"/>
    <x v="8"/>
    <x v="3"/>
    <x v="1"/>
    <x v="3"/>
    <x v="1"/>
    <x v="2"/>
    <n v="24"/>
    <x v="0"/>
  </r>
  <r>
    <d v="2022-02-24T00:00:00"/>
    <x v="3"/>
    <x v="1"/>
    <x v="0"/>
    <n v="12622164.27"/>
    <x v="3"/>
    <x v="1"/>
    <x v="0"/>
    <x v="11"/>
    <x v="3"/>
    <x v="1"/>
    <x v="3"/>
    <x v="1"/>
    <x v="2"/>
    <n v="24"/>
    <x v="0"/>
  </r>
  <r>
    <d v="2022-02-24T00:00:00"/>
    <x v="3"/>
    <x v="2"/>
    <x v="0"/>
    <n v="420745417"/>
    <x v="3"/>
    <x v="2"/>
    <x v="0"/>
    <x v="12"/>
    <x v="3"/>
    <x v="1"/>
    <x v="3"/>
    <x v="1"/>
    <x v="2"/>
    <n v="24"/>
    <x v="0"/>
  </r>
  <r>
    <d v="2022-02-24T00:00:00"/>
    <x v="3"/>
    <x v="2"/>
    <x v="1"/>
    <n v="10005630936.299999"/>
    <x v="3"/>
    <x v="2"/>
    <x v="1"/>
    <x v="13"/>
    <x v="3"/>
    <x v="1"/>
    <x v="3"/>
    <x v="1"/>
    <x v="2"/>
    <n v="24"/>
    <x v="0"/>
  </r>
  <r>
    <d v="2022-02-23T00:00:00"/>
    <x v="3"/>
    <x v="2"/>
    <x v="2"/>
    <n v="360114.35"/>
    <x v="3"/>
    <x v="2"/>
    <x v="2"/>
    <x v="6"/>
    <x v="3"/>
    <x v="1"/>
    <x v="3"/>
    <x v="1"/>
    <x v="2"/>
    <n v="23"/>
    <x v="0"/>
  </r>
  <r>
    <d v="2022-02-23T00:00:00"/>
    <x v="2"/>
    <x v="1"/>
    <x v="2"/>
    <n v="243742.58"/>
    <x v="2"/>
    <x v="1"/>
    <x v="2"/>
    <x v="3"/>
    <x v="3"/>
    <x v="1"/>
    <x v="3"/>
    <x v="1"/>
    <x v="2"/>
    <n v="23"/>
    <x v="0"/>
  </r>
  <r>
    <d v="2022-02-23T00:00:00"/>
    <x v="2"/>
    <x v="1"/>
    <x v="0"/>
    <n v="109609606.73999999"/>
    <x v="2"/>
    <x v="1"/>
    <x v="0"/>
    <x v="7"/>
    <x v="3"/>
    <x v="1"/>
    <x v="3"/>
    <x v="1"/>
    <x v="2"/>
    <n v="23"/>
    <x v="0"/>
  </r>
  <r>
    <d v="2022-02-23T00:00:00"/>
    <x v="3"/>
    <x v="3"/>
    <x v="0"/>
    <n v="3450439164.0999999"/>
    <x v="3"/>
    <x v="3"/>
    <x v="0"/>
    <x v="8"/>
    <x v="3"/>
    <x v="1"/>
    <x v="3"/>
    <x v="1"/>
    <x v="2"/>
    <n v="23"/>
    <x v="0"/>
  </r>
  <r>
    <d v="2022-02-23T00:00:00"/>
    <x v="2"/>
    <x v="1"/>
    <x v="1"/>
    <n v="170000355.30000001"/>
    <x v="2"/>
    <x v="1"/>
    <x v="1"/>
    <x v="10"/>
    <x v="3"/>
    <x v="1"/>
    <x v="3"/>
    <x v="1"/>
    <x v="2"/>
    <n v="23"/>
    <x v="0"/>
  </r>
  <r>
    <d v="2022-02-23T00:00:00"/>
    <x v="0"/>
    <x v="1"/>
    <x v="0"/>
    <n v="35959997.939999998"/>
    <x v="0"/>
    <x v="1"/>
    <x v="0"/>
    <x v="2"/>
    <x v="3"/>
    <x v="1"/>
    <x v="3"/>
    <x v="1"/>
    <x v="2"/>
    <n v="23"/>
    <x v="0"/>
  </r>
  <r>
    <d v="2022-02-23T00:00:00"/>
    <x v="0"/>
    <x v="1"/>
    <x v="1"/>
    <n v="17594519.260000002"/>
    <x v="0"/>
    <x v="1"/>
    <x v="1"/>
    <x v="5"/>
    <x v="3"/>
    <x v="1"/>
    <x v="3"/>
    <x v="1"/>
    <x v="2"/>
    <n v="23"/>
    <x v="0"/>
  </r>
  <r>
    <d v="2022-02-23T00:00:00"/>
    <x v="1"/>
    <x v="1"/>
    <x v="0"/>
    <n v="661"/>
    <x v="1"/>
    <x v="1"/>
    <x v="0"/>
    <x v="0"/>
    <x v="3"/>
    <x v="1"/>
    <x v="3"/>
    <x v="1"/>
    <x v="2"/>
    <n v="23"/>
    <x v="0"/>
  </r>
  <r>
    <d v="2022-02-23T00:00:00"/>
    <x v="0"/>
    <x v="0"/>
    <x v="0"/>
    <n v="736.75"/>
    <x v="0"/>
    <x v="0"/>
    <x v="0"/>
    <x v="1"/>
    <x v="3"/>
    <x v="1"/>
    <x v="3"/>
    <x v="1"/>
    <x v="2"/>
    <n v="23"/>
    <x v="0"/>
  </r>
  <r>
    <d v="2022-02-23T00:00:00"/>
    <x v="1"/>
    <x v="0"/>
    <x v="1"/>
    <n v="811980509.64999998"/>
    <x v="1"/>
    <x v="0"/>
    <x v="1"/>
    <x v="9"/>
    <x v="3"/>
    <x v="1"/>
    <x v="3"/>
    <x v="1"/>
    <x v="2"/>
    <n v="23"/>
    <x v="0"/>
  </r>
  <r>
    <d v="2022-02-23T00:00:00"/>
    <x v="0"/>
    <x v="0"/>
    <x v="1"/>
    <n v="-455452.07"/>
    <x v="0"/>
    <x v="0"/>
    <x v="1"/>
    <x v="4"/>
    <x v="3"/>
    <x v="1"/>
    <x v="3"/>
    <x v="1"/>
    <x v="2"/>
    <n v="23"/>
    <x v="1"/>
  </r>
  <r>
    <d v="2022-02-23T00:00:00"/>
    <x v="1"/>
    <x v="0"/>
    <x v="0"/>
    <n v="95172747.189999998"/>
    <x v="1"/>
    <x v="0"/>
    <x v="0"/>
    <x v="11"/>
    <x v="3"/>
    <x v="1"/>
    <x v="3"/>
    <x v="1"/>
    <x v="2"/>
    <n v="23"/>
    <x v="0"/>
  </r>
  <r>
    <d v="2022-02-23T00:00:00"/>
    <x v="3"/>
    <x v="2"/>
    <x v="0"/>
    <n v="7123153502.6400003"/>
    <x v="3"/>
    <x v="2"/>
    <x v="0"/>
    <x v="12"/>
    <x v="3"/>
    <x v="1"/>
    <x v="3"/>
    <x v="1"/>
    <x v="2"/>
    <n v="23"/>
    <x v="0"/>
  </r>
  <r>
    <d v="2022-02-23T00:00:00"/>
    <x v="3"/>
    <x v="1"/>
    <x v="0"/>
    <n v="12379620.220000001"/>
    <x v="3"/>
    <x v="1"/>
    <x v="0"/>
    <x v="13"/>
    <x v="3"/>
    <x v="1"/>
    <x v="3"/>
    <x v="1"/>
    <x v="2"/>
    <n v="23"/>
    <x v="0"/>
  </r>
  <r>
    <d v="2022-02-23T00:00:00"/>
    <x v="3"/>
    <x v="2"/>
    <x v="1"/>
    <n v="6707537667.1000004"/>
    <x v="3"/>
    <x v="2"/>
    <x v="1"/>
    <x v="14"/>
    <x v="3"/>
    <x v="1"/>
    <x v="3"/>
    <x v="1"/>
    <x v="2"/>
    <n v="23"/>
    <x v="0"/>
  </r>
  <r>
    <d v="2022-02-22T00:00:00"/>
    <x v="2"/>
    <x v="1"/>
    <x v="2"/>
    <n v="37705"/>
    <x v="2"/>
    <x v="1"/>
    <x v="2"/>
    <x v="2"/>
    <x v="3"/>
    <x v="1"/>
    <x v="3"/>
    <x v="1"/>
    <x v="2"/>
    <n v="22"/>
    <x v="0"/>
  </r>
  <r>
    <d v="2022-02-22T00:00:00"/>
    <x v="3"/>
    <x v="3"/>
    <x v="0"/>
    <n v="1800564284.24"/>
    <x v="3"/>
    <x v="3"/>
    <x v="0"/>
    <x v="6"/>
    <x v="3"/>
    <x v="1"/>
    <x v="3"/>
    <x v="1"/>
    <x v="2"/>
    <n v="22"/>
    <x v="0"/>
  </r>
  <r>
    <d v="2022-02-22T00:00:00"/>
    <x v="2"/>
    <x v="1"/>
    <x v="1"/>
    <n v="84884574.980000004"/>
    <x v="2"/>
    <x v="1"/>
    <x v="1"/>
    <x v="7"/>
    <x v="3"/>
    <x v="1"/>
    <x v="3"/>
    <x v="1"/>
    <x v="2"/>
    <n v="22"/>
    <x v="0"/>
  </r>
  <r>
    <d v="2022-02-22T00:00:00"/>
    <x v="1"/>
    <x v="0"/>
    <x v="1"/>
    <n v="816976980.52999997"/>
    <x v="1"/>
    <x v="0"/>
    <x v="1"/>
    <x v="8"/>
    <x v="3"/>
    <x v="1"/>
    <x v="3"/>
    <x v="1"/>
    <x v="2"/>
    <n v="22"/>
    <x v="0"/>
  </r>
  <r>
    <d v="2022-02-22T00:00:00"/>
    <x v="0"/>
    <x v="1"/>
    <x v="0"/>
    <n v="14743050.449999999"/>
    <x v="0"/>
    <x v="1"/>
    <x v="0"/>
    <x v="1"/>
    <x v="3"/>
    <x v="1"/>
    <x v="3"/>
    <x v="1"/>
    <x v="2"/>
    <n v="22"/>
    <x v="0"/>
  </r>
  <r>
    <d v="2022-02-22T00:00:00"/>
    <x v="1"/>
    <x v="0"/>
    <x v="0"/>
    <n v="70627008.180000007"/>
    <x v="1"/>
    <x v="0"/>
    <x v="0"/>
    <x v="9"/>
    <x v="3"/>
    <x v="1"/>
    <x v="3"/>
    <x v="1"/>
    <x v="2"/>
    <n v="22"/>
    <x v="0"/>
  </r>
  <r>
    <d v="2022-02-22T00:00:00"/>
    <x v="1"/>
    <x v="1"/>
    <x v="0"/>
    <n v="24"/>
    <x v="1"/>
    <x v="1"/>
    <x v="0"/>
    <x v="0"/>
    <x v="3"/>
    <x v="1"/>
    <x v="3"/>
    <x v="1"/>
    <x v="2"/>
    <n v="22"/>
    <x v="0"/>
  </r>
  <r>
    <d v="2022-02-22T00:00:00"/>
    <x v="0"/>
    <x v="1"/>
    <x v="1"/>
    <n v="7678972.5"/>
    <x v="0"/>
    <x v="1"/>
    <x v="1"/>
    <x v="3"/>
    <x v="3"/>
    <x v="1"/>
    <x v="3"/>
    <x v="1"/>
    <x v="2"/>
    <n v="22"/>
    <x v="0"/>
  </r>
  <r>
    <d v="2022-02-22T00:00:00"/>
    <x v="3"/>
    <x v="2"/>
    <x v="2"/>
    <n v="344872.89"/>
    <x v="3"/>
    <x v="2"/>
    <x v="2"/>
    <x v="4"/>
    <x v="3"/>
    <x v="1"/>
    <x v="3"/>
    <x v="1"/>
    <x v="2"/>
    <n v="22"/>
    <x v="0"/>
  </r>
  <r>
    <d v="2022-02-22T00:00:00"/>
    <x v="2"/>
    <x v="1"/>
    <x v="0"/>
    <n v="88308706.459999993"/>
    <x v="2"/>
    <x v="1"/>
    <x v="0"/>
    <x v="5"/>
    <x v="3"/>
    <x v="1"/>
    <x v="3"/>
    <x v="1"/>
    <x v="2"/>
    <n v="22"/>
    <x v="0"/>
  </r>
  <r>
    <d v="2022-02-22T00:00:00"/>
    <x v="3"/>
    <x v="2"/>
    <x v="0"/>
    <n v="718023933.09000003"/>
    <x v="3"/>
    <x v="2"/>
    <x v="0"/>
    <x v="10"/>
    <x v="3"/>
    <x v="1"/>
    <x v="3"/>
    <x v="1"/>
    <x v="2"/>
    <n v="22"/>
    <x v="0"/>
  </r>
  <r>
    <d v="2022-02-22T00:00:00"/>
    <x v="3"/>
    <x v="2"/>
    <x v="1"/>
    <n v="29362226546.02"/>
    <x v="3"/>
    <x v="2"/>
    <x v="1"/>
    <x v="11"/>
    <x v="3"/>
    <x v="1"/>
    <x v="3"/>
    <x v="1"/>
    <x v="2"/>
    <n v="22"/>
    <x v="0"/>
  </r>
  <r>
    <d v="2022-02-22T00:00:00"/>
    <x v="3"/>
    <x v="1"/>
    <x v="0"/>
    <n v="48663717.189999998"/>
    <x v="3"/>
    <x v="1"/>
    <x v="0"/>
    <x v="12"/>
    <x v="3"/>
    <x v="1"/>
    <x v="3"/>
    <x v="1"/>
    <x v="2"/>
    <n v="22"/>
    <x v="0"/>
  </r>
  <r>
    <d v="2022-02-18T00:00:00"/>
    <x v="3"/>
    <x v="2"/>
    <x v="2"/>
    <n v="209816.01"/>
    <x v="3"/>
    <x v="2"/>
    <x v="2"/>
    <x v="6"/>
    <x v="3"/>
    <x v="1"/>
    <x v="3"/>
    <x v="1"/>
    <x v="2"/>
    <n v="18"/>
    <x v="0"/>
  </r>
  <r>
    <d v="2022-02-18T00:00:00"/>
    <x v="3"/>
    <x v="3"/>
    <x v="1"/>
    <n v="30407.53"/>
    <x v="3"/>
    <x v="3"/>
    <x v="1"/>
    <x v="3"/>
    <x v="3"/>
    <x v="1"/>
    <x v="3"/>
    <x v="1"/>
    <x v="2"/>
    <n v="18"/>
    <x v="0"/>
  </r>
  <r>
    <d v="2022-02-18T00:00:00"/>
    <x v="1"/>
    <x v="1"/>
    <x v="0"/>
    <n v="2595.58"/>
    <x v="1"/>
    <x v="1"/>
    <x v="0"/>
    <x v="0"/>
    <x v="3"/>
    <x v="1"/>
    <x v="3"/>
    <x v="1"/>
    <x v="2"/>
    <n v="18"/>
    <x v="0"/>
  </r>
  <r>
    <d v="2022-02-18T00:00:00"/>
    <x v="0"/>
    <x v="1"/>
    <x v="0"/>
    <n v="13811134.51"/>
    <x v="0"/>
    <x v="1"/>
    <x v="0"/>
    <x v="1"/>
    <x v="3"/>
    <x v="1"/>
    <x v="3"/>
    <x v="1"/>
    <x v="2"/>
    <n v="18"/>
    <x v="0"/>
  </r>
  <r>
    <d v="2022-02-18T00:00:00"/>
    <x v="1"/>
    <x v="0"/>
    <x v="0"/>
    <n v="73910977.560000002"/>
    <x v="1"/>
    <x v="0"/>
    <x v="0"/>
    <x v="10"/>
    <x v="3"/>
    <x v="1"/>
    <x v="3"/>
    <x v="1"/>
    <x v="2"/>
    <n v="18"/>
    <x v="0"/>
  </r>
  <r>
    <d v="2022-02-18T00:00:00"/>
    <x v="1"/>
    <x v="0"/>
    <x v="1"/>
    <n v="88777908.189999998"/>
    <x v="1"/>
    <x v="0"/>
    <x v="1"/>
    <x v="11"/>
    <x v="3"/>
    <x v="1"/>
    <x v="3"/>
    <x v="1"/>
    <x v="2"/>
    <n v="18"/>
    <x v="0"/>
  </r>
  <r>
    <d v="2022-02-18T00:00:00"/>
    <x v="0"/>
    <x v="1"/>
    <x v="1"/>
    <n v="2289393.37"/>
    <x v="0"/>
    <x v="1"/>
    <x v="1"/>
    <x v="4"/>
    <x v="3"/>
    <x v="1"/>
    <x v="3"/>
    <x v="1"/>
    <x v="2"/>
    <n v="18"/>
    <x v="0"/>
  </r>
  <r>
    <d v="2022-02-18T00:00:00"/>
    <x v="2"/>
    <x v="1"/>
    <x v="2"/>
    <n v="32718.21"/>
    <x v="2"/>
    <x v="1"/>
    <x v="2"/>
    <x v="5"/>
    <x v="3"/>
    <x v="1"/>
    <x v="3"/>
    <x v="1"/>
    <x v="2"/>
    <n v="18"/>
    <x v="0"/>
  </r>
  <r>
    <d v="2022-02-18T00:00:00"/>
    <x v="2"/>
    <x v="1"/>
    <x v="1"/>
    <n v="95367795.989999995"/>
    <x v="2"/>
    <x v="1"/>
    <x v="1"/>
    <x v="8"/>
    <x v="3"/>
    <x v="1"/>
    <x v="3"/>
    <x v="1"/>
    <x v="2"/>
    <n v="18"/>
    <x v="0"/>
  </r>
  <r>
    <d v="2022-02-18T00:00:00"/>
    <x v="0"/>
    <x v="0"/>
    <x v="1"/>
    <n v="19553179.420000002"/>
    <x v="0"/>
    <x v="0"/>
    <x v="1"/>
    <x v="2"/>
    <x v="3"/>
    <x v="1"/>
    <x v="3"/>
    <x v="1"/>
    <x v="2"/>
    <n v="18"/>
    <x v="0"/>
  </r>
  <r>
    <d v="2022-02-18T00:00:00"/>
    <x v="3"/>
    <x v="3"/>
    <x v="0"/>
    <n v="1499885281.48"/>
    <x v="3"/>
    <x v="3"/>
    <x v="0"/>
    <x v="9"/>
    <x v="3"/>
    <x v="1"/>
    <x v="3"/>
    <x v="1"/>
    <x v="2"/>
    <n v="18"/>
    <x v="0"/>
  </r>
  <r>
    <d v="2022-02-18T00:00:00"/>
    <x v="2"/>
    <x v="1"/>
    <x v="0"/>
    <n v="100050375.69"/>
    <x v="2"/>
    <x v="1"/>
    <x v="0"/>
    <x v="7"/>
    <x v="3"/>
    <x v="1"/>
    <x v="3"/>
    <x v="1"/>
    <x v="2"/>
    <n v="18"/>
    <x v="0"/>
  </r>
  <r>
    <d v="2022-02-18T00:00:00"/>
    <x v="3"/>
    <x v="2"/>
    <x v="0"/>
    <n v="425103645.13"/>
    <x v="3"/>
    <x v="2"/>
    <x v="0"/>
    <x v="12"/>
    <x v="3"/>
    <x v="1"/>
    <x v="3"/>
    <x v="1"/>
    <x v="2"/>
    <n v="18"/>
    <x v="0"/>
  </r>
  <r>
    <d v="2022-02-18T00:00:00"/>
    <x v="3"/>
    <x v="1"/>
    <x v="0"/>
    <n v="12540067.539999999"/>
    <x v="3"/>
    <x v="1"/>
    <x v="0"/>
    <x v="13"/>
    <x v="3"/>
    <x v="1"/>
    <x v="3"/>
    <x v="1"/>
    <x v="2"/>
    <n v="18"/>
    <x v="0"/>
  </r>
  <r>
    <d v="2022-02-18T00:00:00"/>
    <x v="3"/>
    <x v="2"/>
    <x v="1"/>
    <n v="13287265195.98"/>
    <x v="3"/>
    <x v="2"/>
    <x v="1"/>
    <x v="14"/>
    <x v="3"/>
    <x v="1"/>
    <x v="3"/>
    <x v="1"/>
    <x v="2"/>
    <n v="18"/>
    <x v="0"/>
  </r>
  <r>
    <d v="2022-02-17T00:00:00"/>
    <x v="2"/>
    <x v="1"/>
    <x v="0"/>
    <n v="133970892"/>
    <x v="2"/>
    <x v="1"/>
    <x v="0"/>
    <x v="8"/>
    <x v="3"/>
    <x v="1"/>
    <x v="3"/>
    <x v="1"/>
    <x v="2"/>
    <n v="17"/>
    <x v="0"/>
  </r>
  <r>
    <d v="2022-02-17T00:00:00"/>
    <x v="0"/>
    <x v="1"/>
    <x v="0"/>
    <n v="9842161.4800000004"/>
    <x v="0"/>
    <x v="1"/>
    <x v="0"/>
    <x v="2"/>
    <x v="3"/>
    <x v="1"/>
    <x v="3"/>
    <x v="1"/>
    <x v="2"/>
    <n v="17"/>
    <x v="0"/>
  </r>
  <r>
    <d v="2022-02-17T00:00:00"/>
    <x v="0"/>
    <x v="1"/>
    <x v="1"/>
    <n v="3456185.4"/>
    <x v="0"/>
    <x v="1"/>
    <x v="1"/>
    <x v="5"/>
    <x v="3"/>
    <x v="1"/>
    <x v="3"/>
    <x v="1"/>
    <x v="2"/>
    <n v="17"/>
    <x v="0"/>
  </r>
  <r>
    <d v="2022-02-17T00:00:00"/>
    <x v="1"/>
    <x v="0"/>
    <x v="1"/>
    <n v="302491396.72000003"/>
    <x v="1"/>
    <x v="0"/>
    <x v="1"/>
    <x v="11"/>
    <x v="3"/>
    <x v="1"/>
    <x v="3"/>
    <x v="1"/>
    <x v="2"/>
    <n v="17"/>
    <x v="0"/>
  </r>
  <r>
    <d v="2022-02-17T00:00:00"/>
    <x v="3"/>
    <x v="2"/>
    <x v="2"/>
    <n v="236542.81"/>
    <x v="3"/>
    <x v="2"/>
    <x v="2"/>
    <x v="6"/>
    <x v="3"/>
    <x v="1"/>
    <x v="3"/>
    <x v="1"/>
    <x v="2"/>
    <n v="17"/>
    <x v="0"/>
  </r>
  <r>
    <d v="2022-02-17T00:00:00"/>
    <x v="2"/>
    <x v="1"/>
    <x v="2"/>
    <n v="13040"/>
    <x v="2"/>
    <x v="1"/>
    <x v="2"/>
    <x v="3"/>
    <x v="3"/>
    <x v="1"/>
    <x v="3"/>
    <x v="1"/>
    <x v="2"/>
    <n v="17"/>
    <x v="0"/>
  </r>
  <r>
    <d v="2022-02-17T00:00:00"/>
    <x v="1"/>
    <x v="1"/>
    <x v="0"/>
    <n v="338"/>
    <x v="1"/>
    <x v="1"/>
    <x v="0"/>
    <x v="1"/>
    <x v="3"/>
    <x v="1"/>
    <x v="3"/>
    <x v="1"/>
    <x v="2"/>
    <n v="17"/>
    <x v="0"/>
  </r>
  <r>
    <d v="2022-02-17T00:00:00"/>
    <x v="3"/>
    <x v="3"/>
    <x v="0"/>
    <n v="1838622466.4000001"/>
    <x v="3"/>
    <x v="3"/>
    <x v="0"/>
    <x v="7"/>
    <x v="3"/>
    <x v="1"/>
    <x v="3"/>
    <x v="1"/>
    <x v="2"/>
    <n v="17"/>
    <x v="0"/>
  </r>
  <r>
    <d v="2022-02-17T00:00:00"/>
    <x v="0"/>
    <x v="0"/>
    <x v="0"/>
    <n v="300"/>
    <x v="0"/>
    <x v="0"/>
    <x v="0"/>
    <x v="0"/>
    <x v="3"/>
    <x v="1"/>
    <x v="3"/>
    <x v="1"/>
    <x v="2"/>
    <n v="17"/>
    <x v="0"/>
  </r>
  <r>
    <d v="2022-02-17T00:00:00"/>
    <x v="0"/>
    <x v="0"/>
    <x v="1"/>
    <n v="-731.17"/>
    <x v="0"/>
    <x v="0"/>
    <x v="1"/>
    <x v="4"/>
    <x v="3"/>
    <x v="1"/>
    <x v="3"/>
    <x v="1"/>
    <x v="2"/>
    <n v="17"/>
    <x v="1"/>
  </r>
  <r>
    <d v="2022-02-17T00:00:00"/>
    <x v="2"/>
    <x v="1"/>
    <x v="1"/>
    <n v="140410838.09"/>
    <x v="2"/>
    <x v="1"/>
    <x v="1"/>
    <x v="9"/>
    <x v="3"/>
    <x v="1"/>
    <x v="3"/>
    <x v="1"/>
    <x v="2"/>
    <n v="17"/>
    <x v="0"/>
  </r>
  <r>
    <d v="2022-02-17T00:00:00"/>
    <x v="1"/>
    <x v="0"/>
    <x v="0"/>
    <n v="106208560.8"/>
    <x v="1"/>
    <x v="0"/>
    <x v="0"/>
    <x v="10"/>
    <x v="3"/>
    <x v="1"/>
    <x v="3"/>
    <x v="1"/>
    <x v="2"/>
    <n v="17"/>
    <x v="0"/>
  </r>
  <r>
    <d v="2022-02-17T00:00:00"/>
    <x v="3"/>
    <x v="2"/>
    <x v="0"/>
    <n v="355383842.56999999"/>
    <x v="3"/>
    <x v="2"/>
    <x v="0"/>
    <x v="12"/>
    <x v="3"/>
    <x v="1"/>
    <x v="3"/>
    <x v="1"/>
    <x v="2"/>
    <n v="17"/>
    <x v="0"/>
  </r>
  <r>
    <d v="2022-02-17T00:00:00"/>
    <x v="3"/>
    <x v="1"/>
    <x v="0"/>
    <n v="14074434.810000001"/>
    <x v="3"/>
    <x v="1"/>
    <x v="0"/>
    <x v="13"/>
    <x v="3"/>
    <x v="1"/>
    <x v="3"/>
    <x v="1"/>
    <x v="2"/>
    <n v="17"/>
    <x v="0"/>
  </r>
  <r>
    <d v="2022-02-17T00:00:00"/>
    <x v="3"/>
    <x v="2"/>
    <x v="1"/>
    <n v="5370339331.6000004"/>
    <x v="3"/>
    <x v="2"/>
    <x v="1"/>
    <x v="14"/>
    <x v="3"/>
    <x v="1"/>
    <x v="3"/>
    <x v="1"/>
    <x v="2"/>
    <n v="17"/>
    <x v="0"/>
  </r>
  <r>
    <d v="2022-02-16T00:00:00"/>
    <x v="1"/>
    <x v="1"/>
    <x v="0"/>
    <n v="25.5"/>
    <x v="1"/>
    <x v="1"/>
    <x v="0"/>
    <x v="0"/>
    <x v="3"/>
    <x v="1"/>
    <x v="3"/>
    <x v="1"/>
    <x v="2"/>
    <n v="16"/>
    <x v="0"/>
  </r>
  <r>
    <d v="2022-02-16T00:00:00"/>
    <x v="0"/>
    <x v="1"/>
    <x v="0"/>
    <n v="16532688.359999999"/>
    <x v="0"/>
    <x v="1"/>
    <x v="0"/>
    <x v="2"/>
    <x v="3"/>
    <x v="1"/>
    <x v="3"/>
    <x v="1"/>
    <x v="2"/>
    <n v="16"/>
    <x v="0"/>
  </r>
  <r>
    <d v="2022-02-16T00:00:00"/>
    <x v="0"/>
    <x v="1"/>
    <x v="1"/>
    <n v="13084757.539999999"/>
    <x v="0"/>
    <x v="1"/>
    <x v="1"/>
    <x v="3"/>
    <x v="3"/>
    <x v="1"/>
    <x v="3"/>
    <x v="1"/>
    <x v="2"/>
    <n v="16"/>
    <x v="0"/>
  </r>
  <r>
    <d v="2022-02-16T00:00:00"/>
    <x v="1"/>
    <x v="0"/>
    <x v="1"/>
    <n v="890369451.37"/>
    <x v="1"/>
    <x v="0"/>
    <x v="1"/>
    <x v="10"/>
    <x v="3"/>
    <x v="1"/>
    <x v="3"/>
    <x v="1"/>
    <x v="2"/>
    <n v="16"/>
    <x v="0"/>
  </r>
  <r>
    <d v="2022-02-16T00:00:00"/>
    <x v="0"/>
    <x v="0"/>
    <x v="0"/>
    <n v="820"/>
    <x v="0"/>
    <x v="0"/>
    <x v="0"/>
    <x v="1"/>
    <x v="3"/>
    <x v="1"/>
    <x v="3"/>
    <x v="1"/>
    <x v="2"/>
    <n v="16"/>
    <x v="0"/>
  </r>
  <r>
    <d v="2022-02-16T00:00:00"/>
    <x v="2"/>
    <x v="1"/>
    <x v="0"/>
    <n v="152059225.38999999"/>
    <x v="2"/>
    <x v="1"/>
    <x v="0"/>
    <x v="6"/>
    <x v="3"/>
    <x v="1"/>
    <x v="3"/>
    <x v="1"/>
    <x v="2"/>
    <n v="16"/>
    <x v="0"/>
  </r>
  <r>
    <d v="2022-02-16T00:00:00"/>
    <x v="3"/>
    <x v="3"/>
    <x v="0"/>
    <n v="1432528790.6500001"/>
    <x v="3"/>
    <x v="3"/>
    <x v="0"/>
    <x v="7"/>
    <x v="3"/>
    <x v="1"/>
    <x v="3"/>
    <x v="1"/>
    <x v="2"/>
    <n v="16"/>
    <x v="0"/>
  </r>
  <r>
    <d v="2022-02-16T00:00:00"/>
    <x v="2"/>
    <x v="1"/>
    <x v="1"/>
    <n v="277395664.57999998"/>
    <x v="2"/>
    <x v="1"/>
    <x v="1"/>
    <x v="8"/>
    <x v="3"/>
    <x v="1"/>
    <x v="3"/>
    <x v="1"/>
    <x v="2"/>
    <n v="16"/>
    <x v="0"/>
  </r>
  <r>
    <d v="2022-02-16T00:00:00"/>
    <x v="3"/>
    <x v="2"/>
    <x v="2"/>
    <n v="372882.99"/>
    <x v="3"/>
    <x v="2"/>
    <x v="2"/>
    <x v="5"/>
    <x v="3"/>
    <x v="1"/>
    <x v="3"/>
    <x v="1"/>
    <x v="2"/>
    <n v="16"/>
    <x v="0"/>
  </r>
  <r>
    <d v="2022-02-16T00:00:00"/>
    <x v="2"/>
    <x v="1"/>
    <x v="2"/>
    <n v="128642.07"/>
    <x v="2"/>
    <x v="1"/>
    <x v="2"/>
    <x v="4"/>
    <x v="3"/>
    <x v="1"/>
    <x v="3"/>
    <x v="1"/>
    <x v="2"/>
    <n v="16"/>
    <x v="0"/>
  </r>
  <r>
    <d v="2022-02-16T00:00:00"/>
    <x v="1"/>
    <x v="0"/>
    <x v="0"/>
    <n v="122586917.34999999"/>
    <x v="1"/>
    <x v="0"/>
    <x v="0"/>
    <x v="9"/>
    <x v="3"/>
    <x v="1"/>
    <x v="3"/>
    <x v="1"/>
    <x v="2"/>
    <n v="16"/>
    <x v="0"/>
  </r>
  <r>
    <d v="2022-02-16T00:00:00"/>
    <x v="3"/>
    <x v="2"/>
    <x v="0"/>
    <n v="346349028.88"/>
    <x v="3"/>
    <x v="2"/>
    <x v="0"/>
    <x v="11"/>
    <x v="3"/>
    <x v="1"/>
    <x v="3"/>
    <x v="1"/>
    <x v="2"/>
    <n v="16"/>
    <x v="0"/>
  </r>
  <r>
    <d v="2022-02-16T00:00:00"/>
    <x v="3"/>
    <x v="1"/>
    <x v="0"/>
    <n v="12895665.279999999"/>
    <x v="3"/>
    <x v="1"/>
    <x v="0"/>
    <x v="12"/>
    <x v="3"/>
    <x v="1"/>
    <x v="3"/>
    <x v="1"/>
    <x v="2"/>
    <n v="16"/>
    <x v="0"/>
  </r>
  <r>
    <d v="2022-02-16T00:00:00"/>
    <x v="3"/>
    <x v="2"/>
    <x v="1"/>
    <n v="25861865416.509998"/>
    <x v="3"/>
    <x v="2"/>
    <x v="1"/>
    <x v="13"/>
    <x v="3"/>
    <x v="1"/>
    <x v="3"/>
    <x v="1"/>
    <x v="2"/>
    <n v="16"/>
    <x v="0"/>
  </r>
  <r>
    <d v="2022-02-15T00:00:00"/>
    <x v="2"/>
    <x v="1"/>
    <x v="1"/>
    <n v="78527018.200000003"/>
    <x v="2"/>
    <x v="1"/>
    <x v="1"/>
    <x v="7"/>
    <x v="3"/>
    <x v="1"/>
    <x v="3"/>
    <x v="1"/>
    <x v="2"/>
    <n v="15"/>
    <x v="0"/>
  </r>
  <r>
    <d v="2022-02-15T00:00:00"/>
    <x v="0"/>
    <x v="1"/>
    <x v="1"/>
    <n v="995733.28"/>
    <x v="0"/>
    <x v="1"/>
    <x v="1"/>
    <x v="2"/>
    <x v="3"/>
    <x v="1"/>
    <x v="3"/>
    <x v="1"/>
    <x v="2"/>
    <n v="15"/>
    <x v="0"/>
  </r>
  <r>
    <d v="2022-02-15T00:00:00"/>
    <x v="1"/>
    <x v="1"/>
    <x v="0"/>
    <n v="525.5"/>
    <x v="1"/>
    <x v="1"/>
    <x v="0"/>
    <x v="0"/>
    <x v="3"/>
    <x v="1"/>
    <x v="3"/>
    <x v="1"/>
    <x v="2"/>
    <n v="15"/>
    <x v="0"/>
  </r>
  <r>
    <d v="2022-02-15T00:00:00"/>
    <x v="0"/>
    <x v="1"/>
    <x v="0"/>
    <n v="21104517.27"/>
    <x v="0"/>
    <x v="1"/>
    <x v="0"/>
    <x v="1"/>
    <x v="3"/>
    <x v="1"/>
    <x v="3"/>
    <x v="1"/>
    <x v="2"/>
    <n v="15"/>
    <x v="0"/>
  </r>
  <r>
    <d v="2022-02-15T00:00:00"/>
    <x v="2"/>
    <x v="1"/>
    <x v="0"/>
    <n v="102890582.22"/>
    <x v="2"/>
    <x v="1"/>
    <x v="0"/>
    <x v="6"/>
    <x v="3"/>
    <x v="1"/>
    <x v="3"/>
    <x v="1"/>
    <x v="2"/>
    <n v="15"/>
    <x v="0"/>
  </r>
  <r>
    <d v="2022-02-15T00:00:00"/>
    <x v="2"/>
    <x v="1"/>
    <x v="2"/>
    <n v="19875"/>
    <x v="2"/>
    <x v="1"/>
    <x v="2"/>
    <x v="3"/>
    <x v="3"/>
    <x v="1"/>
    <x v="3"/>
    <x v="1"/>
    <x v="2"/>
    <n v="15"/>
    <x v="0"/>
  </r>
  <r>
    <d v="2022-02-15T00:00:00"/>
    <x v="3"/>
    <x v="2"/>
    <x v="2"/>
    <n v="273675.03999999998"/>
    <x v="3"/>
    <x v="2"/>
    <x v="2"/>
    <x v="4"/>
    <x v="3"/>
    <x v="1"/>
    <x v="3"/>
    <x v="1"/>
    <x v="2"/>
    <n v="15"/>
    <x v="0"/>
  </r>
  <r>
    <d v="2022-02-15T00:00:00"/>
    <x v="3"/>
    <x v="3"/>
    <x v="0"/>
    <n v="2363395094.52"/>
    <x v="3"/>
    <x v="3"/>
    <x v="0"/>
    <x v="5"/>
    <x v="3"/>
    <x v="1"/>
    <x v="3"/>
    <x v="1"/>
    <x v="2"/>
    <n v="15"/>
    <x v="0"/>
  </r>
  <r>
    <d v="2022-02-15T00:00:00"/>
    <x v="1"/>
    <x v="0"/>
    <x v="0"/>
    <n v="103393277.37"/>
    <x v="1"/>
    <x v="0"/>
    <x v="0"/>
    <x v="8"/>
    <x v="3"/>
    <x v="1"/>
    <x v="3"/>
    <x v="1"/>
    <x v="2"/>
    <n v="15"/>
    <x v="0"/>
  </r>
  <r>
    <d v="2022-02-15T00:00:00"/>
    <x v="1"/>
    <x v="0"/>
    <x v="1"/>
    <n v="424596753.62"/>
    <x v="1"/>
    <x v="0"/>
    <x v="1"/>
    <x v="9"/>
    <x v="3"/>
    <x v="1"/>
    <x v="3"/>
    <x v="1"/>
    <x v="2"/>
    <n v="15"/>
    <x v="0"/>
  </r>
  <r>
    <d v="2022-02-15T00:00:00"/>
    <x v="3"/>
    <x v="2"/>
    <x v="0"/>
    <n v="632150532.17999995"/>
    <x v="3"/>
    <x v="2"/>
    <x v="0"/>
    <x v="10"/>
    <x v="3"/>
    <x v="1"/>
    <x v="3"/>
    <x v="1"/>
    <x v="2"/>
    <n v="15"/>
    <x v="0"/>
  </r>
  <r>
    <d v="2022-02-15T00:00:00"/>
    <x v="3"/>
    <x v="1"/>
    <x v="0"/>
    <n v="9588784.6999999993"/>
    <x v="3"/>
    <x v="1"/>
    <x v="0"/>
    <x v="11"/>
    <x v="3"/>
    <x v="1"/>
    <x v="3"/>
    <x v="1"/>
    <x v="2"/>
    <n v="15"/>
    <x v="0"/>
  </r>
  <r>
    <d v="2022-02-15T00:00:00"/>
    <x v="3"/>
    <x v="2"/>
    <x v="1"/>
    <n v="10029646403.9"/>
    <x v="3"/>
    <x v="2"/>
    <x v="1"/>
    <x v="12"/>
    <x v="3"/>
    <x v="1"/>
    <x v="3"/>
    <x v="1"/>
    <x v="2"/>
    <n v="15"/>
    <x v="0"/>
  </r>
  <r>
    <d v="2022-02-14T00:00:00"/>
    <x v="2"/>
    <x v="1"/>
    <x v="0"/>
    <n v="81658348.659999996"/>
    <x v="2"/>
    <x v="1"/>
    <x v="0"/>
    <x v="5"/>
    <x v="3"/>
    <x v="1"/>
    <x v="3"/>
    <x v="1"/>
    <x v="2"/>
    <n v="14"/>
    <x v="0"/>
  </r>
  <r>
    <d v="2022-02-14T00:00:00"/>
    <x v="2"/>
    <x v="1"/>
    <x v="2"/>
    <n v="107825.48"/>
    <x v="2"/>
    <x v="1"/>
    <x v="2"/>
    <x v="2"/>
    <x v="3"/>
    <x v="1"/>
    <x v="3"/>
    <x v="1"/>
    <x v="2"/>
    <n v="14"/>
    <x v="0"/>
  </r>
  <r>
    <d v="2022-02-14T00:00:00"/>
    <x v="3"/>
    <x v="3"/>
    <x v="0"/>
    <n v="7054882239.1199999"/>
    <x v="3"/>
    <x v="3"/>
    <x v="0"/>
    <x v="6"/>
    <x v="3"/>
    <x v="1"/>
    <x v="3"/>
    <x v="1"/>
    <x v="2"/>
    <n v="14"/>
    <x v="0"/>
  </r>
  <r>
    <d v="2022-02-14T00:00:00"/>
    <x v="1"/>
    <x v="1"/>
    <x v="0"/>
    <n v="6559.13"/>
    <x v="1"/>
    <x v="1"/>
    <x v="0"/>
    <x v="0"/>
    <x v="3"/>
    <x v="1"/>
    <x v="3"/>
    <x v="1"/>
    <x v="2"/>
    <n v="14"/>
    <x v="0"/>
  </r>
  <r>
    <d v="2022-02-14T00:00:00"/>
    <x v="2"/>
    <x v="1"/>
    <x v="1"/>
    <n v="114157205.15000001"/>
    <x v="2"/>
    <x v="1"/>
    <x v="1"/>
    <x v="7"/>
    <x v="3"/>
    <x v="1"/>
    <x v="3"/>
    <x v="1"/>
    <x v="2"/>
    <n v="14"/>
    <x v="0"/>
  </r>
  <r>
    <d v="2022-02-14T00:00:00"/>
    <x v="0"/>
    <x v="1"/>
    <x v="0"/>
    <n v="13321993.439999999"/>
    <x v="0"/>
    <x v="1"/>
    <x v="0"/>
    <x v="1"/>
    <x v="3"/>
    <x v="1"/>
    <x v="3"/>
    <x v="1"/>
    <x v="2"/>
    <n v="14"/>
    <x v="0"/>
  </r>
  <r>
    <d v="2022-02-14T00:00:00"/>
    <x v="0"/>
    <x v="1"/>
    <x v="1"/>
    <n v="12770952.550000001"/>
    <x v="0"/>
    <x v="1"/>
    <x v="1"/>
    <x v="3"/>
    <x v="3"/>
    <x v="1"/>
    <x v="3"/>
    <x v="1"/>
    <x v="2"/>
    <n v="14"/>
    <x v="0"/>
  </r>
  <r>
    <d v="2022-02-14T00:00:00"/>
    <x v="1"/>
    <x v="0"/>
    <x v="0"/>
    <n v="87717100.829999998"/>
    <x v="1"/>
    <x v="0"/>
    <x v="0"/>
    <x v="8"/>
    <x v="3"/>
    <x v="1"/>
    <x v="3"/>
    <x v="1"/>
    <x v="2"/>
    <n v="14"/>
    <x v="0"/>
  </r>
  <r>
    <d v="2022-02-14T00:00:00"/>
    <x v="3"/>
    <x v="2"/>
    <x v="2"/>
    <n v="351522"/>
    <x v="3"/>
    <x v="2"/>
    <x v="2"/>
    <x v="4"/>
    <x v="3"/>
    <x v="1"/>
    <x v="3"/>
    <x v="1"/>
    <x v="2"/>
    <n v="14"/>
    <x v="0"/>
  </r>
  <r>
    <d v="2022-02-14T00:00:00"/>
    <x v="1"/>
    <x v="0"/>
    <x v="1"/>
    <n v="281555384.12"/>
    <x v="1"/>
    <x v="0"/>
    <x v="1"/>
    <x v="9"/>
    <x v="3"/>
    <x v="1"/>
    <x v="3"/>
    <x v="1"/>
    <x v="2"/>
    <n v="14"/>
    <x v="0"/>
  </r>
  <r>
    <d v="2022-02-14T00:00:00"/>
    <x v="3"/>
    <x v="2"/>
    <x v="0"/>
    <n v="575966062.35000002"/>
    <x v="3"/>
    <x v="2"/>
    <x v="0"/>
    <x v="10"/>
    <x v="3"/>
    <x v="1"/>
    <x v="3"/>
    <x v="1"/>
    <x v="2"/>
    <n v="14"/>
    <x v="0"/>
  </r>
  <r>
    <d v="2022-02-14T00:00:00"/>
    <x v="3"/>
    <x v="2"/>
    <x v="1"/>
    <n v="23913954878.959999"/>
    <x v="3"/>
    <x v="2"/>
    <x v="1"/>
    <x v="11"/>
    <x v="3"/>
    <x v="1"/>
    <x v="3"/>
    <x v="1"/>
    <x v="2"/>
    <n v="14"/>
    <x v="0"/>
  </r>
  <r>
    <d v="2022-02-14T00:00:00"/>
    <x v="3"/>
    <x v="1"/>
    <x v="0"/>
    <n v="44445046.119999997"/>
    <x v="3"/>
    <x v="1"/>
    <x v="0"/>
    <x v="12"/>
    <x v="3"/>
    <x v="1"/>
    <x v="3"/>
    <x v="1"/>
    <x v="2"/>
    <n v="14"/>
    <x v="0"/>
  </r>
  <r>
    <d v="2022-02-11T00:00:00"/>
    <x v="1"/>
    <x v="1"/>
    <x v="0"/>
    <n v="5847.07"/>
    <x v="1"/>
    <x v="1"/>
    <x v="0"/>
    <x v="1"/>
    <x v="3"/>
    <x v="1"/>
    <x v="3"/>
    <x v="1"/>
    <x v="2"/>
    <n v="11"/>
    <x v="0"/>
  </r>
  <r>
    <d v="2022-02-11T00:00:00"/>
    <x v="0"/>
    <x v="1"/>
    <x v="0"/>
    <n v="20003944.23"/>
    <x v="0"/>
    <x v="1"/>
    <x v="0"/>
    <x v="2"/>
    <x v="3"/>
    <x v="1"/>
    <x v="3"/>
    <x v="1"/>
    <x v="2"/>
    <n v="11"/>
    <x v="0"/>
  </r>
  <r>
    <d v="2022-02-11T00:00:00"/>
    <x v="2"/>
    <x v="1"/>
    <x v="0"/>
    <n v="164938926.86000001"/>
    <x v="2"/>
    <x v="1"/>
    <x v="0"/>
    <x v="7"/>
    <x v="3"/>
    <x v="1"/>
    <x v="3"/>
    <x v="1"/>
    <x v="2"/>
    <n v="11"/>
    <x v="0"/>
  </r>
  <r>
    <d v="2022-02-11T00:00:00"/>
    <x v="2"/>
    <x v="1"/>
    <x v="1"/>
    <n v="117272433.47"/>
    <x v="2"/>
    <x v="1"/>
    <x v="1"/>
    <x v="8"/>
    <x v="3"/>
    <x v="1"/>
    <x v="3"/>
    <x v="1"/>
    <x v="2"/>
    <n v="11"/>
    <x v="0"/>
  </r>
  <r>
    <d v="2022-02-11T00:00:00"/>
    <x v="3"/>
    <x v="3"/>
    <x v="1"/>
    <n v="1309334.19"/>
    <x v="3"/>
    <x v="3"/>
    <x v="1"/>
    <x v="4"/>
    <x v="3"/>
    <x v="1"/>
    <x v="3"/>
    <x v="1"/>
    <x v="2"/>
    <n v="11"/>
    <x v="0"/>
  </r>
  <r>
    <d v="2022-02-11T00:00:00"/>
    <x v="0"/>
    <x v="1"/>
    <x v="1"/>
    <n v="6894564.5800000001"/>
    <x v="0"/>
    <x v="1"/>
    <x v="1"/>
    <x v="5"/>
    <x v="3"/>
    <x v="1"/>
    <x v="3"/>
    <x v="1"/>
    <x v="2"/>
    <n v="11"/>
    <x v="0"/>
  </r>
  <r>
    <d v="2022-02-11T00:00:00"/>
    <x v="1"/>
    <x v="0"/>
    <x v="0"/>
    <n v="91358736.379999995"/>
    <x v="1"/>
    <x v="0"/>
    <x v="0"/>
    <x v="9"/>
    <x v="3"/>
    <x v="1"/>
    <x v="3"/>
    <x v="1"/>
    <x v="2"/>
    <n v="11"/>
    <x v="0"/>
  </r>
  <r>
    <d v="2022-02-11T00:00:00"/>
    <x v="3"/>
    <x v="3"/>
    <x v="0"/>
    <n v="11347136729.84"/>
    <x v="3"/>
    <x v="3"/>
    <x v="0"/>
    <x v="10"/>
    <x v="3"/>
    <x v="1"/>
    <x v="3"/>
    <x v="1"/>
    <x v="2"/>
    <n v="11"/>
    <x v="0"/>
  </r>
  <r>
    <d v="2022-02-11T00:00:00"/>
    <x v="3"/>
    <x v="2"/>
    <x v="2"/>
    <n v="91635.63"/>
    <x v="3"/>
    <x v="2"/>
    <x v="2"/>
    <x v="6"/>
    <x v="3"/>
    <x v="1"/>
    <x v="3"/>
    <x v="1"/>
    <x v="2"/>
    <n v="11"/>
    <x v="0"/>
  </r>
  <r>
    <d v="2022-02-11T00:00:00"/>
    <x v="2"/>
    <x v="1"/>
    <x v="2"/>
    <n v="15135"/>
    <x v="2"/>
    <x v="1"/>
    <x v="2"/>
    <x v="3"/>
    <x v="3"/>
    <x v="1"/>
    <x v="3"/>
    <x v="1"/>
    <x v="2"/>
    <n v="11"/>
    <x v="0"/>
  </r>
  <r>
    <d v="2022-02-11T00:00:00"/>
    <x v="0"/>
    <x v="0"/>
    <x v="0"/>
    <n v="2000"/>
    <x v="0"/>
    <x v="0"/>
    <x v="0"/>
    <x v="0"/>
    <x v="3"/>
    <x v="1"/>
    <x v="3"/>
    <x v="1"/>
    <x v="2"/>
    <n v="11"/>
    <x v="0"/>
  </r>
  <r>
    <d v="2022-02-11T00:00:00"/>
    <x v="1"/>
    <x v="0"/>
    <x v="1"/>
    <n v="186789651.52000001"/>
    <x v="1"/>
    <x v="0"/>
    <x v="1"/>
    <x v="11"/>
    <x v="3"/>
    <x v="1"/>
    <x v="3"/>
    <x v="1"/>
    <x v="2"/>
    <n v="11"/>
    <x v="0"/>
  </r>
  <r>
    <d v="2022-02-11T00:00:00"/>
    <x v="3"/>
    <x v="2"/>
    <x v="0"/>
    <n v="474837970.91000003"/>
    <x v="3"/>
    <x v="2"/>
    <x v="0"/>
    <x v="12"/>
    <x v="3"/>
    <x v="1"/>
    <x v="3"/>
    <x v="1"/>
    <x v="2"/>
    <n v="11"/>
    <x v="0"/>
  </r>
  <r>
    <d v="2022-02-11T00:00:00"/>
    <x v="3"/>
    <x v="1"/>
    <x v="0"/>
    <n v="13151170.66"/>
    <x v="3"/>
    <x v="1"/>
    <x v="0"/>
    <x v="13"/>
    <x v="3"/>
    <x v="1"/>
    <x v="3"/>
    <x v="1"/>
    <x v="2"/>
    <n v="11"/>
    <x v="0"/>
  </r>
  <r>
    <d v="2022-02-11T00:00:00"/>
    <x v="3"/>
    <x v="2"/>
    <x v="1"/>
    <n v="9968085287.8700008"/>
    <x v="3"/>
    <x v="2"/>
    <x v="1"/>
    <x v="14"/>
    <x v="3"/>
    <x v="1"/>
    <x v="3"/>
    <x v="1"/>
    <x v="2"/>
    <n v="11"/>
    <x v="0"/>
  </r>
  <r>
    <d v="2022-02-10T00:00:00"/>
    <x v="0"/>
    <x v="0"/>
    <x v="0"/>
    <n v="650"/>
    <x v="0"/>
    <x v="0"/>
    <x v="0"/>
    <x v="0"/>
    <x v="3"/>
    <x v="1"/>
    <x v="3"/>
    <x v="1"/>
    <x v="2"/>
    <n v="10"/>
    <x v="0"/>
  </r>
  <r>
    <d v="2022-02-10T00:00:00"/>
    <x v="1"/>
    <x v="1"/>
    <x v="0"/>
    <n v="350"/>
    <x v="1"/>
    <x v="1"/>
    <x v="0"/>
    <x v="1"/>
    <x v="3"/>
    <x v="1"/>
    <x v="3"/>
    <x v="1"/>
    <x v="2"/>
    <n v="10"/>
    <x v="0"/>
  </r>
  <r>
    <d v="2022-02-10T00:00:00"/>
    <x v="0"/>
    <x v="1"/>
    <x v="0"/>
    <n v="11332815.119999999"/>
    <x v="0"/>
    <x v="1"/>
    <x v="0"/>
    <x v="2"/>
    <x v="3"/>
    <x v="1"/>
    <x v="3"/>
    <x v="1"/>
    <x v="2"/>
    <n v="10"/>
    <x v="0"/>
  </r>
  <r>
    <d v="2022-02-10T00:00:00"/>
    <x v="0"/>
    <x v="1"/>
    <x v="1"/>
    <n v="1359787.74"/>
    <x v="0"/>
    <x v="1"/>
    <x v="1"/>
    <x v="4"/>
    <x v="3"/>
    <x v="1"/>
    <x v="3"/>
    <x v="1"/>
    <x v="2"/>
    <n v="10"/>
    <x v="0"/>
  </r>
  <r>
    <d v="2022-02-10T00:00:00"/>
    <x v="1"/>
    <x v="0"/>
    <x v="0"/>
    <n v="77093229.060000002"/>
    <x v="1"/>
    <x v="0"/>
    <x v="0"/>
    <x v="10"/>
    <x v="3"/>
    <x v="1"/>
    <x v="3"/>
    <x v="1"/>
    <x v="2"/>
    <n v="10"/>
    <x v="0"/>
  </r>
  <r>
    <d v="2022-02-10T00:00:00"/>
    <x v="2"/>
    <x v="1"/>
    <x v="2"/>
    <n v="26015"/>
    <x v="2"/>
    <x v="1"/>
    <x v="2"/>
    <x v="5"/>
    <x v="3"/>
    <x v="1"/>
    <x v="3"/>
    <x v="1"/>
    <x v="2"/>
    <n v="10"/>
    <x v="0"/>
  </r>
  <r>
    <d v="2022-02-10T00:00:00"/>
    <x v="3"/>
    <x v="2"/>
    <x v="2"/>
    <n v="181736"/>
    <x v="3"/>
    <x v="2"/>
    <x v="2"/>
    <x v="6"/>
    <x v="3"/>
    <x v="1"/>
    <x v="3"/>
    <x v="1"/>
    <x v="2"/>
    <n v="10"/>
    <x v="0"/>
  </r>
  <r>
    <d v="2022-02-10T00:00:00"/>
    <x v="2"/>
    <x v="1"/>
    <x v="1"/>
    <n v="254342766.93000001"/>
    <x v="2"/>
    <x v="1"/>
    <x v="1"/>
    <x v="9"/>
    <x v="3"/>
    <x v="1"/>
    <x v="3"/>
    <x v="1"/>
    <x v="2"/>
    <n v="10"/>
    <x v="0"/>
  </r>
  <r>
    <d v="2022-02-10T00:00:00"/>
    <x v="0"/>
    <x v="0"/>
    <x v="1"/>
    <n v="45272277.579999998"/>
    <x v="0"/>
    <x v="0"/>
    <x v="1"/>
    <x v="3"/>
    <x v="3"/>
    <x v="1"/>
    <x v="3"/>
    <x v="1"/>
    <x v="2"/>
    <n v="10"/>
    <x v="0"/>
  </r>
  <r>
    <d v="2022-02-10T00:00:00"/>
    <x v="3"/>
    <x v="3"/>
    <x v="0"/>
    <n v="1771137044.02"/>
    <x v="3"/>
    <x v="3"/>
    <x v="0"/>
    <x v="7"/>
    <x v="3"/>
    <x v="1"/>
    <x v="3"/>
    <x v="1"/>
    <x v="2"/>
    <n v="10"/>
    <x v="0"/>
  </r>
  <r>
    <d v="2022-02-10T00:00:00"/>
    <x v="2"/>
    <x v="1"/>
    <x v="0"/>
    <n v="97922006"/>
    <x v="2"/>
    <x v="1"/>
    <x v="0"/>
    <x v="8"/>
    <x v="3"/>
    <x v="1"/>
    <x v="3"/>
    <x v="1"/>
    <x v="2"/>
    <n v="10"/>
    <x v="0"/>
  </r>
  <r>
    <d v="2022-02-10T00:00:00"/>
    <x v="1"/>
    <x v="0"/>
    <x v="1"/>
    <n v="659810380.57000005"/>
    <x v="1"/>
    <x v="0"/>
    <x v="1"/>
    <x v="11"/>
    <x v="3"/>
    <x v="1"/>
    <x v="3"/>
    <x v="1"/>
    <x v="2"/>
    <n v="10"/>
    <x v="0"/>
  </r>
  <r>
    <d v="2022-02-10T00:00:00"/>
    <x v="3"/>
    <x v="2"/>
    <x v="0"/>
    <n v="427692955.68000001"/>
    <x v="3"/>
    <x v="2"/>
    <x v="0"/>
    <x v="12"/>
    <x v="3"/>
    <x v="1"/>
    <x v="3"/>
    <x v="1"/>
    <x v="2"/>
    <n v="10"/>
    <x v="0"/>
  </r>
  <r>
    <d v="2022-02-10T00:00:00"/>
    <x v="3"/>
    <x v="1"/>
    <x v="0"/>
    <n v="13085093.449999999"/>
    <x v="3"/>
    <x v="1"/>
    <x v="0"/>
    <x v="13"/>
    <x v="3"/>
    <x v="1"/>
    <x v="3"/>
    <x v="1"/>
    <x v="2"/>
    <n v="10"/>
    <x v="0"/>
  </r>
  <r>
    <d v="2022-02-10T00:00:00"/>
    <x v="3"/>
    <x v="2"/>
    <x v="1"/>
    <n v="4363492541.96"/>
    <x v="3"/>
    <x v="2"/>
    <x v="1"/>
    <x v="14"/>
    <x v="3"/>
    <x v="1"/>
    <x v="3"/>
    <x v="1"/>
    <x v="2"/>
    <n v="10"/>
    <x v="0"/>
  </r>
  <r>
    <d v="2022-02-09T00:00:00"/>
    <x v="2"/>
    <x v="1"/>
    <x v="0"/>
    <n v="154142118.49000001"/>
    <x v="2"/>
    <x v="1"/>
    <x v="0"/>
    <x v="5"/>
    <x v="3"/>
    <x v="1"/>
    <x v="3"/>
    <x v="1"/>
    <x v="2"/>
    <n v="9"/>
    <x v="0"/>
  </r>
  <r>
    <d v="2022-02-09T00:00:00"/>
    <x v="3"/>
    <x v="3"/>
    <x v="0"/>
    <n v="1196324199.1900001"/>
    <x v="3"/>
    <x v="3"/>
    <x v="0"/>
    <x v="6"/>
    <x v="3"/>
    <x v="1"/>
    <x v="3"/>
    <x v="1"/>
    <x v="2"/>
    <n v="9"/>
    <x v="0"/>
  </r>
  <r>
    <d v="2022-02-09T00:00:00"/>
    <x v="0"/>
    <x v="1"/>
    <x v="0"/>
    <n v="9278935.3800000008"/>
    <x v="0"/>
    <x v="1"/>
    <x v="0"/>
    <x v="0"/>
    <x v="3"/>
    <x v="1"/>
    <x v="3"/>
    <x v="1"/>
    <x v="2"/>
    <n v="9"/>
    <x v="0"/>
  </r>
  <r>
    <d v="2022-02-09T00:00:00"/>
    <x v="3"/>
    <x v="3"/>
    <x v="1"/>
    <n v="1028110.77"/>
    <x v="3"/>
    <x v="3"/>
    <x v="1"/>
    <x v="2"/>
    <x v="3"/>
    <x v="1"/>
    <x v="3"/>
    <x v="1"/>
    <x v="2"/>
    <n v="9"/>
    <x v="0"/>
  </r>
  <r>
    <d v="2022-02-09T00:00:00"/>
    <x v="0"/>
    <x v="1"/>
    <x v="1"/>
    <n v="4052346.19"/>
    <x v="0"/>
    <x v="1"/>
    <x v="1"/>
    <x v="3"/>
    <x v="3"/>
    <x v="1"/>
    <x v="3"/>
    <x v="1"/>
    <x v="2"/>
    <n v="9"/>
    <x v="0"/>
  </r>
  <r>
    <d v="2022-02-09T00:00:00"/>
    <x v="1"/>
    <x v="0"/>
    <x v="0"/>
    <n v="144143750"/>
    <x v="1"/>
    <x v="0"/>
    <x v="0"/>
    <x v="8"/>
    <x v="3"/>
    <x v="1"/>
    <x v="3"/>
    <x v="1"/>
    <x v="2"/>
    <n v="9"/>
    <x v="0"/>
  </r>
  <r>
    <d v="2022-02-09T00:00:00"/>
    <x v="3"/>
    <x v="2"/>
    <x v="2"/>
    <n v="156814.01"/>
    <x v="3"/>
    <x v="2"/>
    <x v="2"/>
    <x v="4"/>
    <x v="3"/>
    <x v="1"/>
    <x v="3"/>
    <x v="1"/>
    <x v="2"/>
    <n v="9"/>
    <x v="0"/>
  </r>
  <r>
    <d v="2022-02-09T00:00:00"/>
    <x v="2"/>
    <x v="1"/>
    <x v="2"/>
    <n v="492956.61"/>
    <x v="2"/>
    <x v="1"/>
    <x v="2"/>
    <x v="1"/>
    <x v="3"/>
    <x v="1"/>
    <x v="3"/>
    <x v="1"/>
    <x v="2"/>
    <n v="9"/>
    <x v="0"/>
  </r>
  <r>
    <d v="2022-02-09T00:00:00"/>
    <x v="2"/>
    <x v="1"/>
    <x v="1"/>
    <n v="154419783.5"/>
    <x v="2"/>
    <x v="1"/>
    <x v="1"/>
    <x v="7"/>
    <x v="3"/>
    <x v="1"/>
    <x v="3"/>
    <x v="1"/>
    <x v="2"/>
    <n v="9"/>
    <x v="0"/>
  </r>
  <r>
    <d v="2022-02-09T00:00:00"/>
    <x v="1"/>
    <x v="0"/>
    <x v="1"/>
    <n v="435924820.81999999"/>
    <x v="1"/>
    <x v="0"/>
    <x v="1"/>
    <x v="9"/>
    <x v="3"/>
    <x v="1"/>
    <x v="3"/>
    <x v="1"/>
    <x v="2"/>
    <n v="9"/>
    <x v="0"/>
  </r>
  <r>
    <d v="2022-02-09T00:00:00"/>
    <x v="3"/>
    <x v="2"/>
    <x v="0"/>
    <n v="379473462.16000003"/>
    <x v="3"/>
    <x v="2"/>
    <x v="0"/>
    <x v="10"/>
    <x v="3"/>
    <x v="1"/>
    <x v="3"/>
    <x v="1"/>
    <x v="2"/>
    <n v="9"/>
    <x v="0"/>
  </r>
  <r>
    <d v="2022-02-09T00:00:00"/>
    <x v="3"/>
    <x v="1"/>
    <x v="0"/>
    <n v="14101052.43"/>
    <x v="3"/>
    <x v="1"/>
    <x v="0"/>
    <x v="11"/>
    <x v="3"/>
    <x v="1"/>
    <x v="3"/>
    <x v="1"/>
    <x v="2"/>
    <n v="9"/>
    <x v="0"/>
  </r>
  <r>
    <d v="2022-02-09T00:00:00"/>
    <x v="3"/>
    <x v="2"/>
    <x v="1"/>
    <n v="10782415605.76"/>
    <x v="3"/>
    <x v="2"/>
    <x v="1"/>
    <x v="12"/>
    <x v="3"/>
    <x v="1"/>
    <x v="3"/>
    <x v="1"/>
    <x v="2"/>
    <n v="9"/>
    <x v="0"/>
  </r>
  <r>
    <d v="2022-02-08T00:00:00"/>
    <x v="1"/>
    <x v="1"/>
    <x v="0"/>
    <n v="371"/>
    <x v="1"/>
    <x v="1"/>
    <x v="0"/>
    <x v="0"/>
    <x v="3"/>
    <x v="1"/>
    <x v="3"/>
    <x v="1"/>
    <x v="2"/>
    <n v="8"/>
    <x v="0"/>
  </r>
  <r>
    <d v="2022-02-08T00:00:00"/>
    <x v="2"/>
    <x v="1"/>
    <x v="0"/>
    <n v="118989674.45"/>
    <x v="2"/>
    <x v="1"/>
    <x v="0"/>
    <x v="5"/>
    <x v="3"/>
    <x v="1"/>
    <x v="3"/>
    <x v="1"/>
    <x v="2"/>
    <n v="8"/>
    <x v="0"/>
  </r>
  <r>
    <d v="2022-02-08T00:00:00"/>
    <x v="0"/>
    <x v="1"/>
    <x v="0"/>
    <n v="17584899.739999998"/>
    <x v="0"/>
    <x v="1"/>
    <x v="0"/>
    <x v="1"/>
    <x v="3"/>
    <x v="1"/>
    <x v="3"/>
    <x v="1"/>
    <x v="2"/>
    <n v="8"/>
    <x v="0"/>
  </r>
  <r>
    <d v="2022-02-08T00:00:00"/>
    <x v="1"/>
    <x v="0"/>
    <x v="0"/>
    <n v="95759501.030000001"/>
    <x v="1"/>
    <x v="0"/>
    <x v="0"/>
    <x v="8"/>
    <x v="3"/>
    <x v="1"/>
    <x v="3"/>
    <x v="1"/>
    <x v="2"/>
    <n v="8"/>
    <x v="0"/>
  </r>
  <r>
    <d v="2022-02-08T00:00:00"/>
    <x v="2"/>
    <x v="1"/>
    <x v="2"/>
    <n v="24885"/>
    <x v="2"/>
    <x v="1"/>
    <x v="2"/>
    <x v="3"/>
    <x v="3"/>
    <x v="1"/>
    <x v="3"/>
    <x v="1"/>
    <x v="2"/>
    <n v="8"/>
    <x v="0"/>
  </r>
  <r>
    <d v="2022-02-08T00:00:00"/>
    <x v="0"/>
    <x v="1"/>
    <x v="1"/>
    <n v="2051155.71"/>
    <x v="0"/>
    <x v="1"/>
    <x v="1"/>
    <x v="2"/>
    <x v="3"/>
    <x v="1"/>
    <x v="3"/>
    <x v="1"/>
    <x v="2"/>
    <n v="8"/>
    <x v="0"/>
  </r>
  <r>
    <d v="2022-02-08T00:00:00"/>
    <x v="3"/>
    <x v="2"/>
    <x v="2"/>
    <n v="461739.58"/>
    <x v="3"/>
    <x v="2"/>
    <x v="2"/>
    <x v="4"/>
    <x v="3"/>
    <x v="1"/>
    <x v="3"/>
    <x v="1"/>
    <x v="2"/>
    <n v="8"/>
    <x v="0"/>
  </r>
  <r>
    <d v="2022-02-08T00:00:00"/>
    <x v="2"/>
    <x v="1"/>
    <x v="1"/>
    <n v="55543524.409999996"/>
    <x v="2"/>
    <x v="1"/>
    <x v="1"/>
    <x v="7"/>
    <x v="3"/>
    <x v="1"/>
    <x v="3"/>
    <x v="1"/>
    <x v="2"/>
    <n v="8"/>
    <x v="0"/>
  </r>
  <r>
    <d v="2022-02-08T00:00:00"/>
    <x v="3"/>
    <x v="3"/>
    <x v="0"/>
    <n v="1072388264.64"/>
    <x v="3"/>
    <x v="3"/>
    <x v="0"/>
    <x v="6"/>
    <x v="3"/>
    <x v="1"/>
    <x v="3"/>
    <x v="1"/>
    <x v="2"/>
    <n v="8"/>
    <x v="0"/>
  </r>
  <r>
    <d v="2022-02-08T00:00:00"/>
    <x v="1"/>
    <x v="0"/>
    <x v="1"/>
    <n v="401904395.12"/>
    <x v="1"/>
    <x v="0"/>
    <x v="1"/>
    <x v="9"/>
    <x v="3"/>
    <x v="1"/>
    <x v="3"/>
    <x v="1"/>
    <x v="2"/>
    <n v="8"/>
    <x v="0"/>
  </r>
  <r>
    <d v="2022-02-08T00:00:00"/>
    <x v="3"/>
    <x v="2"/>
    <x v="0"/>
    <n v="690257884.41999996"/>
    <x v="3"/>
    <x v="2"/>
    <x v="0"/>
    <x v="10"/>
    <x v="3"/>
    <x v="1"/>
    <x v="3"/>
    <x v="1"/>
    <x v="2"/>
    <n v="8"/>
    <x v="0"/>
  </r>
  <r>
    <d v="2022-02-08T00:00:00"/>
    <x v="3"/>
    <x v="1"/>
    <x v="0"/>
    <n v="10116679.119999999"/>
    <x v="3"/>
    <x v="1"/>
    <x v="0"/>
    <x v="11"/>
    <x v="3"/>
    <x v="1"/>
    <x v="3"/>
    <x v="1"/>
    <x v="2"/>
    <n v="8"/>
    <x v="0"/>
  </r>
  <r>
    <d v="2022-02-08T00:00:00"/>
    <x v="3"/>
    <x v="2"/>
    <x v="1"/>
    <n v="3897854949.0599999"/>
    <x v="3"/>
    <x v="2"/>
    <x v="1"/>
    <x v="12"/>
    <x v="3"/>
    <x v="1"/>
    <x v="3"/>
    <x v="1"/>
    <x v="2"/>
    <n v="8"/>
    <x v="0"/>
  </r>
  <r>
    <d v="2022-02-07T00:00:00"/>
    <x v="1"/>
    <x v="1"/>
    <x v="0"/>
    <n v="1437"/>
    <x v="1"/>
    <x v="1"/>
    <x v="0"/>
    <x v="0"/>
    <x v="3"/>
    <x v="1"/>
    <x v="3"/>
    <x v="1"/>
    <x v="2"/>
    <n v="7"/>
    <x v="0"/>
  </r>
  <r>
    <d v="2022-02-07T00:00:00"/>
    <x v="0"/>
    <x v="1"/>
    <x v="0"/>
    <n v="17527736.890000001"/>
    <x v="0"/>
    <x v="1"/>
    <x v="0"/>
    <x v="1"/>
    <x v="3"/>
    <x v="1"/>
    <x v="3"/>
    <x v="1"/>
    <x v="2"/>
    <n v="7"/>
    <x v="0"/>
  </r>
  <r>
    <d v="2022-02-07T00:00:00"/>
    <x v="2"/>
    <x v="1"/>
    <x v="2"/>
    <n v="40450.78"/>
    <x v="2"/>
    <x v="1"/>
    <x v="2"/>
    <x v="3"/>
    <x v="3"/>
    <x v="1"/>
    <x v="3"/>
    <x v="1"/>
    <x v="2"/>
    <n v="7"/>
    <x v="0"/>
  </r>
  <r>
    <d v="2022-02-07T00:00:00"/>
    <x v="0"/>
    <x v="1"/>
    <x v="1"/>
    <n v="6454479.9199999999"/>
    <x v="0"/>
    <x v="1"/>
    <x v="1"/>
    <x v="2"/>
    <x v="3"/>
    <x v="1"/>
    <x v="3"/>
    <x v="1"/>
    <x v="2"/>
    <n v="7"/>
    <x v="0"/>
  </r>
  <r>
    <d v="2022-02-07T00:00:00"/>
    <x v="3"/>
    <x v="2"/>
    <x v="2"/>
    <n v="297200.42"/>
    <x v="3"/>
    <x v="2"/>
    <x v="2"/>
    <x v="4"/>
    <x v="3"/>
    <x v="1"/>
    <x v="3"/>
    <x v="1"/>
    <x v="2"/>
    <n v="7"/>
    <x v="0"/>
  </r>
  <r>
    <d v="2022-02-07T00:00:00"/>
    <x v="2"/>
    <x v="1"/>
    <x v="1"/>
    <n v="66329920.939999998"/>
    <x v="2"/>
    <x v="1"/>
    <x v="1"/>
    <x v="6"/>
    <x v="3"/>
    <x v="1"/>
    <x v="3"/>
    <x v="1"/>
    <x v="2"/>
    <n v="7"/>
    <x v="0"/>
  </r>
  <r>
    <d v="2022-02-07T00:00:00"/>
    <x v="2"/>
    <x v="1"/>
    <x v="0"/>
    <n v="52559509.200000003"/>
    <x v="2"/>
    <x v="1"/>
    <x v="0"/>
    <x v="5"/>
    <x v="3"/>
    <x v="1"/>
    <x v="3"/>
    <x v="1"/>
    <x v="2"/>
    <n v="7"/>
    <x v="0"/>
  </r>
  <r>
    <d v="2022-02-07T00:00:00"/>
    <x v="3"/>
    <x v="3"/>
    <x v="0"/>
    <n v="1431610310.77"/>
    <x v="3"/>
    <x v="3"/>
    <x v="0"/>
    <x v="7"/>
    <x v="3"/>
    <x v="1"/>
    <x v="3"/>
    <x v="1"/>
    <x v="2"/>
    <n v="7"/>
    <x v="0"/>
  </r>
  <r>
    <d v="2022-02-07T00:00:00"/>
    <x v="1"/>
    <x v="0"/>
    <x v="0"/>
    <n v="37072506.729999997"/>
    <x v="1"/>
    <x v="0"/>
    <x v="0"/>
    <x v="8"/>
    <x v="3"/>
    <x v="1"/>
    <x v="3"/>
    <x v="1"/>
    <x v="2"/>
    <n v="7"/>
    <x v="0"/>
  </r>
  <r>
    <d v="2022-02-07T00:00:00"/>
    <x v="1"/>
    <x v="0"/>
    <x v="1"/>
    <n v="96552444.799999997"/>
    <x v="1"/>
    <x v="0"/>
    <x v="1"/>
    <x v="9"/>
    <x v="3"/>
    <x v="1"/>
    <x v="3"/>
    <x v="1"/>
    <x v="2"/>
    <n v="7"/>
    <x v="0"/>
  </r>
  <r>
    <d v="2022-02-07T00:00:00"/>
    <x v="3"/>
    <x v="2"/>
    <x v="0"/>
    <n v="486467493.48000002"/>
    <x v="3"/>
    <x v="2"/>
    <x v="0"/>
    <x v="10"/>
    <x v="3"/>
    <x v="1"/>
    <x v="3"/>
    <x v="1"/>
    <x v="2"/>
    <n v="7"/>
    <x v="0"/>
  </r>
  <r>
    <d v="2022-02-07T00:00:00"/>
    <x v="3"/>
    <x v="2"/>
    <x v="1"/>
    <n v="24412656521.380001"/>
    <x v="3"/>
    <x v="2"/>
    <x v="1"/>
    <x v="11"/>
    <x v="3"/>
    <x v="1"/>
    <x v="3"/>
    <x v="1"/>
    <x v="2"/>
    <n v="7"/>
    <x v="0"/>
  </r>
  <r>
    <d v="2022-02-07T00:00:00"/>
    <x v="3"/>
    <x v="1"/>
    <x v="0"/>
    <n v="40700648.640000001"/>
    <x v="3"/>
    <x v="1"/>
    <x v="0"/>
    <x v="12"/>
    <x v="3"/>
    <x v="1"/>
    <x v="3"/>
    <x v="1"/>
    <x v="2"/>
    <n v="7"/>
    <x v="0"/>
  </r>
  <r>
    <d v="2022-02-04T00:00:00"/>
    <x v="3"/>
    <x v="2"/>
    <x v="2"/>
    <n v="369435.83"/>
    <x v="3"/>
    <x v="2"/>
    <x v="2"/>
    <x v="5"/>
    <x v="3"/>
    <x v="1"/>
    <x v="3"/>
    <x v="1"/>
    <x v="2"/>
    <n v="4"/>
    <x v="0"/>
  </r>
  <r>
    <d v="2022-02-04T00:00:00"/>
    <x v="2"/>
    <x v="1"/>
    <x v="0"/>
    <n v="52190281.659999996"/>
    <x v="2"/>
    <x v="1"/>
    <x v="0"/>
    <x v="6"/>
    <x v="3"/>
    <x v="1"/>
    <x v="3"/>
    <x v="1"/>
    <x v="2"/>
    <n v="4"/>
    <x v="0"/>
  </r>
  <r>
    <d v="2022-02-04T00:00:00"/>
    <x v="0"/>
    <x v="1"/>
    <x v="0"/>
    <n v="9192988.7400000002"/>
    <x v="0"/>
    <x v="1"/>
    <x v="0"/>
    <x v="1"/>
    <x v="3"/>
    <x v="1"/>
    <x v="3"/>
    <x v="1"/>
    <x v="2"/>
    <n v="4"/>
    <x v="0"/>
  </r>
  <r>
    <d v="2022-02-04T00:00:00"/>
    <x v="3"/>
    <x v="3"/>
    <x v="0"/>
    <n v="994408726.67999995"/>
    <x v="3"/>
    <x v="3"/>
    <x v="0"/>
    <x v="7"/>
    <x v="3"/>
    <x v="1"/>
    <x v="3"/>
    <x v="1"/>
    <x v="2"/>
    <n v="4"/>
    <x v="0"/>
  </r>
  <r>
    <d v="2022-02-04T00:00:00"/>
    <x v="2"/>
    <x v="1"/>
    <x v="1"/>
    <n v="53690231.090000004"/>
    <x v="2"/>
    <x v="1"/>
    <x v="1"/>
    <x v="8"/>
    <x v="3"/>
    <x v="1"/>
    <x v="3"/>
    <x v="1"/>
    <x v="2"/>
    <n v="4"/>
    <x v="0"/>
  </r>
  <r>
    <d v="2022-02-04T00:00:00"/>
    <x v="0"/>
    <x v="1"/>
    <x v="1"/>
    <n v="9960112.4199999999"/>
    <x v="0"/>
    <x v="1"/>
    <x v="1"/>
    <x v="3"/>
    <x v="3"/>
    <x v="1"/>
    <x v="3"/>
    <x v="1"/>
    <x v="2"/>
    <n v="4"/>
    <x v="0"/>
  </r>
  <r>
    <d v="2022-02-04T00:00:00"/>
    <x v="1"/>
    <x v="0"/>
    <x v="0"/>
    <n v="42100976.770000003"/>
    <x v="1"/>
    <x v="0"/>
    <x v="0"/>
    <x v="9"/>
    <x v="3"/>
    <x v="1"/>
    <x v="3"/>
    <x v="1"/>
    <x v="2"/>
    <n v="4"/>
    <x v="0"/>
  </r>
  <r>
    <d v="2022-02-04T00:00:00"/>
    <x v="1"/>
    <x v="0"/>
    <x v="1"/>
    <n v="364372456.08999997"/>
    <x v="1"/>
    <x v="0"/>
    <x v="1"/>
    <x v="10"/>
    <x v="3"/>
    <x v="1"/>
    <x v="3"/>
    <x v="1"/>
    <x v="2"/>
    <n v="4"/>
    <x v="0"/>
  </r>
  <r>
    <d v="2022-02-04T00:00:00"/>
    <x v="1"/>
    <x v="1"/>
    <x v="0"/>
    <n v="281"/>
    <x v="1"/>
    <x v="1"/>
    <x v="0"/>
    <x v="0"/>
    <x v="3"/>
    <x v="1"/>
    <x v="3"/>
    <x v="1"/>
    <x v="2"/>
    <n v="4"/>
    <x v="0"/>
  </r>
  <r>
    <d v="2022-02-04T00:00:00"/>
    <x v="2"/>
    <x v="1"/>
    <x v="2"/>
    <n v="43420"/>
    <x v="2"/>
    <x v="1"/>
    <x v="2"/>
    <x v="4"/>
    <x v="3"/>
    <x v="1"/>
    <x v="3"/>
    <x v="1"/>
    <x v="2"/>
    <n v="4"/>
    <x v="0"/>
  </r>
  <r>
    <d v="2022-02-04T00:00:00"/>
    <x v="3"/>
    <x v="3"/>
    <x v="1"/>
    <n v="242.29"/>
    <x v="3"/>
    <x v="3"/>
    <x v="1"/>
    <x v="2"/>
    <x v="3"/>
    <x v="1"/>
    <x v="3"/>
    <x v="1"/>
    <x v="2"/>
    <n v="4"/>
    <x v="0"/>
  </r>
  <r>
    <d v="2022-02-04T00:00:00"/>
    <x v="3"/>
    <x v="2"/>
    <x v="0"/>
    <n v="527273857.30000001"/>
    <x v="3"/>
    <x v="2"/>
    <x v="0"/>
    <x v="11"/>
    <x v="3"/>
    <x v="1"/>
    <x v="3"/>
    <x v="1"/>
    <x v="2"/>
    <n v="4"/>
    <x v="0"/>
  </r>
  <r>
    <d v="2022-02-04T00:00:00"/>
    <x v="3"/>
    <x v="1"/>
    <x v="0"/>
    <n v="12475236.51"/>
    <x v="3"/>
    <x v="1"/>
    <x v="0"/>
    <x v="12"/>
    <x v="3"/>
    <x v="1"/>
    <x v="3"/>
    <x v="1"/>
    <x v="2"/>
    <n v="4"/>
    <x v="0"/>
  </r>
  <r>
    <d v="2022-02-04T00:00:00"/>
    <x v="3"/>
    <x v="2"/>
    <x v="1"/>
    <n v="13339876317.27"/>
    <x v="3"/>
    <x v="2"/>
    <x v="1"/>
    <x v="13"/>
    <x v="3"/>
    <x v="1"/>
    <x v="3"/>
    <x v="1"/>
    <x v="2"/>
    <n v="4"/>
    <x v="0"/>
  </r>
  <r>
    <d v="2022-02-03T00:00:00"/>
    <x v="0"/>
    <x v="1"/>
    <x v="0"/>
    <n v="17608518.390000001"/>
    <x v="0"/>
    <x v="1"/>
    <x v="0"/>
    <x v="0"/>
    <x v="3"/>
    <x v="1"/>
    <x v="3"/>
    <x v="1"/>
    <x v="2"/>
    <n v="3"/>
    <x v="0"/>
  </r>
  <r>
    <d v="2022-02-03T00:00:00"/>
    <x v="0"/>
    <x v="1"/>
    <x v="1"/>
    <n v="15255078.640000001"/>
    <x v="0"/>
    <x v="1"/>
    <x v="1"/>
    <x v="3"/>
    <x v="3"/>
    <x v="1"/>
    <x v="3"/>
    <x v="1"/>
    <x v="2"/>
    <n v="3"/>
    <x v="0"/>
  </r>
  <r>
    <d v="2022-02-03T00:00:00"/>
    <x v="1"/>
    <x v="0"/>
    <x v="0"/>
    <n v="86849659"/>
    <x v="1"/>
    <x v="0"/>
    <x v="0"/>
    <x v="8"/>
    <x v="3"/>
    <x v="1"/>
    <x v="3"/>
    <x v="1"/>
    <x v="2"/>
    <n v="3"/>
    <x v="0"/>
  </r>
  <r>
    <d v="2022-02-03T00:00:00"/>
    <x v="3"/>
    <x v="2"/>
    <x v="2"/>
    <n v="443056.44"/>
    <x v="3"/>
    <x v="2"/>
    <x v="2"/>
    <x v="4"/>
    <x v="3"/>
    <x v="1"/>
    <x v="3"/>
    <x v="1"/>
    <x v="2"/>
    <n v="3"/>
    <x v="0"/>
  </r>
  <r>
    <d v="2022-02-03T00:00:00"/>
    <x v="2"/>
    <x v="1"/>
    <x v="2"/>
    <n v="36695"/>
    <x v="2"/>
    <x v="1"/>
    <x v="2"/>
    <x v="1"/>
    <x v="3"/>
    <x v="1"/>
    <x v="3"/>
    <x v="1"/>
    <x v="2"/>
    <n v="3"/>
    <x v="0"/>
  </r>
  <r>
    <d v="2022-02-03T00:00:00"/>
    <x v="2"/>
    <x v="1"/>
    <x v="1"/>
    <n v="118774513.05"/>
    <x v="2"/>
    <x v="1"/>
    <x v="1"/>
    <x v="6"/>
    <x v="3"/>
    <x v="1"/>
    <x v="3"/>
    <x v="1"/>
    <x v="2"/>
    <n v="3"/>
    <x v="0"/>
  </r>
  <r>
    <d v="2022-02-03T00:00:00"/>
    <x v="3"/>
    <x v="3"/>
    <x v="0"/>
    <n v="1911266230.6900001"/>
    <x v="3"/>
    <x v="3"/>
    <x v="0"/>
    <x v="7"/>
    <x v="3"/>
    <x v="1"/>
    <x v="3"/>
    <x v="1"/>
    <x v="2"/>
    <n v="3"/>
    <x v="0"/>
  </r>
  <r>
    <d v="2022-02-03T00:00:00"/>
    <x v="3"/>
    <x v="3"/>
    <x v="1"/>
    <n v="2053.9299999999998"/>
    <x v="3"/>
    <x v="3"/>
    <x v="1"/>
    <x v="2"/>
    <x v="3"/>
    <x v="1"/>
    <x v="3"/>
    <x v="1"/>
    <x v="2"/>
    <n v="3"/>
    <x v="0"/>
  </r>
  <r>
    <d v="2022-02-03T00:00:00"/>
    <x v="2"/>
    <x v="1"/>
    <x v="0"/>
    <n v="96434679.780000001"/>
    <x v="2"/>
    <x v="1"/>
    <x v="0"/>
    <x v="5"/>
    <x v="3"/>
    <x v="1"/>
    <x v="3"/>
    <x v="1"/>
    <x v="2"/>
    <n v="3"/>
    <x v="0"/>
  </r>
  <r>
    <d v="2022-02-03T00:00:00"/>
    <x v="1"/>
    <x v="0"/>
    <x v="1"/>
    <n v="420319789.69999999"/>
    <x v="1"/>
    <x v="0"/>
    <x v="1"/>
    <x v="9"/>
    <x v="3"/>
    <x v="1"/>
    <x v="3"/>
    <x v="1"/>
    <x v="2"/>
    <n v="3"/>
    <x v="0"/>
  </r>
  <r>
    <d v="2022-02-03T00:00:00"/>
    <x v="3"/>
    <x v="2"/>
    <x v="0"/>
    <n v="489449948.68000001"/>
    <x v="3"/>
    <x v="2"/>
    <x v="0"/>
    <x v="10"/>
    <x v="3"/>
    <x v="1"/>
    <x v="3"/>
    <x v="1"/>
    <x v="2"/>
    <n v="3"/>
    <x v="0"/>
  </r>
  <r>
    <d v="2022-02-03T00:00:00"/>
    <x v="3"/>
    <x v="1"/>
    <x v="0"/>
    <n v="14252524.800000001"/>
    <x v="3"/>
    <x v="1"/>
    <x v="0"/>
    <x v="11"/>
    <x v="3"/>
    <x v="1"/>
    <x v="3"/>
    <x v="1"/>
    <x v="2"/>
    <n v="3"/>
    <x v="0"/>
  </r>
  <r>
    <d v="2022-02-03T00:00:00"/>
    <x v="3"/>
    <x v="2"/>
    <x v="1"/>
    <n v="5842861669.4399996"/>
    <x v="3"/>
    <x v="2"/>
    <x v="1"/>
    <x v="12"/>
    <x v="3"/>
    <x v="1"/>
    <x v="3"/>
    <x v="1"/>
    <x v="2"/>
    <n v="3"/>
    <x v="0"/>
  </r>
  <r>
    <d v="2022-02-02T00:00:00"/>
    <x v="1"/>
    <x v="1"/>
    <x v="0"/>
    <n v="8591.2900000000009"/>
    <x v="1"/>
    <x v="1"/>
    <x v="0"/>
    <x v="1"/>
    <x v="3"/>
    <x v="1"/>
    <x v="3"/>
    <x v="1"/>
    <x v="2"/>
    <n v="2"/>
    <x v="0"/>
  </r>
  <r>
    <d v="2022-02-02T00:00:00"/>
    <x v="0"/>
    <x v="1"/>
    <x v="0"/>
    <n v="11760296.119999999"/>
    <x v="0"/>
    <x v="1"/>
    <x v="0"/>
    <x v="2"/>
    <x v="3"/>
    <x v="1"/>
    <x v="3"/>
    <x v="1"/>
    <x v="2"/>
    <n v="2"/>
    <x v="0"/>
  </r>
  <r>
    <d v="2022-02-02T00:00:00"/>
    <x v="2"/>
    <x v="1"/>
    <x v="0"/>
    <n v="160294838.91"/>
    <x v="2"/>
    <x v="1"/>
    <x v="0"/>
    <x v="6"/>
    <x v="3"/>
    <x v="1"/>
    <x v="3"/>
    <x v="1"/>
    <x v="2"/>
    <n v="2"/>
    <x v="0"/>
  </r>
  <r>
    <d v="2022-02-02T00:00:00"/>
    <x v="2"/>
    <x v="1"/>
    <x v="2"/>
    <n v="35480.089999999997"/>
    <x v="2"/>
    <x v="1"/>
    <x v="2"/>
    <x v="3"/>
    <x v="3"/>
    <x v="1"/>
    <x v="3"/>
    <x v="1"/>
    <x v="2"/>
    <n v="2"/>
    <x v="0"/>
  </r>
  <r>
    <d v="2022-02-02T00:00:00"/>
    <x v="3"/>
    <x v="3"/>
    <x v="0"/>
    <n v="2809583610.5700002"/>
    <x v="3"/>
    <x v="3"/>
    <x v="0"/>
    <x v="7"/>
    <x v="3"/>
    <x v="1"/>
    <x v="3"/>
    <x v="1"/>
    <x v="2"/>
    <n v="2"/>
    <x v="0"/>
  </r>
  <r>
    <d v="2022-02-02T00:00:00"/>
    <x v="0"/>
    <x v="1"/>
    <x v="1"/>
    <n v="10264337.43"/>
    <x v="0"/>
    <x v="1"/>
    <x v="1"/>
    <x v="4"/>
    <x v="3"/>
    <x v="1"/>
    <x v="3"/>
    <x v="1"/>
    <x v="2"/>
    <n v="2"/>
    <x v="0"/>
  </r>
  <r>
    <d v="2022-02-02T00:00:00"/>
    <x v="1"/>
    <x v="0"/>
    <x v="0"/>
    <n v="107388941.09"/>
    <x v="1"/>
    <x v="0"/>
    <x v="0"/>
    <x v="9"/>
    <x v="3"/>
    <x v="1"/>
    <x v="3"/>
    <x v="1"/>
    <x v="2"/>
    <n v="2"/>
    <x v="0"/>
  </r>
  <r>
    <d v="2022-02-02T00:00:00"/>
    <x v="3"/>
    <x v="2"/>
    <x v="2"/>
    <n v="219340.79"/>
    <x v="3"/>
    <x v="2"/>
    <x v="2"/>
    <x v="5"/>
    <x v="3"/>
    <x v="1"/>
    <x v="3"/>
    <x v="1"/>
    <x v="2"/>
    <n v="2"/>
    <x v="0"/>
  </r>
  <r>
    <d v="2022-02-02T00:00:00"/>
    <x v="0"/>
    <x v="0"/>
    <x v="0"/>
    <n v="65"/>
    <x v="0"/>
    <x v="0"/>
    <x v="0"/>
    <x v="0"/>
    <x v="3"/>
    <x v="1"/>
    <x v="3"/>
    <x v="1"/>
    <x v="2"/>
    <n v="2"/>
    <x v="0"/>
  </r>
  <r>
    <d v="2022-02-02T00:00:00"/>
    <x v="2"/>
    <x v="1"/>
    <x v="1"/>
    <n v="168536025.47"/>
    <x v="2"/>
    <x v="1"/>
    <x v="1"/>
    <x v="8"/>
    <x v="3"/>
    <x v="1"/>
    <x v="3"/>
    <x v="1"/>
    <x v="2"/>
    <n v="2"/>
    <x v="0"/>
  </r>
  <r>
    <d v="2022-02-02T00:00:00"/>
    <x v="1"/>
    <x v="0"/>
    <x v="1"/>
    <n v="773637412.62"/>
    <x v="1"/>
    <x v="0"/>
    <x v="1"/>
    <x v="10"/>
    <x v="3"/>
    <x v="1"/>
    <x v="3"/>
    <x v="1"/>
    <x v="2"/>
    <n v="2"/>
    <x v="0"/>
  </r>
  <r>
    <d v="2022-02-02T00:00:00"/>
    <x v="3"/>
    <x v="2"/>
    <x v="0"/>
    <n v="890020560.87"/>
    <x v="3"/>
    <x v="2"/>
    <x v="0"/>
    <x v="11"/>
    <x v="3"/>
    <x v="1"/>
    <x v="3"/>
    <x v="1"/>
    <x v="2"/>
    <n v="2"/>
    <x v="0"/>
  </r>
  <r>
    <d v="2022-02-02T00:00:00"/>
    <x v="3"/>
    <x v="1"/>
    <x v="0"/>
    <n v="16163156.310000001"/>
    <x v="3"/>
    <x v="1"/>
    <x v="0"/>
    <x v="12"/>
    <x v="3"/>
    <x v="1"/>
    <x v="3"/>
    <x v="1"/>
    <x v="2"/>
    <n v="2"/>
    <x v="0"/>
  </r>
  <r>
    <d v="2022-02-02T00:00:00"/>
    <x v="3"/>
    <x v="2"/>
    <x v="1"/>
    <n v="14035778110.6"/>
    <x v="3"/>
    <x v="2"/>
    <x v="1"/>
    <x v="13"/>
    <x v="3"/>
    <x v="1"/>
    <x v="3"/>
    <x v="1"/>
    <x v="2"/>
    <n v="2"/>
    <x v="0"/>
  </r>
  <r>
    <d v="2022-02-01T00:00:00"/>
    <x v="3"/>
    <x v="2"/>
    <x v="2"/>
    <n v="340026.11"/>
    <x v="3"/>
    <x v="2"/>
    <x v="2"/>
    <x v="4"/>
    <x v="3"/>
    <x v="1"/>
    <x v="3"/>
    <x v="1"/>
    <x v="2"/>
    <n v="1"/>
    <x v="0"/>
  </r>
  <r>
    <d v="2022-02-01T00:00:00"/>
    <x v="0"/>
    <x v="1"/>
    <x v="1"/>
    <n v="11864493.33"/>
    <x v="0"/>
    <x v="1"/>
    <x v="1"/>
    <x v="2"/>
    <x v="3"/>
    <x v="1"/>
    <x v="3"/>
    <x v="1"/>
    <x v="2"/>
    <n v="1"/>
    <x v="0"/>
  </r>
  <r>
    <d v="2022-02-01T00:00:00"/>
    <x v="0"/>
    <x v="1"/>
    <x v="0"/>
    <n v="11191815.66"/>
    <x v="0"/>
    <x v="1"/>
    <x v="0"/>
    <x v="1"/>
    <x v="3"/>
    <x v="1"/>
    <x v="3"/>
    <x v="1"/>
    <x v="2"/>
    <n v="1"/>
    <x v="0"/>
  </r>
  <r>
    <d v="2022-02-01T00:00:00"/>
    <x v="2"/>
    <x v="1"/>
    <x v="2"/>
    <n v="20725"/>
    <x v="2"/>
    <x v="1"/>
    <x v="2"/>
    <x v="3"/>
    <x v="3"/>
    <x v="1"/>
    <x v="3"/>
    <x v="1"/>
    <x v="2"/>
    <n v="1"/>
    <x v="0"/>
  </r>
  <r>
    <d v="2022-02-01T00:00:00"/>
    <x v="1"/>
    <x v="1"/>
    <x v="0"/>
    <n v="473"/>
    <x v="1"/>
    <x v="1"/>
    <x v="0"/>
    <x v="0"/>
    <x v="3"/>
    <x v="1"/>
    <x v="3"/>
    <x v="1"/>
    <x v="2"/>
    <n v="1"/>
    <x v="0"/>
  </r>
  <r>
    <d v="2022-02-01T00:00:00"/>
    <x v="2"/>
    <x v="1"/>
    <x v="0"/>
    <n v="82579492.349999994"/>
    <x v="2"/>
    <x v="1"/>
    <x v="0"/>
    <x v="5"/>
    <x v="3"/>
    <x v="1"/>
    <x v="3"/>
    <x v="1"/>
    <x v="2"/>
    <n v="1"/>
    <x v="0"/>
  </r>
  <r>
    <d v="2022-02-01T00:00:00"/>
    <x v="2"/>
    <x v="1"/>
    <x v="1"/>
    <n v="246806848.30000001"/>
    <x v="2"/>
    <x v="1"/>
    <x v="1"/>
    <x v="6"/>
    <x v="3"/>
    <x v="1"/>
    <x v="3"/>
    <x v="1"/>
    <x v="2"/>
    <n v="1"/>
    <x v="0"/>
  </r>
  <r>
    <d v="2022-02-01T00:00:00"/>
    <x v="3"/>
    <x v="3"/>
    <x v="0"/>
    <n v="3914153995.3000002"/>
    <x v="3"/>
    <x v="3"/>
    <x v="0"/>
    <x v="7"/>
    <x v="3"/>
    <x v="1"/>
    <x v="3"/>
    <x v="1"/>
    <x v="2"/>
    <n v="1"/>
    <x v="0"/>
  </r>
  <r>
    <d v="2022-02-01T00:00:00"/>
    <x v="1"/>
    <x v="0"/>
    <x v="0"/>
    <n v="89565300.489999995"/>
    <x v="1"/>
    <x v="0"/>
    <x v="0"/>
    <x v="8"/>
    <x v="3"/>
    <x v="1"/>
    <x v="3"/>
    <x v="1"/>
    <x v="2"/>
    <n v="1"/>
    <x v="0"/>
  </r>
  <r>
    <d v="2022-02-01T00:00:00"/>
    <x v="1"/>
    <x v="0"/>
    <x v="1"/>
    <n v="928417879.57000005"/>
    <x v="1"/>
    <x v="0"/>
    <x v="1"/>
    <x v="9"/>
    <x v="3"/>
    <x v="1"/>
    <x v="3"/>
    <x v="1"/>
    <x v="2"/>
    <n v="1"/>
    <x v="0"/>
  </r>
  <r>
    <d v="2022-02-01T00:00:00"/>
    <x v="3"/>
    <x v="1"/>
    <x v="0"/>
    <n v="10705221.310000001"/>
    <x v="3"/>
    <x v="1"/>
    <x v="0"/>
    <x v="10"/>
    <x v="3"/>
    <x v="1"/>
    <x v="3"/>
    <x v="1"/>
    <x v="2"/>
    <n v="1"/>
    <x v="0"/>
  </r>
  <r>
    <d v="2022-02-01T00:00:00"/>
    <x v="3"/>
    <x v="2"/>
    <x v="0"/>
    <n v="536943091.89999998"/>
    <x v="3"/>
    <x v="2"/>
    <x v="0"/>
    <x v="11"/>
    <x v="3"/>
    <x v="1"/>
    <x v="3"/>
    <x v="1"/>
    <x v="2"/>
    <n v="1"/>
    <x v="0"/>
  </r>
  <r>
    <d v="2022-02-01T00:00:00"/>
    <x v="3"/>
    <x v="2"/>
    <x v="1"/>
    <n v="25047562565.5"/>
    <x v="3"/>
    <x v="2"/>
    <x v="1"/>
    <x v="12"/>
    <x v="3"/>
    <x v="1"/>
    <x v="3"/>
    <x v="1"/>
    <x v="2"/>
    <n v="1"/>
    <x v="0"/>
  </r>
  <r>
    <d v="2022-01-31T00:00:00"/>
    <x v="0"/>
    <x v="1"/>
    <x v="0"/>
    <n v="7979200.04"/>
    <x v="0"/>
    <x v="1"/>
    <x v="0"/>
    <x v="1"/>
    <x v="3"/>
    <x v="1"/>
    <x v="3"/>
    <x v="1"/>
    <x v="3"/>
    <n v="31"/>
    <x v="0"/>
  </r>
  <r>
    <d v="2022-01-31T00:00:00"/>
    <x v="3"/>
    <x v="3"/>
    <x v="0"/>
    <n v="5317926675.75"/>
    <x v="3"/>
    <x v="3"/>
    <x v="0"/>
    <x v="6"/>
    <x v="3"/>
    <x v="1"/>
    <x v="3"/>
    <x v="1"/>
    <x v="3"/>
    <n v="31"/>
    <x v="0"/>
  </r>
  <r>
    <d v="2022-01-31T00:00:00"/>
    <x v="1"/>
    <x v="1"/>
    <x v="0"/>
    <n v="276.5"/>
    <x v="1"/>
    <x v="1"/>
    <x v="0"/>
    <x v="0"/>
    <x v="3"/>
    <x v="1"/>
    <x v="3"/>
    <x v="1"/>
    <x v="3"/>
    <n v="31"/>
    <x v="0"/>
  </r>
  <r>
    <d v="2022-01-31T00:00:00"/>
    <x v="2"/>
    <x v="1"/>
    <x v="1"/>
    <n v="370821919.31"/>
    <x v="2"/>
    <x v="1"/>
    <x v="1"/>
    <x v="7"/>
    <x v="3"/>
    <x v="1"/>
    <x v="3"/>
    <x v="1"/>
    <x v="3"/>
    <n v="31"/>
    <x v="0"/>
  </r>
  <r>
    <d v="2022-01-31T00:00:00"/>
    <x v="0"/>
    <x v="1"/>
    <x v="1"/>
    <n v="12705609.560000001"/>
    <x v="0"/>
    <x v="1"/>
    <x v="1"/>
    <x v="2"/>
    <x v="3"/>
    <x v="1"/>
    <x v="3"/>
    <x v="1"/>
    <x v="3"/>
    <n v="31"/>
    <x v="0"/>
  </r>
  <r>
    <d v="2022-01-31T00:00:00"/>
    <x v="1"/>
    <x v="0"/>
    <x v="0"/>
    <n v="90977316.700000003"/>
    <x v="1"/>
    <x v="0"/>
    <x v="0"/>
    <x v="8"/>
    <x v="3"/>
    <x v="1"/>
    <x v="3"/>
    <x v="1"/>
    <x v="3"/>
    <n v="31"/>
    <x v="0"/>
  </r>
  <r>
    <d v="2022-01-31T00:00:00"/>
    <x v="2"/>
    <x v="1"/>
    <x v="2"/>
    <n v="59632.44"/>
    <x v="2"/>
    <x v="1"/>
    <x v="2"/>
    <x v="3"/>
    <x v="3"/>
    <x v="1"/>
    <x v="3"/>
    <x v="1"/>
    <x v="3"/>
    <n v="31"/>
    <x v="0"/>
  </r>
  <r>
    <d v="2022-01-31T00:00:00"/>
    <x v="3"/>
    <x v="2"/>
    <x v="2"/>
    <n v="173416"/>
    <x v="3"/>
    <x v="2"/>
    <x v="2"/>
    <x v="4"/>
    <x v="3"/>
    <x v="1"/>
    <x v="3"/>
    <x v="1"/>
    <x v="3"/>
    <n v="31"/>
    <x v="0"/>
  </r>
  <r>
    <d v="2022-01-31T00:00:00"/>
    <x v="2"/>
    <x v="1"/>
    <x v="0"/>
    <n v="89638906.629999995"/>
    <x v="2"/>
    <x v="1"/>
    <x v="0"/>
    <x v="5"/>
    <x v="3"/>
    <x v="1"/>
    <x v="3"/>
    <x v="1"/>
    <x v="3"/>
    <n v="31"/>
    <x v="0"/>
  </r>
  <r>
    <d v="2022-01-31T00:00:00"/>
    <x v="1"/>
    <x v="0"/>
    <x v="1"/>
    <n v="781911680.65999997"/>
    <x v="1"/>
    <x v="0"/>
    <x v="1"/>
    <x v="9"/>
    <x v="3"/>
    <x v="1"/>
    <x v="3"/>
    <x v="1"/>
    <x v="3"/>
    <n v="31"/>
    <x v="0"/>
  </r>
  <r>
    <d v="2022-01-31T00:00:00"/>
    <x v="3"/>
    <x v="2"/>
    <x v="0"/>
    <n v="807520147.36000001"/>
    <x v="3"/>
    <x v="2"/>
    <x v="0"/>
    <x v="10"/>
    <x v="3"/>
    <x v="1"/>
    <x v="3"/>
    <x v="1"/>
    <x v="3"/>
    <n v="31"/>
    <x v="0"/>
  </r>
  <r>
    <d v="2022-01-31T00:00:00"/>
    <x v="3"/>
    <x v="1"/>
    <x v="0"/>
    <n v="41859998.719999999"/>
    <x v="3"/>
    <x v="1"/>
    <x v="0"/>
    <x v="11"/>
    <x v="3"/>
    <x v="1"/>
    <x v="3"/>
    <x v="1"/>
    <x v="3"/>
    <n v="31"/>
    <x v="0"/>
  </r>
  <r>
    <d v="2022-01-31T00:00:00"/>
    <x v="3"/>
    <x v="2"/>
    <x v="1"/>
    <n v="25632032301.73"/>
    <x v="3"/>
    <x v="2"/>
    <x v="1"/>
    <x v="12"/>
    <x v="3"/>
    <x v="1"/>
    <x v="3"/>
    <x v="1"/>
    <x v="3"/>
    <n v="31"/>
    <x v="0"/>
  </r>
  <r>
    <d v="2022-01-28T00:00:00"/>
    <x v="1"/>
    <x v="1"/>
    <x v="0"/>
    <n v="10204.35"/>
    <x v="1"/>
    <x v="1"/>
    <x v="0"/>
    <x v="0"/>
    <x v="3"/>
    <x v="1"/>
    <x v="3"/>
    <x v="1"/>
    <x v="3"/>
    <n v="28"/>
    <x v="0"/>
  </r>
  <r>
    <d v="2022-01-28T00:00:00"/>
    <x v="3"/>
    <x v="3"/>
    <x v="0"/>
    <n v="3898476568.21"/>
    <x v="3"/>
    <x v="3"/>
    <x v="0"/>
    <x v="7"/>
    <x v="3"/>
    <x v="1"/>
    <x v="3"/>
    <x v="1"/>
    <x v="3"/>
    <n v="28"/>
    <x v="0"/>
  </r>
  <r>
    <d v="2022-01-28T00:00:00"/>
    <x v="0"/>
    <x v="1"/>
    <x v="1"/>
    <n v="16315387.039999999"/>
    <x v="0"/>
    <x v="1"/>
    <x v="1"/>
    <x v="3"/>
    <x v="3"/>
    <x v="1"/>
    <x v="3"/>
    <x v="1"/>
    <x v="3"/>
    <n v="28"/>
    <x v="0"/>
  </r>
  <r>
    <d v="2022-01-28T00:00:00"/>
    <x v="0"/>
    <x v="1"/>
    <x v="0"/>
    <n v="14797947.789999999"/>
    <x v="0"/>
    <x v="1"/>
    <x v="0"/>
    <x v="2"/>
    <x v="3"/>
    <x v="1"/>
    <x v="3"/>
    <x v="1"/>
    <x v="3"/>
    <n v="28"/>
    <x v="0"/>
  </r>
  <r>
    <d v="2022-01-28T00:00:00"/>
    <x v="0"/>
    <x v="0"/>
    <x v="0"/>
    <n v="644.29999999999995"/>
    <x v="0"/>
    <x v="0"/>
    <x v="0"/>
    <x v="1"/>
    <x v="3"/>
    <x v="1"/>
    <x v="3"/>
    <x v="1"/>
    <x v="3"/>
    <n v="28"/>
    <x v="0"/>
  </r>
  <r>
    <d v="2022-01-28T00:00:00"/>
    <x v="2"/>
    <x v="1"/>
    <x v="2"/>
    <n v="13626"/>
    <x v="2"/>
    <x v="1"/>
    <x v="2"/>
    <x v="4"/>
    <x v="3"/>
    <x v="1"/>
    <x v="3"/>
    <x v="1"/>
    <x v="3"/>
    <n v="28"/>
    <x v="0"/>
  </r>
  <r>
    <d v="2022-01-28T00:00:00"/>
    <x v="3"/>
    <x v="2"/>
    <x v="2"/>
    <n v="358264"/>
    <x v="3"/>
    <x v="2"/>
    <x v="2"/>
    <x v="5"/>
    <x v="3"/>
    <x v="1"/>
    <x v="3"/>
    <x v="1"/>
    <x v="3"/>
    <n v="28"/>
    <x v="0"/>
  </r>
  <r>
    <d v="2022-01-28T00:00:00"/>
    <x v="2"/>
    <x v="1"/>
    <x v="1"/>
    <n v="470389136.68000001"/>
    <x v="2"/>
    <x v="1"/>
    <x v="1"/>
    <x v="8"/>
    <x v="3"/>
    <x v="1"/>
    <x v="3"/>
    <x v="1"/>
    <x v="3"/>
    <n v="28"/>
    <x v="0"/>
  </r>
  <r>
    <d v="2022-01-28T00:00:00"/>
    <x v="2"/>
    <x v="1"/>
    <x v="0"/>
    <n v="115372023.27"/>
    <x v="2"/>
    <x v="1"/>
    <x v="0"/>
    <x v="6"/>
    <x v="3"/>
    <x v="1"/>
    <x v="3"/>
    <x v="1"/>
    <x v="3"/>
    <n v="28"/>
    <x v="0"/>
  </r>
  <r>
    <d v="2022-01-28T00:00:00"/>
    <x v="1"/>
    <x v="0"/>
    <x v="0"/>
    <n v="82565800.680000007"/>
    <x v="1"/>
    <x v="0"/>
    <x v="0"/>
    <x v="9"/>
    <x v="3"/>
    <x v="1"/>
    <x v="3"/>
    <x v="1"/>
    <x v="3"/>
    <n v="28"/>
    <x v="0"/>
  </r>
  <r>
    <d v="2022-01-28T00:00:00"/>
    <x v="1"/>
    <x v="0"/>
    <x v="1"/>
    <n v="1957196698.1500001"/>
    <x v="1"/>
    <x v="0"/>
    <x v="1"/>
    <x v="10"/>
    <x v="3"/>
    <x v="1"/>
    <x v="3"/>
    <x v="1"/>
    <x v="3"/>
    <n v="28"/>
    <x v="0"/>
  </r>
  <r>
    <d v="2022-01-28T00:00:00"/>
    <x v="3"/>
    <x v="2"/>
    <x v="0"/>
    <n v="673853653.88999999"/>
    <x v="3"/>
    <x v="2"/>
    <x v="0"/>
    <x v="11"/>
    <x v="3"/>
    <x v="1"/>
    <x v="3"/>
    <x v="1"/>
    <x v="3"/>
    <n v="28"/>
    <x v="0"/>
  </r>
  <r>
    <d v="2022-01-28T00:00:00"/>
    <x v="3"/>
    <x v="1"/>
    <x v="0"/>
    <n v="14001484.390000001"/>
    <x v="3"/>
    <x v="1"/>
    <x v="0"/>
    <x v="12"/>
    <x v="3"/>
    <x v="1"/>
    <x v="3"/>
    <x v="1"/>
    <x v="3"/>
    <n v="28"/>
    <x v="0"/>
  </r>
  <r>
    <d v="2022-01-28T00:00:00"/>
    <x v="3"/>
    <x v="2"/>
    <x v="1"/>
    <n v="9789975188.0300007"/>
    <x v="3"/>
    <x v="2"/>
    <x v="1"/>
    <x v="13"/>
    <x v="3"/>
    <x v="1"/>
    <x v="3"/>
    <x v="1"/>
    <x v="3"/>
    <n v="28"/>
    <x v="0"/>
  </r>
  <r>
    <d v="2022-01-27T00:00:00"/>
    <x v="2"/>
    <x v="1"/>
    <x v="2"/>
    <n v="31100"/>
    <x v="2"/>
    <x v="1"/>
    <x v="2"/>
    <x v="2"/>
    <x v="3"/>
    <x v="1"/>
    <x v="3"/>
    <x v="1"/>
    <x v="3"/>
    <n v="27"/>
    <x v="0"/>
  </r>
  <r>
    <d v="2022-01-27T00:00:00"/>
    <x v="2"/>
    <x v="1"/>
    <x v="0"/>
    <n v="110313653.58"/>
    <x v="2"/>
    <x v="1"/>
    <x v="0"/>
    <x v="5"/>
    <x v="3"/>
    <x v="1"/>
    <x v="3"/>
    <x v="1"/>
    <x v="3"/>
    <n v="27"/>
    <x v="0"/>
  </r>
  <r>
    <d v="2022-01-27T00:00:00"/>
    <x v="1"/>
    <x v="1"/>
    <x v="0"/>
    <n v="724.45"/>
    <x v="1"/>
    <x v="1"/>
    <x v="0"/>
    <x v="0"/>
    <x v="3"/>
    <x v="1"/>
    <x v="3"/>
    <x v="1"/>
    <x v="3"/>
    <n v="27"/>
    <x v="0"/>
  </r>
  <r>
    <d v="2022-01-27T00:00:00"/>
    <x v="2"/>
    <x v="1"/>
    <x v="1"/>
    <n v="238017745.13999999"/>
    <x v="2"/>
    <x v="1"/>
    <x v="1"/>
    <x v="6"/>
    <x v="3"/>
    <x v="1"/>
    <x v="3"/>
    <x v="1"/>
    <x v="3"/>
    <n v="27"/>
    <x v="0"/>
  </r>
  <r>
    <d v="2022-01-27T00:00:00"/>
    <x v="0"/>
    <x v="1"/>
    <x v="1"/>
    <n v="19624409.379999999"/>
    <x v="0"/>
    <x v="1"/>
    <x v="1"/>
    <x v="3"/>
    <x v="3"/>
    <x v="1"/>
    <x v="3"/>
    <x v="1"/>
    <x v="3"/>
    <n v="27"/>
    <x v="0"/>
  </r>
  <r>
    <d v="2022-01-27T00:00:00"/>
    <x v="3"/>
    <x v="3"/>
    <x v="0"/>
    <n v="2010646571.1199999"/>
    <x v="3"/>
    <x v="3"/>
    <x v="0"/>
    <x v="8"/>
    <x v="3"/>
    <x v="1"/>
    <x v="3"/>
    <x v="1"/>
    <x v="3"/>
    <n v="27"/>
    <x v="0"/>
  </r>
  <r>
    <d v="2022-01-27T00:00:00"/>
    <x v="0"/>
    <x v="1"/>
    <x v="0"/>
    <n v="184936848.72"/>
    <x v="0"/>
    <x v="1"/>
    <x v="0"/>
    <x v="1"/>
    <x v="3"/>
    <x v="1"/>
    <x v="3"/>
    <x v="1"/>
    <x v="3"/>
    <n v="27"/>
    <x v="0"/>
  </r>
  <r>
    <d v="2022-01-27T00:00:00"/>
    <x v="3"/>
    <x v="2"/>
    <x v="2"/>
    <n v="193987.89"/>
    <x v="3"/>
    <x v="2"/>
    <x v="2"/>
    <x v="4"/>
    <x v="3"/>
    <x v="1"/>
    <x v="3"/>
    <x v="1"/>
    <x v="3"/>
    <n v="27"/>
    <x v="0"/>
  </r>
  <r>
    <d v="2022-01-27T00:00:00"/>
    <x v="1"/>
    <x v="0"/>
    <x v="0"/>
    <n v="87577130.049999997"/>
    <x v="1"/>
    <x v="0"/>
    <x v="0"/>
    <x v="7"/>
    <x v="3"/>
    <x v="1"/>
    <x v="3"/>
    <x v="1"/>
    <x v="3"/>
    <n v="27"/>
    <x v="0"/>
  </r>
  <r>
    <d v="2022-01-27T00:00:00"/>
    <x v="1"/>
    <x v="0"/>
    <x v="1"/>
    <n v="7329017994.7200003"/>
    <x v="1"/>
    <x v="0"/>
    <x v="1"/>
    <x v="9"/>
    <x v="3"/>
    <x v="1"/>
    <x v="3"/>
    <x v="1"/>
    <x v="3"/>
    <n v="27"/>
    <x v="0"/>
  </r>
  <r>
    <d v="2022-01-27T00:00:00"/>
    <x v="3"/>
    <x v="2"/>
    <x v="0"/>
    <n v="419440165.48000002"/>
    <x v="3"/>
    <x v="2"/>
    <x v="0"/>
    <x v="10"/>
    <x v="3"/>
    <x v="1"/>
    <x v="3"/>
    <x v="1"/>
    <x v="3"/>
    <n v="27"/>
    <x v="0"/>
  </r>
  <r>
    <d v="2022-01-27T00:00:00"/>
    <x v="3"/>
    <x v="1"/>
    <x v="0"/>
    <n v="14469554.91"/>
    <x v="3"/>
    <x v="1"/>
    <x v="0"/>
    <x v="11"/>
    <x v="3"/>
    <x v="1"/>
    <x v="3"/>
    <x v="1"/>
    <x v="3"/>
    <n v="27"/>
    <x v="0"/>
  </r>
  <r>
    <d v="2022-01-27T00:00:00"/>
    <x v="3"/>
    <x v="2"/>
    <x v="1"/>
    <n v="4338204171.4300003"/>
    <x v="3"/>
    <x v="2"/>
    <x v="1"/>
    <x v="12"/>
    <x v="3"/>
    <x v="1"/>
    <x v="3"/>
    <x v="1"/>
    <x v="3"/>
    <n v="27"/>
    <x v="0"/>
  </r>
  <r>
    <d v="2022-01-26T00:00:00"/>
    <x v="0"/>
    <x v="1"/>
    <x v="0"/>
    <n v="8970740.8699999992"/>
    <x v="0"/>
    <x v="1"/>
    <x v="0"/>
    <x v="2"/>
    <x v="3"/>
    <x v="1"/>
    <x v="3"/>
    <x v="1"/>
    <x v="3"/>
    <n v="26"/>
    <x v="0"/>
  </r>
  <r>
    <d v="2022-01-26T00:00:00"/>
    <x v="2"/>
    <x v="1"/>
    <x v="0"/>
    <n v="107562278.98999999"/>
    <x v="2"/>
    <x v="1"/>
    <x v="0"/>
    <x v="6"/>
    <x v="3"/>
    <x v="1"/>
    <x v="3"/>
    <x v="1"/>
    <x v="3"/>
    <n v="26"/>
    <x v="0"/>
  </r>
  <r>
    <d v="2022-01-26T00:00:00"/>
    <x v="3"/>
    <x v="3"/>
    <x v="0"/>
    <n v="1967430173.55"/>
    <x v="3"/>
    <x v="3"/>
    <x v="0"/>
    <x v="7"/>
    <x v="3"/>
    <x v="1"/>
    <x v="3"/>
    <x v="1"/>
    <x v="3"/>
    <n v="26"/>
    <x v="0"/>
  </r>
  <r>
    <d v="2022-01-26T00:00:00"/>
    <x v="0"/>
    <x v="1"/>
    <x v="1"/>
    <n v="991842.58"/>
    <x v="0"/>
    <x v="1"/>
    <x v="1"/>
    <x v="4"/>
    <x v="3"/>
    <x v="1"/>
    <x v="3"/>
    <x v="1"/>
    <x v="3"/>
    <n v="26"/>
    <x v="0"/>
  </r>
  <r>
    <d v="2022-01-26T00:00:00"/>
    <x v="1"/>
    <x v="0"/>
    <x v="0"/>
    <n v="91684724.230000004"/>
    <x v="1"/>
    <x v="0"/>
    <x v="0"/>
    <x v="9"/>
    <x v="3"/>
    <x v="1"/>
    <x v="3"/>
    <x v="1"/>
    <x v="3"/>
    <n v="26"/>
    <x v="0"/>
  </r>
  <r>
    <d v="2022-01-26T00:00:00"/>
    <x v="1"/>
    <x v="1"/>
    <x v="0"/>
    <n v="130.5"/>
    <x v="1"/>
    <x v="1"/>
    <x v="0"/>
    <x v="1"/>
    <x v="3"/>
    <x v="1"/>
    <x v="3"/>
    <x v="1"/>
    <x v="3"/>
    <n v="26"/>
    <x v="0"/>
  </r>
  <r>
    <d v="2022-01-26T00:00:00"/>
    <x v="3"/>
    <x v="2"/>
    <x v="2"/>
    <n v="163615"/>
    <x v="3"/>
    <x v="2"/>
    <x v="2"/>
    <x v="5"/>
    <x v="3"/>
    <x v="1"/>
    <x v="3"/>
    <x v="1"/>
    <x v="3"/>
    <n v="26"/>
    <x v="0"/>
  </r>
  <r>
    <d v="2022-01-26T00:00:00"/>
    <x v="2"/>
    <x v="1"/>
    <x v="2"/>
    <n v="54709.88"/>
    <x v="2"/>
    <x v="1"/>
    <x v="2"/>
    <x v="3"/>
    <x v="3"/>
    <x v="1"/>
    <x v="3"/>
    <x v="1"/>
    <x v="3"/>
    <n v="26"/>
    <x v="0"/>
  </r>
  <r>
    <d v="2022-01-26T00:00:00"/>
    <x v="0"/>
    <x v="0"/>
    <x v="0"/>
    <n v="180"/>
    <x v="0"/>
    <x v="0"/>
    <x v="0"/>
    <x v="0"/>
    <x v="3"/>
    <x v="1"/>
    <x v="3"/>
    <x v="1"/>
    <x v="3"/>
    <n v="26"/>
    <x v="0"/>
  </r>
  <r>
    <d v="2022-01-26T00:00:00"/>
    <x v="2"/>
    <x v="1"/>
    <x v="1"/>
    <n v="335641174.62"/>
    <x v="2"/>
    <x v="1"/>
    <x v="1"/>
    <x v="8"/>
    <x v="3"/>
    <x v="1"/>
    <x v="3"/>
    <x v="1"/>
    <x v="3"/>
    <n v="26"/>
    <x v="0"/>
  </r>
  <r>
    <d v="2022-01-26T00:00:00"/>
    <x v="1"/>
    <x v="0"/>
    <x v="1"/>
    <n v="8958447012.6299992"/>
    <x v="1"/>
    <x v="0"/>
    <x v="1"/>
    <x v="10"/>
    <x v="3"/>
    <x v="1"/>
    <x v="3"/>
    <x v="1"/>
    <x v="3"/>
    <n v="26"/>
    <x v="0"/>
  </r>
  <r>
    <d v="2022-01-26T00:00:00"/>
    <x v="3"/>
    <x v="1"/>
    <x v="0"/>
    <n v="11497733.57"/>
    <x v="3"/>
    <x v="1"/>
    <x v="0"/>
    <x v="11"/>
    <x v="3"/>
    <x v="1"/>
    <x v="3"/>
    <x v="1"/>
    <x v="3"/>
    <n v="26"/>
    <x v="0"/>
  </r>
  <r>
    <d v="2022-01-26T00:00:00"/>
    <x v="3"/>
    <x v="2"/>
    <x v="0"/>
    <n v="530043543.60000002"/>
    <x v="3"/>
    <x v="2"/>
    <x v="0"/>
    <x v="12"/>
    <x v="3"/>
    <x v="1"/>
    <x v="3"/>
    <x v="1"/>
    <x v="3"/>
    <n v="26"/>
    <x v="0"/>
  </r>
  <r>
    <d v="2022-01-26T00:00:00"/>
    <x v="3"/>
    <x v="2"/>
    <x v="1"/>
    <n v="14238707954.51"/>
    <x v="3"/>
    <x v="2"/>
    <x v="1"/>
    <x v="13"/>
    <x v="3"/>
    <x v="1"/>
    <x v="3"/>
    <x v="1"/>
    <x v="3"/>
    <n v="26"/>
    <x v="0"/>
  </r>
  <r>
    <d v="2022-01-25T00:00:00"/>
    <x v="2"/>
    <x v="1"/>
    <x v="2"/>
    <n v="29675"/>
    <x v="2"/>
    <x v="1"/>
    <x v="2"/>
    <x v="3"/>
    <x v="3"/>
    <x v="1"/>
    <x v="3"/>
    <x v="1"/>
    <x v="3"/>
    <n v="25"/>
    <x v="0"/>
  </r>
  <r>
    <d v="2022-01-25T00:00:00"/>
    <x v="2"/>
    <x v="1"/>
    <x v="0"/>
    <n v="116231169.40000001"/>
    <x v="2"/>
    <x v="1"/>
    <x v="0"/>
    <x v="6"/>
    <x v="3"/>
    <x v="1"/>
    <x v="3"/>
    <x v="1"/>
    <x v="3"/>
    <n v="25"/>
    <x v="0"/>
  </r>
  <r>
    <d v="2022-01-25T00:00:00"/>
    <x v="0"/>
    <x v="1"/>
    <x v="1"/>
    <n v="2731256.1"/>
    <x v="0"/>
    <x v="1"/>
    <x v="1"/>
    <x v="4"/>
    <x v="3"/>
    <x v="1"/>
    <x v="3"/>
    <x v="1"/>
    <x v="3"/>
    <n v="25"/>
    <x v="0"/>
  </r>
  <r>
    <d v="2022-01-25T00:00:00"/>
    <x v="3"/>
    <x v="2"/>
    <x v="2"/>
    <n v="396900.94"/>
    <x v="3"/>
    <x v="2"/>
    <x v="2"/>
    <x v="5"/>
    <x v="3"/>
    <x v="1"/>
    <x v="3"/>
    <x v="1"/>
    <x v="3"/>
    <n v="25"/>
    <x v="0"/>
  </r>
  <r>
    <d v="2022-01-25T00:00:00"/>
    <x v="0"/>
    <x v="0"/>
    <x v="0"/>
    <n v="100"/>
    <x v="0"/>
    <x v="0"/>
    <x v="0"/>
    <x v="0"/>
    <x v="3"/>
    <x v="1"/>
    <x v="3"/>
    <x v="1"/>
    <x v="3"/>
    <n v="25"/>
    <x v="0"/>
  </r>
  <r>
    <d v="2022-01-25T00:00:00"/>
    <x v="0"/>
    <x v="1"/>
    <x v="0"/>
    <n v="17862750.050000001"/>
    <x v="0"/>
    <x v="1"/>
    <x v="0"/>
    <x v="2"/>
    <x v="3"/>
    <x v="1"/>
    <x v="3"/>
    <x v="1"/>
    <x v="3"/>
    <n v="25"/>
    <x v="0"/>
  </r>
  <r>
    <d v="2022-01-25T00:00:00"/>
    <x v="1"/>
    <x v="1"/>
    <x v="0"/>
    <n v="24.5"/>
    <x v="1"/>
    <x v="1"/>
    <x v="0"/>
    <x v="1"/>
    <x v="3"/>
    <x v="1"/>
    <x v="3"/>
    <x v="1"/>
    <x v="3"/>
    <n v="25"/>
    <x v="0"/>
  </r>
  <r>
    <d v="2022-01-25T00:00:00"/>
    <x v="2"/>
    <x v="1"/>
    <x v="1"/>
    <n v="245739057.34"/>
    <x v="2"/>
    <x v="1"/>
    <x v="1"/>
    <x v="8"/>
    <x v="3"/>
    <x v="1"/>
    <x v="3"/>
    <x v="1"/>
    <x v="3"/>
    <n v="25"/>
    <x v="0"/>
  </r>
  <r>
    <d v="2022-01-25T00:00:00"/>
    <x v="3"/>
    <x v="3"/>
    <x v="0"/>
    <n v="4058841534.73"/>
    <x v="3"/>
    <x v="3"/>
    <x v="0"/>
    <x v="7"/>
    <x v="3"/>
    <x v="1"/>
    <x v="3"/>
    <x v="1"/>
    <x v="3"/>
    <n v="25"/>
    <x v="0"/>
  </r>
  <r>
    <d v="2022-01-25T00:00:00"/>
    <x v="1"/>
    <x v="0"/>
    <x v="0"/>
    <n v="84632231.209999993"/>
    <x v="1"/>
    <x v="0"/>
    <x v="0"/>
    <x v="9"/>
    <x v="3"/>
    <x v="1"/>
    <x v="3"/>
    <x v="1"/>
    <x v="3"/>
    <n v="25"/>
    <x v="0"/>
  </r>
  <r>
    <d v="2022-01-25T00:00:00"/>
    <x v="1"/>
    <x v="0"/>
    <x v="1"/>
    <n v="6982361995.9899998"/>
    <x v="1"/>
    <x v="0"/>
    <x v="1"/>
    <x v="10"/>
    <x v="3"/>
    <x v="1"/>
    <x v="3"/>
    <x v="1"/>
    <x v="3"/>
    <n v="25"/>
    <x v="0"/>
  </r>
  <r>
    <d v="2022-01-25T00:00:00"/>
    <x v="3"/>
    <x v="1"/>
    <x v="0"/>
    <n v="9670208.2699999996"/>
    <x v="3"/>
    <x v="1"/>
    <x v="0"/>
    <x v="11"/>
    <x v="3"/>
    <x v="1"/>
    <x v="3"/>
    <x v="1"/>
    <x v="3"/>
    <n v="25"/>
    <x v="0"/>
  </r>
  <r>
    <d v="2022-01-25T00:00:00"/>
    <x v="3"/>
    <x v="2"/>
    <x v="0"/>
    <n v="6919367179.6800003"/>
    <x v="3"/>
    <x v="2"/>
    <x v="0"/>
    <x v="12"/>
    <x v="3"/>
    <x v="1"/>
    <x v="3"/>
    <x v="1"/>
    <x v="3"/>
    <n v="25"/>
    <x v="0"/>
  </r>
  <r>
    <d v="2022-01-25T00:00:00"/>
    <x v="3"/>
    <x v="2"/>
    <x v="1"/>
    <n v="3010527349.8099999"/>
    <x v="3"/>
    <x v="2"/>
    <x v="1"/>
    <x v="13"/>
    <x v="3"/>
    <x v="1"/>
    <x v="3"/>
    <x v="1"/>
    <x v="3"/>
    <n v="25"/>
    <x v="0"/>
  </r>
  <r>
    <d v="2022-01-24T00:00:00"/>
    <x v="2"/>
    <x v="1"/>
    <x v="0"/>
    <n v="102225238.33"/>
    <x v="2"/>
    <x v="1"/>
    <x v="0"/>
    <x v="5"/>
    <x v="3"/>
    <x v="1"/>
    <x v="3"/>
    <x v="1"/>
    <x v="3"/>
    <n v="24"/>
    <x v="0"/>
  </r>
  <r>
    <d v="2022-01-24T00:00:00"/>
    <x v="2"/>
    <x v="1"/>
    <x v="2"/>
    <n v="54079.26"/>
    <x v="2"/>
    <x v="1"/>
    <x v="2"/>
    <x v="2"/>
    <x v="3"/>
    <x v="1"/>
    <x v="3"/>
    <x v="1"/>
    <x v="3"/>
    <n v="24"/>
    <x v="0"/>
  </r>
  <r>
    <d v="2022-01-24T00:00:00"/>
    <x v="3"/>
    <x v="3"/>
    <x v="0"/>
    <n v="2048112327.27"/>
    <x v="3"/>
    <x v="3"/>
    <x v="0"/>
    <x v="6"/>
    <x v="3"/>
    <x v="1"/>
    <x v="3"/>
    <x v="1"/>
    <x v="3"/>
    <n v="24"/>
    <x v="0"/>
  </r>
  <r>
    <d v="2022-01-24T00:00:00"/>
    <x v="2"/>
    <x v="1"/>
    <x v="1"/>
    <n v="236878825.96000001"/>
    <x v="2"/>
    <x v="1"/>
    <x v="1"/>
    <x v="7"/>
    <x v="3"/>
    <x v="1"/>
    <x v="3"/>
    <x v="1"/>
    <x v="3"/>
    <n v="24"/>
    <x v="0"/>
  </r>
  <r>
    <d v="2022-01-24T00:00:00"/>
    <x v="0"/>
    <x v="1"/>
    <x v="1"/>
    <n v="2850929.15"/>
    <x v="0"/>
    <x v="1"/>
    <x v="1"/>
    <x v="3"/>
    <x v="3"/>
    <x v="1"/>
    <x v="3"/>
    <x v="1"/>
    <x v="3"/>
    <n v="24"/>
    <x v="0"/>
  </r>
  <r>
    <d v="2022-01-24T00:00:00"/>
    <x v="3"/>
    <x v="2"/>
    <x v="2"/>
    <n v="203880.4"/>
    <x v="3"/>
    <x v="2"/>
    <x v="2"/>
    <x v="4"/>
    <x v="3"/>
    <x v="1"/>
    <x v="3"/>
    <x v="1"/>
    <x v="3"/>
    <n v="24"/>
    <x v="0"/>
  </r>
  <r>
    <d v="2022-01-24T00:00:00"/>
    <x v="1"/>
    <x v="1"/>
    <x v="0"/>
    <n v="338"/>
    <x v="1"/>
    <x v="1"/>
    <x v="0"/>
    <x v="0"/>
    <x v="3"/>
    <x v="1"/>
    <x v="3"/>
    <x v="1"/>
    <x v="3"/>
    <n v="24"/>
    <x v="0"/>
  </r>
  <r>
    <d v="2022-01-24T00:00:00"/>
    <x v="0"/>
    <x v="1"/>
    <x v="0"/>
    <n v="16900728.34"/>
    <x v="0"/>
    <x v="1"/>
    <x v="0"/>
    <x v="1"/>
    <x v="3"/>
    <x v="1"/>
    <x v="3"/>
    <x v="1"/>
    <x v="3"/>
    <n v="24"/>
    <x v="0"/>
  </r>
  <r>
    <d v="2022-01-24T00:00:00"/>
    <x v="1"/>
    <x v="0"/>
    <x v="0"/>
    <n v="100970100.56999999"/>
    <x v="1"/>
    <x v="0"/>
    <x v="0"/>
    <x v="8"/>
    <x v="3"/>
    <x v="1"/>
    <x v="3"/>
    <x v="1"/>
    <x v="3"/>
    <n v="24"/>
    <x v="0"/>
  </r>
  <r>
    <d v="2022-01-24T00:00:00"/>
    <x v="1"/>
    <x v="0"/>
    <x v="1"/>
    <n v="7767660544.3900003"/>
    <x v="1"/>
    <x v="0"/>
    <x v="1"/>
    <x v="9"/>
    <x v="3"/>
    <x v="1"/>
    <x v="3"/>
    <x v="1"/>
    <x v="3"/>
    <n v="24"/>
    <x v="0"/>
  </r>
  <r>
    <d v="2022-01-24T00:00:00"/>
    <x v="3"/>
    <x v="2"/>
    <x v="0"/>
    <n v="438474177.88"/>
    <x v="3"/>
    <x v="2"/>
    <x v="0"/>
    <x v="10"/>
    <x v="3"/>
    <x v="1"/>
    <x v="3"/>
    <x v="1"/>
    <x v="3"/>
    <n v="24"/>
    <x v="0"/>
  </r>
  <r>
    <d v="2022-01-24T00:00:00"/>
    <x v="3"/>
    <x v="1"/>
    <x v="0"/>
    <n v="39019004.899999999"/>
    <x v="3"/>
    <x v="1"/>
    <x v="0"/>
    <x v="11"/>
    <x v="3"/>
    <x v="1"/>
    <x v="3"/>
    <x v="1"/>
    <x v="3"/>
    <n v="24"/>
    <x v="0"/>
  </r>
  <r>
    <d v="2022-01-24T00:00:00"/>
    <x v="3"/>
    <x v="2"/>
    <x v="1"/>
    <n v="24828030666.240002"/>
    <x v="3"/>
    <x v="2"/>
    <x v="1"/>
    <x v="12"/>
    <x v="3"/>
    <x v="1"/>
    <x v="3"/>
    <x v="1"/>
    <x v="3"/>
    <n v="24"/>
    <x v="0"/>
  </r>
  <r>
    <d v="2022-01-21T00:00:00"/>
    <x v="0"/>
    <x v="1"/>
    <x v="1"/>
    <n v="15184442.029999999"/>
    <x v="0"/>
    <x v="1"/>
    <x v="1"/>
    <x v="4"/>
    <x v="3"/>
    <x v="1"/>
    <x v="3"/>
    <x v="1"/>
    <x v="3"/>
    <n v="21"/>
    <x v="0"/>
  </r>
  <r>
    <d v="2022-01-21T00:00:00"/>
    <x v="2"/>
    <x v="1"/>
    <x v="2"/>
    <n v="9080"/>
    <x v="2"/>
    <x v="1"/>
    <x v="2"/>
    <x v="2"/>
    <x v="3"/>
    <x v="1"/>
    <x v="3"/>
    <x v="1"/>
    <x v="3"/>
    <n v="21"/>
    <x v="0"/>
  </r>
  <r>
    <d v="2022-01-21T00:00:00"/>
    <x v="1"/>
    <x v="1"/>
    <x v="0"/>
    <n v="6274.38"/>
    <x v="1"/>
    <x v="1"/>
    <x v="0"/>
    <x v="5"/>
    <x v="3"/>
    <x v="1"/>
    <x v="3"/>
    <x v="1"/>
    <x v="3"/>
    <n v="21"/>
    <x v="0"/>
  </r>
  <r>
    <d v="2022-01-21T00:00:00"/>
    <x v="2"/>
    <x v="1"/>
    <x v="1"/>
    <n v="277861494.73000002"/>
    <x v="2"/>
    <x v="1"/>
    <x v="1"/>
    <x v="9"/>
    <x v="3"/>
    <x v="1"/>
    <x v="3"/>
    <x v="1"/>
    <x v="3"/>
    <n v="21"/>
    <x v="0"/>
  </r>
  <r>
    <d v="2022-01-21T00:00:00"/>
    <x v="3"/>
    <x v="3"/>
    <x v="1"/>
    <n v="1944336.85"/>
    <x v="3"/>
    <x v="3"/>
    <x v="1"/>
    <x v="3"/>
    <x v="3"/>
    <x v="1"/>
    <x v="3"/>
    <x v="1"/>
    <x v="3"/>
    <n v="21"/>
    <x v="0"/>
  </r>
  <r>
    <d v="2022-01-21T00:00:00"/>
    <x v="3"/>
    <x v="2"/>
    <x v="2"/>
    <n v="465823.55"/>
    <x v="3"/>
    <x v="2"/>
    <x v="2"/>
    <x v="6"/>
    <x v="3"/>
    <x v="1"/>
    <x v="3"/>
    <x v="1"/>
    <x v="3"/>
    <n v="21"/>
    <x v="0"/>
  </r>
  <r>
    <d v="2022-01-21T00:00:00"/>
    <x v="0"/>
    <x v="1"/>
    <x v="0"/>
    <n v="52710234.600000001"/>
    <x v="0"/>
    <x v="1"/>
    <x v="0"/>
    <x v="1"/>
    <x v="3"/>
    <x v="1"/>
    <x v="3"/>
    <x v="1"/>
    <x v="3"/>
    <n v="21"/>
    <x v="0"/>
  </r>
  <r>
    <d v="2022-01-21T00:00:00"/>
    <x v="0"/>
    <x v="0"/>
    <x v="0"/>
    <n v="2436.5100000000002"/>
    <x v="0"/>
    <x v="0"/>
    <x v="0"/>
    <x v="0"/>
    <x v="3"/>
    <x v="1"/>
    <x v="3"/>
    <x v="1"/>
    <x v="3"/>
    <n v="21"/>
    <x v="0"/>
  </r>
  <r>
    <d v="2022-01-21T00:00:00"/>
    <x v="3"/>
    <x v="3"/>
    <x v="0"/>
    <n v="1709307390.8"/>
    <x v="3"/>
    <x v="3"/>
    <x v="0"/>
    <x v="8"/>
    <x v="3"/>
    <x v="1"/>
    <x v="3"/>
    <x v="1"/>
    <x v="3"/>
    <n v="21"/>
    <x v="0"/>
  </r>
  <r>
    <d v="2022-01-21T00:00:00"/>
    <x v="2"/>
    <x v="1"/>
    <x v="0"/>
    <n v="113883878.19"/>
    <x v="2"/>
    <x v="1"/>
    <x v="0"/>
    <x v="7"/>
    <x v="3"/>
    <x v="1"/>
    <x v="3"/>
    <x v="1"/>
    <x v="3"/>
    <n v="21"/>
    <x v="0"/>
  </r>
  <r>
    <d v="2022-01-21T00:00:00"/>
    <x v="1"/>
    <x v="0"/>
    <x v="0"/>
    <n v="101746844.06999999"/>
    <x v="1"/>
    <x v="0"/>
    <x v="0"/>
    <x v="10"/>
    <x v="3"/>
    <x v="1"/>
    <x v="3"/>
    <x v="1"/>
    <x v="3"/>
    <n v="21"/>
    <x v="0"/>
  </r>
  <r>
    <d v="2022-01-21T00:00:00"/>
    <x v="1"/>
    <x v="0"/>
    <x v="1"/>
    <n v="9201208453.0599995"/>
    <x v="1"/>
    <x v="0"/>
    <x v="1"/>
    <x v="11"/>
    <x v="3"/>
    <x v="1"/>
    <x v="3"/>
    <x v="1"/>
    <x v="3"/>
    <n v="21"/>
    <x v="0"/>
  </r>
  <r>
    <d v="2022-01-21T00:00:00"/>
    <x v="3"/>
    <x v="1"/>
    <x v="0"/>
    <n v="13570084.880000001"/>
    <x v="3"/>
    <x v="1"/>
    <x v="0"/>
    <x v="12"/>
    <x v="3"/>
    <x v="1"/>
    <x v="3"/>
    <x v="1"/>
    <x v="3"/>
    <n v="21"/>
    <x v="0"/>
  </r>
  <r>
    <d v="2022-01-21T00:00:00"/>
    <x v="3"/>
    <x v="2"/>
    <x v="0"/>
    <n v="359034723.72000003"/>
    <x v="3"/>
    <x v="2"/>
    <x v="0"/>
    <x v="13"/>
    <x v="3"/>
    <x v="1"/>
    <x v="3"/>
    <x v="1"/>
    <x v="3"/>
    <n v="21"/>
    <x v="0"/>
  </r>
  <r>
    <d v="2022-01-21T00:00:00"/>
    <x v="3"/>
    <x v="2"/>
    <x v="1"/>
    <n v="10802409090.860001"/>
    <x v="3"/>
    <x v="2"/>
    <x v="1"/>
    <x v="14"/>
    <x v="3"/>
    <x v="1"/>
    <x v="3"/>
    <x v="1"/>
    <x v="3"/>
    <n v="21"/>
    <x v="0"/>
  </r>
  <r>
    <d v="2022-01-20T00:00:00"/>
    <x v="3"/>
    <x v="2"/>
    <x v="2"/>
    <n v="224289.21"/>
    <x v="3"/>
    <x v="2"/>
    <x v="2"/>
    <x v="6"/>
    <x v="3"/>
    <x v="1"/>
    <x v="3"/>
    <x v="1"/>
    <x v="3"/>
    <n v="20"/>
    <x v="0"/>
  </r>
  <r>
    <d v="2022-01-20T00:00:00"/>
    <x v="2"/>
    <x v="1"/>
    <x v="2"/>
    <n v="342106.09"/>
    <x v="2"/>
    <x v="1"/>
    <x v="2"/>
    <x v="3"/>
    <x v="3"/>
    <x v="1"/>
    <x v="3"/>
    <x v="1"/>
    <x v="3"/>
    <n v="20"/>
    <x v="0"/>
  </r>
  <r>
    <d v="2022-01-20T00:00:00"/>
    <x v="2"/>
    <x v="1"/>
    <x v="1"/>
    <n v="326565299.66000003"/>
    <x v="2"/>
    <x v="1"/>
    <x v="1"/>
    <x v="8"/>
    <x v="3"/>
    <x v="1"/>
    <x v="3"/>
    <x v="1"/>
    <x v="3"/>
    <n v="20"/>
    <x v="0"/>
  </r>
  <r>
    <d v="2022-01-20T00:00:00"/>
    <x v="0"/>
    <x v="1"/>
    <x v="1"/>
    <n v="16597847.33"/>
    <x v="0"/>
    <x v="1"/>
    <x v="1"/>
    <x v="5"/>
    <x v="3"/>
    <x v="1"/>
    <x v="3"/>
    <x v="1"/>
    <x v="3"/>
    <n v="20"/>
    <x v="0"/>
  </r>
  <r>
    <d v="2022-01-20T00:00:00"/>
    <x v="1"/>
    <x v="0"/>
    <x v="0"/>
    <n v="106639262.2"/>
    <x v="1"/>
    <x v="0"/>
    <x v="0"/>
    <x v="9"/>
    <x v="3"/>
    <x v="1"/>
    <x v="3"/>
    <x v="1"/>
    <x v="3"/>
    <n v="20"/>
    <x v="0"/>
  </r>
  <r>
    <d v="2022-01-20T00:00:00"/>
    <x v="1"/>
    <x v="1"/>
    <x v="0"/>
    <n v="339"/>
    <x v="1"/>
    <x v="1"/>
    <x v="0"/>
    <x v="1"/>
    <x v="3"/>
    <x v="1"/>
    <x v="3"/>
    <x v="1"/>
    <x v="3"/>
    <n v="20"/>
    <x v="0"/>
  </r>
  <r>
    <d v="2022-01-20T00:00:00"/>
    <x v="0"/>
    <x v="1"/>
    <x v="0"/>
    <n v="12099890.34"/>
    <x v="0"/>
    <x v="1"/>
    <x v="0"/>
    <x v="2"/>
    <x v="3"/>
    <x v="1"/>
    <x v="3"/>
    <x v="1"/>
    <x v="3"/>
    <n v="20"/>
    <x v="0"/>
  </r>
  <r>
    <d v="2022-01-20T00:00:00"/>
    <x v="0"/>
    <x v="0"/>
    <x v="0"/>
    <n v="5000"/>
    <x v="0"/>
    <x v="0"/>
    <x v="0"/>
    <x v="0"/>
    <x v="3"/>
    <x v="1"/>
    <x v="3"/>
    <x v="1"/>
    <x v="3"/>
    <n v="20"/>
    <x v="0"/>
  </r>
  <r>
    <d v="2022-01-20T00:00:00"/>
    <x v="3"/>
    <x v="3"/>
    <x v="1"/>
    <n v="2151.89"/>
    <x v="3"/>
    <x v="3"/>
    <x v="1"/>
    <x v="4"/>
    <x v="3"/>
    <x v="1"/>
    <x v="3"/>
    <x v="1"/>
    <x v="3"/>
    <n v="20"/>
    <x v="0"/>
  </r>
  <r>
    <d v="2022-01-20T00:00:00"/>
    <x v="2"/>
    <x v="1"/>
    <x v="0"/>
    <n v="128252260.27"/>
    <x v="2"/>
    <x v="1"/>
    <x v="0"/>
    <x v="7"/>
    <x v="3"/>
    <x v="1"/>
    <x v="3"/>
    <x v="1"/>
    <x v="3"/>
    <n v="20"/>
    <x v="0"/>
  </r>
  <r>
    <d v="2022-01-20T00:00:00"/>
    <x v="3"/>
    <x v="3"/>
    <x v="0"/>
    <n v="1674118187.75"/>
    <x v="3"/>
    <x v="3"/>
    <x v="0"/>
    <x v="10"/>
    <x v="3"/>
    <x v="1"/>
    <x v="3"/>
    <x v="1"/>
    <x v="3"/>
    <n v="20"/>
    <x v="0"/>
  </r>
  <r>
    <d v="2022-01-20T00:00:00"/>
    <x v="1"/>
    <x v="0"/>
    <x v="1"/>
    <n v="8406164392.9200001"/>
    <x v="1"/>
    <x v="0"/>
    <x v="1"/>
    <x v="11"/>
    <x v="3"/>
    <x v="1"/>
    <x v="3"/>
    <x v="1"/>
    <x v="3"/>
    <n v="20"/>
    <x v="0"/>
  </r>
  <r>
    <d v="2022-01-20T00:00:00"/>
    <x v="3"/>
    <x v="1"/>
    <x v="0"/>
    <n v="14410329.24"/>
    <x v="3"/>
    <x v="1"/>
    <x v="0"/>
    <x v="12"/>
    <x v="3"/>
    <x v="1"/>
    <x v="3"/>
    <x v="1"/>
    <x v="3"/>
    <n v="20"/>
    <x v="0"/>
  </r>
  <r>
    <d v="2022-01-20T00:00:00"/>
    <x v="3"/>
    <x v="2"/>
    <x v="0"/>
    <n v="566459125.67999995"/>
    <x v="3"/>
    <x v="2"/>
    <x v="0"/>
    <x v="13"/>
    <x v="3"/>
    <x v="1"/>
    <x v="3"/>
    <x v="1"/>
    <x v="3"/>
    <n v="20"/>
    <x v="0"/>
  </r>
  <r>
    <d v="2022-01-20T00:00:00"/>
    <x v="3"/>
    <x v="2"/>
    <x v="1"/>
    <n v="11464987313.1"/>
    <x v="3"/>
    <x v="2"/>
    <x v="1"/>
    <x v="14"/>
    <x v="3"/>
    <x v="1"/>
    <x v="3"/>
    <x v="1"/>
    <x v="3"/>
    <n v="20"/>
    <x v="0"/>
  </r>
  <r>
    <d v="2022-01-19T00:00:00"/>
    <x v="2"/>
    <x v="1"/>
    <x v="2"/>
    <n v="45960"/>
    <x v="2"/>
    <x v="1"/>
    <x v="2"/>
    <x v="2"/>
    <x v="3"/>
    <x v="1"/>
    <x v="3"/>
    <x v="1"/>
    <x v="3"/>
    <n v="19"/>
    <x v="0"/>
  </r>
  <r>
    <d v="2022-01-19T00:00:00"/>
    <x v="2"/>
    <x v="1"/>
    <x v="1"/>
    <n v="201304462.28"/>
    <x v="2"/>
    <x v="1"/>
    <x v="1"/>
    <x v="6"/>
    <x v="3"/>
    <x v="1"/>
    <x v="3"/>
    <x v="1"/>
    <x v="3"/>
    <n v="19"/>
    <x v="0"/>
  </r>
  <r>
    <d v="2022-01-19T00:00:00"/>
    <x v="3"/>
    <x v="3"/>
    <x v="0"/>
    <n v="3876012067.2199998"/>
    <x v="3"/>
    <x v="3"/>
    <x v="0"/>
    <x v="7"/>
    <x v="3"/>
    <x v="1"/>
    <x v="3"/>
    <x v="1"/>
    <x v="3"/>
    <n v="19"/>
    <x v="0"/>
  </r>
  <r>
    <d v="2022-01-19T00:00:00"/>
    <x v="0"/>
    <x v="1"/>
    <x v="1"/>
    <n v="1585721.47"/>
    <x v="0"/>
    <x v="1"/>
    <x v="1"/>
    <x v="3"/>
    <x v="3"/>
    <x v="1"/>
    <x v="3"/>
    <x v="1"/>
    <x v="3"/>
    <n v="19"/>
    <x v="0"/>
  </r>
  <r>
    <d v="2022-01-19T00:00:00"/>
    <x v="1"/>
    <x v="0"/>
    <x v="0"/>
    <n v="89716340.439999998"/>
    <x v="1"/>
    <x v="0"/>
    <x v="0"/>
    <x v="8"/>
    <x v="3"/>
    <x v="1"/>
    <x v="3"/>
    <x v="1"/>
    <x v="3"/>
    <n v="19"/>
    <x v="0"/>
  </r>
  <r>
    <d v="2022-01-19T00:00:00"/>
    <x v="3"/>
    <x v="2"/>
    <x v="2"/>
    <n v="458538.13"/>
    <x v="3"/>
    <x v="2"/>
    <x v="2"/>
    <x v="4"/>
    <x v="3"/>
    <x v="1"/>
    <x v="3"/>
    <x v="1"/>
    <x v="3"/>
    <n v="19"/>
    <x v="0"/>
  </r>
  <r>
    <d v="2022-01-19T00:00:00"/>
    <x v="1"/>
    <x v="1"/>
    <x v="0"/>
    <n v="71.5"/>
    <x v="1"/>
    <x v="1"/>
    <x v="0"/>
    <x v="0"/>
    <x v="3"/>
    <x v="1"/>
    <x v="3"/>
    <x v="1"/>
    <x v="3"/>
    <n v="19"/>
    <x v="0"/>
  </r>
  <r>
    <d v="2022-01-19T00:00:00"/>
    <x v="0"/>
    <x v="1"/>
    <x v="0"/>
    <n v="14081514.4"/>
    <x v="0"/>
    <x v="1"/>
    <x v="0"/>
    <x v="1"/>
    <x v="3"/>
    <x v="1"/>
    <x v="3"/>
    <x v="1"/>
    <x v="3"/>
    <n v="19"/>
    <x v="0"/>
  </r>
  <r>
    <d v="2022-01-19T00:00:00"/>
    <x v="2"/>
    <x v="1"/>
    <x v="0"/>
    <n v="106994354.98"/>
    <x v="2"/>
    <x v="1"/>
    <x v="0"/>
    <x v="5"/>
    <x v="3"/>
    <x v="1"/>
    <x v="3"/>
    <x v="1"/>
    <x v="3"/>
    <n v="19"/>
    <x v="0"/>
  </r>
  <r>
    <d v="2022-01-19T00:00:00"/>
    <x v="1"/>
    <x v="0"/>
    <x v="1"/>
    <n v="11337642522.139999"/>
    <x v="1"/>
    <x v="0"/>
    <x v="1"/>
    <x v="9"/>
    <x v="3"/>
    <x v="1"/>
    <x v="3"/>
    <x v="1"/>
    <x v="3"/>
    <n v="19"/>
    <x v="0"/>
  </r>
  <r>
    <d v="2022-01-19T00:00:00"/>
    <x v="3"/>
    <x v="2"/>
    <x v="0"/>
    <n v="474997455.30000001"/>
    <x v="3"/>
    <x v="2"/>
    <x v="0"/>
    <x v="10"/>
    <x v="3"/>
    <x v="1"/>
    <x v="3"/>
    <x v="1"/>
    <x v="3"/>
    <n v="19"/>
    <x v="0"/>
  </r>
  <r>
    <d v="2022-01-19T00:00:00"/>
    <x v="3"/>
    <x v="1"/>
    <x v="0"/>
    <n v="13084097.68"/>
    <x v="3"/>
    <x v="1"/>
    <x v="0"/>
    <x v="11"/>
    <x v="3"/>
    <x v="1"/>
    <x v="3"/>
    <x v="1"/>
    <x v="3"/>
    <n v="19"/>
    <x v="0"/>
  </r>
  <r>
    <d v="2022-01-19T00:00:00"/>
    <x v="3"/>
    <x v="2"/>
    <x v="1"/>
    <n v="13060202710.02"/>
    <x v="3"/>
    <x v="2"/>
    <x v="1"/>
    <x v="12"/>
    <x v="3"/>
    <x v="1"/>
    <x v="3"/>
    <x v="1"/>
    <x v="3"/>
    <n v="19"/>
    <x v="0"/>
  </r>
  <r>
    <d v="2022-01-18T00:00:00"/>
    <x v="3"/>
    <x v="3"/>
    <x v="0"/>
    <n v="2699103022.6500001"/>
    <x v="3"/>
    <x v="3"/>
    <x v="0"/>
    <x v="5"/>
    <x v="3"/>
    <x v="1"/>
    <x v="3"/>
    <x v="1"/>
    <x v="3"/>
    <n v="18"/>
    <x v="0"/>
  </r>
  <r>
    <d v="2022-01-18T00:00:00"/>
    <x v="2"/>
    <x v="1"/>
    <x v="2"/>
    <n v="73791.95"/>
    <x v="2"/>
    <x v="1"/>
    <x v="2"/>
    <x v="2"/>
    <x v="3"/>
    <x v="1"/>
    <x v="3"/>
    <x v="1"/>
    <x v="3"/>
    <n v="18"/>
    <x v="0"/>
  </r>
  <r>
    <d v="2022-01-18T00:00:00"/>
    <x v="2"/>
    <x v="1"/>
    <x v="0"/>
    <n v="69381830.5"/>
    <x v="2"/>
    <x v="1"/>
    <x v="0"/>
    <x v="6"/>
    <x v="3"/>
    <x v="1"/>
    <x v="3"/>
    <x v="1"/>
    <x v="3"/>
    <n v="18"/>
    <x v="0"/>
  </r>
  <r>
    <d v="2022-01-18T00:00:00"/>
    <x v="2"/>
    <x v="1"/>
    <x v="1"/>
    <n v="264933490.75"/>
    <x v="2"/>
    <x v="1"/>
    <x v="1"/>
    <x v="7"/>
    <x v="3"/>
    <x v="1"/>
    <x v="3"/>
    <x v="1"/>
    <x v="3"/>
    <n v="18"/>
    <x v="0"/>
  </r>
  <r>
    <d v="2022-01-18T00:00:00"/>
    <x v="0"/>
    <x v="1"/>
    <x v="1"/>
    <n v="37332245.460000001"/>
    <x v="0"/>
    <x v="1"/>
    <x v="1"/>
    <x v="3"/>
    <x v="3"/>
    <x v="1"/>
    <x v="3"/>
    <x v="1"/>
    <x v="3"/>
    <n v="18"/>
    <x v="0"/>
  </r>
  <r>
    <d v="2022-01-18T00:00:00"/>
    <x v="3"/>
    <x v="2"/>
    <x v="2"/>
    <n v="344250.66"/>
    <x v="3"/>
    <x v="2"/>
    <x v="2"/>
    <x v="4"/>
    <x v="3"/>
    <x v="1"/>
    <x v="3"/>
    <x v="1"/>
    <x v="3"/>
    <n v="18"/>
    <x v="0"/>
  </r>
  <r>
    <d v="2022-01-18T00:00:00"/>
    <x v="1"/>
    <x v="0"/>
    <x v="1"/>
    <n v="3105770132.3299999"/>
    <x v="1"/>
    <x v="0"/>
    <x v="1"/>
    <x v="9"/>
    <x v="3"/>
    <x v="1"/>
    <x v="3"/>
    <x v="1"/>
    <x v="3"/>
    <n v="18"/>
    <x v="0"/>
  </r>
  <r>
    <d v="2022-01-18T00:00:00"/>
    <x v="1"/>
    <x v="1"/>
    <x v="0"/>
    <n v="4065.72"/>
    <x v="1"/>
    <x v="1"/>
    <x v="0"/>
    <x v="0"/>
    <x v="3"/>
    <x v="1"/>
    <x v="3"/>
    <x v="1"/>
    <x v="3"/>
    <n v="18"/>
    <x v="0"/>
  </r>
  <r>
    <d v="2022-01-18T00:00:00"/>
    <x v="0"/>
    <x v="1"/>
    <x v="0"/>
    <n v="10622119.84"/>
    <x v="0"/>
    <x v="1"/>
    <x v="0"/>
    <x v="1"/>
    <x v="3"/>
    <x v="1"/>
    <x v="3"/>
    <x v="1"/>
    <x v="3"/>
    <n v="18"/>
    <x v="0"/>
  </r>
  <r>
    <d v="2022-01-18T00:00:00"/>
    <x v="1"/>
    <x v="0"/>
    <x v="0"/>
    <n v="96345657.159999996"/>
    <x v="1"/>
    <x v="0"/>
    <x v="0"/>
    <x v="8"/>
    <x v="3"/>
    <x v="1"/>
    <x v="3"/>
    <x v="1"/>
    <x v="3"/>
    <n v="18"/>
    <x v="0"/>
  </r>
  <r>
    <d v="2022-01-18T00:00:00"/>
    <x v="3"/>
    <x v="2"/>
    <x v="0"/>
    <n v="439787897.97000003"/>
    <x v="3"/>
    <x v="2"/>
    <x v="0"/>
    <x v="10"/>
    <x v="3"/>
    <x v="1"/>
    <x v="3"/>
    <x v="1"/>
    <x v="3"/>
    <n v="18"/>
    <x v="0"/>
  </r>
  <r>
    <d v="2022-01-18T00:00:00"/>
    <x v="3"/>
    <x v="1"/>
    <x v="0"/>
    <n v="51029509.799999997"/>
    <x v="3"/>
    <x v="1"/>
    <x v="0"/>
    <x v="11"/>
    <x v="3"/>
    <x v="1"/>
    <x v="3"/>
    <x v="1"/>
    <x v="3"/>
    <n v="18"/>
    <x v="0"/>
  </r>
  <r>
    <d v="2022-01-18T00:00:00"/>
    <x v="3"/>
    <x v="2"/>
    <x v="1"/>
    <n v="66931614224.550003"/>
    <x v="3"/>
    <x v="2"/>
    <x v="1"/>
    <x v="12"/>
    <x v="3"/>
    <x v="1"/>
    <x v="3"/>
    <x v="1"/>
    <x v="3"/>
    <n v="18"/>
    <x v="0"/>
  </r>
  <r>
    <d v="2022-01-14T00:00:00"/>
    <x v="0"/>
    <x v="1"/>
    <x v="0"/>
    <n v="15284946.189999999"/>
    <x v="0"/>
    <x v="1"/>
    <x v="0"/>
    <x v="2"/>
    <x v="3"/>
    <x v="1"/>
    <x v="3"/>
    <x v="1"/>
    <x v="3"/>
    <n v="14"/>
    <x v="0"/>
  </r>
  <r>
    <d v="2022-01-14T00:00:00"/>
    <x v="2"/>
    <x v="1"/>
    <x v="2"/>
    <n v="46100"/>
    <x v="2"/>
    <x v="1"/>
    <x v="2"/>
    <x v="4"/>
    <x v="3"/>
    <x v="1"/>
    <x v="3"/>
    <x v="1"/>
    <x v="3"/>
    <n v="14"/>
    <x v="0"/>
  </r>
  <r>
    <d v="2022-01-14T00:00:00"/>
    <x v="0"/>
    <x v="1"/>
    <x v="1"/>
    <n v="586788.99"/>
    <x v="0"/>
    <x v="1"/>
    <x v="1"/>
    <x v="5"/>
    <x v="3"/>
    <x v="1"/>
    <x v="3"/>
    <x v="1"/>
    <x v="3"/>
    <n v="14"/>
    <x v="0"/>
  </r>
  <r>
    <d v="2022-01-14T00:00:00"/>
    <x v="1"/>
    <x v="0"/>
    <x v="0"/>
    <n v="90393424.730000004"/>
    <x v="1"/>
    <x v="0"/>
    <x v="0"/>
    <x v="10"/>
    <x v="3"/>
    <x v="1"/>
    <x v="3"/>
    <x v="1"/>
    <x v="3"/>
    <n v="14"/>
    <x v="0"/>
  </r>
  <r>
    <d v="2022-01-14T00:00:00"/>
    <x v="1"/>
    <x v="0"/>
    <x v="1"/>
    <n v="2510842186.48"/>
    <x v="1"/>
    <x v="0"/>
    <x v="1"/>
    <x v="11"/>
    <x v="3"/>
    <x v="1"/>
    <x v="3"/>
    <x v="1"/>
    <x v="3"/>
    <n v="14"/>
    <x v="0"/>
  </r>
  <r>
    <d v="2022-01-14T00:00:00"/>
    <x v="1"/>
    <x v="1"/>
    <x v="0"/>
    <n v="961.5"/>
    <x v="1"/>
    <x v="1"/>
    <x v="0"/>
    <x v="1"/>
    <x v="3"/>
    <x v="1"/>
    <x v="3"/>
    <x v="1"/>
    <x v="3"/>
    <n v="14"/>
    <x v="0"/>
  </r>
  <r>
    <d v="2022-01-14T00:00:00"/>
    <x v="3"/>
    <x v="2"/>
    <x v="2"/>
    <n v="266439.19"/>
    <x v="3"/>
    <x v="2"/>
    <x v="2"/>
    <x v="6"/>
    <x v="3"/>
    <x v="1"/>
    <x v="3"/>
    <x v="1"/>
    <x v="3"/>
    <n v="14"/>
    <x v="0"/>
  </r>
  <r>
    <d v="2022-01-14T00:00:00"/>
    <x v="2"/>
    <x v="1"/>
    <x v="0"/>
    <n v="95993796.400000006"/>
    <x v="2"/>
    <x v="1"/>
    <x v="0"/>
    <x v="7"/>
    <x v="3"/>
    <x v="1"/>
    <x v="3"/>
    <x v="1"/>
    <x v="3"/>
    <n v="14"/>
    <x v="0"/>
  </r>
  <r>
    <d v="2022-01-14T00:00:00"/>
    <x v="0"/>
    <x v="0"/>
    <x v="0"/>
    <n v="500"/>
    <x v="0"/>
    <x v="0"/>
    <x v="0"/>
    <x v="0"/>
    <x v="3"/>
    <x v="1"/>
    <x v="3"/>
    <x v="1"/>
    <x v="3"/>
    <n v="14"/>
    <x v="0"/>
  </r>
  <r>
    <d v="2022-01-14T00:00:00"/>
    <x v="3"/>
    <x v="3"/>
    <x v="2"/>
    <n v="136938.10999999999"/>
    <x v="3"/>
    <x v="3"/>
    <x v="2"/>
    <x v="3"/>
    <x v="3"/>
    <x v="1"/>
    <x v="3"/>
    <x v="1"/>
    <x v="3"/>
    <n v="14"/>
    <x v="0"/>
  </r>
  <r>
    <d v="2022-01-14T00:00:00"/>
    <x v="3"/>
    <x v="3"/>
    <x v="0"/>
    <n v="1663003103.23"/>
    <x v="3"/>
    <x v="3"/>
    <x v="0"/>
    <x v="8"/>
    <x v="3"/>
    <x v="1"/>
    <x v="3"/>
    <x v="1"/>
    <x v="3"/>
    <n v="14"/>
    <x v="0"/>
  </r>
  <r>
    <d v="2022-01-14T00:00:00"/>
    <x v="2"/>
    <x v="1"/>
    <x v="1"/>
    <n v="146930540.74000001"/>
    <x v="2"/>
    <x v="1"/>
    <x v="1"/>
    <x v="9"/>
    <x v="3"/>
    <x v="1"/>
    <x v="3"/>
    <x v="1"/>
    <x v="3"/>
    <n v="14"/>
    <x v="0"/>
  </r>
  <r>
    <d v="2022-01-14T00:00:00"/>
    <x v="3"/>
    <x v="2"/>
    <x v="0"/>
    <n v="734066050.74000001"/>
    <x v="3"/>
    <x v="2"/>
    <x v="0"/>
    <x v="12"/>
    <x v="3"/>
    <x v="1"/>
    <x v="3"/>
    <x v="1"/>
    <x v="3"/>
    <n v="14"/>
    <x v="0"/>
  </r>
  <r>
    <d v="2022-01-14T00:00:00"/>
    <x v="3"/>
    <x v="1"/>
    <x v="0"/>
    <n v="14671323.210000001"/>
    <x v="3"/>
    <x v="1"/>
    <x v="0"/>
    <x v="13"/>
    <x v="3"/>
    <x v="1"/>
    <x v="3"/>
    <x v="1"/>
    <x v="3"/>
    <n v="14"/>
    <x v="0"/>
  </r>
  <r>
    <d v="2022-01-14T00:00:00"/>
    <x v="3"/>
    <x v="2"/>
    <x v="1"/>
    <n v="24797704449.18"/>
    <x v="3"/>
    <x v="2"/>
    <x v="1"/>
    <x v="14"/>
    <x v="3"/>
    <x v="1"/>
    <x v="3"/>
    <x v="1"/>
    <x v="3"/>
    <n v="14"/>
    <x v="0"/>
  </r>
  <r>
    <d v="2022-01-13T00:00:00"/>
    <x v="2"/>
    <x v="1"/>
    <x v="2"/>
    <n v="12195"/>
    <x v="2"/>
    <x v="1"/>
    <x v="2"/>
    <x v="2"/>
    <x v="3"/>
    <x v="1"/>
    <x v="3"/>
    <x v="1"/>
    <x v="3"/>
    <n v="13"/>
    <x v="0"/>
  </r>
  <r>
    <d v="2022-01-13T00:00:00"/>
    <x v="0"/>
    <x v="1"/>
    <x v="1"/>
    <n v="28588164.699999999"/>
    <x v="0"/>
    <x v="1"/>
    <x v="1"/>
    <x v="3"/>
    <x v="3"/>
    <x v="1"/>
    <x v="3"/>
    <x v="1"/>
    <x v="3"/>
    <n v="13"/>
    <x v="0"/>
  </r>
  <r>
    <d v="2022-01-13T00:00:00"/>
    <x v="2"/>
    <x v="1"/>
    <x v="1"/>
    <n v="461511505.44"/>
    <x v="2"/>
    <x v="1"/>
    <x v="1"/>
    <x v="6"/>
    <x v="3"/>
    <x v="1"/>
    <x v="3"/>
    <x v="1"/>
    <x v="3"/>
    <n v="13"/>
    <x v="0"/>
  </r>
  <r>
    <d v="2022-01-13T00:00:00"/>
    <x v="1"/>
    <x v="1"/>
    <x v="0"/>
    <n v="338"/>
    <x v="1"/>
    <x v="1"/>
    <x v="0"/>
    <x v="0"/>
    <x v="3"/>
    <x v="1"/>
    <x v="3"/>
    <x v="1"/>
    <x v="3"/>
    <n v="13"/>
    <x v="0"/>
  </r>
  <r>
    <d v="2022-01-13T00:00:00"/>
    <x v="0"/>
    <x v="1"/>
    <x v="0"/>
    <n v="18946434.989999998"/>
    <x v="0"/>
    <x v="1"/>
    <x v="0"/>
    <x v="1"/>
    <x v="3"/>
    <x v="1"/>
    <x v="3"/>
    <x v="1"/>
    <x v="3"/>
    <n v="13"/>
    <x v="0"/>
  </r>
  <r>
    <d v="2022-01-13T00:00:00"/>
    <x v="3"/>
    <x v="2"/>
    <x v="2"/>
    <n v="431558.99"/>
    <x v="3"/>
    <x v="2"/>
    <x v="2"/>
    <x v="4"/>
    <x v="3"/>
    <x v="1"/>
    <x v="3"/>
    <x v="1"/>
    <x v="3"/>
    <n v="13"/>
    <x v="0"/>
  </r>
  <r>
    <d v="2022-01-13T00:00:00"/>
    <x v="2"/>
    <x v="1"/>
    <x v="0"/>
    <n v="120841910.05"/>
    <x v="2"/>
    <x v="1"/>
    <x v="0"/>
    <x v="5"/>
    <x v="3"/>
    <x v="1"/>
    <x v="3"/>
    <x v="1"/>
    <x v="3"/>
    <n v="13"/>
    <x v="0"/>
  </r>
  <r>
    <d v="2022-01-13T00:00:00"/>
    <x v="1"/>
    <x v="0"/>
    <x v="0"/>
    <n v="70734442.840000004"/>
    <x v="1"/>
    <x v="0"/>
    <x v="0"/>
    <x v="7"/>
    <x v="3"/>
    <x v="1"/>
    <x v="3"/>
    <x v="1"/>
    <x v="3"/>
    <n v="13"/>
    <x v="0"/>
  </r>
  <r>
    <d v="2022-01-13T00:00:00"/>
    <x v="1"/>
    <x v="0"/>
    <x v="1"/>
    <n v="3035789548.77"/>
    <x v="1"/>
    <x v="0"/>
    <x v="1"/>
    <x v="8"/>
    <x v="3"/>
    <x v="1"/>
    <x v="3"/>
    <x v="1"/>
    <x v="3"/>
    <n v="13"/>
    <x v="0"/>
  </r>
  <r>
    <d v="2022-01-13T00:00:00"/>
    <x v="3"/>
    <x v="3"/>
    <x v="0"/>
    <n v="1256459648.8099999"/>
    <x v="3"/>
    <x v="3"/>
    <x v="0"/>
    <x v="9"/>
    <x v="3"/>
    <x v="1"/>
    <x v="3"/>
    <x v="1"/>
    <x v="3"/>
    <n v="13"/>
    <x v="0"/>
  </r>
  <r>
    <d v="2022-01-13T00:00:00"/>
    <x v="3"/>
    <x v="2"/>
    <x v="0"/>
    <n v="426447648.62"/>
    <x v="3"/>
    <x v="2"/>
    <x v="0"/>
    <x v="10"/>
    <x v="3"/>
    <x v="1"/>
    <x v="3"/>
    <x v="1"/>
    <x v="3"/>
    <n v="13"/>
    <x v="0"/>
  </r>
  <r>
    <d v="2022-01-13T00:00:00"/>
    <x v="3"/>
    <x v="1"/>
    <x v="0"/>
    <n v="13370438.07"/>
    <x v="3"/>
    <x v="1"/>
    <x v="0"/>
    <x v="11"/>
    <x v="3"/>
    <x v="1"/>
    <x v="3"/>
    <x v="1"/>
    <x v="3"/>
    <n v="13"/>
    <x v="0"/>
  </r>
  <r>
    <d v="2022-01-13T00:00:00"/>
    <x v="3"/>
    <x v="2"/>
    <x v="1"/>
    <n v="8547157160.25"/>
    <x v="3"/>
    <x v="2"/>
    <x v="1"/>
    <x v="12"/>
    <x v="3"/>
    <x v="1"/>
    <x v="3"/>
    <x v="1"/>
    <x v="3"/>
    <n v="13"/>
    <x v="0"/>
  </r>
  <r>
    <d v="2022-01-12T00:00:00"/>
    <x v="1"/>
    <x v="1"/>
    <x v="0"/>
    <n v="6448.29"/>
    <x v="1"/>
    <x v="1"/>
    <x v="0"/>
    <x v="3"/>
    <x v="3"/>
    <x v="1"/>
    <x v="3"/>
    <x v="1"/>
    <x v="3"/>
    <n v="12"/>
    <x v="0"/>
  </r>
  <r>
    <d v="2022-01-12T00:00:00"/>
    <x v="2"/>
    <x v="1"/>
    <x v="0"/>
    <n v="124834281"/>
    <x v="2"/>
    <x v="1"/>
    <x v="0"/>
    <x v="5"/>
    <x v="3"/>
    <x v="1"/>
    <x v="3"/>
    <x v="1"/>
    <x v="3"/>
    <n v="12"/>
    <x v="0"/>
  </r>
  <r>
    <d v="2022-01-12T00:00:00"/>
    <x v="2"/>
    <x v="1"/>
    <x v="2"/>
    <n v="54424.59"/>
    <x v="2"/>
    <x v="1"/>
    <x v="2"/>
    <x v="1"/>
    <x v="3"/>
    <x v="1"/>
    <x v="3"/>
    <x v="1"/>
    <x v="3"/>
    <n v="12"/>
    <x v="0"/>
  </r>
  <r>
    <d v="2022-01-12T00:00:00"/>
    <x v="2"/>
    <x v="1"/>
    <x v="1"/>
    <n v="288666822.33999997"/>
    <x v="2"/>
    <x v="1"/>
    <x v="1"/>
    <x v="7"/>
    <x v="3"/>
    <x v="1"/>
    <x v="3"/>
    <x v="1"/>
    <x v="3"/>
    <n v="12"/>
    <x v="0"/>
  </r>
  <r>
    <d v="2022-01-12T00:00:00"/>
    <x v="0"/>
    <x v="1"/>
    <x v="1"/>
    <n v="18408692.850000001"/>
    <x v="0"/>
    <x v="1"/>
    <x v="1"/>
    <x v="2"/>
    <x v="3"/>
    <x v="1"/>
    <x v="3"/>
    <x v="1"/>
    <x v="3"/>
    <n v="12"/>
    <x v="0"/>
  </r>
  <r>
    <d v="2022-01-12T00:00:00"/>
    <x v="1"/>
    <x v="0"/>
    <x v="0"/>
    <n v="95876699.790000007"/>
    <x v="1"/>
    <x v="0"/>
    <x v="0"/>
    <x v="8"/>
    <x v="3"/>
    <x v="1"/>
    <x v="3"/>
    <x v="1"/>
    <x v="3"/>
    <n v="12"/>
    <x v="0"/>
  </r>
  <r>
    <d v="2022-01-12T00:00:00"/>
    <x v="1"/>
    <x v="0"/>
    <x v="1"/>
    <n v="3219085820.25"/>
    <x v="1"/>
    <x v="0"/>
    <x v="1"/>
    <x v="9"/>
    <x v="3"/>
    <x v="1"/>
    <x v="3"/>
    <x v="1"/>
    <x v="3"/>
    <n v="12"/>
    <x v="0"/>
  </r>
  <r>
    <d v="2022-01-12T00:00:00"/>
    <x v="0"/>
    <x v="1"/>
    <x v="0"/>
    <n v="11817628.76"/>
    <x v="0"/>
    <x v="1"/>
    <x v="0"/>
    <x v="0"/>
    <x v="3"/>
    <x v="1"/>
    <x v="3"/>
    <x v="1"/>
    <x v="3"/>
    <n v="12"/>
    <x v="0"/>
  </r>
  <r>
    <d v="2022-01-12T00:00:00"/>
    <x v="3"/>
    <x v="2"/>
    <x v="2"/>
    <n v="258773.85"/>
    <x v="3"/>
    <x v="2"/>
    <x v="2"/>
    <x v="4"/>
    <x v="3"/>
    <x v="1"/>
    <x v="3"/>
    <x v="1"/>
    <x v="3"/>
    <n v="12"/>
    <x v="0"/>
  </r>
  <r>
    <d v="2022-01-12T00:00:00"/>
    <x v="3"/>
    <x v="3"/>
    <x v="0"/>
    <n v="2389840737.9200001"/>
    <x v="3"/>
    <x v="3"/>
    <x v="0"/>
    <x v="6"/>
    <x v="3"/>
    <x v="1"/>
    <x v="3"/>
    <x v="1"/>
    <x v="3"/>
    <n v="12"/>
    <x v="0"/>
  </r>
  <r>
    <d v="2022-01-12T00:00:00"/>
    <x v="3"/>
    <x v="2"/>
    <x v="0"/>
    <n v="392845900.24000001"/>
    <x v="3"/>
    <x v="2"/>
    <x v="0"/>
    <x v="10"/>
    <x v="3"/>
    <x v="1"/>
    <x v="3"/>
    <x v="1"/>
    <x v="3"/>
    <n v="12"/>
    <x v="0"/>
  </r>
  <r>
    <d v="2022-01-12T00:00:00"/>
    <x v="3"/>
    <x v="1"/>
    <x v="0"/>
    <n v="13559473.35"/>
    <x v="3"/>
    <x v="1"/>
    <x v="0"/>
    <x v="11"/>
    <x v="3"/>
    <x v="1"/>
    <x v="3"/>
    <x v="1"/>
    <x v="3"/>
    <n v="12"/>
    <x v="0"/>
  </r>
  <r>
    <d v="2022-01-12T00:00:00"/>
    <x v="3"/>
    <x v="2"/>
    <x v="1"/>
    <n v="13351724781.639999"/>
    <x v="3"/>
    <x v="2"/>
    <x v="1"/>
    <x v="12"/>
    <x v="3"/>
    <x v="1"/>
    <x v="3"/>
    <x v="1"/>
    <x v="3"/>
    <n v="12"/>
    <x v="0"/>
  </r>
  <r>
    <d v="2022-01-11T00:00:00"/>
    <x v="3"/>
    <x v="2"/>
    <x v="2"/>
    <n v="361619.14"/>
    <x v="3"/>
    <x v="2"/>
    <x v="2"/>
    <x v="5"/>
    <x v="3"/>
    <x v="1"/>
    <x v="3"/>
    <x v="1"/>
    <x v="3"/>
    <n v="11"/>
    <x v="0"/>
  </r>
  <r>
    <d v="2022-01-11T00:00:00"/>
    <x v="2"/>
    <x v="1"/>
    <x v="2"/>
    <n v="54425"/>
    <x v="2"/>
    <x v="1"/>
    <x v="2"/>
    <x v="2"/>
    <x v="3"/>
    <x v="1"/>
    <x v="3"/>
    <x v="1"/>
    <x v="3"/>
    <n v="11"/>
    <x v="0"/>
  </r>
  <r>
    <d v="2022-01-11T00:00:00"/>
    <x v="2"/>
    <x v="1"/>
    <x v="0"/>
    <n v="99898123.909999996"/>
    <x v="2"/>
    <x v="1"/>
    <x v="0"/>
    <x v="6"/>
    <x v="3"/>
    <x v="1"/>
    <x v="3"/>
    <x v="1"/>
    <x v="3"/>
    <n v="11"/>
    <x v="0"/>
  </r>
  <r>
    <d v="2022-01-11T00:00:00"/>
    <x v="1"/>
    <x v="1"/>
    <x v="0"/>
    <n v="646.5"/>
    <x v="1"/>
    <x v="1"/>
    <x v="0"/>
    <x v="0"/>
    <x v="3"/>
    <x v="1"/>
    <x v="3"/>
    <x v="1"/>
    <x v="3"/>
    <n v="11"/>
    <x v="0"/>
  </r>
  <r>
    <d v="2022-01-11T00:00:00"/>
    <x v="2"/>
    <x v="1"/>
    <x v="1"/>
    <n v="186496346.05000001"/>
    <x v="2"/>
    <x v="1"/>
    <x v="1"/>
    <x v="8"/>
    <x v="3"/>
    <x v="1"/>
    <x v="3"/>
    <x v="1"/>
    <x v="3"/>
    <n v="11"/>
    <x v="0"/>
  </r>
  <r>
    <d v="2022-01-11T00:00:00"/>
    <x v="1"/>
    <x v="0"/>
    <x v="1"/>
    <n v="1738515098.02"/>
    <x v="1"/>
    <x v="0"/>
    <x v="1"/>
    <x v="9"/>
    <x v="3"/>
    <x v="1"/>
    <x v="3"/>
    <x v="1"/>
    <x v="3"/>
    <n v="11"/>
    <x v="0"/>
  </r>
  <r>
    <d v="2022-01-11T00:00:00"/>
    <x v="0"/>
    <x v="1"/>
    <x v="1"/>
    <n v="10286930.84"/>
    <x v="0"/>
    <x v="1"/>
    <x v="1"/>
    <x v="4"/>
    <x v="3"/>
    <x v="1"/>
    <x v="3"/>
    <x v="1"/>
    <x v="3"/>
    <n v="11"/>
    <x v="0"/>
  </r>
  <r>
    <d v="2022-01-11T00:00:00"/>
    <x v="1"/>
    <x v="0"/>
    <x v="0"/>
    <n v="60754596.990000002"/>
    <x v="1"/>
    <x v="0"/>
    <x v="0"/>
    <x v="10"/>
    <x v="3"/>
    <x v="1"/>
    <x v="3"/>
    <x v="1"/>
    <x v="3"/>
    <n v="11"/>
    <x v="0"/>
  </r>
  <r>
    <d v="2022-01-11T00:00:00"/>
    <x v="0"/>
    <x v="1"/>
    <x v="0"/>
    <n v="15522863.33"/>
    <x v="0"/>
    <x v="1"/>
    <x v="0"/>
    <x v="1"/>
    <x v="3"/>
    <x v="1"/>
    <x v="3"/>
    <x v="1"/>
    <x v="3"/>
    <n v="11"/>
    <x v="0"/>
  </r>
  <r>
    <d v="2022-01-11T00:00:00"/>
    <x v="3"/>
    <x v="3"/>
    <x v="1"/>
    <n v="1497268.59"/>
    <x v="3"/>
    <x v="3"/>
    <x v="1"/>
    <x v="3"/>
    <x v="3"/>
    <x v="1"/>
    <x v="3"/>
    <x v="1"/>
    <x v="3"/>
    <n v="11"/>
    <x v="0"/>
  </r>
  <r>
    <d v="2022-01-11T00:00:00"/>
    <x v="3"/>
    <x v="3"/>
    <x v="0"/>
    <n v="2210715346.1900001"/>
    <x v="3"/>
    <x v="3"/>
    <x v="0"/>
    <x v="7"/>
    <x v="3"/>
    <x v="1"/>
    <x v="3"/>
    <x v="1"/>
    <x v="3"/>
    <n v="11"/>
    <x v="0"/>
  </r>
  <r>
    <d v="2022-01-11T00:00:00"/>
    <x v="3"/>
    <x v="1"/>
    <x v="0"/>
    <n v="10158453.74"/>
    <x v="3"/>
    <x v="1"/>
    <x v="0"/>
    <x v="11"/>
    <x v="3"/>
    <x v="1"/>
    <x v="3"/>
    <x v="1"/>
    <x v="3"/>
    <n v="11"/>
    <x v="0"/>
  </r>
  <r>
    <d v="2022-01-11T00:00:00"/>
    <x v="3"/>
    <x v="2"/>
    <x v="0"/>
    <n v="499791514.02999997"/>
    <x v="3"/>
    <x v="2"/>
    <x v="0"/>
    <x v="12"/>
    <x v="3"/>
    <x v="1"/>
    <x v="3"/>
    <x v="1"/>
    <x v="3"/>
    <n v="11"/>
    <x v="0"/>
  </r>
  <r>
    <d v="2022-01-11T00:00:00"/>
    <x v="3"/>
    <x v="2"/>
    <x v="1"/>
    <n v="7095365917.6000004"/>
    <x v="3"/>
    <x v="2"/>
    <x v="1"/>
    <x v="13"/>
    <x v="3"/>
    <x v="1"/>
    <x v="3"/>
    <x v="1"/>
    <x v="3"/>
    <n v="11"/>
    <x v="0"/>
  </r>
  <r>
    <d v="2022-01-10T00:00:00"/>
    <x v="2"/>
    <x v="1"/>
    <x v="2"/>
    <n v="740"/>
    <x v="2"/>
    <x v="1"/>
    <x v="2"/>
    <x v="3"/>
    <x v="3"/>
    <x v="1"/>
    <x v="3"/>
    <x v="1"/>
    <x v="3"/>
    <n v="10"/>
    <x v="0"/>
  </r>
  <r>
    <d v="2022-01-10T00:00:00"/>
    <x v="1"/>
    <x v="1"/>
    <x v="0"/>
    <n v="809"/>
    <x v="1"/>
    <x v="1"/>
    <x v="0"/>
    <x v="1"/>
    <x v="3"/>
    <x v="1"/>
    <x v="3"/>
    <x v="1"/>
    <x v="3"/>
    <n v="10"/>
    <x v="0"/>
  </r>
  <r>
    <d v="2022-01-10T00:00:00"/>
    <x v="0"/>
    <x v="1"/>
    <x v="0"/>
    <n v="14448363.220000001"/>
    <x v="0"/>
    <x v="1"/>
    <x v="0"/>
    <x v="2"/>
    <x v="3"/>
    <x v="1"/>
    <x v="3"/>
    <x v="1"/>
    <x v="3"/>
    <n v="10"/>
    <x v="0"/>
  </r>
  <r>
    <d v="2022-01-10T00:00:00"/>
    <x v="3"/>
    <x v="3"/>
    <x v="1"/>
    <n v="548.04"/>
    <x v="3"/>
    <x v="3"/>
    <x v="1"/>
    <x v="4"/>
    <x v="3"/>
    <x v="1"/>
    <x v="3"/>
    <x v="1"/>
    <x v="3"/>
    <n v="10"/>
    <x v="0"/>
  </r>
  <r>
    <d v="2022-01-10T00:00:00"/>
    <x v="0"/>
    <x v="1"/>
    <x v="1"/>
    <n v="12435915.470000001"/>
    <x v="0"/>
    <x v="1"/>
    <x v="1"/>
    <x v="5"/>
    <x v="3"/>
    <x v="1"/>
    <x v="3"/>
    <x v="1"/>
    <x v="3"/>
    <n v="10"/>
    <x v="0"/>
  </r>
  <r>
    <d v="2022-01-10T00:00:00"/>
    <x v="1"/>
    <x v="0"/>
    <x v="1"/>
    <n v="1135492952.1600001"/>
    <x v="1"/>
    <x v="0"/>
    <x v="1"/>
    <x v="11"/>
    <x v="3"/>
    <x v="1"/>
    <x v="3"/>
    <x v="1"/>
    <x v="3"/>
    <n v="10"/>
    <x v="0"/>
  </r>
  <r>
    <d v="2022-01-10T00:00:00"/>
    <x v="3"/>
    <x v="2"/>
    <x v="2"/>
    <n v="197631"/>
    <x v="3"/>
    <x v="2"/>
    <x v="2"/>
    <x v="6"/>
    <x v="3"/>
    <x v="1"/>
    <x v="3"/>
    <x v="1"/>
    <x v="3"/>
    <n v="10"/>
    <x v="0"/>
  </r>
  <r>
    <d v="2022-01-10T00:00:00"/>
    <x v="0"/>
    <x v="0"/>
    <x v="0"/>
    <n v="20"/>
    <x v="0"/>
    <x v="0"/>
    <x v="0"/>
    <x v="0"/>
    <x v="3"/>
    <x v="1"/>
    <x v="3"/>
    <x v="1"/>
    <x v="3"/>
    <n v="10"/>
    <x v="0"/>
  </r>
  <r>
    <d v="2022-01-10T00:00:00"/>
    <x v="2"/>
    <x v="1"/>
    <x v="1"/>
    <n v="400467494.08999997"/>
    <x v="2"/>
    <x v="1"/>
    <x v="1"/>
    <x v="9"/>
    <x v="3"/>
    <x v="1"/>
    <x v="3"/>
    <x v="1"/>
    <x v="3"/>
    <n v="10"/>
    <x v="0"/>
  </r>
  <r>
    <d v="2022-01-10T00:00:00"/>
    <x v="2"/>
    <x v="1"/>
    <x v="0"/>
    <n v="67617345.560000002"/>
    <x v="2"/>
    <x v="1"/>
    <x v="0"/>
    <x v="7"/>
    <x v="3"/>
    <x v="1"/>
    <x v="3"/>
    <x v="1"/>
    <x v="3"/>
    <n v="10"/>
    <x v="0"/>
  </r>
  <r>
    <d v="2022-01-10T00:00:00"/>
    <x v="1"/>
    <x v="0"/>
    <x v="0"/>
    <n v="48911995.030000001"/>
    <x v="1"/>
    <x v="0"/>
    <x v="0"/>
    <x v="10"/>
    <x v="3"/>
    <x v="1"/>
    <x v="3"/>
    <x v="1"/>
    <x v="3"/>
    <n v="10"/>
    <x v="0"/>
  </r>
  <r>
    <d v="2022-01-10T00:00:00"/>
    <x v="3"/>
    <x v="3"/>
    <x v="0"/>
    <n v="1842030579.9000001"/>
    <x v="3"/>
    <x v="3"/>
    <x v="0"/>
    <x v="8"/>
    <x v="3"/>
    <x v="1"/>
    <x v="3"/>
    <x v="1"/>
    <x v="3"/>
    <n v="10"/>
    <x v="0"/>
  </r>
  <r>
    <d v="2022-01-10T00:00:00"/>
    <x v="3"/>
    <x v="2"/>
    <x v="0"/>
    <n v="516650227.05000001"/>
    <x v="3"/>
    <x v="2"/>
    <x v="0"/>
    <x v="12"/>
    <x v="3"/>
    <x v="1"/>
    <x v="3"/>
    <x v="1"/>
    <x v="3"/>
    <n v="10"/>
    <x v="0"/>
  </r>
  <r>
    <d v="2022-01-10T00:00:00"/>
    <x v="3"/>
    <x v="2"/>
    <x v="1"/>
    <n v="25186605913.150002"/>
    <x v="3"/>
    <x v="2"/>
    <x v="1"/>
    <x v="13"/>
    <x v="3"/>
    <x v="1"/>
    <x v="3"/>
    <x v="1"/>
    <x v="3"/>
    <n v="10"/>
    <x v="0"/>
  </r>
  <r>
    <d v="2022-01-10T00:00:00"/>
    <x v="3"/>
    <x v="1"/>
    <x v="0"/>
    <n v="40524042.409999996"/>
    <x v="3"/>
    <x v="1"/>
    <x v="0"/>
    <x v="14"/>
    <x v="3"/>
    <x v="1"/>
    <x v="3"/>
    <x v="1"/>
    <x v="3"/>
    <n v="10"/>
    <x v="0"/>
  </r>
  <r>
    <d v="2022-01-07T00:00:00"/>
    <x v="2"/>
    <x v="1"/>
    <x v="0"/>
    <n v="110600612.56999999"/>
    <x v="2"/>
    <x v="1"/>
    <x v="0"/>
    <x v="6"/>
    <x v="3"/>
    <x v="1"/>
    <x v="3"/>
    <x v="1"/>
    <x v="3"/>
    <n v="7"/>
    <x v="0"/>
  </r>
  <r>
    <d v="2022-01-07T00:00:00"/>
    <x v="2"/>
    <x v="1"/>
    <x v="2"/>
    <n v="13014.14"/>
    <x v="2"/>
    <x v="1"/>
    <x v="2"/>
    <x v="4"/>
    <x v="3"/>
    <x v="1"/>
    <x v="3"/>
    <x v="1"/>
    <x v="3"/>
    <n v="7"/>
    <x v="0"/>
  </r>
  <r>
    <d v="2022-01-07T00:00:00"/>
    <x v="1"/>
    <x v="1"/>
    <x v="0"/>
    <n v="745"/>
    <x v="1"/>
    <x v="1"/>
    <x v="0"/>
    <x v="0"/>
    <x v="3"/>
    <x v="1"/>
    <x v="3"/>
    <x v="1"/>
    <x v="3"/>
    <n v="7"/>
    <x v="0"/>
  </r>
  <r>
    <d v="2022-01-07T00:00:00"/>
    <x v="0"/>
    <x v="1"/>
    <x v="0"/>
    <n v="8050696.2999999998"/>
    <x v="0"/>
    <x v="1"/>
    <x v="0"/>
    <x v="1"/>
    <x v="3"/>
    <x v="1"/>
    <x v="3"/>
    <x v="1"/>
    <x v="3"/>
    <n v="7"/>
    <x v="0"/>
  </r>
  <r>
    <d v="2022-01-07T00:00:00"/>
    <x v="2"/>
    <x v="1"/>
    <x v="1"/>
    <n v="270621023"/>
    <x v="2"/>
    <x v="1"/>
    <x v="1"/>
    <x v="8"/>
    <x v="3"/>
    <x v="1"/>
    <x v="3"/>
    <x v="1"/>
    <x v="3"/>
    <n v="7"/>
    <x v="0"/>
  </r>
  <r>
    <d v="2022-01-07T00:00:00"/>
    <x v="0"/>
    <x v="1"/>
    <x v="1"/>
    <n v="5241877.43"/>
    <x v="0"/>
    <x v="1"/>
    <x v="1"/>
    <x v="3"/>
    <x v="3"/>
    <x v="1"/>
    <x v="3"/>
    <x v="1"/>
    <x v="3"/>
    <n v="7"/>
    <x v="0"/>
  </r>
  <r>
    <d v="2022-01-07T00:00:00"/>
    <x v="1"/>
    <x v="0"/>
    <x v="0"/>
    <n v="90827879.200000003"/>
    <x v="1"/>
    <x v="0"/>
    <x v="0"/>
    <x v="9"/>
    <x v="3"/>
    <x v="1"/>
    <x v="3"/>
    <x v="1"/>
    <x v="3"/>
    <n v="7"/>
    <x v="0"/>
  </r>
  <r>
    <d v="2022-01-07T00:00:00"/>
    <x v="3"/>
    <x v="2"/>
    <x v="2"/>
    <n v="512049.09"/>
    <x v="3"/>
    <x v="2"/>
    <x v="2"/>
    <x v="5"/>
    <x v="3"/>
    <x v="1"/>
    <x v="3"/>
    <x v="1"/>
    <x v="3"/>
    <n v="7"/>
    <x v="0"/>
  </r>
  <r>
    <d v="2022-01-07T00:00:00"/>
    <x v="1"/>
    <x v="0"/>
    <x v="1"/>
    <n v="558969527.80999994"/>
    <x v="1"/>
    <x v="0"/>
    <x v="1"/>
    <x v="10"/>
    <x v="3"/>
    <x v="1"/>
    <x v="3"/>
    <x v="1"/>
    <x v="3"/>
    <n v="7"/>
    <x v="0"/>
  </r>
  <r>
    <d v="2022-01-07T00:00:00"/>
    <x v="3"/>
    <x v="3"/>
    <x v="1"/>
    <n v="1527272.06"/>
    <x v="3"/>
    <x v="3"/>
    <x v="1"/>
    <x v="2"/>
    <x v="3"/>
    <x v="1"/>
    <x v="3"/>
    <x v="1"/>
    <x v="3"/>
    <n v="7"/>
    <x v="0"/>
  </r>
  <r>
    <d v="2022-01-07T00:00:00"/>
    <x v="3"/>
    <x v="3"/>
    <x v="0"/>
    <n v="1391841276.9200001"/>
    <x v="3"/>
    <x v="3"/>
    <x v="0"/>
    <x v="7"/>
    <x v="3"/>
    <x v="1"/>
    <x v="3"/>
    <x v="1"/>
    <x v="3"/>
    <n v="7"/>
    <x v="0"/>
  </r>
  <r>
    <d v="2022-01-07T00:00:00"/>
    <x v="3"/>
    <x v="2"/>
    <x v="0"/>
    <n v="566447284.70000005"/>
    <x v="3"/>
    <x v="2"/>
    <x v="0"/>
    <x v="11"/>
    <x v="3"/>
    <x v="1"/>
    <x v="3"/>
    <x v="1"/>
    <x v="3"/>
    <n v="7"/>
    <x v="0"/>
  </r>
  <r>
    <d v="2022-01-07T00:00:00"/>
    <x v="3"/>
    <x v="1"/>
    <x v="0"/>
    <n v="14643824.32"/>
    <x v="3"/>
    <x v="1"/>
    <x v="0"/>
    <x v="12"/>
    <x v="3"/>
    <x v="1"/>
    <x v="3"/>
    <x v="1"/>
    <x v="3"/>
    <n v="7"/>
    <x v="0"/>
  </r>
  <r>
    <d v="2022-01-07T00:00:00"/>
    <x v="3"/>
    <x v="2"/>
    <x v="1"/>
    <n v="11039352112.620001"/>
    <x v="3"/>
    <x v="2"/>
    <x v="1"/>
    <x v="13"/>
    <x v="3"/>
    <x v="1"/>
    <x v="3"/>
    <x v="1"/>
    <x v="3"/>
    <n v="7"/>
    <x v="0"/>
  </r>
  <r>
    <d v="2022-01-06T00:00:00"/>
    <x v="3"/>
    <x v="2"/>
    <x v="2"/>
    <n v="340458.61"/>
    <x v="3"/>
    <x v="2"/>
    <x v="2"/>
    <x v="4"/>
    <x v="3"/>
    <x v="1"/>
    <x v="3"/>
    <x v="1"/>
    <x v="3"/>
    <n v="6"/>
    <x v="0"/>
  </r>
  <r>
    <d v="2022-01-06T00:00:00"/>
    <x v="2"/>
    <x v="1"/>
    <x v="2"/>
    <n v="101080"/>
    <x v="2"/>
    <x v="1"/>
    <x v="2"/>
    <x v="1"/>
    <x v="3"/>
    <x v="1"/>
    <x v="3"/>
    <x v="1"/>
    <x v="3"/>
    <n v="6"/>
    <x v="0"/>
  </r>
  <r>
    <d v="2022-01-06T00:00:00"/>
    <x v="0"/>
    <x v="1"/>
    <x v="0"/>
    <n v="24876333.469999999"/>
    <x v="0"/>
    <x v="1"/>
    <x v="0"/>
    <x v="0"/>
    <x v="3"/>
    <x v="1"/>
    <x v="3"/>
    <x v="1"/>
    <x v="3"/>
    <n v="6"/>
    <x v="0"/>
  </r>
  <r>
    <d v="2022-01-06T00:00:00"/>
    <x v="0"/>
    <x v="1"/>
    <x v="1"/>
    <n v="18656594.5"/>
    <x v="0"/>
    <x v="1"/>
    <x v="1"/>
    <x v="3"/>
    <x v="3"/>
    <x v="1"/>
    <x v="3"/>
    <x v="1"/>
    <x v="3"/>
    <n v="6"/>
    <x v="0"/>
  </r>
  <r>
    <d v="2022-01-06T00:00:00"/>
    <x v="3"/>
    <x v="3"/>
    <x v="0"/>
    <n v="1557255397.27"/>
    <x v="3"/>
    <x v="3"/>
    <x v="0"/>
    <x v="9"/>
    <x v="3"/>
    <x v="1"/>
    <x v="3"/>
    <x v="1"/>
    <x v="3"/>
    <n v="6"/>
    <x v="0"/>
  </r>
  <r>
    <d v="2022-01-06T00:00:00"/>
    <x v="2"/>
    <x v="1"/>
    <x v="0"/>
    <n v="114150882.04000001"/>
    <x v="2"/>
    <x v="1"/>
    <x v="0"/>
    <x v="5"/>
    <x v="3"/>
    <x v="1"/>
    <x v="3"/>
    <x v="1"/>
    <x v="3"/>
    <n v="6"/>
    <x v="0"/>
  </r>
  <r>
    <d v="2022-01-06T00:00:00"/>
    <x v="3"/>
    <x v="3"/>
    <x v="1"/>
    <n v="3452.94"/>
    <x v="3"/>
    <x v="3"/>
    <x v="1"/>
    <x v="2"/>
    <x v="3"/>
    <x v="1"/>
    <x v="3"/>
    <x v="1"/>
    <x v="3"/>
    <n v="6"/>
    <x v="0"/>
  </r>
  <r>
    <d v="2022-01-06T00:00:00"/>
    <x v="2"/>
    <x v="1"/>
    <x v="1"/>
    <n v="327643525.31999999"/>
    <x v="2"/>
    <x v="1"/>
    <x v="1"/>
    <x v="6"/>
    <x v="3"/>
    <x v="1"/>
    <x v="3"/>
    <x v="1"/>
    <x v="3"/>
    <n v="6"/>
    <x v="0"/>
  </r>
  <r>
    <d v="2022-01-06T00:00:00"/>
    <x v="1"/>
    <x v="0"/>
    <x v="0"/>
    <n v="75994925.689999998"/>
    <x v="1"/>
    <x v="0"/>
    <x v="0"/>
    <x v="7"/>
    <x v="3"/>
    <x v="1"/>
    <x v="3"/>
    <x v="1"/>
    <x v="3"/>
    <n v="6"/>
    <x v="0"/>
  </r>
  <r>
    <d v="2022-01-06T00:00:00"/>
    <x v="1"/>
    <x v="0"/>
    <x v="1"/>
    <n v="816237884.98000002"/>
    <x v="1"/>
    <x v="0"/>
    <x v="1"/>
    <x v="8"/>
    <x v="3"/>
    <x v="1"/>
    <x v="3"/>
    <x v="1"/>
    <x v="3"/>
    <n v="6"/>
    <x v="0"/>
  </r>
  <r>
    <d v="2022-01-06T00:00:00"/>
    <x v="3"/>
    <x v="1"/>
    <x v="0"/>
    <n v="14040204.199999999"/>
    <x v="3"/>
    <x v="1"/>
    <x v="0"/>
    <x v="10"/>
    <x v="3"/>
    <x v="1"/>
    <x v="3"/>
    <x v="1"/>
    <x v="3"/>
    <n v="6"/>
    <x v="0"/>
  </r>
  <r>
    <d v="2022-01-06T00:00:00"/>
    <x v="3"/>
    <x v="2"/>
    <x v="0"/>
    <n v="565350133.13"/>
    <x v="3"/>
    <x v="2"/>
    <x v="0"/>
    <x v="11"/>
    <x v="3"/>
    <x v="1"/>
    <x v="3"/>
    <x v="1"/>
    <x v="3"/>
    <n v="6"/>
    <x v="0"/>
  </r>
  <r>
    <d v="2022-01-06T00:00:00"/>
    <x v="3"/>
    <x v="2"/>
    <x v="1"/>
    <n v="5325371108.7399998"/>
    <x v="3"/>
    <x v="2"/>
    <x v="1"/>
    <x v="12"/>
    <x v="3"/>
    <x v="1"/>
    <x v="3"/>
    <x v="1"/>
    <x v="3"/>
    <n v="6"/>
    <x v="0"/>
  </r>
  <r>
    <d v="2022-01-05T00:00:00"/>
    <x v="2"/>
    <x v="1"/>
    <x v="0"/>
    <n v="124846057.59999999"/>
    <x v="2"/>
    <x v="1"/>
    <x v="0"/>
    <x v="6"/>
    <x v="3"/>
    <x v="1"/>
    <x v="3"/>
    <x v="1"/>
    <x v="3"/>
    <n v="5"/>
    <x v="0"/>
  </r>
  <r>
    <d v="2022-01-05T00:00:00"/>
    <x v="2"/>
    <x v="1"/>
    <x v="2"/>
    <n v="133360.64000000001"/>
    <x v="2"/>
    <x v="1"/>
    <x v="2"/>
    <x v="3"/>
    <x v="3"/>
    <x v="1"/>
    <x v="3"/>
    <x v="1"/>
    <x v="3"/>
    <n v="5"/>
    <x v="0"/>
  </r>
  <r>
    <d v="2022-01-05T00:00:00"/>
    <x v="0"/>
    <x v="0"/>
    <x v="0"/>
    <n v="-1648.1"/>
    <x v="0"/>
    <x v="0"/>
    <x v="0"/>
    <x v="0"/>
    <x v="3"/>
    <x v="1"/>
    <x v="3"/>
    <x v="1"/>
    <x v="3"/>
    <n v="5"/>
    <x v="1"/>
  </r>
  <r>
    <d v="2022-01-05T00:00:00"/>
    <x v="1"/>
    <x v="1"/>
    <x v="0"/>
    <n v="654.9"/>
    <x v="1"/>
    <x v="1"/>
    <x v="0"/>
    <x v="1"/>
    <x v="3"/>
    <x v="1"/>
    <x v="3"/>
    <x v="1"/>
    <x v="3"/>
    <n v="5"/>
    <x v="0"/>
  </r>
  <r>
    <d v="2022-01-05T00:00:00"/>
    <x v="0"/>
    <x v="1"/>
    <x v="0"/>
    <n v="9073557.9199999999"/>
    <x v="0"/>
    <x v="1"/>
    <x v="0"/>
    <x v="2"/>
    <x v="3"/>
    <x v="1"/>
    <x v="3"/>
    <x v="1"/>
    <x v="3"/>
    <n v="5"/>
    <x v="0"/>
  </r>
  <r>
    <d v="2022-01-05T00:00:00"/>
    <x v="0"/>
    <x v="1"/>
    <x v="1"/>
    <n v="14222268.380000001"/>
    <x v="0"/>
    <x v="1"/>
    <x v="1"/>
    <x v="4"/>
    <x v="3"/>
    <x v="1"/>
    <x v="3"/>
    <x v="1"/>
    <x v="3"/>
    <n v="5"/>
    <x v="0"/>
  </r>
  <r>
    <d v="2022-01-05T00:00:00"/>
    <x v="1"/>
    <x v="0"/>
    <x v="1"/>
    <n v="2754792930.0300002"/>
    <x v="1"/>
    <x v="0"/>
    <x v="1"/>
    <x v="10"/>
    <x v="3"/>
    <x v="1"/>
    <x v="3"/>
    <x v="1"/>
    <x v="3"/>
    <n v="5"/>
    <x v="0"/>
  </r>
  <r>
    <d v="2022-01-05T00:00:00"/>
    <x v="3"/>
    <x v="2"/>
    <x v="2"/>
    <n v="411892.97"/>
    <x v="3"/>
    <x v="2"/>
    <x v="2"/>
    <x v="5"/>
    <x v="3"/>
    <x v="1"/>
    <x v="3"/>
    <x v="1"/>
    <x v="3"/>
    <n v="5"/>
    <x v="0"/>
  </r>
  <r>
    <d v="2022-01-05T00:00:00"/>
    <x v="1"/>
    <x v="0"/>
    <x v="0"/>
    <n v="98882028.909999996"/>
    <x v="1"/>
    <x v="0"/>
    <x v="0"/>
    <x v="8"/>
    <x v="3"/>
    <x v="1"/>
    <x v="3"/>
    <x v="1"/>
    <x v="3"/>
    <n v="5"/>
    <x v="0"/>
  </r>
  <r>
    <d v="2022-01-05T00:00:00"/>
    <x v="3"/>
    <x v="3"/>
    <x v="0"/>
    <n v="3513461533.6199999"/>
    <x v="3"/>
    <x v="3"/>
    <x v="0"/>
    <x v="9"/>
    <x v="3"/>
    <x v="1"/>
    <x v="3"/>
    <x v="1"/>
    <x v="3"/>
    <n v="5"/>
    <x v="0"/>
  </r>
  <r>
    <d v="2022-01-05T00:00:00"/>
    <x v="2"/>
    <x v="1"/>
    <x v="1"/>
    <n v="651230756.51999998"/>
    <x v="2"/>
    <x v="1"/>
    <x v="1"/>
    <x v="7"/>
    <x v="3"/>
    <x v="1"/>
    <x v="3"/>
    <x v="1"/>
    <x v="3"/>
    <n v="5"/>
    <x v="0"/>
  </r>
  <r>
    <d v="2022-01-05T00:00:00"/>
    <x v="3"/>
    <x v="1"/>
    <x v="0"/>
    <n v="13388718.810000001"/>
    <x v="3"/>
    <x v="1"/>
    <x v="0"/>
    <x v="11"/>
    <x v="3"/>
    <x v="1"/>
    <x v="3"/>
    <x v="1"/>
    <x v="3"/>
    <n v="5"/>
    <x v="0"/>
  </r>
  <r>
    <d v="2022-01-05T00:00:00"/>
    <x v="3"/>
    <x v="2"/>
    <x v="0"/>
    <n v="435219678.69"/>
    <x v="3"/>
    <x v="2"/>
    <x v="0"/>
    <x v="12"/>
    <x v="3"/>
    <x v="1"/>
    <x v="3"/>
    <x v="1"/>
    <x v="3"/>
    <n v="5"/>
    <x v="0"/>
  </r>
  <r>
    <d v="2022-01-05T00:00:00"/>
    <x v="3"/>
    <x v="2"/>
    <x v="1"/>
    <n v="15767594573.6"/>
    <x v="3"/>
    <x v="2"/>
    <x v="1"/>
    <x v="13"/>
    <x v="3"/>
    <x v="1"/>
    <x v="3"/>
    <x v="1"/>
    <x v="3"/>
    <n v="5"/>
    <x v="0"/>
  </r>
  <r>
    <d v="2022-01-04T00:00:00"/>
    <x v="2"/>
    <x v="1"/>
    <x v="0"/>
    <n v="133154918.8"/>
    <x v="2"/>
    <x v="1"/>
    <x v="0"/>
    <x v="5"/>
    <x v="3"/>
    <x v="1"/>
    <x v="3"/>
    <x v="1"/>
    <x v="3"/>
    <n v="4"/>
    <x v="0"/>
  </r>
  <r>
    <d v="2022-01-04T00:00:00"/>
    <x v="2"/>
    <x v="1"/>
    <x v="2"/>
    <n v="16215"/>
    <x v="2"/>
    <x v="1"/>
    <x v="2"/>
    <x v="2"/>
    <x v="3"/>
    <x v="1"/>
    <x v="3"/>
    <x v="1"/>
    <x v="3"/>
    <n v="4"/>
    <x v="0"/>
  </r>
  <r>
    <d v="2022-01-04T00:00:00"/>
    <x v="0"/>
    <x v="1"/>
    <x v="0"/>
    <n v="4837434.32"/>
    <x v="0"/>
    <x v="1"/>
    <x v="0"/>
    <x v="1"/>
    <x v="3"/>
    <x v="1"/>
    <x v="3"/>
    <x v="1"/>
    <x v="3"/>
    <n v="4"/>
    <x v="0"/>
  </r>
  <r>
    <d v="2022-01-04T00:00:00"/>
    <x v="3"/>
    <x v="2"/>
    <x v="2"/>
    <n v="1204182"/>
    <x v="3"/>
    <x v="2"/>
    <x v="2"/>
    <x v="4"/>
    <x v="3"/>
    <x v="1"/>
    <x v="3"/>
    <x v="1"/>
    <x v="3"/>
    <n v="4"/>
    <x v="0"/>
  </r>
  <r>
    <d v="2022-01-04T00:00:00"/>
    <x v="0"/>
    <x v="1"/>
    <x v="1"/>
    <n v="2099051.56"/>
    <x v="0"/>
    <x v="1"/>
    <x v="1"/>
    <x v="3"/>
    <x v="3"/>
    <x v="1"/>
    <x v="3"/>
    <x v="1"/>
    <x v="3"/>
    <n v="4"/>
    <x v="0"/>
  </r>
  <r>
    <d v="2022-01-04T00:00:00"/>
    <x v="2"/>
    <x v="1"/>
    <x v="1"/>
    <n v="432172577.68000001"/>
    <x v="2"/>
    <x v="1"/>
    <x v="1"/>
    <x v="6"/>
    <x v="3"/>
    <x v="1"/>
    <x v="3"/>
    <x v="1"/>
    <x v="3"/>
    <n v="4"/>
    <x v="0"/>
  </r>
  <r>
    <d v="2022-01-04T00:00:00"/>
    <x v="1"/>
    <x v="1"/>
    <x v="0"/>
    <n v="338"/>
    <x v="1"/>
    <x v="1"/>
    <x v="0"/>
    <x v="0"/>
    <x v="3"/>
    <x v="1"/>
    <x v="3"/>
    <x v="1"/>
    <x v="3"/>
    <n v="4"/>
    <x v="0"/>
  </r>
  <r>
    <d v="2022-01-04T00:00:00"/>
    <x v="1"/>
    <x v="0"/>
    <x v="1"/>
    <n v="902049801.79999995"/>
    <x v="1"/>
    <x v="0"/>
    <x v="1"/>
    <x v="7"/>
    <x v="3"/>
    <x v="1"/>
    <x v="3"/>
    <x v="1"/>
    <x v="3"/>
    <n v="4"/>
    <x v="0"/>
  </r>
  <r>
    <d v="2022-01-04T00:00:00"/>
    <x v="3"/>
    <x v="3"/>
    <x v="0"/>
    <n v="3086265004.02"/>
    <x v="3"/>
    <x v="3"/>
    <x v="0"/>
    <x v="9"/>
    <x v="3"/>
    <x v="1"/>
    <x v="3"/>
    <x v="1"/>
    <x v="3"/>
    <n v="4"/>
    <x v="0"/>
  </r>
  <r>
    <d v="2022-01-04T00:00:00"/>
    <x v="1"/>
    <x v="0"/>
    <x v="0"/>
    <n v="60274655.259999998"/>
    <x v="1"/>
    <x v="0"/>
    <x v="0"/>
    <x v="8"/>
    <x v="3"/>
    <x v="1"/>
    <x v="3"/>
    <x v="1"/>
    <x v="3"/>
    <n v="4"/>
    <x v="0"/>
  </r>
  <r>
    <d v="2022-01-04T00:00:00"/>
    <x v="3"/>
    <x v="1"/>
    <x v="0"/>
    <n v="9476714.7300000004"/>
    <x v="3"/>
    <x v="1"/>
    <x v="0"/>
    <x v="10"/>
    <x v="3"/>
    <x v="1"/>
    <x v="3"/>
    <x v="1"/>
    <x v="3"/>
    <n v="4"/>
    <x v="0"/>
  </r>
  <r>
    <d v="2022-01-04T00:00:00"/>
    <x v="3"/>
    <x v="2"/>
    <x v="0"/>
    <n v="490489531.19"/>
    <x v="3"/>
    <x v="2"/>
    <x v="0"/>
    <x v="11"/>
    <x v="3"/>
    <x v="1"/>
    <x v="3"/>
    <x v="1"/>
    <x v="3"/>
    <n v="4"/>
    <x v="0"/>
  </r>
  <r>
    <d v="2022-01-04T00:00:00"/>
    <x v="3"/>
    <x v="2"/>
    <x v="1"/>
    <n v="6631058069.8999996"/>
    <x v="3"/>
    <x v="2"/>
    <x v="1"/>
    <x v="12"/>
    <x v="3"/>
    <x v="1"/>
    <x v="3"/>
    <x v="1"/>
    <x v="3"/>
    <n v="4"/>
    <x v="0"/>
  </r>
  <r>
    <d v="2022-01-03T00:00:00"/>
    <x v="0"/>
    <x v="1"/>
    <x v="0"/>
    <n v="7465658.6600000001"/>
    <x v="0"/>
    <x v="1"/>
    <x v="0"/>
    <x v="0"/>
    <x v="3"/>
    <x v="1"/>
    <x v="3"/>
    <x v="1"/>
    <x v="3"/>
    <n v="3"/>
    <x v="0"/>
  </r>
  <r>
    <d v="2022-01-03T00:00:00"/>
    <x v="2"/>
    <x v="1"/>
    <x v="0"/>
    <n v="694690.27"/>
    <x v="2"/>
    <x v="1"/>
    <x v="0"/>
    <x v="4"/>
    <x v="3"/>
    <x v="1"/>
    <x v="3"/>
    <x v="1"/>
    <x v="3"/>
    <n v="3"/>
    <x v="0"/>
  </r>
  <r>
    <d v="2022-01-03T00:00:00"/>
    <x v="2"/>
    <x v="1"/>
    <x v="1"/>
    <n v="-851255.27"/>
    <x v="2"/>
    <x v="1"/>
    <x v="1"/>
    <x v="5"/>
    <x v="3"/>
    <x v="1"/>
    <x v="3"/>
    <x v="1"/>
    <x v="3"/>
    <n v="3"/>
    <x v="1"/>
  </r>
  <r>
    <d v="2022-01-03T00:00:00"/>
    <x v="0"/>
    <x v="1"/>
    <x v="1"/>
    <n v="182501.54"/>
    <x v="0"/>
    <x v="1"/>
    <x v="1"/>
    <x v="1"/>
    <x v="3"/>
    <x v="1"/>
    <x v="3"/>
    <x v="1"/>
    <x v="3"/>
    <n v="3"/>
    <x v="0"/>
  </r>
  <r>
    <d v="2022-01-03T00:00:00"/>
    <x v="1"/>
    <x v="0"/>
    <x v="0"/>
    <n v="10759219.33"/>
    <x v="1"/>
    <x v="0"/>
    <x v="0"/>
    <x v="7"/>
    <x v="3"/>
    <x v="1"/>
    <x v="3"/>
    <x v="1"/>
    <x v="3"/>
    <n v="3"/>
    <x v="0"/>
  </r>
  <r>
    <d v="2022-01-03T00:00:00"/>
    <x v="3"/>
    <x v="2"/>
    <x v="2"/>
    <n v="139683"/>
    <x v="3"/>
    <x v="2"/>
    <x v="2"/>
    <x v="2"/>
    <x v="3"/>
    <x v="1"/>
    <x v="3"/>
    <x v="1"/>
    <x v="3"/>
    <n v="3"/>
    <x v="0"/>
  </r>
  <r>
    <d v="2022-01-03T00:00:00"/>
    <x v="1"/>
    <x v="0"/>
    <x v="1"/>
    <n v="540801081.86000001"/>
    <x v="1"/>
    <x v="0"/>
    <x v="1"/>
    <x v="6"/>
    <x v="3"/>
    <x v="1"/>
    <x v="3"/>
    <x v="1"/>
    <x v="3"/>
    <n v="3"/>
    <x v="0"/>
  </r>
  <r>
    <d v="2022-01-03T00:00:00"/>
    <x v="3"/>
    <x v="3"/>
    <x v="0"/>
    <n v="4953109861.4499998"/>
    <x v="3"/>
    <x v="3"/>
    <x v="0"/>
    <x v="3"/>
    <x v="3"/>
    <x v="1"/>
    <x v="3"/>
    <x v="1"/>
    <x v="3"/>
    <n v="3"/>
    <x v="0"/>
  </r>
  <r>
    <d v="2022-01-03T00:00:00"/>
    <x v="3"/>
    <x v="2"/>
    <x v="0"/>
    <n v="748808663.51999998"/>
    <x v="3"/>
    <x v="2"/>
    <x v="0"/>
    <x v="8"/>
    <x v="3"/>
    <x v="1"/>
    <x v="3"/>
    <x v="1"/>
    <x v="3"/>
    <n v="3"/>
    <x v="0"/>
  </r>
  <r>
    <d v="2022-01-03T00:00:00"/>
    <x v="3"/>
    <x v="2"/>
    <x v="1"/>
    <n v="53284942633.32"/>
    <x v="3"/>
    <x v="2"/>
    <x v="1"/>
    <x v="9"/>
    <x v="3"/>
    <x v="1"/>
    <x v="3"/>
    <x v="1"/>
    <x v="3"/>
    <n v="3"/>
    <x v="0"/>
  </r>
  <r>
    <d v="2022-01-03T00:00:00"/>
    <x v="3"/>
    <x v="1"/>
    <x v="0"/>
    <n v="29382459.07"/>
    <x v="3"/>
    <x v="1"/>
    <x v="0"/>
    <x v="10"/>
    <x v="3"/>
    <x v="1"/>
    <x v="3"/>
    <x v="1"/>
    <x v="3"/>
    <n v="3"/>
    <x v="0"/>
  </r>
  <r>
    <d v="2021-12-31T00:00:00"/>
    <x v="0"/>
    <x v="1"/>
    <x v="0"/>
    <n v="6241692.0999999996"/>
    <x v="0"/>
    <x v="1"/>
    <x v="0"/>
    <x v="1"/>
    <x v="3"/>
    <x v="2"/>
    <x v="4"/>
    <x v="2"/>
    <x v="4"/>
    <n v="31"/>
    <x v="0"/>
  </r>
  <r>
    <d v="2021-12-31T00:00:00"/>
    <x v="1"/>
    <x v="1"/>
    <x v="0"/>
    <n v="934"/>
    <x v="1"/>
    <x v="1"/>
    <x v="0"/>
    <x v="0"/>
    <x v="3"/>
    <x v="2"/>
    <x v="4"/>
    <x v="2"/>
    <x v="4"/>
    <n v="31"/>
    <x v="0"/>
  </r>
  <r>
    <d v="2021-12-31T00:00:00"/>
    <x v="2"/>
    <x v="1"/>
    <x v="0"/>
    <n v="136652986.90000001"/>
    <x v="2"/>
    <x v="1"/>
    <x v="0"/>
    <x v="5"/>
    <x v="3"/>
    <x v="2"/>
    <x v="4"/>
    <x v="2"/>
    <x v="4"/>
    <n v="31"/>
    <x v="0"/>
  </r>
  <r>
    <d v="2021-12-31T00:00:00"/>
    <x v="2"/>
    <x v="1"/>
    <x v="2"/>
    <n v="33931.839999999997"/>
    <x v="2"/>
    <x v="1"/>
    <x v="2"/>
    <x v="2"/>
    <x v="3"/>
    <x v="2"/>
    <x v="4"/>
    <x v="2"/>
    <x v="4"/>
    <n v="31"/>
    <x v="0"/>
  </r>
  <r>
    <d v="2021-12-31T00:00:00"/>
    <x v="3"/>
    <x v="3"/>
    <x v="0"/>
    <n v="2227443697.0300002"/>
    <x v="3"/>
    <x v="3"/>
    <x v="0"/>
    <x v="6"/>
    <x v="3"/>
    <x v="2"/>
    <x v="4"/>
    <x v="2"/>
    <x v="4"/>
    <n v="31"/>
    <x v="0"/>
  </r>
  <r>
    <d v="2021-12-31T00:00:00"/>
    <x v="2"/>
    <x v="1"/>
    <x v="1"/>
    <n v="281893558.72000003"/>
    <x v="2"/>
    <x v="1"/>
    <x v="1"/>
    <x v="7"/>
    <x v="3"/>
    <x v="2"/>
    <x v="4"/>
    <x v="2"/>
    <x v="4"/>
    <n v="31"/>
    <x v="0"/>
  </r>
  <r>
    <d v="2021-12-31T00:00:00"/>
    <x v="0"/>
    <x v="1"/>
    <x v="1"/>
    <n v="475898.92"/>
    <x v="0"/>
    <x v="1"/>
    <x v="1"/>
    <x v="3"/>
    <x v="3"/>
    <x v="2"/>
    <x v="4"/>
    <x v="2"/>
    <x v="4"/>
    <n v="31"/>
    <x v="0"/>
  </r>
  <r>
    <d v="2021-12-31T00:00:00"/>
    <x v="1"/>
    <x v="0"/>
    <x v="0"/>
    <n v="94489139.340000004"/>
    <x v="1"/>
    <x v="0"/>
    <x v="0"/>
    <x v="8"/>
    <x v="3"/>
    <x v="2"/>
    <x v="4"/>
    <x v="2"/>
    <x v="4"/>
    <n v="31"/>
    <x v="0"/>
  </r>
  <r>
    <d v="2021-12-31T00:00:00"/>
    <x v="1"/>
    <x v="0"/>
    <x v="1"/>
    <n v="190602660.94"/>
    <x v="1"/>
    <x v="0"/>
    <x v="1"/>
    <x v="9"/>
    <x v="3"/>
    <x v="2"/>
    <x v="4"/>
    <x v="2"/>
    <x v="4"/>
    <n v="31"/>
    <x v="0"/>
  </r>
  <r>
    <d v="2021-12-31T00:00:00"/>
    <x v="3"/>
    <x v="2"/>
    <x v="2"/>
    <n v="558259"/>
    <x v="3"/>
    <x v="2"/>
    <x v="2"/>
    <x v="4"/>
    <x v="3"/>
    <x v="2"/>
    <x v="4"/>
    <x v="2"/>
    <x v="4"/>
    <n v="31"/>
    <x v="0"/>
  </r>
  <r>
    <d v="2021-12-31T00:00:00"/>
    <x v="3"/>
    <x v="2"/>
    <x v="0"/>
    <n v="646991644.46000004"/>
    <x v="3"/>
    <x v="2"/>
    <x v="0"/>
    <x v="10"/>
    <x v="3"/>
    <x v="2"/>
    <x v="4"/>
    <x v="2"/>
    <x v="4"/>
    <n v="31"/>
    <x v="0"/>
  </r>
  <r>
    <d v="2021-12-31T00:00:00"/>
    <x v="3"/>
    <x v="1"/>
    <x v="0"/>
    <n v="17028167.16"/>
    <x v="3"/>
    <x v="1"/>
    <x v="0"/>
    <x v="11"/>
    <x v="3"/>
    <x v="2"/>
    <x v="4"/>
    <x v="2"/>
    <x v="4"/>
    <n v="31"/>
    <x v="0"/>
  </r>
  <r>
    <d v="2021-12-31T00:00:00"/>
    <x v="3"/>
    <x v="2"/>
    <x v="1"/>
    <n v="19611880460.200001"/>
    <x v="3"/>
    <x v="2"/>
    <x v="1"/>
    <x v="12"/>
    <x v="3"/>
    <x v="2"/>
    <x v="4"/>
    <x v="2"/>
    <x v="4"/>
    <n v="31"/>
    <x v="0"/>
  </r>
  <r>
    <d v="2021-12-30T00:00:00"/>
    <x v="0"/>
    <x v="1"/>
    <x v="0"/>
    <n v="12856326.130000001"/>
    <x v="0"/>
    <x v="1"/>
    <x v="0"/>
    <x v="1"/>
    <x v="3"/>
    <x v="2"/>
    <x v="4"/>
    <x v="2"/>
    <x v="4"/>
    <n v="30"/>
    <x v="0"/>
  </r>
  <r>
    <d v="2021-12-30T00:00:00"/>
    <x v="2"/>
    <x v="1"/>
    <x v="0"/>
    <n v="94801993"/>
    <x v="2"/>
    <x v="1"/>
    <x v="0"/>
    <x v="5"/>
    <x v="3"/>
    <x v="2"/>
    <x v="4"/>
    <x v="2"/>
    <x v="4"/>
    <n v="30"/>
    <x v="0"/>
  </r>
  <r>
    <d v="2021-12-30T00:00:00"/>
    <x v="0"/>
    <x v="1"/>
    <x v="1"/>
    <n v="-25554.27"/>
    <x v="0"/>
    <x v="1"/>
    <x v="1"/>
    <x v="2"/>
    <x v="3"/>
    <x v="2"/>
    <x v="4"/>
    <x v="2"/>
    <x v="4"/>
    <n v="30"/>
    <x v="1"/>
  </r>
  <r>
    <d v="2021-12-30T00:00:00"/>
    <x v="1"/>
    <x v="0"/>
    <x v="1"/>
    <n v="195485536.58000001"/>
    <x v="1"/>
    <x v="0"/>
    <x v="1"/>
    <x v="9"/>
    <x v="3"/>
    <x v="2"/>
    <x v="4"/>
    <x v="2"/>
    <x v="4"/>
    <n v="30"/>
    <x v="0"/>
  </r>
  <r>
    <d v="2021-12-30T00:00:00"/>
    <x v="2"/>
    <x v="1"/>
    <x v="2"/>
    <n v="17056.490000000002"/>
    <x v="2"/>
    <x v="1"/>
    <x v="2"/>
    <x v="3"/>
    <x v="3"/>
    <x v="2"/>
    <x v="4"/>
    <x v="2"/>
    <x v="4"/>
    <n v="30"/>
    <x v="0"/>
  </r>
  <r>
    <d v="2021-12-30T00:00:00"/>
    <x v="3"/>
    <x v="2"/>
    <x v="2"/>
    <n v="708700"/>
    <x v="3"/>
    <x v="2"/>
    <x v="2"/>
    <x v="4"/>
    <x v="3"/>
    <x v="2"/>
    <x v="4"/>
    <x v="2"/>
    <x v="4"/>
    <n v="30"/>
    <x v="0"/>
  </r>
  <r>
    <d v="2021-12-30T00:00:00"/>
    <x v="0"/>
    <x v="0"/>
    <x v="0"/>
    <n v="5971.19"/>
    <x v="0"/>
    <x v="0"/>
    <x v="0"/>
    <x v="0"/>
    <x v="3"/>
    <x v="2"/>
    <x v="4"/>
    <x v="2"/>
    <x v="4"/>
    <n v="30"/>
    <x v="0"/>
  </r>
  <r>
    <d v="2021-12-30T00:00:00"/>
    <x v="2"/>
    <x v="1"/>
    <x v="1"/>
    <n v="550966132.16999996"/>
    <x v="2"/>
    <x v="1"/>
    <x v="1"/>
    <x v="7"/>
    <x v="3"/>
    <x v="2"/>
    <x v="4"/>
    <x v="2"/>
    <x v="4"/>
    <n v="30"/>
    <x v="0"/>
  </r>
  <r>
    <d v="2021-12-30T00:00:00"/>
    <x v="1"/>
    <x v="0"/>
    <x v="0"/>
    <n v="77291434.319999993"/>
    <x v="1"/>
    <x v="0"/>
    <x v="0"/>
    <x v="8"/>
    <x v="3"/>
    <x v="2"/>
    <x v="4"/>
    <x v="2"/>
    <x v="4"/>
    <n v="30"/>
    <x v="0"/>
  </r>
  <r>
    <d v="2021-12-30T00:00:00"/>
    <x v="3"/>
    <x v="3"/>
    <x v="0"/>
    <n v="5019561706.1199999"/>
    <x v="3"/>
    <x v="3"/>
    <x v="0"/>
    <x v="6"/>
    <x v="3"/>
    <x v="2"/>
    <x v="4"/>
    <x v="2"/>
    <x v="4"/>
    <n v="30"/>
    <x v="0"/>
  </r>
  <r>
    <d v="2021-12-30T00:00:00"/>
    <x v="3"/>
    <x v="2"/>
    <x v="0"/>
    <n v="701360311.25"/>
    <x v="3"/>
    <x v="2"/>
    <x v="0"/>
    <x v="10"/>
    <x v="3"/>
    <x v="2"/>
    <x v="4"/>
    <x v="2"/>
    <x v="4"/>
    <n v="30"/>
    <x v="0"/>
  </r>
  <r>
    <d v="2021-12-30T00:00:00"/>
    <x v="3"/>
    <x v="1"/>
    <x v="0"/>
    <n v="14813709.42"/>
    <x v="3"/>
    <x v="1"/>
    <x v="0"/>
    <x v="11"/>
    <x v="3"/>
    <x v="2"/>
    <x v="4"/>
    <x v="2"/>
    <x v="4"/>
    <n v="30"/>
    <x v="0"/>
  </r>
  <r>
    <d v="2021-12-30T00:00:00"/>
    <x v="3"/>
    <x v="2"/>
    <x v="1"/>
    <n v="16364722111.459999"/>
    <x v="3"/>
    <x v="2"/>
    <x v="1"/>
    <x v="12"/>
    <x v="3"/>
    <x v="2"/>
    <x v="4"/>
    <x v="2"/>
    <x v="4"/>
    <n v="30"/>
    <x v="0"/>
  </r>
  <r>
    <d v="2021-12-29T00:00:00"/>
    <x v="2"/>
    <x v="1"/>
    <x v="0"/>
    <n v="109979708.72"/>
    <x v="2"/>
    <x v="1"/>
    <x v="0"/>
    <x v="4"/>
    <x v="3"/>
    <x v="2"/>
    <x v="4"/>
    <x v="2"/>
    <x v="4"/>
    <n v="29"/>
    <x v="0"/>
  </r>
  <r>
    <d v="2021-12-29T00:00:00"/>
    <x v="0"/>
    <x v="1"/>
    <x v="0"/>
    <n v="7708859.4900000002"/>
    <x v="0"/>
    <x v="1"/>
    <x v="0"/>
    <x v="0"/>
    <x v="3"/>
    <x v="2"/>
    <x v="4"/>
    <x v="2"/>
    <x v="4"/>
    <n v="29"/>
    <x v="0"/>
  </r>
  <r>
    <d v="2021-12-29T00:00:00"/>
    <x v="2"/>
    <x v="1"/>
    <x v="2"/>
    <n v="422243.25"/>
    <x v="2"/>
    <x v="1"/>
    <x v="2"/>
    <x v="1"/>
    <x v="3"/>
    <x v="2"/>
    <x v="4"/>
    <x v="2"/>
    <x v="4"/>
    <n v="29"/>
    <x v="0"/>
  </r>
  <r>
    <d v="2021-12-29T00:00:00"/>
    <x v="2"/>
    <x v="1"/>
    <x v="1"/>
    <n v="231377180.36000001"/>
    <x v="2"/>
    <x v="1"/>
    <x v="1"/>
    <x v="6"/>
    <x v="3"/>
    <x v="2"/>
    <x v="4"/>
    <x v="2"/>
    <x v="4"/>
    <n v="29"/>
    <x v="0"/>
  </r>
  <r>
    <d v="2021-12-29T00:00:00"/>
    <x v="1"/>
    <x v="0"/>
    <x v="0"/>
    <n v="84805849.540000007"/>
    <x v="1"/>
    <x v="0"/>
    <x v="0"/>
    <x v="7"/>
    <x v="3"/>
    <x v="2"/>
    <x v="4"/>
    <x v="2"/>
    <x v="4"/>
    <n v="29"/>
    <x v="0"/>
  </r>
  <r>
    <d v="2021-12-29T00:00:00"/>
    <x v="0"/>
    <x v="1"/>
    <x v="1"/>
    <n v="112849.84"/>
    <x v="0"/>
    <x v="1"/>
    <x v="1"/>
    <x v="2"/>
    <x v="3"/>
    <x v="2"/>
    <x v="4"/>
    <x v="2"/>
    <x v="4"/>
    <n v="29"/>
    <x v="0"/>
  </r>
  <r>
    <d v="2021-12-29T00:00:00"/>
    <x v="1"/>
    <x v="0"/>
    <x v="1"/>
    <n v="2046872655.21"/>
    <x v="1"/>
    <x v="0"/>
    <x v="1"/>
    <x v="8"/>
    <x v="3"/>
    <x v="2"/>
    <x v="4"/>
    <x v="2"/>
    <x v="4"/>
    <n v="29"/>
    <x v="0"/>
  </r>
  <r>
    <d v="2021-12-29T00:00:00"/>
    <x v="3"/>
    <x v="2"/>
    <x v="2"/>
    <n v="584488"/>
    <x v="3"/>
    <x v="2"/>
    <x v="2"/>
    <x v="3"/>
    <x v="3"/>
    <x v="2"/>
    <x v="4"/>
    <x v="2"/>
    <x v="4"/>
    <n v="29"/>
    <x v="0"/>
  </r>
  <r>
    <d v="2021-12-29T00:00:00"/>
    <x v="3"/>
    <x v="3"/>
    <x v="0"/>
    <n v="5070245987.8699999"/>
    <x v="3"/>
    <x v="3"/>
    <x v="0"/>
    <x v="5"/>
    <x v="3"/>
    <x v="2"/>
    <x v="4"/>
    <x v="2"/>
    <x v="4"/>
    <n v="29"/>
    <x v="0"/>
  </r>
  <r>
    <d v="2021-12-29T00:00:00"/>
    <x v="3"/>
    <x v="2"/>
    <x v="0"/>
    <n v="727553605.48000002"/>
    <x v="3"/>
    <x v="2"/>
    <x v="0"/>
    <x v="9"/>
    <x v="3"/>
    <x v="2"/>
    <x v="4"/>
    <x v="2"/>
    <x v="4"/>
    <n v="29"/>
    <x v="0"/>
  </r>
  <r>
    <d v="2021-12-29T00:00:00"/>
    <x v="3"/>
    <x v="1"/>
    <x v="0"/>
    <n v="12796080.359999999"/>
    <x v="3"/>
    <x v="1"/>
    <x v="0"/>
    <x v="10"/>
    <x v="3"/>
    <x v="2"/>
    <x v="4"/>
    <x v="2"/>
    <x v="4"/>
    <n v="29"/>
    <x v="0"/>
  </r>
  <r>
    <d v="2021-12-29T00:00:00"/>
    <x v="3"/>
    <x v="2"/>
    <x v="1"/>
    <n v="20029360155.220001"/>
    <x v="3"/>
    <x v="2"/>
    <x v="1"/>
    <x v="11"/>
    <x v="3"/>
    <x v="2"/>
    <x v="4"/>
    <x v="2"/>
    <x v="4"/>
    <n v="29"/>
    <x v="0"/>
  </r>
  <r>
    <d v="2021-12-28T00:00:00"/>
    <x v="0"/>
    <x v="1"/>
    <x v="0"/>
    <n v="3872776.46"/>
    <x v="0"/>
    <x v="1"/>
    <x v="0"/>
    <x v="0"/>
    <x v="3"/>
    <x v="2"/>
    <x v="4"/>
    <x v="2"/>
    <x v="4"/>
    <n v="28"/>
    <x v="0"/>
  </r>
  <r>
    <d v="2021-12-28T00:00:00"/>
    <x v="2"/>
    <x v="1"/>
    <x v="2"/>
    <n v="162500"/>
    <x v="2"/>
    <x v="1"/>
    <x v="2"/>
    <x v="1"/>
    <x v="3"/>
    <x v="2"/>
    <x v="4"/>
    <x v="2"/>
    <x v="4"/>
    <n v="28"/>
    <x v="0"/>
  </r>
  <r>
    <d v="2021-12-28T00:00:00"/>
    <x v="2"/>
    <x v="1"/>
    <x v="1"/>
    <n v="601368170.96000004"/>
    <x v="2"/>
    <x v="1"/>
    <x v="1"/>
    <x v="5"/>
    <x v="3"/>
    <x v="2"/>
    <x v="4"/>
    <x v="2"/>
    <x v="4"/>
    <n v="28"/>
    <x v="0"/>
  </r>
  <r>
    <d v="2021-12-28T00:00:00"/>
    <x v="1"/>
    <x v="0"/>
    <x v="1"/>
    <n v="782086359.65999997"/>
    <x v="1"/>
    <x v="0"/>
    <x v="1"/>
    <x v="6"/>
    <x v="3"/>
    <x v="2"/>
    <x v="4"/>
    <x v="2"/>
    <x v="4"/>
    <n v="28"/>
    <x v="0"/>
  </r>
  <r>
    <d v="2021-12-28T00:00:00"/>
    <x v="1"/>
    <x v="0"/>
    <x v="0"/>
    <n v="97622464.650000006"/>
    <x v="1"/>
    <x v="0"/>
    <x v="0"/>
    <x v="7"/>
    <x v="3"/>
    <x v="2"/>
    <x v="4"/>
    <x v="2"/>
    <x v="4"/>
    <n v="28"/>
    <x v="0"/>
  </r>
  <r>
    <d v="2021-12-28T00:00:00"/>
    <x v="0"/>
    <x v="1"/>
    <x v="1"/>
    <n v="11292112.310000001"/>
    <x v="0"/>
    <x v="1"/>
    <x v="1"/>
    <x v="2"/>
    <x v="3"/>
    <x v="2"/>
    <x v="4"/>
    <x v="2"/>
    <x v="4"/>
    <n v="28"/>
    <x v="0"/>
  </r>
  <r>
    <d v="2021-12-28T00:00:00"/>
    <x v="3"/>
    <x v="2"/>
    <x v="2"/>
    <n v="957753.92"/>
    <x v="3"/>
    <x v="2"/>
    <x v="2"/>
    <x v="3"/>
    <x v="3"/>
    <x v="2"/>
    <x v="4"/>
    <x v="2"/>
    <x v="4"/>
    <n v="28"/>
    <x v="0"/>
  </r>
  <r>
    <d v="2021-12-28T00:00:00"/>
    <x v="2"/>
    <x v="1"/>
    <x v="0"/>
    <n v="77185231.049999997"/>
    <x v="2"/>
    <x v="1"/>
    <x v="0"/>
    <x v="4"/>
    <x v="3"/>
    <x v="2"/>
    <x v="4"/>
    <x v="2"/>
    <x v="4"/>
    <n v="28"/>
    <x v="0"/>
  </r>
  <r>
    <d v="2021-12-28T00:00:00"/>
    <x v="3"/>
    <x v="3"/>
    <x v="0"/>
    <n v="4017766163.5999999"/>
    <x v="3"/>
    <x v="3"/>
    <x v="0"/>
    <x v="8"/>
    <x v="3"/>
    <x v="2"/>
    <x v="4"/>
    <x v="2"/>
    <x v="4"/>
    <n v="28"/>
    <x v="0"/>
  </r>
  <r>
    <d v="2021-12-28T00:00:00"/>
    <x v="3"/>
    <x v="2"/>
    <x v="0"/>
    <n v="430275666.17000002"/>
    <x v="3"/>
    <x v="2"/>
    <x v="0"/>
    <x v="9"/>
    <x v="3"/>
    <x v="2"/>
    <x v="4"/>
    <x v="2"/>
    <x v="4"/>
    <n v="28"/>
    <x v="0"/>
  </r>
  <r>
    <d v="2021-12-28T00:00:00"/>
    <x v="3"/>
    <x v="1"/>
    <x v="0"/>
    <n v="8074555.5599999996"/>
    <x v="3"/>
    <x v="1"/>
    <x v="0"/>
    <x v="10"/>
    <x v="3"/>
    <x v="2"/>
    <x v="4"/>
    <x v="2"/>
    <x v="4"/>
    <n v="28"/>
    <x v="0"/>
  </r>
  <r>
    <d v="2021-12-28T00:00:00"/>
    <x v="3"/>
    <x v="2"/>
    <x v="1"/>
    <n v="8256681971.6099997"/>
    <x v="3"/>
    <x v="2"/>
    <x v="1"/>
    <x v="11"/>
    <x v="3"/>
    <x v="2"/>
    <x v="4"/>
    <x v="2"/>
    <x v="4"/>
    <n v="28"/>
    <x v="0"/>
  </r>
  <r>
    <d v="2021-12-27T00:00:00"/>
    <x v="2"/>
    <x v="1"/>
    <x v="2"/>
    <n v="-185"/>
    <x v="2"/>
    <x v="1"/>
    <x v="2"/>
    <x v="2"/>
    <x v="3"/>
    <x v="2"/>
    <x v="4"/>
    <x v="2"/>
    <x v="4"/>
    <n v="27"/>
    <x v="1"/>
  </r>
  <r>
    <d v="2021-12-27T00:00:00"/>
    <x v="0"/>
    <x v="1"/>
    <x v="1"/>
    <n v="-31050"/>
    <x v="0"/>
    <x v="1"/>
    <x v="1"/>
    <x v="1"/>
    <x v="3"/>
    <x v="2"/>
    <x v="4"/>
    <x v="2"/>
    <x v="4"/>
    <n v="27"/>
    <x v="1"/>
  </r>
  <r>
    <d v="2021-12-27T00:00:00"/>
    <x v="1"/>
    <x v="0"/>
    <x v="1"/>
    <n v="330433183.11000001"/>
    <x v="1"/>
    <x v="0"/>
    <x v="1"/>
    <x v="7"/>
    <x v="3"/>
    <x v="2"/>
    <x v="4"/>
    <x v="2"/>
    <x v="4"/>
    <n v="27"/>
    <x v="0"/>
  </r>
  <r>
    <d v="2021-12-27T00:00:00"/>
    <x v="3"/>
    <x v="2"/>
    <x v="2"/>
    <n v="5428.19"/>
    <x v="3"/>
    <x v="2"/>
    <x v="2"/>
    <x v="3"/>
    <x v="3"/>
    <x v="2"/>
    <x v="4"/>
    <x v="2"/>
    <x v="4"/>
    <n v="27"/>
    <x v="0"/>
  </r>
  <r>
    <d v="2021-12-27T00:00:00"/>
    <x v="0"/>
    <x v="1"/>
    <x v="0"/>
    <n v="20439838.579999998"/>
    <x v="0"/>
    <x v="1"/>
    <x v="0"/>
    <x v="0"/>
    <x v="3"/>
    <x v="2"/>
    <x v="4"/>
    <x v="2"/>
    <x v="4"/>
    <n v="27"/>
    <x v="0"/>
  </r>
  <r>
    <d v="2021-12-27T00:00:00"/>
    <x v="2"/>
    <x v="1"/>
    <x v="0"/>
    <n v="-285179.38"/>
    <x v="2"/>
    <x v="1"/>
    <x v="0"/>
    <x v="5"/>
    <x v="3"/>
    <x v="2"/>
    <x v="4"/>
    <x v="2"/>
    <x v="4"/>
    <n v="27"/>
    <x v="1"/>
  </r>
  <r>
    <d v="2021-12-27T00:00:00"/>
    <x v="3"/>
    <x v="3"/>
    <x v="0"/>
    <n v="4142848095.0100002"/>
    <x v="3"/>
    <x v="3"/>
    <x v="0"/>
    <x v="4"/>
    <x v="3"/>
    <x v="2"/>
    <x v="4"/>
    <x v="2"/>
    <x v="4"/>
    <n v="27"/>
    <x v="0"/>
  </r>
  <r>
    <d v="2021-12-27T00:00:00"/>
    <x v="2"/>
    <x v="1"/>
    <x v="1"/>
    <n v="-7826432.3700000001"/>
    <x v="2"/>
    <x v="1"/>
    <x v="1"/>
    <x v="6"/>
    <x v="3"/>
    <x v="2"/>
    <x v="4"/>
    <x v="2"/>
    <x v="4"/>
    <n v="27"/>
    <x v="1"/>
  </r>
  <r>
    <d v="2021-12-27T00:00:00"/>
    <x v="1"/>
    <x v="0"/>
    <x v="0"/>
    <n v="9571411.8200000003"/>
    <x v="1"/>
    <x v="0"/>
    <x v="0"/>
    <x v="8"/>
    <x v="3"/>
    <x v="2"/>
    <x v="4"/>
    <x v="2"/>
    <x v="4"/>
    <n v="27"/>
    <x v="0"/>
  </r>
  <r>
    <d v="2021-12-27T00:00:00"/>
    <x v="3"/>
    <x v="2"/>
    <x v="0"/>
    <n v="275191172.68000001"/>
    <x v="3"/>
    <x v="2"/>
    <x v="0"/>
    <x v="9"/>
    <x v="3"/>
    <x v="2"/>
    <x v="4"/>
    <x v="2"/>
    <x v="4"/>
    <n v="27"/>
    <x v="0"/>
  </r>
  <r>
    <d v="2021-12-27T00:00:00"/>
    <x v="3"/>
    <x v="2"/>
    <x v="1"/>
    <n v="26864281048.07"/>
    <x v="3"/>
    <x v="2"/>
    <x v="1"/>
    <x v="10"/>
    <x v="3"/>
    <x v="2"/>
    <x v="4"/>
    <x v="2"/>
    <x v="4"/>
    <n v="27"/>
    <x v="0"/>
  </r>
  <r>
    <d v="2021-12-27T00:00:00"/>
    <x v="3"/>
    <x v="1"/>
    <x v="0"/>
    <n v="19527959.23"/>
    <x v="3"/>
    <x v="1"/>
    <x v="0"/>
    <x v="11"/>
    <x v="3"/>
    <x v="2"/>
    <x v="4"/>
    <x v="2"/>
    <x v="4"/>
    <n v="27"/>
    <x v="0"/>
  </r>
  <r>
    <d v="2021-12-24T00:00:00"/>
    <x v="0"/>
    <x v="1"/>
    <x v="0"/>
    <n v="15410174.93"/>
    <x v="0"/>
    <x v="1"/>
    <x v="0"/>
    <x v="1"/>
    <x v="3"/>
    <x v="2"/>
    <x v="4"/>
    <x v="2"/>
    <x v="4"/>
    <n v="24"/>
    <x v="0"/>
  </r>
  <r>
    <d v="2021-12-24T00:00:00"/>
    <x v="1"/>
    <x v="1"/>
    <x v="0"/>
    <n v="2893.66"/>
    <x v="1"/>
    <x v="1"/>
    <x v="0"/>
    <x v="0"/>
    <x v="3"/>
    <x v="2"/>
    <x v="4"/>
    <x v="2"/>
    <x v="4"/>
    <n v="24"/>
    <x v="0"/>
  </r>
  <r>
    <d v="2021-12-24T00:00:00"/>
    <x v="2"/>
    <x v="1"/>
    <x v="2"/>
    <n v="62486.86"/>
    <x v="2"/>
    <x v="1"/>
    <x v="2"/>
    <x v="4"/>
    <x v="3"/>
    <x v="2"/>
    <x v="4"/>
    <x v="2"/>
    <x v="4"/>
    <n v="24"/>
    <x v="0"/>
  </r>
  <r>
    <d v="2021-12-24T00:00:00"/>
    <x v="2"/>
    <x v="1"/>
    <x v="1"/>
    <n v="267040309.81"/>
    <x v="2"/>
    <x v="1"/>
    <x v="1"/>
    <x v="8"/>
    <x v="3"/>
    <x v="2"/>
    <x v="4"/>
    <x v="2"/>
    <x v="4"/>
    <n v="24"/>
    <x v="0"/>
  </r>
  <r>
    <d v="2021-12-24T00:00:00"/>
    <x v="1"/>
    <x v="0"/>
    <x v="1"/>
    <n v="333023431.13999999"/>
    <x v="1"/>
    <x v="0"/>
    <x v="1"/>
    <x v="9"/>
    <x v="3"/>
    <x v="2"/>
    <x v="4"/>
    <x v="2"/>
    <x v="4"/>
    <n v="24"/>
    <x v="0"/>
  </r>
  <r>
    <d v="2021-12-24T00:00:00"/>
    <x v="0"/>
    <x v="1"/>
    <x v="1"/>
    <n v="7919201.1299999999"/>
    <x v="0"/>
    <x v="1"/>
    <x v="1"/>
    <x v="3"/>
    <x v="3"/>
    <x v="2"/>
    <x v="4"/>
    <x v="2"/>
    <x v="4"/>
    <n v="24"/>
    <x v="0"/>
  </r>
  <r>
    <d v="2021-12-24T00:00:00"/>
    <x v="3"/>
    <x v="2"/>
    <x v="2"/>
    <n v="560249.92000000004"/>
    <x v="3"/>
    <x v="2"/>
    <x v="2"/>
    <x v="5"/>
    <x v="3"/>
    <x v="2"/>
    <x v="4"/>
    <x v="2"/>
    <x v="4"/>
    <n v="24"/>
    <x v="0"/>
  </r>
  <r>
    <d v="2021-12-24T00:00:00"/>
    <x v="3"/>
    <x v="3"/>
    <x v="0"/>
    <n v="587541978.04999995"/>
    <x v="3"/>
    <x v="3"/>
    <x v="0"/>
    <x v="6"/>
    <x v="3"/>
    <x v="2"/>
    <x v="4"/>
    <x v="2"/>
    <x v="4"/>
    <n v="24"/>
    <x v="0"/>
  </r>
  <r>
    <d v="2021-12-24T00:00:00"/>
    <x v="3"/>
    <x v="3"/>
    <x v="1"/>
    <n v="2965.09"/>
    <x v="3"/>
    <x v="3"/>
    <x v="1"/>
    <x v="2"/>
    <x v="3"/>
    <x v="2"/>
    <x v="4"/>
    <x v="2"/>
    <x v="4"/>
    <n v="24"/>
    <x v="0"/>
  </r>
  <r>
    <d v="2021-12-24T00:00:00"/>
    <x v="1"/>
    <x v="0"/>
    <x v="0"/>
    <n v="112544780.56"/>
    <x v="1"/>
    <x v="0"/>
    <x v="0"/>
    <x v="10"/>
    <x v="3"/>
    <x v="2"/>
    <x v="4"/>
    <x v="2"/>
    <x v="4"/>
    <n v="24"/>
    <x v="0"/>
  </r>
  <r>
    <d v="2021-12-24T00:00:00"/>
    <x v="2"/>
    <x v="1"/>
    <x v="0"/>
    <n v="91501250.409999996"/>
    <x v="2"/>
    <x v="1"/>
    <x v="0"/>
    <x v="7"/>
    <x v="3"/>
    <x v="2"/>
    <x v="4"/>
    <x v="2"/>
    <x v="4"/>
    <n v="24"/>
    <x v="0"/>
  </r>
  <r>
    <d v="2021-12-24T00:00:00"/>
    <x v="3"/>
    <x v="2"/>
    <x v="0"/>
    <n v="384755366.13999999"/>
    <x v="3"/>
    <x v="2"/>
    <x v="0"/>
    <x v="11"/>
    <x v="3"/>
    <x v="2"/>
    <x v="4"/>
    <x v="2"/>
    <x v="4"/>
    <n v="24"/>
    <x v="0"/>
  </r>
  <r>
    <d v="2021-12-24T00:00:00"/>
    <x v="3"/>
    <x v="1"/>
    <x v="0"/>
    <n v="17281143.239999998"/>
    <x v="3"/>
    <x v="1"/>
    <x v="0"/>
    <x v="12"/>
    <x v="3"/>
    <x v="2"/>
    <x v="4"/>
    <x v="2"/>
    <x v="4"/>
    <n v="24"/>
    <x v="0"/>
  </r>
  <r>
    <d v="2021-12-24T00:00:00"/>
    <x v="3"/>
    <x v="2"/>
    <x v="1"/>
    <n v="11273259157.540001"/>
    <x v="3"/>
    <x v="2"/>
    <x v="1"/>
    <x v="13"/>
    <x v="3"/>
    <x v="2"/>
    <x v="4"/>
    <x v="2"/>
    <x v="4"/>
    <n v="24"/>
    <x v="0"/>
  </r>
  <r>
    <d v="2021-12-23T00:00:00"/>
    <x v="0"/>
    <x v="1"/>
    <x v="0"/>
    <n v="7561481.9299999997"/>
    <x v="0"/>
    <x v="1"/>
    <x v="0"/>
    <x v="0"/>
    <x v="3"/>
    <x v="2"/>
    <x v="4"/>
    <x v="2"/>
    <x v="4"/>
    <n v="23"/>
    <x v="0"/>
  </r>
  <r>
    <d v="2021-12-23T00:00:00"/>
    <x v="2"/>
    <x v="1"/>
    <x v="2"/>
    <n v="29090"/>
    <x v="2"/>
    <x v="1"/>
    <x v="2"/>
    <x v="1"/>
    <x v="3"/>
    <x v="2"/>
    <x v="4"/>
    <x v="2"/>
    <x v="4"/>
    <n v="23"/>
    <x v="0"/>
  </r>
  <r>
    <d v="2021-12-23T00:00:00"/>
    <x v="3"/>
    <x v="3"/>
    <x v="0"/>
    <n v="3733366538.21"/>
    <x v="3"/>
    <x v="3"/>
    <x v="0"/>
    <x v="5"/>
    <x v="3"/>
    <x v="2"/>
    <x v="4"/>
    <x v="2"/>
    <x v="4"/>
    <n v="23"/>
    <x v="0"/>
  </r>
  <r>
    <d v="2021-12-23T00:00:00"/>
    <x v="2"/>
    <x v="1"/>
    <x v="1"/>
    <n v="428502680.63"/>
    <x v="2"/>
    <x v="1"/>
    <x v="1"/>
    <x v="6"/>
    <x v="3"/>
    <x v="2"/>
    <x v="4"/>
    <x v="2"/>
    <x v="4"/>
    <n v="23"/>
    <x v="0"/>
  </r>
  <r>
    <d v="2021-12-23T00:00:00"/>
    <x v="1"/>
    <x v="0"/>
    <x v="1"/>
    <n v="708216241.46000004"/>
    <x v="1"/>
    <x v="0"/>
    <x v="1"/>
    <x v="7"/>
    <x v="3"/>
    <x v="2"/>
    <x v="4"/>
    <x v="2"/>
    <x v="4"/>
    <n v="23"/>
    <x v="0"/>
  </r>
  <r>
    <d v="2021-12-23T00:00:00"/>
    <x v="0"/>
    <x v="1"/>
    <x v="1"/>
    <n v="24729484.27"/>
    <x v="0"/>
    <x v="1"/>
    <x v="1"/>
    <x v="2"/>
    <x v="3"/>
    <x v="2"/>
    <x v="4"/>
    <x v="2"/>
    <x v="4"/>
    <n v="23"/>
    <x v="0"/>
  </r>
  <r>
    <d v="2021-12-23T00:00:00"/>
    <x v="3"/>
    <x v="2"/>
    <x v="2"/>
    <n v="587844"/>
    <x v="3"/>
    <x v="2"/>
    <x v="2"/>
    <x v="3"/>
    <x v="3"/>
    <x v="2"/>
    <x v="4"/>
    <x v="2"/>
    <x v="4"/>
    <n v="23"/>
    <x v="0"/>
  </r>
  <r>
    <d v="2021-12-23T00:00:00"/>
    <x v="2"/>
    <x v="1"/>
    <x v="0"/>
    <n v="87442622.700000003"/>
    <x v="2"/>
    <x v="1"/>
    <x v="0"/>
    <x v="4"/>
    <x v="3"/>
    <x v="2"/>
    <x v="4"/>
    <x v="2"/>
    <x v="4"/>
    <n v="23"/>
    <x v="0"/>
  </r>
  <r>
    <d v="2021-12-23T00:00:00"/>
    <x v="1"/>
    <x v="0"/>
    <x v="0"/>
    <n v="104369150.25"/>
    <x v="1"/>
    <x v="0"/>
    <x v="0"/>
    <x v="8"/>
    <x v="3"/>
    <x v="2"/>
    <x v="4"/>
    <x v="2"/>
    <x v="4"/>
    <n v="23"/>
    <x v="0"/>
  </r>
  <r>
    <d v="2021-12-23T00:00:00"/>
    <x v="3"/>
    <x v="1"/>
    <x v="0"/>
    <n v="17317511.780000001"/>
    <x v="3"/>
    <x v="1"/>
    <x v="0"/>
    <x v="9"/>
    <x v="3"/>
    <x v="2"/>
    <x v="4"/>
    <x v="2"/>
    <x v="4"/>
    <n v="23"/>
    <x v="0"/>
  </r>
  <r>
    <d v="2021-12-23T00:00:00"/>
    <x v="3"/>
    <x v="2"/>
    <x v="0"/>
    <n v="406737469.60000002"/>
    <x v="3"/>
    <x v="2"/>
    <x v="0"/>
    <x v="10"/>
    <x v="3"/>
    <x v="2"/>
    <x v="4"/>
    <x v="2"/>
    <x v="4"/>
    <n v="23"/>
    <x v="0"/>
  </r>
  <r>
    <d v="2021-12-23T00:00:00"/>
    <x v="3"/>
    <x v="2"/>
    <x v="1"/>
    <n v="15574143408.57"/>
    <x v="3"/>
    <x v="2"/>
    <x v="1"/>
    <x v="11"/>
    <x v="3"/>
    <x v="2"/>
    <x v="4"/>
    <x v="2"/>
    <x v="4"/>
    <n v="23"/>
    <x v="0"/>
  </r>
  <r>
    <d v="2021-12-22T00:00:00"/>
    <x v="3"/>
    <x v="2"/>
    <x v="2"/>
    <n v="577988"/>
    <x v="3"/>
    <x v="2"/>
    <x v="2"/>
    <x v="5"/>
    <x v="3"/>
    <x v="2"/>
    <x v="4"/>
    <x v="2"/>
    <x v="4"/>
    <n v="22"/>
    <x v="0"/>
  </r>
  <r>
    <d v="2021-12-22T00:00:00"/>
    <x v="2"/>
    <x v="1"/>
    <x v="2"/>
    <n v="511408.7"/>
    <x v="2"/>
    <x v="1"/>
    <x v="2"/>
    <x v="2"/>
    <x v="3"/>
    <x v="2"/>
    <x v="4"/>
    <x v="2"/>
    <x v="4"/>
    <n v="22"/>
    <x v="0"/>
  </r>
  <r>
    <d v="2021-12-22T00:00:00"/>
    <x v="0"/>
    <x v="1"/>
    <x v="0"/>
    <n v="13155610.01"/>
    <x v="0"/>
    <x v="1"/>
    <x v="0"/>
    <x v="1"/>
    <x v="3"/>
    <x v="2"/>
    <x v="4"/>
    <x v="2"/>
    <x v="4"/>
    <n v="22"/>
    <x v="0"/>
  </r>
  <r>
    <d v="2021-12-22T00:00:00"/>
    <x v="3"/>
    <x v="3"/>
    <x v="1"/>
    <n v="665.55"/>
    <x v="3"/>
    <x v="3"/>
    <x v="1"/>
    <x v="3"/>
    <x v="3"/>
    <x v="2"/>
    <x v="4"/>
    <x v="2"/>
    <x v="4"/>
    <n v="22"/>
    <x v="0"/>
  </r>
  <r>
    <d v="2021-12-22T00:00:00"/>
    <x v="1"/>
    <x v="0"/>
    <x v="0"/>
    <n v="121104466.48999999"/>
    <x v="1"/>
    <x v="0"/>
    <x v="0"/>
    <x v="9"/>
    <x v="3"/>
    <x v="2"/>
    <x v="4"/>
    <x v="2"/>
    <x v="4"/>
    <n v="22"/>
    <x v="0"/>
  </r>
  <r>
    <d v="2021-12-22T00:00:00"/>
    <x v="0"/>
    <x v="1"/>
    <x v="1"/>
    <n v="5687153.6100000003"/>
    <x v="0"/>
    <x v="1"/>
    <x v="1"/>
    <x v="4"/>
    <x v="3"/>
    <x v="2"/>
    <x v="4"/>
    <x v="2"/>
    <x v="4"/>
    <n v="22"/>
    <x v="0"/>
  </r>
  <r>
    <d v="2021-12-22T00:00:00"/>
    <x v="0"/>
    <x v="0"/>
    <x v="0"/>
    <n v="1718.1"/>
    <x v="0"/>
    <x v="0"/>
    <x v="0"/>
    <x v="0"/>
    <x v="3"/>
    <x v="2"/>
    <x v="4"/>
    <x v="2"/>
    <x v="4"/>
    <n v="22"/>
    <x v="0"/>
  </r>
  <r>
    <d v="2021-12-22T00:00:00"/>
    <x v="2"/>
    <x v="1"/>
    <x v="0"/>
    <n v="119556268.45999999"/>
    <x v="2"/>
    <x v="1"/>
    <x v="0"/>
    <x v="7"/>
    <x v="3"/>
    <x v="2"/>
    <x v="4"/>
    <x v="2"/>
    <x v="4"/>
    <n v="22"/>
    <x v="0"/>
  </r>
  <r>
    <d v="2021-12-22T00:00:00"/>
    <x v="1"/>
    <x v="0"/>
    <x v="1"/>
    <n v="1355310701.72"/>
    <x v="1"/>
    <x v="0"/>
    <x v="1"/>
    <x v="10"/>
    <x v="3"/>
    <x v="2"/>
    <x v="4"/>
    <x v="2"/>
    <x v="4"/>
    <n v="22"/>
    <x v="0"/>
  </r>
  <r>
    <d v="2021-12-22T00:00:00"/>
    <x v="3"/>
    <x v="3"/>
    <x v="0"/>
    <n v="3527011286.2800002"/>
    <x v="3"/>
    <x v="3"/>
    <x v="0"/>
    <x v="6"/>
    <x v="3"/>
    <x v="2"/>
    <x v="4"/>
    <x v="2"/>
    <x v="4"/>
    <n v="22"/>
    <x v="0"/>
  </r>
  <r>
    <d v="2021-12-22T00:00:00"/>
    <x v="2"/>
    <x v="1"/>
    <x v="1"/>
    <n v="355640140.11000001"/>
    <x v="2"/>
    <x v="1"/>
    <x v="1"/>
    <x v="8"/>
    <x v="3"/>
    <x v="2"/>
    <x v="4"/>
    <x v="2"/>
    <x v="4"/>
    <n v="22"/>
    <x v="0"/>
  </r>
  <r>
    <d v="2021-12-22T00:00:00"/>
    <x v="3"/>
    <x v="1"/>
    <x v="0"/>
    <n v="16811348.27"/>
    <x v="3"/>
    <x v="1"/>
    <x v="0"/>
    <x v="11"/>
    <x v="3"/>
    <x v="2"/>
    <x v="4"/>
    <x v="2"/>
    <x v="4"/>
    <n v="22"/>
    <x v="0"/>
  </r>
  <r>
    <d v="2021-12-22T00:00:00"/>
    <x v="3"/>
    <x v="2"/>
    <x v="0"/>
    <n v="6628424976.9700003"/>
    <x v="3"/>
    <x v="2"/>
    <x v="0"/>
    <x v="12"/>
    <x v="3"/>
    <x v="2"/>
    <x v="4"/>
    <x v="2"/>
    <x v="4"/>
    <n v="22"/>
    <x v="0"/>
  </r>
  <r>
    <d v="2021-12-22T00:00:00"/>
    <x v="3"/>
    <x v="2"/>
    <x v="1"/>
    <n v="22208916599.490002"/>
    <x v="3"/>
    <x v="2"/>
    <x v="1"/>
    <x v="13"/>
    <x v="3"/>
    <x v="2"/>
    <x v="4"/>
    <x v="2"/>
    <x v="4"/>
    <n v="22"/>
    <x v="0"/>
  </r>
  <r>
    <d v="2021-12-21T00:00:00"/>
    <x v="1"/>
    <x v="0"/>
    <x v="2"/>
    <n v="2024.26"/>
    <x v="1"/>
    <x v="0"/>
    <x v="2"/>
    <x v="2"/>
    <x v="3"/>
    <x v="2"/>
    <x v="4"/>
    <x v="2"/>
    <x v="4"/>
    <n v="21"/>
    <x v="0"/>
  </r>
  <r>
    <d v="2021-12-21T00:00:00"/>
    <x v="2"/>
    <x v="1"/>
    <x v="2"/>
    <n v="79255"/>
    <x v="2"/>
    <x v="1"/>
    <x v="2"/>
    <x v="3"/>
    <x v="3"/>
    <x v="2"/>
    <x v="4"/>
    <x v="2"/>
    <x v="4"/>
    <n v="21"/>
    <x v="0"/>
  </r>
  <r>
    <d v="2021-12-21T00:00:00"/>
    <x v="0"/>
    <x v="1"/>
    <x v="0"/>
    <n v="16844475.359999999"/>
    <x v="0"/>
    <x v="1"/>
    <x v="0"/>
    <x v="1"/>
    <x v="3"/>
    <x v="2"/>
    <x v="4"/>
    <x v="2"/>
    <x v="4"/>
    <n v="21"/>
    <x v="0"/>
  </r>
  <r>
    <d v="2021-12-21T00:00:00"/>
    <x v="2"/>
    <x v="1"/>
    <x v="0"/>
    <n v="98638538.569999993"/>
    <x v="2"/>
    <x v="1"/>
    <x v="0"/>
    <x v="8"/>
    <x v="3"/>
    <x v="2"/>
    <x v="4"/>
    <x v="2"/>
    <x v="4"/>
    <n v="21"/>
    <x v="0"/>
  </r>
  <r>
    <d v="2021-12-21T00:00:00"/>
    <x v="1"/>
    <x v="0"/>
    <x v="1"/>
    <n v="471524684.31999999"/>
    <x v="1"/>
    <x v="0"/>
    <x v="1"/>
    <x v="9"/>
    <x v="3"/>
    <x v="2"/>
    <x v="4"/>
    <x v="2"/>
    <x v="4"/>
    <n v="21"/>
    <x v="0"/>
  </r>
  <r>
    <d v="2021-12-21T00:00:00"/>
    <x v="2"/>
    <x v="1"/>
    <x v="1"/>
    <n v="252701072.62"/>
    <x v="2"/>
    <x v="1"/>
    <x v="1"/>
    <x v="10"/>
    <x v="3"/>
    <x v="2"/>
    <x v="4"/>
    <x v="2"/>
    <x v="4"/>
    <n v="21"/>
    <x v="0"/>
  </r>
  <r>
    <d v="2021-12-21T00:00:00"/>
    <x v="0"/>
    <x v="1"/>
    <x v="1"/>
    <n v="12777069.68"/>
    <x v="0"/>
    <x v="1"/>
    <x v="1"/>
    <x v="5"/>
    <x v="3"/>
    <x v="2"/>
    <x v="4"/>
    <x v="2"/>
    <x v="4"/>
    <n v="21"/>
    <x v="0"/>
  </r>
  <r>
    <d v="2021-12-21T00:00:00"/>
    <x v="3"/>
    <x v="2"/>
    <x v="2"/>
    <n v="454965.07"/>
    <x v="3"/>
    <x v="2"/>
    <x v="2"/>
    <x v="6"/>
    <x v="3"/>
    <x v="2"/>
    <x v="4"/>
    <x v="2"/>
    <x v="4"/>
    <n v="21"/>
    <x v="0"/>
  </r>
  <r>
    <d v="2021-12-21T00:00:00"/>
    <x v="0"/>
    <x v="0"/>
    <x v="0"/>
    <n v="424.47"/>
    <x v="0"/>
    <x v="0"/>
    <x v="0"/>
    <x v="0"/>
    <x v="3"/>
    <x v="2"/>
    <x v="4"/>
    <x v="2"/>
    <x v="4"/>
    <n v="21"/>
    <x v="0"/>
  </r>
  <r>
    <d v="2021-12-21T00:00:00"/>
    <x v="3"/>
    <x v="3"/>
    <x v="0"/>
    <n v="3753638857.1500001"/>
    <x v="3"/>
    <x v="3"/>
    <x v="0"/>
    <x v="7"/>
    <x v="3"/>
    <x v="2"/>
    <x v="4"/>
    <x v="2"/>
    <x v="4"/>
    <n v="21"/>
    <x v="0"/>
  </r>
  <r>
    <d v="2021-12-21T00:00:00"/>
    <x v="1"/>
    <x v="0"/>
    <x v="0"/>
    <n v="92434609.909999996"/>
    <x v="1"/>
    <x v="0"/>
    <x v="0"/>
    <x v="11"/>
    <x v="3"/>
    <x v="2"/>
    <x v="4"/>
    <x v="2"/>
    <x v="4"/>
    <n v="21"/>
    <x v="0"/>
  </r>
  <r>
    <d v="2021-12-21T00:00:00"/>
    <x v="3"/>
    <x v="3"/>
    <x v="1"/>
    <n v="1077"/>
    <x v="3"/>
    <x v="3"/>
    <x v="1"/>
    <x v="4"/>
    <x v="3"/>
    <x v="2"/>
    <x v="4"/>
    <x v="2"/>
    <x v="4"/>
    <n v="21"/>
    <x v="0"/>
  </r>
  <r>
    <d v="2021-12-21T00:00:00"/>
    <x v="3"/>
    <x v="1"/>
    <x v="0"/>
    <n v="12949754.33"/>
    <x v="3"/>
    <x v="1"/>
    <x v="0"/>
    <x v="12"/>
    <x v="3"/>
    <x v="2"/>
    <x v="4"/>
    <x v="2"/>
    <x v="4"/>
    <n v="21"/>
    <x v="0"/>
  </r>
  <r>
    <d v="2021-12-21T00:00:00"/>
    <x v="3"/>
    <x v="2"/>
    <x v="0"/>
    <n v="596611153.15999997"/>
    <x v="3"/>
    <x v="2"/>
    <x v="0"/>
    <x v="13"/>
    <x v="3"/>
    <x v="2"/>
    <x v="4"/>
    <x v="2"/>
    <x v="4"/>
    <n v="21"/>
    <x v="0"/>
  </r>
  <r>
    <d v="2021-12-21T00:00:00"/>
    <x v="3"/>
    <x v="2"/>
    <x v="1"/>
    <n v="8673194997.1000004"/>
    <x v="3"/>
    <x v="2"/>
    <x v="1"/>
    <x v="14"/>
    <x v="3"/>
    <x v="2"/>
    <x v="4"/>
    <x v="2"/>
    <x v="4"/>
    <n v="21"/>
    <x v="0"/>
  </r>
  <r>
    <d v="2021-12-20T00:00:00"/>
    <x v="2"/>
    <x v="1"/>
    <x v="2"/>
    <n v="323169.42"/>
    <x v="2"/>
    <x v="1"/>
    <x v="2"/>
    <x v="2"/>
    <x v="3"/>
    <x v="2"/>
    <x v="4"/>
    <x v="2"/>
    <x v="4"/>
    <n v="20"/>
    <x v="0"/>
  </r>
  <r>
    <d v="2021-12-20T00:00:00"/>
    <x v="2"/>
    <x v="1"/>
    <x v="0"/>
    <n v="100678107.47"/>
    <x v="2"/>
    <x v="1"/>
    <x v="0"/>
    <x v="6"/>
    <x v="3"/>
    <x v="2"/>
    <x v="4"/>
    <x v="2"/>
    <x v="4"/>
    <n v="20"/>
    <x v="0"/>
  </r>
  <r>
    <d v="2021-12-20T00:00:00"/>
    <x v="2"/>
    <x v="1"/>
    <x v="1"/>
    <n v="224877373.69999999"/>
    <x v="2"/>
    <x v="1"/>
    <x v="1"/>
    <x v="8"/>
    <x v="3"/>
    <x v="2"/>
    <x v="4"/>
    <x v="2"/>
    <x v="4"/>
    <n v="20"/>
    <x v="0"/>
  </r>
  <r>
    <d v="2021-12-20T00:00:00"/>
    <x v="1"/>
    <x v="0"/>
    <x v="0"/>
    <n v="83609768.540000007"/>
    <x v="1"/>
    <x v="0"/>
    <x v="0"/>
    <x v="9"/>
    <x v="3"/>
    <x v="2"/>
    <x v="4"/>
    <x v="2"/>
    <x v="4"/>
    <n v="20"/>
    <x v="0"/>
  </r>
  <r>
    <d v="2021-12-20T00:00:00"/>
    <x v="0"/>
    <x v="1"/>
    <x v="1"/>
    <n v="24623145.550000001"/>
    <x v="0"/>
    <x v="1"/>
    <x v="1"/>
    <x v="4"/>
    <x v="3"/>
    <x v="2"/>
    <x v="4"/>
    <x v="2"/>
    <x v="4"/>
    <n v="20"/>
    <x v="0"/>
  </r>
  <r>
    <d v="2021-12-20T00:00:00"/>
    <x v="3"/>
    <x v="2"/>
    <x v="2"/>
    <n v="496078.45"/>
    <x v="3"/>
    <x v="2"/>
    <x v="2"/>
    <x v="5"/>
    <x v="3"/>
    <x v="2"/>
    <x v="4"/>
    <x v="2"/>
    <x v="4"/>
    <n v="20"/>
    <x v="0"/>
  </r>
  <r>
    <d v="2021-12-20T00:00:00"/>
    <x v="0"/>
    <x v="1"/>
    <x v="0"/>
    <n v="16513133.98"/>
    <x v="0"/>
    <x v="1"/>
    <x v="0"/>
    <x v="1"/>
    <x v="3"/>
    <x v="2"/>
    <x v="4"/>
    <x v="2"/>
    <x v="4"/>
    <n v="20"/>
    <x v="0"/>
  </r>
  <r>
    <d v="2021-12-20T00:00:00"/>
    <x v="0"/>
    <x v="0"/>
    <x v="0"/>
    <n v="30"/>
    <x v="0"/>
    <x v="0"/>
    <x v="0"/>
    <x v="0"/>
    <x v="3"/>
    <x v="2"/>
    <x v="4"/>
    <x v="2"/>
    <x v="4"/>
    <n v="20"/>
    <x v="0"/>
  </r>
  <r>
    <d v="2021-12-20T00:00:00"/>
    <x v="3"/>
    <x v="3"/>
    <x v="0"/>
    <n v="3883443117.1399999"/>
    <x v="3"/>
    <x v="3"/>
    <x v="0"/>
    <x v="7"/>
    <x v="3"/>
    <x v="2"/>
    <x v="4"/>
    <x v="2"/>
    <x v="4"/>
    <n v="20"/>
    <x v="0"/>
  </r>
  <r>
    <d v="2021-12-20T00:00:00"/>
    <x v="1"/>
    <x v="0"/>
    <x v="1"/>
    <n v="364213925.19"/>
    <x v="1"/>
    <x v="0"/>
    <x v="1"/>
    <x v="10"/>
    <x v="3"/>
    <x v="2"/>
    <x v="4"/>
    <x v="2"/>
    <x v="4"/>
    <n v="20"/>
    <x v="0"/>
  </r>
  <r>
    <d v="2021-12-20T00:00:00"/>
    <x v="3"/>
    <x v="2"/>
    <x v="0"/>
    <n v="639271228.50999999"/>
    <x v="3"/>
    <x v="2"/>
    <x v="0"/>
    <x v="11"/>
    <x v="3"/>
    <x v="2"/>
    <x v="4"/>
    <x v="2"/>
    <x v="4"/>
    <n v="20"/>
    <x v="0"/>
  </r>
  <r>
    <d v="2021-12-20T00:00:00"/>
    <x v="3"/>
    <x v="1"/>
    <x v="0"/>
    <n v="42153361"/>
    <x v="3"/>
    <x v="1"/>
    <x v="0"/>
    <x v="12"/>
    <x v="3"/>
    <x v="2"/>
    <x v="4"/>
    <x v="2"/>
    <x v="4"/>
    <n v="20"/>
    <x v="0"/>
  </r>
  <r>
    <d v="2021-12-20T00:00:00"/>
    <x v="3"/>
    <x v="2"/>
    <x v="1"/>
    <n v="27683008927.049999"/>
    <x v="3"/>
    <x v="2"/>
    <x v="1"/>
    <x v="13"/>
    <x v="3"/>
    <x v="2"/>
    <x v="4"/>
    <x v="2"/>
    <x v="4"/>
    <n v="20"/>
    <x v="0"/>
  </r>
  <r>
    <d v="2021-12-20T00:00:00"/>
    <x v="3"/>
    <x v="3"/>
    <x v="1"/>
    <n v="3778.55"/>
    <x v="3"/>
    <x v="3"/>
    <x v="1"/>
    <x v="3"/>
    <x v="3"/>
    <x v="2"/>
    <x v="4"/>
    <x v="2"/>
    <x v="4"/>
    <n v="20"/>
    <x v="0"/>
  </r>
  <r>
    <d v="2021-12-17T00:00:00"/>
    <x v="1"/>
    <x v="0"/>
    <x v="2"/>
    <n v="1181.21"/>
    <x v="1"/>
    <x v="0"/>
    <x v="2"/>
    <x v="2"/>
    <x v="3"/>
    <x v="2"/>
    <x v="4"/>
    <x v="2"/>
    <x v="4"/>
    <n v="17"/>
    <x v="0"/>
  </r>
  <r>
    <d v="2021-12-17T00:00:00"/>
    <x v="2"/>
    <x v="1"/>
    <x v="2"/>
    <n v="64595"/>
    <x v="2"/>
    <x v="1"/>
    <x v="2"/>
    <x v="3"/>
    <x v="3"/>
    <x v="2"/>
    <x v="4"/>
    <x v="2"/>
    <x v="4"/>
    <n v="17"/>
    <x v="0"/>
  </r>
  <r>
    <d v="2021-12-17T00:00:00"/>
    <x v="2"/>
    <x v="1"/>
    <x v="0"/>
    <n v="97853712.079999998"/>
    <x v="2"/>
    <x v="1"/>
    <x v="0"/>
    <x v="6"/>
    <x v="3"/>
    <x v="2"/>
    <x v="4"/>
    <x v="2"/>
    <x v="4"/>
    <n v="17"/>
    <x v="0"/>
  </r>
  <r>
    <d v="2021-12-17T00:00:00"/>
    <x v="2"/>
    <x v="1"/>
    <x v="1"/>
    <n v="224002367.09999999"/>
    <x v="2"/>
    <x v="1"/>
    <x v="1"/>
    <x v="7"/>
    <x v="3"/>
    <x v="2"/>
    <x v="4"/>
    <x v="2"/>
    <x v="4"/>
    <n v="17"/>
    <x v="0"/>
  </r>
  <r>
    <d v="2021-12-17T00:00:00"/>
    <x v="0"/>
    <x v="1"/>
    <x v="1"/>
    <n v="23546799.859999999"/>
    <x v="0"/>
    <x v="1"/>
    <x v="1"/>
    <x v="4"/>
    <x v="3"/>
    <x v="2"/>
    <x v="4"/>
    <x v="2"/>
    <x v="4"/>
    <n v="17"/>
    <x v="0"/>
  </r>
  <r>
    <d v="2021-12-17T00:00:00"/>
    <x v="3"/>
    <x v="2"/>
    <x v="2"/>
    <n v="686774.54"/>
    <x v="3"/>
    <x v="2"/>
    <x v="2"/>
    <x v="5"/>
    <x v="3"/>
    <x v="2"/>
    <x v="4"/>
    <x v="2"/>
    <x v="4"/>
    <n v="17"/>
    <x v="0"/>
  </r>
  <r>
    <d v="2021-12-17T00:00:00"/>
    <x v="0"/>
    <x v="1"/>
    <x v="0"/>
    <n v="19520084.59"/>
    <x v="0"/>
    <x v="1"/>
    <x v="0"/>
    <x v="1"/>
    <x v="3"/>
    <x v="2"/>
    <x v="4"/>
    <x v="2"/>
    <x v="4"/>
    <n v="17"/>
    <x v="0"/>
  </r>
  <r>
    <d v="2021-12-17T00:00:00"/>
    <x v="1"/>
    <x v="1"/>
    <x v="0"/>
    <n v="2085"/>
    <x v="1"/>
    <x v="1"/>
    <x v="0"/>
    <x v="0"/>
    <x v="3"/>
    <x v="2"/>
    <x v="4"/>
    <x v="2"/>
    <x v="4"/>
    <n v="17"/>
    <x v="0"/>
  </r>
  <r>
    <d v="2021-12-17T00:00:00"/>
    <x v="3"/>
    <x v="3"/>
    <x v="0"/>
    <n v="2968973595.6900001"/>
    <x v="3"/>
    <x v="3"/>
    <x v="0"/>
    <x v="8"/>
    <x v="3"/>
    <x v="2"/>
    <x v="4"/>
    <x v="2"/>
    <x v="4"/>
    <n v="17"/>
    <x v="0"/>
  </r>
  <r>
    <d v="2021-12-17T00:00:00"/>
    <x v="1"/>
    <x v="0"/>
    <x v="1"/>
    <n v="214653431.11000001"/>
    <x v="1"/>
    <x v="0"/>
    <x v="1"/>
    <x v="9"/>
    <x v="3"/>
    <x v="2"/>
    <x v="4"/>
    <x v="2"/>
    <x v="4"/>
    <n v="17"/>
    <x v="0"/>
  </r>
  <r>
    <d v="2021-12-17T00:00:00"/>
    <x v="1"/>
    <x v="0"/>
    <x v="0"/>
    <n v="83955884.489999995"/>
    <x v="1"/>
    <x v="0"/>
    <x v="0"/>
    <x v="10"/>
    <x v="3"/>
    <x v="2"/>
    <x v="4"/>
    <x v="2"/>
    <x v="4"/>
    <n v="17"/>
    <x v="0"/>
  </r>
  <r>
    <d v="2021-12-17T00:00:00"/>
    <x v="3"/>
    <x v="2"/>
    <x v="0"/>
    <n v="410583869.38"/>
    <x v="3"/>
    <x v="2"/>
    <x v="0"/>
    <x v="11"/>
    <x v="3"/>
    <x v="2"/>
    <x v="4"/>
    <x v="2"/>
    <x v="4"/>
    <n v="17"/>
    <x v="0"/>
  </r>
  <r>
    <d v="2021-12-17T00:00:00"/>
    <x v="3"/>
    <x v="1"/>
    <x v="0"/>
    <n v="14417794.460000001"/>
    <x v="3"/>
    <x v="1"/>
    <x v="0"/>
    <x v="12"/>
    <x v="3"/>
    <x v="2"/>
    <x v="4"/>
    <x v="2"/>
    <x v="4"/>
    <n v="17"/>
    <x v="0"/>
  </r>
  <r>
    <d v="2021-12-17T00:00:00"/>
    <x v="3"/>
    <x v="2"/>
    <x v="1"/>
    <n v="15432254321.809999"/>
    <x v="3"/>
    <x v="2"/>
    <x v="1"/>
    <x v="13"/>
    <x v="3"/>
    <x v="2"/>
    <x v="4"/>
    <x v="2"/>
    <x v="4"/>
    <n v="17"/>
    <x v="0"/>
  </r>
  <r>
    <d v="2021-12-16T00:00:00"/>
    <x v="3"/>
    <x v="2"/>
    <x v="2"/>
    <n v="548717.55000000005"/>
    <x v="3"/>
    <x v="2"/>
    <x v="2"/>
    <x v="5"/>
    <x v="3"/>
    <x v="2"/>
    <x v="4"/>
    <x v="2"/>
    <x v="4"/>
    <n v="16"/>
    <x v="0"/>
  </r>
  <r>
    <d v="2021-12-16T00:00:00"/>
    <x v="2"/>
    <x v="1"/>
    <x v="2"/>
    <n v="51195"/>
    <x v="2"/>
    <x v="1"/>
    <x v="2"/>
    <x v="2"/>
    <x v="3"/>
    <x v="2"/>
    <x v="4"/>
    <x v="2"/>
    <x v="4"/>
    <n v="16"/>
    <x v="0"/>
  </r>
  <r>
    <d v="2021-12-16T00:00:00"/>
    <x v="2"/>
    <x v="1"/>
    <x v="1"/>
    <n v="372363656.02999997"/>
    <x v="2"/>
    <x v="1"/>
    <x v="1"/>
    <x v="7"/>
    <x v="3"/>
    <x v="2"/>
    <x v="4"/>
    <x v="2"/>
    <x v="4"/>
    <n v="16"/>
    <x v="0"/>
  </r>
  <r>
    <d v="2021-12-16T00:00:00"/>
    <x v="0"/>
    <x v="1"/>
    <x v="1"/>
    <n v="495862.33"/>
    <x v="0"/>
    <x v="1"/>
    <x v="1"/>
    <x v="4"/>
    <x v="3"/>
    <x v="2"/>
    <x v="4"/>
    <x v="2"/>
    <x v="4"/>
    <n v="16"/>
    <x v="0"/>
  </r>
  <r>
    <d v="2021-12-16T00:00:00"/>
    <x v="1"/>
    <x v="0"/>
    <x v="1"/>
    <n v="352410372.12"/>
    <x v="1"/>
    <x v="0"/>
    <x v="1"/>
    <x v="9"/>
    <x v="3"/>
    <x v="2"/>
    <x v="4"/>
    <x v="2"/>
    <x v="4"/>
    <n v="16"/>
    <x v="0"/>
  </r>
  <r>
    <d v="2021-12-16T00:00:00"/>
    <x v="3"/>
    <x v="3"/>
    <x v="0"/>
    <n v="1016422856.6799999"/>
    <x v="3"/>
    <x v="3"/>
    <x v="0"/>
    <x v="10"/>
    <x v="3"/>
    <x v="2"/>
    <x v="4"/>
    <x v="2"/>
    <x v="4"/>
    <n v="16"/>
    <x v="0"/>
  </r>
  <r>
    <d v="2021-12-16T00:00:00"/>
    <x v="0"/>
    <x v="1"/>
    <x v="0"/>
    <n v="12628351.369999999"/>
    <x v="0"/>
    <x v="1"/>
    <x v="0"/>
    <x v="0"/>
    <x v="3"/>
    <x v="2"/>
    <x v="4"/>
    <x v="2"/>
    <x v="4"/>
    <n v="16"/>
    <x v="0"/>
  </r>
  <r>
    <d v="2021-12-16T00:00:00"/>
    <x v="1"/>
    <x v="0"/>
    <x v="2"/>
    <n v="1138.1600000000001"/>
    <x v="1"/>
    <x v="0"/>
    <x v="2"/>
    <x v="1"/>
    <x v="3"/>
    <x v="2"/>
    <x v="4"/>
    <x v="2"/>
    <x v="4"/>
    <n v="16"/>
    <x v="0"/>
  </r>
  <r>
    <d v="2021-12-16T00:00:00"/>
    <x v="3"/>
    <x v="3"/>
    <x v="1"/>
    <n v="1542.98"/>
    <x v="3"/>
    <x v="3"/>
    <x v="1"/>
    <x v="3"/>
    <x v="3"/>
    <x v="2"/>
    <x v="4"/>
    <x v="2"/>
    <x v="4"/>
    <n v="16"/>
    <x v="0"/>
  </r>
  <r>
    <d v="2021-12-16T00:00:00"/>
    <x v="2"/>
    <x v="1"/>
    <x v="0"/>
    <n v="88780267.010000005"/>
    <x v="2"/>
    <x v="1"/>
    <x v="0"/>
    <x v="6"/>
    <x v="3"/>
    <x v="2"/>
    <x v="4"/>
    <x v="2"/>
    <x v="4"/>
    <n v="16"/>
    <x v="0"/>
  </r>
  <r>
    <d v="2021-12-16T00:00:00"/>
    <x v="1"/>
    <x v="0"/>
    <x v="0"/>
    <n v="76945428.230000004"/>
    <x v="1"/>
    <x v="0"/>
    <x v="0"/>
    <x v="8"/>
    <x v="3"/>
    <x v="2"/>
    <x v="4"/>
    <x v="2"/>
    <x v="4"/>
    <n v="16"/>
    <x v="0"/>
  </r>
  <r>
    <d v="2021-12-16T00:00:00"/>
    <x v="3"/>
    <x v="2"/>
    <x v="0"/>
    <n v="653084728.27999997"/>
    <x v="3"/>
    <x v="2"/>
    <x v="0"/>
    <x v="11"/>
    <x v="3"/>
    <x v="2"/>
    <x v="4"/>
    <x v="2"/>
    <x v="4"/>
    <n v="16"/>
    <x v="0"/>
  </r>
  <r>
    <d v="2021-12-16T00:00:00"/>
    <x v="3"/>
    <x v="1"/>
    <x v="0"/>
    <n v="14945130.779999999"/>
    <x v="3"/>
    <x v="1"/>
    <x v="0"/>
    <x v="12"/>
    <x v="3"/>
    <x v="2"/>
    <x v="4"/>
    <x v="2"/>
    <x v="4"/>
    <n v="16"/>
    <x v="0"/>
  </r>
  <r>
    <d v="2021-12-16T00:00:00"/>
    <x v="3"/>
    <x v="2"/>
    <x v="1"/>
    <n v="34711048868.029999"/>
    <x v="3"/>
    <x v="2"/>
    <x v="1"/>
    <x v="13"/>
    <x v="3"/>
    <x v="2"/>
    <x v="4"/>
    <x v="2"/>
    <x v="4"/>
    <n v="16"/>
    <x v="0"/>
  </r>
  <r>
    <d v="2021-12-15T00:00:00"/>
    <x v="1"/>
    <x v="0"/>
    <x v="2"/>
    <n v="11563.94"/>
    <x v="1"/>
    <x v="0"/>
    <x v="2"/>
    <x v="1"/>
    <x v="3"/>
    <x v="2"/>
    <x v="4"/>
    <x v="2"/>
    <x v="4"/>
    <n v="15"/>
    <x v="0"/>
  </r>
  <r>
    <d v="2021-12-15T00:00:00"/>
    <x v="2"/>
    <x v="1"/>
    <x v="0"/>
    <n v="108014175.17"/>
    <x v="2"/>
    <x v="1"/>
    <x v="0"/>
    <x v="6"/>
    <x v="3"/>
    <x v="2"/>
    <x v="4"/>
    <x v="2"/>
    <x v="4"/>
    <n v="15"/>
    <x v="0"/>
  </r>
  <r>
    <d v="2021-12-15T00:00:00"/>
    <x v="2"/>
    <x v="1"/>
    <x v="2"/>
    <n v="259145.22"/>
    <x v="2"/>
    <x v="1"/>
    <x v="2"/>
    <x v="3"/>
    <x v="3"/>
    <x v="2"/>
    <x v="4"/>
    <x v="2"/>
    <x v="4"/>
    <n v="15"/>
    <x v="0"/>
  </r>
  <r>
    <d v="2021-12-15T00:00:00"/>
    <x v="2"/>
    <x v="1"/>
    <x v="1"/>
    <n v="317147363.82999998"/>
    <x v="2"/>
    <x v="1"/>
    <x v="1"/>
    <x v="7"/>
    <x v="3"/>
    <x v="2"/>
    <x v="4"/>
    <x v="2"/>
    <x v="4"/>
    <n v="15"/>
    <x v="0"/>
  </r>
  <r>
    <d v="2021-12-15T00:00:00"/>
    <x v="1"/>
    <x v="0"/>
    <x v="1"/>
    <n v="1026710388.0599999"/>
    <x v="1"/>
    <x v="0"/>
    <x v="1"/>
    <x v="8"/>
    <x v="3"/>
    <x v="2"/>
    <x v="4"/>
    <x v="2"/>
    <x v="4"/>
    <n v="15"/>
    <x v="0"/>
  </r>
  <r>
    <d v="2021-12-15T00:00:00"/>
    <x v="1"/>
    <x v="0"/>
    <x v="0"/>
    <n v="111295245.41"/>
    <x v="1"/>
    <x v="0"/>
    <x v="0"/>
    <x v="9"/>
    <x v="3"/>
    <x v="2"/>
    <x v="4"/>
    <x v="2"/>
    <x v="4"/>
    <n v="15"/>
    <x v="0"/>
  </r>
  <r>
    <d v="2021-12-15T00:00:00"/>
    <x v="0"/>
    <x v="1"/>
    <x v="1"/>
    <n v="1322868.02"/>
    <x v="0"/>
    <x v="1"/>
    <x v="1"/>
    <x v="2"/>
    <x v="3"/>
    <x v="2"/>
    <x v="4"/>
    <x v="2"/>
    <x v="4"/>
    <n v="15"/>
    <x v="0"/>
  </r>
  <r>
    <d v="2021-12-15T00:00:00"/>
    <x v="0"/>
    <x v="1"/>
    <x v="0"/>
    <n v="17729141.34"/>
    <x v="0"/>
    <x v="1"/>
    <x v="0"/>
    <x v="0"/>
    <x v="3"/>
    <x v="2"/>
    <x v="4"/>
    <x v="2"/>
    <x v="4"/>
    <n v="15"/>
    <x v="0"/>
  </r>
  <r>
    <d v="2021-12-15T00:00:00"/>
    <x v="3"/>
    <x v="2"/>
    <x v="2"/>
    <n v="436132.52"/>
    <x v="3"/>
    <x v="2"/>
    <x v="2"/>
    <x v="4"/>
    <x v="3"/>
    <x v="2"/>
    <x v="4"/>
    <x v="2"/>
    <x v="4"/>
    <n v="15"/>
    <x v="0"/>
  </r>
  <r>
    <d v="2021-12-15T00:00:00"/>
    <x v="3"/>
    <x v="3"/>
    <x v="0"/>
    <n v="2459497506.9000001"/>
    <x v="3"/>
    <x v="3"/>
    <x v="0"/>
    <x v="5"/>
    <x v="3"/>
    <x v="2"/>
    <x v="4"/>
    <x v="2"/>
    <x v="4"/>
    <n v="15"/>
    <x v="0"/>
  </r>
  <r>
    <d v="2021-12-15T00:00:00"/>
    <x v="3"/>
    <x v="2"/>
    <x v="0"/>
    <n v="520647092.77999997"/>
    <x v="3"/>
    <x v="2"/>
    <x v="0"/>
    <x v="10"/>
    <x v="3"/>
    <x v="2"/>
    <x v="4"/>
    <x v="2"/>
    <x v="4"/>
    <n v="15"/>
    <x v="0"/>
  </r>
  <r>
    <d v="2021-12-15T00:00:00"/>
    <x v="3"/>
    <x v="1"/>
    <x v="0"/>
    <n v="14289764.01"/>
    <x v="3"/>
    <x v="1"/>
    <x v="0"/>
    <x v="11"/>
    <x v="3"/>
    <x v="2"/>
    <x v="4"/>
    <x v="2"/>
    <x v="4"/>
    <n v="15"/>
    <x v="0"/>
  </r>
  <r>
    <d v="2021-12-15T00:00:00"/>
    <x v="3"/>
    <x v="2"/>
    <x v="1"/>
    <n v="67908732955.260002"/>
    <x v="3"/>
    <x v="2"/>
    <x v="1"/>
    <x v="12"/>
    <x v="3"/>
    <x v="2"/>
    <x v="4"/>
    <x v="2"/>
    <x v="4"/>
    <n v="15"/>
    <x v="0"/>
  </r>
  <r>
    <d v="2021-12-14T00:00:00"/>
    <x v="1"/>
    <x v="0"/>
    <x v="2"/>
    <n v="1666.35"/>
    <x v="1"/>
    <x v="0"/>
    <x v="2"/>
    <x v="2"/>
    <x v="3"/>
    <x v="2"/>
    <x v="4"/>
    <x v="2"/>
    <x v="4"/>
    <n v="14"/>
    <x v="0"/>
  </r>
  <r>
    <d v="2021-12-14T00:00:00"/>
    <x v="2"/>
    <x v="1"/>
    <x v="2"/>
    <n v="25900"/>
    <x v="2"/>
    <x v="1"/>
    <x v="2"/>
    <x v="3"/>
    <x v="3"/>
    <x v="2"/>
    <x v="4"/>
    <x v="2"/>
    <x v="4"/>
    <n v="14"/>
    <x v="0"/>
  </r>
  <r>
    <d v="2021-12-14T00:00:00"/>
    <x v="2"/>
    <x v="1"/>
    <x v="0"/>
    <n v="112572094"/>
    <x v="2"/>
    <x v="1"/>
    <x v="0"/>
    <x v="7"/>
    <x v="3"/>
    <x v="2"/>
    <x v="4"/>
    <x v="2"/>
    <x v="4"/>
    <n v="14"/>
    <x v="0"/>
  </r>
  <r>
    <d v="2021-12-14T00:00:00"/>
    <x v="1"/>
    <x v="0"/>
    <x v="1"/>
    <n v="379621389.13999999"/>
    <x v="1"/>
    <x v="0"/>
    <x v="1"/>
    <x v="9"/>
    <x v="3"/>
    <x v="2"/>
    <x v="4"/>
    <x v="2"/>
    <x v="4"/>
    <n v="14"/>
    <x v="0"/>
  </r>
  <r>
    <d v="2021-12-14T00:00:00"/>
    <x v="0"/>
    <x v="1"/>
    <x v="1"/>
    <n v="6312004.96"/>
    <x v="0"/>
    <x v="1"/>
    <x v="1"/>
    <x v="4"/>
    <x v="3"/>
    <x v="2"/>
    <x v="4"/>
    <x v="2"/>
    <x v="4"/>
    <n v="14"/>
    <x v="0"/>
  </r>
  <r>
    <d v="2021-12-14T00:00:00"/>
    <x v="3"/>
    <x v="2"/>
    <x v="2"/>
    <n v="426813.46"/>
    <x v="3"/>
    <x v="2"/>
    <x v="2"/>
    <x v="5"/>
    <x v="3"/>
    <x v="2"/>
    <x v="4"/>
    <x v="2"/>
    <x v="4"/>
    <n v="14"/>
    <x v="0"/>
  </r>
  <r>
    <d v="2021-12-14T00:00:00"/>
    <x v="0"/>
    <x v="1"/>
    <x v="0"/>
    <n v="17854838.109999999"/>
    <x v="0"/>
    <x v="1"/>
    <x v="0"/>
    <x v="1"/>
    <x v="3"/>
    <x v="2"/>
    <x v="4"/>
    <x v="2"/>
    <x v="4"/>
    <n v="14"/>
    <x v="0"/>
  </r>
  <r>
    <d v="2021-12-14T00:00:00"/>
    <x v="0"/>
    <x v="0"/>
    <x v="0"/>
    <n v="288.75"/>
    <x v="0"/>
    <x v="0"/>
    <x v="0"/>
    <x v="0"/>
    <x v="3"/>
    <x v="2"/>
    <x v="4"/>
    <x v="2"/>
    <x v="4"/>
    <n v="14"/>
    <x v="0"/>
  </r>
  <r>
    <d v="2021-12-14T00:00:00"/>
    <x v="3"/>
    <x v="3"/>
    <x v="0"/>
    <n v="1592575830.6199999"/>
    <x v="3"/>
    <x v="3"/>
    <x v="0"/>
    <x v="6"/>
    <x v="3"/>
    <x v="2"/>
    <x v="4"/>
    <x v="2"/>
    <x v="4"/>
    <n v="14"/>
    <x v="0"/>
  </r>
  <r>
    <d v="2021-12-14T00:00:00"/>
    <x v="2"/>
    <x v="1"/>
    <x v="1"/>
    <n v="182580030.66"/>
    <x v="2"/>
    <x v="1"/>
    <x v="1"/>
    <x v="8"/>
    <x v="3"/>
    <x v="2"/>
    <x v="4"/>
    <x v="2"/>
    <x v="4"/>
    <n v="14"/>
    <x v="0"/>
  </r>
  <r>
    <d v="2021-12-14T00:00:00"/>
    <x v="1"/>
    <x v="0"/>
    <x v="0"/>
    <n v="80650865.519999996"/>
    <x v="1"/>
    <x v="0"/>
    <x v="0"/>
    <x v="10"/>
    <x v="3"/>
    <x v="2"/>
    <x v="4"/>
    <x v="2"/>
    <x v="4"/>
    <n v="14"/>
    <x v="0"/>
  </r>
  <r>
    <d v="2021-12-14T00:00:00"/>
    <x v="3"/>
    <x v="1"/>
    <x v="0"/>
    <n v="9718029.0500000007"/>
    <x v="3"/>
    <x v="1"/>
    <x v="0"/>
    <x v="11"/>
    <x v="3"/>
    <x v="2"/>
    <x v="4"/>
    <x v="2"/>
    <x v="4"/>
    <n v="14"/>
    <x v="0"/>
  </r>
  <r>
    <d v="2021-12-14T00:00:00"/>
    <x v="3"/>
    <x v="2"/>
    <x v="0"/>
    <n v="726725794.01999998"/>
    <x v="3"/>
    <x v="2"/>
    <x v="0"/>
    <x v="12"/>
    <x v="3"/>
    <x v="2"/>
    <x v="4"/>
    <x v="2"/>
    <x v="4"/>
    <n v="14"/>
    <x v="0"/>
  </r>
  <r>
    <d v="2021-12-14T00:00:00"/>
    <x v="3"/>
    <x v="2"/>
    <x v="1"/>
    <n v="21965511034.75"/>
    <x v="3"/>
    <x v="2"/>
    <x v="1"/>
    <x v="13"/>
    <x v="3"/>
    <x v="2"/>
    <x v="4"/>
    <x v="2"/>
    <x v="4"/>
    <n v="14"/>
    <x v="0"/>
  </r>
  <r>
    <d v="2021-12-13T00:00:00"/>
    <x v="1"/>
    <x v="0"/>
    <x v="2"/>
    <n v="4930.57"/>
    <x v="1"/>
    <x v="0"/>
    <x v="2"/>
    <x v="2"/>
    <x v="3"/>
    <x v="2"/>
    <x v="4"/>
    <x v="2"/>
    <x v="4"/>
    <n v="13"/>
    <x v="0"/>
  </r>
  <r>
    <d v="2021-12-13T00:00:00"/>
    <x v="2"/>
    <x v="1"/>
    <x v="2"/>
    <n v="33276.980000000003"/>
    <x v="2"/>
    <x v="1"/>
    <x v="2"/>
    <x v="3"/>
    <x v="3"/>
    <x v="2"/>
    <x v="4"/>
    <x v="2"/>
    <x v="4"/>
    <n v="13"/>
    <x v="0"/>
  </r>
  <r>
    <d v="2021-12-13T00:00:00"/>
    <x v="2"/>
    <x v="1"/>
    <x v="1"/>
    <n v="167203486.99000001"/>
    <x v="2"/>
    <x v="1"/>
    <x v="1"/>
    <x v="8"/>
    <x v="3"/>
    <x v="2"/>
    <x v="4"/>
    <x v="2"/>
    <x v="4"/>
    <n v="13"/>
    <x v="0"/>
  </r>
  <r>
    <d v="2021-12-13T00:00:00"/>
    <x v="1"/>
    <x v="0"/>
    <x v="1"/>
    <n v="271514249.43000001"/>
    <x v="1"/>
    <x v="0"/>
    <x v="1"/>
    <x v="9"/>
    <x v="3"/>
    <x v="2"/>
    <x v="4"/>
    <x v="2"/>
    <x v="4"/>
    <n v="13"/>
    <x v="0"/>
  </r>
  <r>
    <d v="2021-12-13T00:00:00"/>
    <x v="0"/>
    <x v="1"/>
    <x v="1"/>
    <n v="3605480.25"/>
    <x v="0"/>
    <x v="1"/>
    <x v="1"/>
    <x v="4"/>
    <x v="3"/>
    <x v="2"/>
    <x v="4"/>
    <x v="2"/>
    <x v="4"/>
    <n v="13"/>
    <x v="0"/>
  </r>
  <r>
    <d v="2021-12-13T00:00:00"/>
    <x v="3"/>
    <x v="2"/>
    <x v="2"/>
    <n v="511482.48"/>
    <x v="3"/>
    <x v="2"/>
    <x v="2"/>
    <x v="5"/>
    <x v="3"/>
    <x v="2"/>
    <x v="4"/>
    <x v="2"/>
    <x v="4"/>
    <n v="13"/>
    <x v="0"/>
  </r>
  <r>
    <d v="2021-12-13T00:00:00"/>
    <x v="2"/>
    <x v="1"/>
    <x v="0"/>
    <n v="85356854.780000001"/>
    <x v="2"/>
    <x v="1"/>
    <x v="0"/>
    <x v="6"/>
    <x v="3"/>
    <x v="2"/>
    <x v="4"/>
    <x v="2"/>
    <x v="4"/>
    <n v="13"/>
    <x v="0"/>
  </r>
  <r>
    <d v="2021-12-13T00:00:00"/>
    <x v="0"/>
    <x v="1"/>
    <x v="0"/>
    <n v="15280512.16"/>
    <x v="0"/>
    <x v="1"/>
    <x v="0"/>
    <x v="1"/>
    <x v="3"/>
    <x v="2"/>
    <x v="4"/>
    <x v="2"/>
    <x v="4"/>
    <n v="13"/>
    <x v="0"/>
  </r>
  <r>
    <d v="2021-12-13T00:00:00"/>
    <x v="0"/>
    <x v="0"/>
    <x v="0"/>
    <n v="500"/>
    <x v="0"/>
    <x v="0"/>
    <x v="0"/>
    <x v="0"/>
    <x v="3"/>
    <x v="2"/>
    <x v="4"/>
    <x v="2"/>
    <x v="4"/>
    <n v="13"/>
    <x v="0"/>
  </r>
  <r>
    <d v="2021-12-13T00:00:00"/>
    <x v="1"/>
    <x v="0"/>
    <x v="0"/>
    <n v="63538829.5"/>
    <x v="1"/>
    <x v="0"/>
    <x v="0"/>
    <x v="10"/>
    <x v="3"/>
    <x v="2"/>
    <x v="4"/>
    <x v="2"/>
    <x v="4"/>
    <n v="13"/>
    <x v="0"/>
  </r>
  <r>
    <d v="2021-12-13T00:00:00"/>
    <x v="3"/>
    <x v="3"/>
    <x v="0"/>
    <n v="1126541344.52"/>
    <x v="3"/>
    <x v="3"/>
    <x v="0"/>
    <x v="7"/>
    <x v="3"/>
    <x v="2"/>
    <x v="4"/>
    <x v="2"/>
    <x v="4"/>
    <n v="13"/>
    <x v="0"/>
  </r>
  <r>
    <d v="2021-12-13T00:00:00"/>
    <x v="3"/>
    <x v="2"/>
    <x v="0"/>
    <n v="483112148.29000002"/>
    <x v="3"/>
    <x v="2"/>
    <x v="0"/>
    <x v="11"/>
    <x v="3"/>
    <x v="2"/>
    <x v="4"/>
    <x v="2"/>
    <x v="4"/>
    <n v="13"/>
    <x v="0"/>
  </r>
  <r>
    <d v="2021-12-13T00:00:00"/>
    <x v="3"/>
    <x v="2"/>
    <x v="1"/>
    <n v="32787112421.740002"/>
    <x v="3"/>
    <x v="2"/>
    <x v="1"/>
    <x v="12"/>
    <x v="3"/>
    <x v="2"/>
    <x v="4"/>
    <x v="2"/>
    <x v="4"/>
    <n v="13"/>
    <x v="0"/>
  </r>
  <r>
    <d v="2021-12-13T00:00:00"/>
    <x v="3"/>
    <x v="1"/>
    <x v="0"/>
    <n v="39315811.289999999"/>
    <x v="3"/>
    <x v="1"/>
    <x v="0"/>
    <x v="13"/>
    <x v="3"/>
    <x v="2"/>
    <x v="4"/>
    <x v="2"/>
    <x v="4"/>
    <n v="13"/>
    <x v="0"/>
  </r>
  <r>
    <d v="2021-12-10T00:00:00"/>
    <x v="2"/>
    <x v="1"/>
    <x v="2"/>
    <n v="21900"/>
    <x v="2"/>
    <x v="1"/>
    <x v="2"/>
    <x v="4"/>
    <x v="3"/>
    <x v="2"/>
    <x v="4"/>
    <x v="2"/>
    <x v="4"/>
    <n v="10"/>
    <x v="0"/>
  </r>
  <r>
    <d v="2021-12-10T00:00:00"/>
    <x v="3"/>
    <x v="3"/>
    <x v="0"/>
    <n v="1344721507.8199999"/>
    <x v="3"/>
    <x v="3"/>
    <x v="0"/>
    <x v="9"/>
    <x v="3"/>
    <x v="2"/>
    <x v="4"/>
    <x v="2"/>
    <x v="4"/>
    <n v="10"/>
    <x v="0"/>
  </r>
  <r>
    <d v="2021-12-10T00:00:00"/>
    <x v="2"/>
    <x v="1"/>
    <x v="1"/>
    <n v="281748805.82999998"/>
    <x v="2"/>
    <x v="1"/>
    <x v="1"/>
    <x v="10"/>
    <x v="3"/>
    <x v="2"/>
    <x v="4"/>
    <x v="2"/>
    <x v="4"/>
    <n v="10"/>
    <x v="0"/>
  </r>
  <r>
    <d v="2021-12-10T00:00:00"/>
    <x v="1"/>
    <x v="0"/>
    <x v="0"/>
    <n v="88378227.829999998"/>
    <x v="1"/>
    <x v="0"/>
    <x v="0"/>
    <x v="11"/>
    <x v="3"/>
    <x v="2"/>
    <x v="4"/>
    <x v="2"/>
    <x v="4"/>
    <n v="10"/>
    <x v="0"/>
  </r>
  <r>
    <d v="2021-12-10T00:00:00"/>
    <x v="1"/>
    <x v="0"/>
    <x v="1"/>
    <n v="149756775.61000001"/>
    <x v="1"/>
    <x v="0"/>
    <x v="1"/>
    <x v="12"/>
    <x v="3"/>
    <x v="2"/>
    <x v="4"/>
    <x v="2"/>
    <x v="4"/>
    <n v="10"/>
    <x v="0"/>
  </r>
  <r>
    <d v="2021-12-10T00:00:00"/>
    <x v="0"/>
    <x v="1"/>
    <x v="1"/>
    <n v="2619016.9300000002"/>
    <x v="0"/>
    <x v="1"/>
    <x v="1"/>
    <x v="6"/>
    <x v="3"/>
    <x v="2"/>
    <x v="4"/>
    <x v="2"/>
    <x v="4"/>
    <n v="10"/>
    <x v="0"/>
  </r>
  <r>
    <d v="2021-12-10T00:00:00"/>
    <x v="1"/>
    <x v="1"/>
    <x v="0"/>
    <n v="1504.89"/>
    <x v="1"/>
    <x v="1"/>
    <x v="0"/>
    <x v="1"/>
    <x v="3"/>
    <x v="2"/>
    <x v="4"/>
    <x v="2"/>
    <x v="4"/>
    <n v="10"/>
    <x v="0"/>
  </r>
  <r>
    <d v="2021-12-10T00:00:00"/>
    <x v="0"/>
    <x v="1"/>
    <x v="0"/>
    <n v="7249645.6600000001"/>
    <x v="0"/>
    <x v="1"/>
    <x v="0"/>
    <x v="2"/>
    <x v="3"/>
    <x v="2"/>
    <x v="4"/>
    <x v="2"/>
    <x v="4"/>
    <n v="10"/>
    <x v="0"/>
  </r>
  <r>
    <d v="2021-12-10T00:00:00"/>
    <x v="2"/>
    <x v="1"/>
    <x v="0"/>
    <n v="90069388.799999997"/>
    <x v="2"/>
    <x v="1"/>
    <x v="0"/>
    <x v="8"/>
    <x v="3"/>
    <x v="2"/>
    <x v="4"/>
    <x v="2"/>
    <x v="4"/>
    <n v="10"/>
    <x v="0"/>
  </r>
  <r>
    <d v="2021-12-10T00:00:00"/>
    <x v="0"/>
    <x v="0"/>
    <x v="0"/>
    <n v="100"/>
    <x v="0"/>
    <x v="0"/>
    <x v="0"/>
    <x v="0"/>
    <x v="3"/>
    <x v="2"/>
    <x v="4"/>
    <x v="2"/>
    <x v="4"/>
    <n v="10"/>
    <x v="0"/>
  </r>
  <r>
    <d v="2021-12-10T00:00:00"/>
    <x v="3"/>
    <x v="3"/>
    <x v="1"/>
    <n v="200"/>
    <x v="3"/>
    <x v="3"/>
    <x v="1"/>
    <x v="5"/>
    <x v="3"/>
    <x v="2"/>
    <x v="4"/>
    <x v="2"/>
    <x v="4"/>
    <n v="10"/>
    <x v="0"/>
  </r>
  <r>
    <d v="2021-12-10T00:00:00"/>
    <x v="1"/>
    <x v="0"/>
    <x v="2"/>
    <n v="3040.24"/>
    <x v="1"/>
    <x v="0"/>
    <x v="2"/>
    <x v="3"/>
    <x v="3"/>
    <x v="2"/>
    <x v="4"/>
    <x v="2"/>
    <x v="4"/>
    <n v="10"/>
    <x v="0"/>
  </r>
  <r>
    <d v="2021-12-10T00:00:00"/>
    <x v="3"/>
    <x v="2"/>
    <x v="2"/>
    <n v="526770.16"/>
    <x v="3"/>
    <x v="2"/>
    <x v="2"/>
    <x v="7"/>
    <x v="3"/>
    <x v="2"/>
    <x v="4"/>
    <x v="2"/>
    <x v="4"/>
    <n v="10"/>
    <x v="0"/>
  </r>
  <r>
    <d v="2021-12-10T00:00:00"/>
    <x v="3"/>
    <x v="2"/>
    <x v="0"/>
    <n v="446517345.35000002"/>
    <x v="3"/>
    <x v="2"/>
    <x v="0"/>
    <x v="13"/>
    <x v="3"/>
    <x v="2"/>
    <x v="4"/>
    <x v="2"/>
    <x v="4"/>
    <n v="10"/>
    <x v="0"/>
  </r>
  <r>
    <d v="2021-12-10T00:00:00"/>
    <x v="3"/>
    <x v="1"/>
    <x v="0"/>
    <n v="12721595.09"/>
    <x v="3"/>
    <x v="1"/>
    <x v="0"/>
    <x v="14"/>
    <x v="3"/>
    <x v="2"/>
    <x v="4"/>
    <x v="2"/>
    <x v="4"/>
    <n v="10"/>
    <x v="0"/>
  </r>
  <r>
    <d v="2021-12-10T00:00:00"/>
    <x v="3"/>
    <x v="2"/>
    <x v="1"/>
    <n v="14029542119.799999"/>
    <x v="3"/>
    <x v="2"/>
    <x v="1"/>
    <x v="15"/>
    <x v="3"/>
    <x v="2"/>
    <x v="4"/>
    <x v="2"/>
    <x v="4"/>
    <n v="10"/>
    <x v="0"/>
  </r>
  <r>
    <d v="2021-12-09T00:00:00"/>
    <x v="1"/>
    <x v="0"/>
    <x v="2"/>
    <n v="5364.14"/>
    <x v="1"/>
    <x v="0"/>
    <x v="2"/>
    <x v="2"/>
    <x v="3"/>
    <x v="2"/>
    <x v="4"/>
    <x v="2"/>
    <x v="4"/>
    <n v="9"/>
    <x v="0"/>
  </r>
  <r>
    <d v="2021-12-09T00:00:00"/>
    <x v="2"/>
    <x v="1"/>
    <x v="2"/>
    <n v="104340"/>
    <x v="2"/>
    <x v="1"/>
    <x v="2"/>
    <x v="3"/>
    <x v="3"/>
    <x v="2"/>
    <x v="4"/>
    <x v="2"/>
    <x v="4"/>
    <n v="9"/>
    <x v="0"/>
  </r>
  <r>
    <d v="2021-12-09T00:00:00"/>
    <x v="2"/>
    <x v="1"/>
    <x v="0"/>
    <n v="105129761"/>
    <x v="2"/>
    <x v="1"/>
    <x v="0"/>
    <x v="7"/>
    <x v="3"/>
    <x v="2"/>
    <x v="4"/>
    <x v="2"/>
    <x v="4"/>
    <n v="9"/>
    <x v="0"/>
  </r>
  <r>
    <d v="2021-12-09T00:00:00"/>
    <x v="2"/>
    <x v="1"/>
    <x v="1"/>
    <n v="133332091.95"/>
    <x v="2"/>
    <x v="1"/>
    <x v="1"/>
    <x v="8"/>
    <x v="3"/>
    <x v="2"/>
    <x v="4"/>
    <x v="2"/>
    <x v="4"/>
    <n v="9"/>
    <x v="0"/>
  </r>
  <r>
    <d v="2021-12-09T00:00:00"/>
    <x v="1"/>
    <x v="0"/>
    <x v="0"/>
    <n v="44746051"/>
    <x v="1"/>
    <x v="0"/>
    <x v="0"/>
    <x v="9"/>
    <x v="3"/>
    <x v="2"/>
    <x v="4"/>
    <x v="2"/>
    <x v="4"/>
    <n v="9"/>
    <x v="0"/>
  </r>
  <r>
    <d v="2021-12-09T00:00:00"/>
    <x v="0"/>
    <x v="1"/>
    <x v="1"/>
    <n v="4792354.93"/>
    <x v="0"/>
    <x v="1"/>
    <x v="1"/>
    <x v="5"/>
    <x v="3"/>
    <x v="2"/>
    <x v="4"/>
    <x v="2"/>
    <x v="4"/>
    <n v="9"/>
    <x v="0"/>
  </r>
  <r>
    <d v="2021-12-09T00:00:00"/>
    <x v="3"/>
    <x v="2"/>
    <x v="2"/>
    <n v="566732.85"/>
    <x v="3"/>
    <x v="2"/>
    <x v="2"/>
    <x v="6"/>
    <x v="3"/>
    <x v="2"/>
    <x v="4"/>
    <x v="2"/>
    <x v="4"/>
    <n v="9"/>
    <x v="0"/>
  </r>
  <r>
    <d v="2021-12-09T00:00:00"/>
    <x v="0"/>
    <x v="1"/>
    <x v="0"/>
    <n v="7745091.75"/>
    <x v="0"/>
    <x v="1"/>
    <x v="0"/>
    <x v="1"/>
    <x v="3"/>
    <x v="2"/>
    <x v="4"/>
    <x v="2"/>
    <x v="4"/>
    <n v="9"/>
    <x v="0"/>
  </r>
  <r>
    <d v="2021-12-09T00:00:00"/>
    <x v="0"/>
    <x v="0"/>
    <x v="0"/>
    <n v="4312.95"/>
    <x v="0"/>
    <x v="0"/>
    <x v="0"/>
    <x v="0"/>
    <x v="3"/>
    <x v="2"/>
    <x v="4"/>
    <x v="2"/>
    <x v="4"/>
    <n v="9"/>
    <x v="0"/>
  </r>
  <r>
    <d v="2021-12-09T00:00:00"/>
    <x v="3"/>
    <x v="3"/>
    <x v="1"/>
    <n v="1200"/>
    <x v="3"/>
    <x v="3"/>
    <x v="1"/>
    <x v="4"/>
    <x v="3"/>
    <x v="2"/>
    <x v="4"/>
    <x v="2"/>
    <x v="4"/>
    <n v="9"/>
    <x v="0"/>
  </r>
  <r>
    <d v="2021-12-09T00:00:00"/>
    <x v="1"/>
    <x v="0"/>
    <x v="1"/>
    <n v="355382177.63999999"/>
    <x v="1"/>
    <x v="0"/>
    <x v="1"/>
    <x v="10"/>
    <x v="3"/>
    <x v="2"/>
    <x v="4"/>
    <x v="2"/>
    <x v="4"/>
    <n v="9"/>
    <x v="0"/>
  </r>
  <r>
    <d v="2021-12-09T00:00:00"/>
    <x v="3"/>
    <x v="3"/>
    <x v="0"/>
    <n v="1559174645.8199999"/>
    <x v="3"/>
    <x v="3"/>
    <x v="0"/>
    <x v="11"/>
    <x v="3"/>
    <x v="2"/>
    <x v="4"/>
    <x v="2"/>
    <x v="4"/>
    <n v="9"/>
    <x v="0"/>
  </r>
  <r>
    <d v="2021-12-09T00:00:00"/>
    <x v="3"/>
    <x v="2"/>
    <x v="0"/>
    <n v="376421860.23000002"/>
    <x v="3"/>
    <x v="2"/>
    <x v="0"/>
    <x v="12"/>
    <x v="3"/>
    <x v="2"/>
    <x v="4"/>
    <x v="2"/>
    <x v="4"/>
    <n v="9"/>
    <x v="0"/>
  </r>
  <r>
    <d v="2021-12-09T00:00:00"/>
    <x v="3"/>
    <x v="1"/>
    <x v="0"/>
    <n v="13150712.710000001"/>
    <x v="3"/>
    <x v="1"/>
    <x v="0"/>
    <x v="13"/>
    <x v="3"/>
    <x v="2"/>
    <x v="4"/>
    <x v="2"/>
    <x v="4"/>
    <n v="9"/>
    <x v="0"/>
  </r>
  <r>
    <d v="2021-12-09T00:00:00"/>
    <x v="3"/>
    <x v="2"/>
    <x v="1"/>
    <n v="6442968988.4399996"/>
    <x v="3"/>
    <x v="2"/>
    <x v="1"/>
    <x v="14"/>
    <x v="3"/>
    <x v="2"/>
    <x v="4"/>
    <x v="2"/>
    <x v="4"/>
    <n v="9"/>
    <x v="0"/>
  </r>
  <r>
    <d v="2021-12-08T00:00:00"/>
    <x v="1"/>
    <x v="0"/>
    <x v="2"/>
    <n v="5274.88"/>
    <x v="1"/>
    <x v="0"/>
    <x v="2"/>
    <x v="1"/>
    <x v="3"/>
    <x v="2"/>
    <x v="4"/>
    <x v="2"/>
    <x v="4"/>
    <n v="8"/>
    <x v="0"/>
  </r>
  <r>
    <d v="2021-12-08T00:00:00"/>
    <x v="3"/>
    <x v="3"/>
    <x v="0"/>
    <n v="2070817590.45"/>
    <x v="3"/>
    <x v="3"/>
    <x v="0"/>
    <x v="6"/>
    <x v="3"/>
    <x v="2"/>
    <x v="4"/>
    <x v="2"/>
    <x v="4"/>
    <n v="8"/>
    <x v="0"/>
  </r>
  <r>
    <d v="2021-12-08T00:00:00"/>
    <x v="1"/>
    <x v="0"/>
    <x v="0"/>
    <n v="93722977.530000001"/>
    <x v="1"/>
    <x v="0"/>
    <x v="0"/>
    <x v="7"/>
    <x v="3"/>
    <x v="2"/>
    <x v="4"/>
    <x v="2"/>
    <x v="4"/>
    <n v="8"/>
    <x v="0"/>
  </r>
  <r>
    <d v="2021-12-08T00:00:00"/>
    <x v="1"/>
    <x v="0"/>
    <x v="1"/>
    <n v="580582383.59000003"/>
    <x v="1"/>
    <x v="0"/>
    <x v="1"/>
    <x v="8"/>
    <x v="3"/>
    <x v="2"/>
    <x v="4"/>
    <x v="2"/>
    <x v="4"/>
    <n v="8"/>
    <x v="0"/>
  </r>
  <r>
    <d v="2021-12-08T00:00:00"/>
    <x v="0"/>
    <x v="1"/>
    <x v="1"/>
    <n v="4546994.4800000004"/>
    <x v="0"/>
    <x v="1"/>
    <x v="1"/>
    <x v="2"/>
    <x v="3"/>
    <x v="2"/>
    <x v="4"/>
    <x v="2"/>
    <x v="4"/>
    <n v="8"/>
    <x v="0"/>
  </r>
  <r>
    <d v="2021-12-08T00:00:00"/>
    <x v="2"/>
    <x v="1"/>
    <x v="1"/>
    <n v="190593727.5"/>
    <x v="2"/>
    <x v="1"/>
    <x v="1"/>
    <x v="9"/>
    <x v="3"/>
    <x v="2"/>
    <x v="4"/>
    <x v="2"/>
    <x v="4"/>
    <n v="8"/>
    <x v="0"/>
  </r>
  <r>
    <d v="2021-12-08T00:00:00"/>
    <x v="2"/>
    <x v="1"/>
    <x v="2"/>
    <n v="907424.72"/>
    <x v="2"/>
    <x v="1"/>
    <x v="2"/>
    <x v="3"/>
    <x v="3"/>
    <x v="2"/>
    <x v="4"/>
    <x v="2"/>
    <x v="4"/>
    <n v="8"/>
    <x v="0"/>
  </r>
  <r>
    <d v="2021-12-08T00:00:00"/>
    <x v="3"/>
    <x v="2"/>
    <x v="2"/>
    <n v="461819.15"/>
    <x v="3"/>
    <x v="2"/>
    <x v="2"/>
    <x v="4"/>
    <x v="3"/>
    <x v="2"/>
    <x v="4"/>
    <x v="2"/>
    <x v="4"/>
    <n v="8"/>
    <x v="0"/>
  </r>
  <r>
    <d v="2021-12-08T00:00:00"/>
    <x v="0"/>
    <x v="1"/>
    <x v="0"/>
    <n v="24622537.809999999"/>
    <x v="0"/>
    <x v="1"/>
    <x v="0"/>
    <x v="0"/>
    <x v="3"/>
    <x v="2"/>
    <x v="4"/>
    <x v="2"/>
    <x v="4"/>
    <n v="8"/>
    <x v="0"/>
  </r>
  <r>
    <d v="2021-12-08T00:00:00"/>
    <x v="2"/>
    <x v="1"/>
    <x v="0"/>
    <n v="134123242.65000001"/>
    <x v="2"/>
    <x v="1"/>
    <x v="0"/>
    <x v="5"/>
    <x v="3"/>
    <x v="2"/>
    <x v="4"/>
    <x v="2"/>
    <x v="4"/>
    <n v="8"/>
    <x v="0"/>
  </r>
  <r>
    <d v="2021-12-08T00:00:00"/>
    <x v="3"/>
    <x v="1"/>
    <x v="0"/>
    <n v="12766968.16"/>
    <x v="3"/>
    <x v="1"/>
    <x v="0"/>
    <x v="10"/>
    <x v="3"/>
    <x v="2"/>
    <x v="4"/>
    <x v="2"/>
    <x v="4"/>
    <n v="8"/>
    <x v="0"/>
  </r>
  <r>
    <d v="2021-12-08T00:00:00"/>
    <x v="3"/>
    <x v="2"/>
    <x v="0"/>
    <n v="507837088.29000002"/>
    <x v="3"/>
    <x v="2"/>
    <x v="0"/>
    <x v="11"/>
    <x v="3"/>
    <x v="2"/>
    <x v="4"/>
    <x v="2"/>
    <x v="4"/>
    <n v="8"/>
    <x v="0"/>
  </r>
  <r>
    <d v="2021-12-08T00:00:00"/>
    <x v="3"/>
    <x v="2"/>
    <x v="1"/>
    <n v="13330273040.02"/>
    <x v="3"/>
    <x v="2"/>
    <x v="1"/>
    <x v="12"/>
    <x v="3"/>
    <x v="2"/>
    <x v="4"/>
    <x v="2"/>
    <x v="4"/>
    <n v="8"/>
    <x v="0"/>
  </r>
  <r>
    <d v="2021-12-07T00:00:00"/>
    <x v="2"/>
    <x v="1"/>
    <x v="0"/>
    <n v="75473052.569999993"/>
    <x v="2"/>
    <x v="1"/>
    <x v="0"/>
    <x v="5"/>
    <x v="3"/>
    <x v="2"/>
    <x v="4"/>
    <x v="2"/>
    <x v="4"/>
    <n v="7"/>
    <x v="0"/>
  </r>
  <r>
    <d v="2021-12-07T00:00:00"/>
    <x v="2"/>
    <x v="1"/>
    <x v="2"/>
    <n v="13140"/>
    <x v="2"/>
    <x v="1"/>
    <x v="2"/>
    <x v="1"/>
    <x v="3"/>
    <x v="2"/>
    <x v="4"/>
    <x v="2"/>
    <x v="4"/>
    <n v="7"/>
    <x v="0"/>
  </r>
  <r>
    <d v="2021-12-07T00:00:00"/>
    <x v="2"/>
    <x v="1"/>
    <x v="1"/>
    <n v="186278304.11000001"/>
    <x v="2"/>
    <x v="1"/>
    <x v="1"/>
    <x v="8"/>
    <x v="3"/>
    <x v="2"/>
    <x v="4"/>
    <x v="2"/>
    <x v="4"/>
    <n v="7"/>
    <x v="0"/>
  </r>
  <r>
    <d v="2021-12-07T00:00:00"/>
    <x v="0"/>
    <x v="1"/>
    <x v="1"/>
    <n v="21772635.41"/>
    <x v="0"/>
    <x v="1"/>
    <x v="1"/>
    <x v="3"/>
    <x v="3"/>
    <x v="2"/>
    <x v="4"/>
    <x v="2"/>
    <x v="4"/>
    <n v="7"/>
    <x v="0"/>
  </r>
  <r>
    <d v="2021-12-07T00:00:00"/>
    <x v="3"/>
    <x v="2"/>
    <x v="2"/>
    <n v="625680"/>
    <x v="3"/>
    <x v="2"/>
    <x v="2"/>
    <x v="4"/>
    <x v="3"/>
    <x v="2"/>
    <x v="4"/>
    <x v="2"/>
    <x v="4"/>
    <n v="7"/>
    <x v="0"/>
  </r>
  <r>
    <d v="2021-12-07T00:00:00"/>
    <x v="0"/>
    <x v="1"/>
    <x v="0"/>
    <n v="15893946.75"/>
    <x v="0"/>
    <x v="1"/>
    <x v="0"/>
    <x v="0"/>
    <x v="3"/>
    <x v="2"/>
    <x v="4"/>
    <x v="2"/>
    <x v="4"/>
    <n v="7"/>
    <x v="0"/>
  </r>
  <r>
    <d v="2021-12-07T00:00:00"/>
    <x v="1"/>
    <x v="0"/>
    <x v="1"/>
    <n v="238543412.27000001"/>
    <x v="1"/>
    <x v="0"/>
    <x v="1"/>
    <x v="7"/>
    <x v="3"/>
    <x v="2"/>
    <x v="4"/>
    <x v="2"/>
    <x v="4"/>
    <n v="7"/>
    <x v="0"/>
  </r>
  <r>
    <d v="2021-12-07T00:00:00"/>
    <x v="1"/>
    <x v="0"/>
    <x v="2"/>
    <n v="39442.22"/>
    <x v="1"/>
    <x v="0"/>
    <x v="2"/>
    <x v="2"/>
    <x v="3"/>
    <x v="2"/>
    <x v="4"/>
    <x v="2"/>
    <x v="4"/>
    <n v="7"/>
    <x v="0"/>
  </r>
  <r>
    <d v="2021-12-07T00:00:00"/>
    <x v="1"/>
    <x v="0"/>
    <x v="0"/>
    <n v="64186569.789999999"/>
    <x v="1"/>
    <x v="0"/>
    <x v="0"/>
    <x v="9"/>
    <x v="3"/>
    <x v="2"/>
    <x v="4"/>
    <x v="2"/>
    <x v="4"/>
    <n v="7"/>
    <x v="0"/>
  </r>
  <r>
    <d v="2021-12-07T00:00:00"/>
    <x v="3"/>
    <x v="3"/>
    <x v="0"/>
    <n v="1358545266.48"/>
    <x v="3"/>
    <x v="3"/>
    <x v="0"/>
    <x v="6"/>
    <x v="3"/>
    <x v="2"/>
    <x v="4"/>
    <x v="2"/>
    <x v="4"/>
    <n v="7"/>
    <x v="0"/>
  </r>
  <r>
    <d v="2021-12-07T00:00:00"/>
    <x v="3"/>
    <x v="1"/>
    <x v="0"/>
    <n v="9530960.9100000001"/>
    <x v="3"/>
    <x v="1"/>
    <x v="0"/>
    <x v="10"/>
    <x v="3"/>
    <x v="2"/>
    <x v="4"/>
    <x v="2"/>
    <x v="4"/>
    <n v="7"/>
    <x v="0"/>
  </r>
  <r>
    <d v="2021-12-07T00:00:00"/>
    <x v="3"/>
    <x v="2"/>
    <x v="0"/>
    <n v="816330271.10000002"/>
    <x v="3"/>
    <x v="2"/>
    <x v="0"/>
    <x v="11"/>
    <x v="3"/>
    <x v="2"/>
    <x v="4"/>
    <x v="2"/>
    <x v="4"/>
    <n v="7"/>
    <x v="0"/>
  </r>
  <r>
    <d v="2021-12-07T00:00:00"/>
    <x v="3"/>
    <x v="2"/>
    <x v="1"/>
    <n v="3955873684.9299998"/>
    <x v="3"/>
    <x v="2"/>
    <x v="1"/>
    <x v="12"/>
    <x v="3"/>
    <x v="2"/>
    <x v="4"/>
    <x v="2"/>
    <x v="4"/>
    <n v="7"/>
    <x v="0"/>
  </r>
  <r>
    <d v="2021-12-06T00:00:00"/>
    <x v="2"/>
    <x v="1"/>
    <x v="0"/>
    <n v="66658396.149999999"/>
    <x v="2"/>
    <x v="1"/>
    <x v="0"/>
    <x v="6"/>
    <x v="3"/>
    <x v="2"/>
    <x v="4"/>
    <x v="2"/>
    <x v="4"/>
    <n v="6"/>
    <x v="0"/>
  </r>
  <r>
    <d v="2021-12-06T00:00:00"/>
    <x v="1"/>
    <x v="0"/>
    <x v="2"/>
    <n v="13355.44"/>
    <x v="1"/>
    <x v="0"/>
    <x v="2"/>
    <x v="1"/>
    <x v="3"/>
    <x v="2"/>
    <x v="4"/>
    <x v="2"/>
    <x v="4"/>
    <n v="6"/>
    <x v="0"/>
  </r>
  <r>
    <d v="2021-12-06T00:00:00"/>
    <x v="2"/>
    <x v="1"/>
    <x v="2"/>
    <n v="50305.71"/>
    <x v="2"/>
    <x v="1"/>
    <x v="2"/>
    <x v="2"/>
    <x v="3"/>
    <x v="2"/>
    <x v="4"/>
    <x v="2"/>
    <x v="4"/>
    <n v="6"/>
    <x v="0"/>
  </r>
  <r>
    <d v="2021-12-06T00:00:00"/>
    <x v="3"/>
    <x v="3"/>
    <x v="0"/>
    <n v="1819836174.5599999"/>
    <x v="3"/>
    <x v="3"/>
    <x v="0"/>
    <x v="7"/>
    <x v="3"/>
    <x v="2"/>
    <x v="4"/>
    <x v="2"/>
    <x v="4"/>
    <n v="6"/>
    <x v="0"/>
  </r>
  <r>
    <d v="2021-12-06T00:00:00"/>
    <x v="1"/>
    <x v="0"/>
    <x v="0"/>
    <n v="57738287.340000004"/>
    <x v="1"/>
    <x v="0"/>
    <x v="0"/>
    <x v="10"/>
    <x v="3"/>
    <x v="2"/>
    <x v="4"/>
    <x v="2"/>
    <x v="4"/>
    <n v="6"/>
    <x v="0"/>
  </r>
  <r>
    <d v="2021-12-06T00:00:00"/>
    <x v="3"/>
    <x v="3"/>
    <x v="1"/>
    <n v="6769407.6299999999"/>
    <x v="3"/>
    <x v="3"/>
    <x v="1"/>
    <x v="3"/>
    <x v="3"/>
    <x v="2"/>
    <x v="4"/>
    <x v="2"/>
    <x v="4"/>
    <n v="6"/>
    <x v="0"/>
  </r>
  <r>
    <d v="2021-12-06T00:00:00"/>
    <x v="3"/>
    <x v="2"/>
    <x v="2"/>
    <n v="1528491.22"/>
    <x v="3"/>
    <x v="2"/>
    <x v="2"/>
    <x v="5"/>
    <x v="3"/>
    <x v="2"/>
    <x v="4"/>
    <x v="2"/>
    <x v="4"/>
    <n v="6"/>
    <x v="0"/>
  </r>
  <r>
    <d v="2021-12-06T00:00:00"/>
    <x v="0"/>
    <x v="1"/>
    <x v="1"/>
    <n v="11055534.060000001"/>
    <x v="0"/>
    <x v="1"/>
    <x v="1"/>
    <x v="4"/>
    <x v="3"/>
    <x v="2"/>
    <x v="4"/>
    <x v="2"/>
    <x v="4"/>
    <n v="6"/>
    <x v="0"/>
  </r>
  <r>
    <d v="2021-12-06T00:00:00"/>
    <x v="0"/>
    <x v="1"/>
    <x v="0"/>
    <n v="37954653.060000002"/>
    <x v="0"/>
    <x v="1"/>
    <x v="0"/>
    <x v="0"/>
    <x v="3"/>
    <x v="2"/>
    <x v="4"/>
    <x v="2"/>
    <x v="4"/>
    <n v="6"/>
    <x v="0"/>
  </r>
  <r>
    <d v="2021-12-06T00:00:00"/>
    <x v="2"/>
    <x v="1"/>
    <x v="1"/>
    <n v="509667251.17000002"/>
    <x v="2"/>
    <x v="1"/>
    <x v="1"/>
    <x v="9"/>
    <x v="3"/>
    <x v="2"/>
    <x v="4"/>
    <x v="2"/>
    <x v="4"/>
    <n v="6"/>
    <x v="0"/>
  </r>
  <r>
    <d v="2021-12-06T00:00:00"/>
    <x v="1"/>
    <x v="0"/>
    <x v="1"/>
    <n v="191878183.31"/>
    <x v="1"/>
    <x v="0"/>
    <x v="1"/>
    <x v="8"/>
    <x v="3"/>
    <x v="2"/>
    <x v="4"/>
    <x v="2"/>
    <x v="4"/>
    <n v="6"/>
    <x v="0"/>
  </r>
  <r>
    <d v="2021-12-06T00:00:00"/>
    <x v="3"/>
    <x v="2"/>
    <x v="0"/>
    <n v="501718545.62"/>
    <x v="3"/>
    <x v="2"/>
    <x v="0"/>
    <x v="11"/>
    <x v="3"/>
    <x v="2"/>
    <x v="4"/>
    <x v="2"/>
    <x v="4"/>
    <n v="6"/>
    <x v="0"/>
  </r>
  <r>
    <d v="2021-12-06T00:00:00"/>
    <x v="3"/>
    <x v="1"/>
    <x v="0"/>
    <n v="41168499.170000002"/>
    <x v="3"/>
    <x v="1"/>
    <x v="0"/>
    <x v="12"/>
    <x v="3"/>
    <x v="2"/>
    <x v="4"/>
    <x v="2"/>
    <x v="4"/>
    <n v="6"/>
    <x v="0"/>
  </r>
  <r>
    <d v="2021-12-06T00:00:00"/>
    <x v="3"/>
    <x v="2"/>
    <x v="1"/>
    <n v="19026005640.860001"/>
    <x v="3"/>
    <x v="2"/>
    <x v="1"/>
    <x v="13"/>
    <x v="3"/>
    <x v="2"/>
    <x v="4"/>
    <x v="2"/>
    <x v="4"/>
    <n v="6"/>
    <x v="0"/>
  </r>
  <r>
    <d v="2021-12-03T00:00:00"/>
    <x v="1"/>
    <x v="0"/>
    <x v="2"/>
    <n v="21270.37"/>
    <x v="1"/>
    <x v="0"/>
    <x v="2"/>
    <x v="2"/>
    <x v="3"/>
    <x v="2"/>
    <x v="4"/>
    <x v="2"/>
    <x v="4"/>
    <n v="3"/>
    <x v="0"/>
  </r>
  <r>
    <d v="2021-12-03T00:00:00"/>
    <x v="2"/>
    <x v="1"/>
    <x v="2"/>
    <n v="30200"/>
    <x v="2"/>
    <x v="1"/>
    <x v="2"/>
    <x v="3"/>
    <x v="3"/>
    <x v="2"/>
    <x v="4"/>
    <x v="2"/>
    <x v="4"/>
    <n v="3"/>
    <x v="0"/>
  </r>
  <r>
    <d v="2021-12-03T00:00:00"/>
    <x v="0"/>
    <x v="1"/>
    <x v="1"/>
    <n v="14241655.210000001"/>
    <x v="0"/>
    <x v="1"/>
    <x v="1"/>
    <x v="4"/>
    <x v="3"/>
    <x v="2"/>
    <x v="4"/>
    <x v="2"/>
    <x v="4"/>
    <n v="3"/>
    <x v="0"/>
  </r>
  <r>
    <d v="2021-12-03T00:00:00"/>
    <x v="3"/>
    <x v="3"/>
    <x v="0"/>
    <n v="907954464.00999999"/>
    <x v="3"/>
    <x v="3"/>
    <x v="0"/>
    <x v="10"/>
    <x v="3"/>
    <x v="2"/>
    <x v="4"/>
    <x v="2"/>
    <x v="4"/>
    <n v="3"/>
    <x v="0"/>
  </r>
  <r>
    <d v="2021-12-03T00:00:00"/>
    <x v="3"/>
    <x v="2"/>
    <x v="2"/>
    <n v="833344.2"/>
    <x v="3"/>
    <x v="2"/>
    <x v="2"/>
    <x v="5"/>
    <x v="3"/>
    <x v="2"/>
    <x v="4"/>
    <x v="2"/>
    <x v="4"/>
    <n v="3"/>
    <x v="0"/>
  </r>
  <r>
    <d v="2021-12-03T00:00:00"/>
    <x v="1"/>
    <x v="1"/>
    <x v="0"/>
    <n v="551"/>
    <x v="1"/>
    <x v="1"/>
    <x v="0"/>
    <x v="0"/>
    <x v="3"/>
    <x v="2"/>
    <x v="4"/>
    <x v="2"/>
    <x v="4"/>
    <n v="3"/>
    <x v="0"/>
  </r>
  <r>
    <d v="2021-12-03T00:00:00"/>
    <x v="0"/>
    <x v="1"/>
    <x v="0"/>
    <n v="16996038.469999999"/>
    <x v="0"/>
    <x v="1"/>
    <x v="0"/>
    <x v="1"/>
    <x v="3"/>
    <x v="2"/>
    <x v="4"/>
    <x v="2"/>
    <x v="4"/>
    <n v="3"/>
    <x v="0"/>
  </r>
  <r>
    <d v="2021-12-03T00:00:00"/>
    <x v="1"/>
    <x v="0"/>
    <x v="1"/>
    <n v="68767478.629999995"/>
    <x v="1"/>
    <x v="0"/>
    <x v="1"/>
    <x v="8"/>
    <x v="3"/>
    <x v="2"/>
    <x v="4"/>
    <x v="2"/>
    <x v="4"/>
    <n v="3"/>
    <x v="0"/>
  </r>
  <r>
    <d v="2021-12-03T00:00:00"/>
    <x v="2"/>
    <x v="1"/>
    <x v="1"/>
    <n v="106818066.8"/>
    <x v="2"/>
    <x v="1"/>
    <x v="1"/>
    <x v="7"/>
    <x v="3"/>
    <x v="2"/>
    <x v="4"/>
    <x v="2"/>
    <x v="4"/>
    <n v="3"/>
    <x v="0"/>
  </r>
  <r>
    <d v="2021-12-03T00:00:00"/>
    <x v="2"/>
    <x v="1"/>
    <x v="0"/>
    <n v="95657497.920000002"/>
    <x v="2"/>
    <x v="1"/>
    <x v="0"/>
    <x v="6"/>
    <x v="3"/>
    <x v="2"/>
    <x v="4"/>
    <x v="2"/>
    <x v="4"/>
    <n v="3"/>
    <x v="0"/>
  </r>
  <r>
    <d v="2021-12-03T00:00:00"/>
    <x v="1"/>
    <x v="0"/>
    <x v="0"/>
    <n v="57344752.880000003"/>
    <x v="1"/>
    <x v="0"/>
    <x v="0"/>
    <x v="9"/>
    <x v="3"/>
    <x v="2"/>
    <x v="4"/>
    <x v="2"/>
    <x v="4"/>
    <n v="3"/>
    <x v="0"/>
  </r>
  <r>
    <d v="2021-12-03T00:00:00"/>
    <x v="3"/>
    <x v="1"/>
    <x v="0"/>
    <n v="13651507.9"/>
    <x v="3"/>
    <x v="1"/>
    <x v="0"/>
    <x v="11"/>
    <x v="3"/>
    <x v="2"/>
    <x v="4"/>
    <x v="2"/>
    <x v="4"/>
    <n v="3"/>
    <x v="0"/>
  </r>
  <r>
    <d v="2021-12-03T00:00:00"/>
    <x v="3"/>
    <x v="2"/>
    <x v="0"/>
    <n v="854357784.36000001"/>
    <x v="3"/>
    <x v="2"/>
    <x v="0"/>
    <x v="12"/>
    <x v="3"/>
    <x v="2"/>
    <x v="4"/>
    <x v="2"/>
    <x v="4"/>
    <n v="3"/>
    <x v="0"/>
  </r>
  <r>
    <d v="2021-12-03T00:00:00"/>
    <x v="3"/>
    <x v="2"/>
    <x v="1"/>
    <n v="12620482374.690001"/>
    <x v="3"/>
    <x v="2"/>
    <x v="1"/>
    <x v="13"/>
    <x v="3"/>
    <x v="2"/>
    <x v="4"/>
    <x v="2"/>
    <x v="4"/>
    <n v="3"/>
    <x v="0"/>
  </r>
  <r>
    <d v="2021-12-02T00:00:00"/>
    <x v="1"/>
    <x v="0"/>
    <x v="2"/>
    <n v="4043.32"/>
    <x v="1"/>
    <x v="0"/>
    <x v="2"/>
    <x v="2"/>
    <x v="3"/>
    <x v="2"/>
    <x v="4"/>
    <x v="2"/>
    <x v="4"/>
    <n v="2"/>
    <x v="0"/>
  </r>
  <r>
    <d v="2021-12-02T00:00:00"/>
    <x v="2"/>
    <x v="1"/>
    <x v="1"/>
    <n v="212340405.80000001"/>
    <x v="2"/>
    <x v="1"/>
    <x v="1"/>
    <x v="9"/>
    <x v="3"/>
    <x v="2"/>
    <x v="4"/>
    <x v="2"/>
    <x v="4"/>
    <n v="2"/>
    <x v="0"/>
  </r>
  <r>
    <d v="2021-12-02T00:00:00"/>
    <x v="1"/>
    <x v="0"/>
    <x v="0"/>
    <n v="75772385.129999995"/>
    <x v="1"/>
    <x v="0"/>
    <x v="0"/>
    <x v="11"/>
    <x v="3"/>
    <x v="2"/>
    <x v="4"/>
    <x v="2"/>
    <x v="4"/>
    <n v="2"/>
    <x v="0"/>
  </r>
  <r>
    <d v="2021-12-02T00:00:00"/>
    <x v="0"/>
    <x v="1"/>
    <x v="1"/>
    <n v="10125903.32"/>
    <x v="0"/>
    <x v="1"/>
    <x v="1"/>
    <x v="5"/>
    <x v="3"/>
    <x v="2"/>
    <x v="4"/>
    <x v="2"/>
    <x v="4"/>
    <n v="2"/>
    <x v="0"/>
  </r>
  <r>
    <d v="2021-12-02T00:00:00"/>
    <x v="3"/>
    <x v="2"/>
    <x v="2"/>
    <n v="1822445.06"/>
    <x v="3"/>
    <x v="2"/>
    <x v="2"/>
    <x v="6"/>
    <x v="3"/>
    <x v="2"/>
    <x v="4"/>
    <x v="2"/>
    <x v="4"/>
    <n v="2"/>
    <x v="0"/>
  </r>
  <r>
    <d v="2021-12-02T00:00:00"/>
    <x v="1"/>
    <x v="1"/>
    <x v="0"/>
    <n v="1454.5"/>
    <x v="1"/>
    <x v="1"/>
    <x v="0"/>
    <x v="0"/>
    <x v="3"/>
    <x v="2"/>
    <x v="4"/>
    <x v="2"/>
    <x v="4"/>
    <n v="2"/>
    <x v="0"/>
  </r>
  <r>
    <d v="2021-12-02T00:00:00"/>
    <x v="0"/>
    <x v="1"/>
    <x v="0"/>
    <n v="18125054.379999999"/>
    <x v="0"/>
    <x v="1"/>
    <x v="0"/>
    <x v="1"/>
    <x v="3"/>
    <x v="2"/>
    <x v="4"/>
    <x v="2"/>
    <x v="4"/>
    <n v="2"/>
    <x v="0"/>
  </r>
  <r>
    <d v="2021-12-02T00:00:00"/>
    <x v="2"/>
    <x v="1"/>
    <x v="2"/>
    <n v="12410"/>
    <x v="2"/>
    <x v="1"/>
    <x v="2"/>
    <x v="3"/>
    <x v="3"/>
    <x v="2"/>
    <x v="4"/>
    <x v="2"/>
    <x v="4"/>
    <n v="2"/>
    <x v="0"/>
  </r>
  <r>
    <d v="2021-12-02T00:00:00"/>
    <x v="3"/>
    <x v="3"/>
    <x v="0"/>
    <n v="1084771931.0999999"/>
    <x v="3"/>
    <x v="3"/>
    <x v="0"/>
    <x v="7"/>
    <x v="3"/>
    <x v="2"/>
    <x v="4"/>
    <x v="2"/>
    <x v="4"/>
    <n v="2"/>
    <x v="0"/>
  </r>
  <r>
    <d v="2021-12-02T00:00:00"/>
    <x v="3"/>
    <x v="3"/>
    <x v="1"/>
    <n v="1004"/>
    <x v="3"/>
    <x v="3"/>
    <x v="1"/>
    <x v="4"/>
    <x v="3"/>
    <x v="2"/>
    <x v="4"/>
    <x v="2"/>
    <x v="4"/>
    <n v="2"/>
    <x v="0"/>
  </r>
  <r>
    <d v="2021-12-02T00:00:00"/>
    <x v="2"/>
    <x v="1"/>
    <x v="0"/>
    <n v="122467244.43000001"/>
    <x v="2"/>
    <x v="1"/>
    <x v="0"/>
    <x v="8"/>
    <x v="3"/>
    <x v="2"/>
    <x v="4"/>
    <x v="2"/>
    <x v="4"/>
    <n v="2"/>
    <x v="0"/>
  </r>
  <r>
    <d v="2021-12-02T00:00:00"/>
    <x v="1"/>
    <x v="0"/>
    <x v="1"/>
    <n v="72465156.319999993"/>
    <x v="1"/>
    <x v="0"/>
    <x v="1"/>
    <x v="10"/>
    <x v="3"/>
    <x v="2"/>
    <x v="4"/>
    <x v="2"/>
    <x v="4"/>
    <n v="2"/>
    <x v="0"/>
  </r>
  <r>
    <d v="2021-12-02T00:00:00"/>
    <x v="3"/>
    <x v="1"/>
    <x v="0"/>
    <n v="14553123.109999999"/>
    <x v="3"/>
    <x v="1"/>
    <x v="0"/>
    <x v="12"/>
    <x v="3"/>
    <x v="2"/>
    <x v="4"/>
    <x v="2"/>
    <x v="4"/>
    <n v="2"/>
    <x v="0"/>
  </r>
  <r>
    <d v="2021-12-02T00:00:00"/>
    <x v="3"/>
    <x v="2"/>
    <x v="0"/>
    <n v="369992777.02999997"/>
    <x v="3"/>
    <x v="2"/>
    <x v="0"/>
    <x v="13"/>
    <x v="3"/>
    <x v="2"/>
    <x v="4"/>
    <x v="2"/>
    <x v="4"/>
    <n v="2"/>
    <x v="0"/>
  </r>
  <r>
    <d v="2021-12-02T00:00:00"/>
    <x v="3"/>
    <x v="2"/>
    <x v="1"/>
    <n v="9667209601.1900005"/>
    <x v="3"/>
    <x v="2"/>
    <x v="1"/>
    <x v="14"/>
    <x v="3"/>
    <x v="2"/>
    <x v="4"/>
    <x v="2"/>
    <x v="4"/>
    <n v="2"/>
    <x v="0"/>
  </r>
  <r>
    <d v="2021-12-01T00:00:00"/>
    <x v="1"/>
    <x v="0"/>
    <x v="2"/>
    <n v="13849.13"/>
    <x v="1"/>
    <x v="0"/>
    <x v="2"/>
    <x v="2"/>
    <x v="3"/>
    <x v="2"/>
    <x v="4"/>
    <x v="2"/>
    <x v="4"/>
    <n v="1"/>
    <x v="0"/>
  </r>
  <r>
    <d v="2021-12-01T00:00:00"/>
    <x v="2"/>
    <x v="1"/>
    <x v="2"/>
    <n v="8016.26"/>
    <x v="2"/>
    <x v="1"/>
    <x v="2"/>
    <x v="3"/>
    <x v="3"/>
    <x v="2"/>
    <x v="4"/>
    <x v="2"/>
    <x v="4"/>
    <n v="1"/>
    <x v="0"/>
  </r>
  <r>
    <d v="2021-12-01T00:00:00"/>
    <x v="1"/>
    <x v="0"/>
    <x v="1"/>
    <n v="487392671.5"/>
    <x v="1"/>
    <x v="0"/>
    <x v="1"/>
    <x v="9"/>
    <x v="3"/>
    <x v="2"/>
    <x v="4"/>
    <x v="2"/>
    <x v="4"/>
    <n v="1"/>
    <x v="0"/>
  </r>
  <r>
    <d v="2021-12-01T00:00:00"/>
    <x v="1"/>
    <x v="0"/>
    <x v="0"/>
    <n v="75597376.400000006"/>
    <x v="1"/>
    <x v="0"/>
    <x v="0"/>
    <x v="10"/>
    <x v="3"/>
    <x v="2"/>
    <x v="4"/>
    <x v="2"/>
    <x v="4"/>
    <n v="1"/>
    <x v="0"/>
  </r>
  <r>
    <d v="2021-12-01T00:00:00"/>
    <x v="0"/>
    <x v="1"/>
    <x v="1"/>
    <n v="136663.98000000001"/>
    <x v="0"/>
    <x v="1"/>
    <x v="1"/>
    <x v="4"/>
    <x v="3"/>
    <x v="2"/>
    <x v="4"/>
    <x v="2"/>
    <x v="4"/>
    <n v="1"/>
    <x v="0"/>
  </r>
  <r>
    <d v="2021-12-01T00:00:00"/>
    <x v="3"/>
    <x v="2"/>
    <x v="2"/>
    <n v="520061.1"/>
    <x v="3"/>
    <x v="2"/>
    <x v="2"/>
    <x v="5"/>
    <x v="3"/>
    <x v="2"/>
    <x v="4"/>
    <x v="2"/>
    <x v="4"/>
    <n v="1"/>
    <x v="0"/>
  </r>
  <r>
    <d v="2021-12-01T00:00:00"/>
    <x v="0"/>
    <x v="0"/>
    <x v="0"/>
    <n v="180"/>
    <x v="0"/>
    <x v="0"/>
    <x v="0"/>
    <x v="0"/>
    <x v="3"/>
    <x v="2"/>
    <x v="4"/>
    <x v="2"/>
    <x v="4"/>
    <n v="1"/>
    <x v="0"/>
  </r>
  <r>
    <d v="2021-12-01T00:00:00"/>
    <x v="0"/>
    <x v="1"/>
    <x v="0"/>
    <n v="5852154.4400000004"/>
    <x v="0"/>
    <x v="1"/>
    <x v="0"/>
    <x v="1"/>
    <x v="3"/>
    <x v="2"/>
    <x v="4"/>
    <x v="2"/>
    <x v="4"/>
    <n v="1"/>
    <x v="0"/>
  </r>
  <r>
    <d v="2021-12-01T00:00:00"/>
    <x v="2"/>
    <x v="1"/>
    <x v="0"/>
    <n v="121055095.42"/>
    <x v="2"/>
    <x v="1"/>
    <x v="0"/>
    <x v="6"/>
    <x v="3"/>
    <x v="2"/>
    <x v="4"/>
    <x v="2"/>
    <x v="4"/>
    <n v="1"/>
    <x v="0"/>
  </r>
  <r>
    <d v="2021-12-01T00:00:00"/>
    <x v="3"/>
    <x v="3"/>
    <x v="0"/>
    <n v="3297205203.04"/>
    <x v="3"/>
    <x v="3"/>
    <x v="0"/>
    <x v="7"/>
    <x v="3"/>
    <x v="2"/>
    <x v="4"/>
    <x v="2"/>
    <x v="4"/>
    <n v="1"/>
    <x v="0"/>
  </r>
  <r>
    <d v="2021-12-01T00:00:00"/>
    <x v="2"/>
    <x v="1"/>
    <x v="1"/>
    <n v="239275460.88999999"/>
    <x v="2"/>
    <x v="1"/>
    <x v="1"/>
    <x v="8"/>
    <x v="3"/>
    <x v="2"/>
    <x v="4"/>
    <x v="2"/>
    <x v="4"/>
    <n v="1"/>
    <x v="0"/>
  </r>
  <r>
    <d v="2021-12-01T00:00:00"/>
    <x v="3"/>
    <x v="1"/>
    <x v="0"/>
    <n v="13943610.82"/>
    <x v="3"/>
    <x v="1"/>
    <x v="0"/>
    <x v="11"/>
    <x v="3"/>
    <x v="2"/>
    <x v="4"/>
    <x v="2"/>
    <x v="4"/>
    <n v="1"/>
    <x v="0"/>
  </r>
  <r>
    <d v="2021-12-01T00:00:00"/>
    <x v="3"/>
    <x v="2"/>
    <x v="0"/>
    <n v="502096321.95999998"/>
    <x v="3"/>
    <x v="2"/>
    <x v="0"/>
    <x v="12"/>
    <x v="3"/>
    <x v="2"/>
    <x v="4"/>
    <x v="2"/>
    <x v="4"/>
    <n v="1"/>
    <x v="0"/>
  </r>
  <r>
    <d v="2021-12-01T00:00:00"/>
    <x v="3"/>
    <x v="2"/>
    <x v="1"/>
    <n v="26663240566.509998"/>
    <x v="3"/>
    <x v="2"/>
    <x v="1"/>
    <x v="13"/>
    <x v="3"/>
    <x v="2"/>
    <x v="4"/>
    <x v="2"/>
    <x v="4"/>
    <n v="1"/>
    <x v="0"/>
  </r>
  <r>
    <d v="2021-11-30T00:00:00"/>
    <x v="2"/>
    <x v="1"/>
    <x v="0"/>
    <n v="67977767.939999998"/>
    <x v="2"/>
    <x v="1"/>
    <x v="0"/>
    <x v="6"/>
    <x v="3"/>
    <x v="2"/>
    <x v="4"/>
    <x v="2"/>
    <x v="5"/>
    <n v="30"/>
    <x v="0"/>
  </r>
  <r>
    <d v="2021-11-30T00:00:00"/>
    <x v="2"/>
    <x v="1"/>
    <x v="2"/>
    <n v="4120"/>
    <x v="2"/>
    <x v="1"/>
    <x v="2"/>
    <x v="2"/>
    <x v="3"/>
    <x v="2"/>
    <x v="4"/>
    <x v="2"/>
    <x v="5"/>
    <n v="30"/>
    <x v="0"/>
  </r>
  <r>
    <d v="2021-11-30T00:00:00"/>
    <x v="1"/>
    <x v="0"/>
    <x v="2"/>
    <n v="29068.799999999999"/>
    <x v="1"/>
    <x v="0"/>
    <x v="2"/>
    <x v="3"/>
    <x v="3"/>
    <x v="2"/>
    <x v="4"/>
    <x v="2"/>
    <x v="5"/>
    <n v="30"/>
    <x v="0"/>
  </r>
  <r>
    <d v="2021-11-30T00:00:00"/>
    <x v="1"/>
    <x v="0"/>
    <x v="1"/>
    <n v="237097682.09999999"/>
    <x v="1"/>
    <x v="0"/>
    <x v="1"/>
    <x v="10"/>
    <x v="3"/>
    <x v="2"/>
    <x v="4"/>
    <x v="2"/>
    <x v="5"/>
    <n v="30"/>
    <x v="0"/>
  </r>
  <r>
    <d v="2021-11-30T00:00:00"/>
    <x v="3"/>
    <x v="2"/>
    <x v="2"/>
    <n v="456576.97"/>
    <x v="3"/>
    <x v="2"/>
    <x v="2"/>
    <x v="5"/>
    <x v="3"/>
    <x v="2"/>
    <x v="4"/>
    <x v="2"/>
    <x v="5"/>
    <n v="30"/>
    <x v="0"/>
  </r>
  <r>
    <d v="2021-11-30T00:00:00"/>
    <x v="0"/>
    <x v="1"/>
    <x v="1"/>
    <n v="3577675.95"/>
    <x v="0"/>
    <x v="1"/>
    <x v="1"/>
    <x v="4"/>
    <x v="3"/>
    <x v="2"/>
    <x v="4"/>
    <x v="2"/>
    <x v="5"/>
    <n v="30"/>
    <x v="0"/>
  </r>
  <r>
    <d v="2021-11-30T00:00:00"/>
    <x v="0"/>
    <x v="1"/>
    <x v="0"/>
    <n v="7724888.6600000001"/>
    <x v="0"/>
    <x v="1"/>
    <x v="0"/>
    <x v="1"/>
    <x v="3"/>
    <x v="2"/>
    <x v="4"/>
    <x v="2"/>
    <x v="5"/>
    <n v="30"/>
    <x v="0"/>
  </r>
  <r>
    <d v="2021-11-30T00:00:00"/>
    <x v="0"/>
    <x v="0"/>
    <x v="0"/>
    <n v="1"/>
    <x v="0"/>
    <x v="0"/>
    <x v="0"/>
    <x v="0"/>
    <x v="3"/>
    <x v="2"/>
    <x v="4"/>
    <x v="2"/>
    <x v="5"/>
    <n v="30"/>
    <x v="0"/>
  </r>
  <r>
    <d v="2021-11-30T00:00:00"/>
    <x v="1"/>
    <x v="0"/>
    <x v="0"/>
    <n v="78073342.689999998"/>
    <x v="1"/>
    <x v="0"/>
    <x v="0"/>
    <x v="9"/>
    <x v="3"/>
    <x v="2"/>
    <x v="4"/>
    <x v="2"/>
    <x v="5"/>
    <n v="30"/>
    <x v="0"/>
  </r>
  <r>
    <d v="2021-11-30T00:00:00"/>
    <x v="3"/>
    <x v="3"/>
    <x v="0"/>
    <n v="3575111009.3899999"/>
    <x v="3"/>
    <x v="3"/>
    <x v="0"/>
    <x v="7"/>
    <x v="3"/>
    <x v="2"/>
    <x v="4"/>
    <x v="2"/>
    <x v="5"/>
    <n v="30"/>
    <x v="0"/>
  </r>
  <r>
    <d v="2021-11-30T00:00:00"/>
    <x v="2"/>
    <x v="1"/>
    <x v="1"/>
    <n v="332326658.68000001"/>
    <x v="2"/>
    <x v="1"/>
    <x v="1"/>
    <x v="8"/>
    <x v="3"/>
    <x v="2"/>
    <x v="4"/>
    <x v="2"/>
    <x v="5"/>
    <n v="30"/>
    <x v="0"/>
  </r>
  <r>
    <d v="2021-11-30T00:00:00"/>
    <x v="3"/>
    <x v="1"/>
    <x v="0"/>
    <n v="8237148.2000000002"/>
    <x v="3"/>
    <x v="1"/>
    <x v="0"/>
    <x v="11"/>
    <x v="3"/>
    <x v="2"/>
    <x v="4"/>
    <x v="2"/>
    <x v="5"/>
    <n v="30"/>
    <x v="0"/>
  </r>
  <r>
    <d v="2021-11-30T00:00:00"/>
    <x v="3"/>
    <x v="2"/>
    <x v="0"/>
    <n v="926894984.65999997"/>
    <x v="3"/>
    <x v="2"/>
    <x v="0"/>
    <x v="12"/>
    <x v="3"/>
    <x v="2"/>
    <x v="4"/>
    <x v="2"/>
    <x v="5"/>
    <n v="30"/>
    <x v="0"/>
  </r>
  <r>
    <d v="2021-11-30T00:00:00"/>
    <x v="3"/>
    <x v="2"/>
    <x v="1"/>
    <n v="5649646775.21"/>
    <x v="3"/>
    <x v="2"/>
    <x v="1"/>
    <x v="13"/>
    <x v="3"/>
    <x v="2"/>
    <x v="4"/>
    <x v="2"/>
    <x v="5"/>
    <n v="30"/>
    <x v="0"/>
  </r>
  <r>
    <d v="2021-11-29T00:00:00"/>
    <x v="2"/>
    <x v="1"/>
    <x v="2"/>
    <n v="792189.7"/>
    <x v="2"/>
    <x v="1"/>
    <x v="2"/>
    <x v="3"/>
    <x v="3"/>
    <x v="2"/>
    <x v="4"/>
    <x v="2"/>
    <x v="5"/>
    <n v="29"/>
    <x v="0"/>
  </r>
  <r>
    <d v="2021-11-29T00:00:00"/>
    <x v="3"/>
    <x v="3"/>
    <x v="0"/>
    <n v="2302171462.9699998"/>
    <x v="3"/>
    <x v="3"/>
    <x v="0"/>
    <x v="6"/>
    <x v="3"/>
    <x v="2"/>
    <x v="4"/>
    <x v="2"/>
    <x v="5"/>
    <n v="29"/>
    <x v="0"/>
  </r>
  <r>
    <d v="2021-11-29T00:00:00"/>
    <x v="2"/>
    <x v="1"/>
    <x v="1"/>
    <n v="192937771.00999999"/>
    <x v="2"/>
    <x v="1"/>
    <x v="1"/>
    <x v="8"/>
    <x v="3"/>
    <x v="2"/>
    <x v="4"/>
    <x v="2"/>
    <x v="5"/>
    <n v="29"/>
    <x v="0"/>
  </r>
  <r>
    <d v="2021-11-29T00:00:00"/>
    <x v="0"/>
    <x v="1"/>
    <x v="1"/>
    <n v="2319340.85"/>
    <x v="0"/>
    <x v="1"/>
    <x v="1"/>
    <x v="4"/>
    <x v="3"/>
    <x v="2"/>
    <x v="4"/>
    <x v="2"/>
    <x v="5"/>
    <n v="29"/>
    <x v="0"/>
  </r>
  <r>
    <d v="2021-11-29T00:00:00"/>
    <x v="1"/>
    <x v="0"/>
    <x v="1"/>
    <n v="51754083.439999998"/>
    <x v="1"/>
    <x v="0"/>
    <x v="1"/>
    <x v="9"/>
    <x v="3"/>
    <x v="2"/>
    <x v="4"/>
    <x v="2"/>
    <x v="5"/>
    <n v="29"/>
    <x v="0"/>
  </r>
  <r>
    <d v="2021-11-29T00:00:00"/>
    <x v="1"/>
    <x v="0"/>
    <x v="0"/>
    <n v="65634118.840000004"/>
    <x v="1"/>
    <x v="0"/>
    <x v="0"/>
    <x v="10"/>
    <x v="3"/>
    <x v="2"/>
    <x v="4"/>
    <x v="2"/>
    <x v="5"/>
    <n v="29"/>
    <x v="0"/>
  </r>
  <r>
    <d v="2021-11-29T00:00:00"/>
    <x v="3"/>
    <x v="2"/>
    <x v="2"/>
    <n v="177750.99"/>
    <x v="3"/>
    <x v="2"/>
    <x v="2"/>
    <x v="5"/>
    <x v="3"/>
    <x v="2"/>
    <x v="4"/>
    <x v="2"/>
    <x v="5"/>
    <n v="29"/>
    <x v="0"/>
  </r>
  <r>
    <d v="2021-11-29T00:00:00"/>
    <x v="0"/>
    <x v="1"/>
    <x v="0"/>
    <n v="32127776.640000001"/>
    <x v="0"/>
    <x v="1"/>
    <x v="0"/>
    <x v="1"/>
    <x v="3"/>
    <x v="2"/>
    <x v="4"/>
    <x v="2"/>
    <x v="5"/>
    <n v="29"/>
    <x v="0"/>
  </r>
  <r>
    <d v="2021-11-29T00:00:00"/>
    <x v="0"/>
    <x v="0"/>
    <x v="0"/>
    <n v="-40"/>
    <x v="0"/>
    <x v="0"/>
    <x v="0"/>
    <x v="0"/>
    <x v="3"/>
    <x v="2"/>
    <x v="4"/>
    <x v="2"/>
    <x v="5"/>
    <n v="29"/>
    <x v="1"/>
  </r>
  <r>
    <d v="2021-11-29T00:00:00"/>
    <x v="2"/>
    <x v="1"/>
    <x v="0"/>
    <n v="47440372.43"/>
    <x v="2"/>
    <x v="1"/>
    <x v="0"/>
    <x v="7"/>
    <x v="3"/>
    <x v="2"/>
    <x v="4"/>
    <x v="2"/>
    <x v="5"/>
    <n v="29"/>
    <x v="0"/>
  </r>
  <r>
    <d v="2021-11-29T00:00:00"/>
    <x v="1"/>
    <x v="0"/>
    <x v="2"/>
    <n v="40617.17"/>
    <x v="1"/>
    <x v="0"/>
    <x v="2"/>
    <x v="2"/>
    <x v="3"/>
    <x v="2"/>
    <x v="4"/>
    <x v="2"/>
    <x v="5"/>
    <n v="29"/>
    <x v="0"/>
  </r>
  <r>
    <d v="2021-11-29T00:00:00"/>
    <x v="3"/>
    <x v="2"/>
    <x v="0"/>
    <n v="604500237.52999997"/>
    <x v="3"/>
    <x v="2"/>
    <x v="0"/>
    <x v="11"/>
    <x v="3"/>
    <x v="2"/>
    <x v="4"/>
    <x v="2"/>
    <x v="5"/>
    <n v="29"/>
    <x v="0"/>
  </r>
  <r>
    <d v="2021-11-29T00:00:00"/>
    <x v="3"/>
    <x v="1"/>
    <x v="0"/>
    <n v="26784940.379999999"/>
    <x v="3"/>
    <x v="1"/>
    <x v="0"/>
    <x v="12"/>
    <x v="3"/>
    <x v="2"/>
    <x v="4"/>
    <x v="2"/>
    <x v="5"/>
    <n v="29"/>
    <x v="0"/>
  </r>
  <r>
    <d v="2021-11-29T00:00:00"/>
    <x v="3"/>
    <x v="2"/>
    <x v="1"/>
    <n v="21108288761.619999"/>
    <x v="3"/>
    <x v="2"/>
    <x v="1"/>
    <x v="13"/>
    <x v="3"/>
    <x v="2"/>
    <x v="4"/>
    <x v="2"/>
    <x v="5"/>
    <n v="29"/>
    <x v="0"/>
  </r>
  <r>
    <d v="2021-11-26T00:00:00"/>
    <x v="2"/>
    <x v="1"/>
    <x v="2"/>
    <n v="6360"/>
    <x v="2"/>
    <x v="1"/>
    <x v="2"/>
    <x v="4"/>
    <x v="3"/>
    <x v="2"/>
    <x v="4"/>
    <x v="2"/>
    <x v="5"/>
    <n v="26"/>
    <x v="0"/>
  </r>
  <r>
    <d v="2021-11-26T00:00:00"/>
    <x v="2"/>
    <x v="1"/>
    <x v="0"/>
    <n v="82200489.189999998"/>
    <x v="2"/>
    <x v="1"/>
    <x v="0"/>
    <x v="7"/>
    <x v="3"/>
    <x v="2"/>
    <x v="4"/>
    <x v="2"/>
    <x v="5"/>
    <n v="26"/>
    <x v="0"/>
  </r>
  <r>
    <d v="2021-11-26T00:00:00"/>
    <x v="2"/>
    <x v="1"/>
    <x v="1"/>
    <n v="70955416.590000004"/>
    <x v="2"/>
    <x v="1"/>
    <x v="1"/>
    <x v="8"/>
    <x v="3"/>
    <x v="2"/>
    <x v="4"/>
    <x v="2"/>
    <x v="5"/>
    <n v="26"/>
    <x v="0"/>
  </r>
  <r>
    <d v="2021-11-26T00:00:00"/>
    <x v="1"/>
    <x v="0"/>
    <x v="1"/>
    <n v="132973898.88"/>
    <x v="1"/>
    <x v="0"/>
    <x v="1"/>
    <x v="9"/>
    <x v="3"/>
    <x v="2"/>
    <x v="4"/>
    <x v="2"/>
    <x v="5"/>
    <n v="26"/>
    <x v="0"/>
  </r>
  <r>
    <d v="2021-11-26T00:00:00"/>
    <x v="0"/>
    <x v="1"/>
    <x v="1"/>
    <n v="14553600.84"/>
    <x v="0"/>
    <x v="1"/>
    <x v="1"/>
    <x v="5"/>
    <x v="3"/>
    <x v="2"/>
    <x v="4"/>
    <x v="2"/>
    <x v="5"/>
    <n v="26"/>
    <x v="0"/>
  </r>
  <r>
    <d v="2021-11-26T00:00:00"/>
    <x v="1"/>
    <x v="1"/>
    <x v="0"/>
    <n v="5109.03"/>
    <x v="1"/>
    <x v="1"/>
    <x v="0"/>
    <x v="0"/>
    <x v="3"/>
    <x v="2"/>
    <x v="4"/>
    <x v="2"/>
    <x v="5"/>
    <n v="26"/>
    <x v="0"/>
  </r>
  <r>
    <d v="2021-11-26T00:00:00"/>
    <x v="0"/>
    <x v="1"/>
    <x v="0"/>
    <n v="8366575.8899999997"/>
    <x v="0"/>
    <x v="1"/>
    <x v="0"/>
    <x v="2"/>
    <x v="3"/>
    <x v="2"/>
    <x v="4"/>
    <x v="2"/>
    <x v="5"/>
    <n v="26"/>
    <x v="0"/>
  </r>
  <r>
    <d v="2021-11-26T00:00:00"/>
    <x v="3"/>
    <x v="2"/>
    <x v="2"/>
    <n v="465523.99"/>
    <x v="3"/>
    <x v="2"/>
    <x v="2"/>
    <x v="6"/>
    <x v="3"/>
    <x v="2"/>
    <x v="4"/>
    <x v="2"/>
    <x v="5"/>
    <n v="26"/>
    <x v="0"/>
  </r>
  <r>
    <d v="2021-11-26T00:00:00"/>
    <x v="0"/>
    <x v="0"/>
    <x v="0"/>
    <n v="3450"/>
    <x v="0"/>
    <x v="0"/>
    <x v="0"/>
    <x v="1"/>
    <x v="3"/>
    <x v="2"/>
    <x v="4"/>
    <x v="2"/>
    <x v="5"/>
    <n v="26"/>
    <x v="0"/>
  </r>
  <r>
    <d v="2021-11-26T00:00:00"/>
    <x v="1"/>
    <x v="0"/>
    <x v="2"/>
    <n v="5634.65"/>
    <x v="1"/>
    <x v="0"/>
    <x v="2"/>
    <x v="3"/>
    <x v="3"/>
    <x v="2"/>
    <x v="4"/>
    <x v="2"/>
    <x v="5"/>
    <n v="26"/>
    <x v="0"/>
  </r>
  <r>
    <d v="2021-11-26T00:00:00"/>
    <x v="1"/>
    <x v="0"/>
    <x v="0"/>
    <n v="88504933.319999993"/>
    <x v="1"/>
    <x v="0"/>
    <x v="0"/>
    <x v="10"/>
    <x v="3"/>
    <x v="2"/>
    <x v="4"/>
    <x v="2"/>
    <x v="5"/>
    <n v="26"/>
    <x v="0"/>
  </r>
  <r>
    <d v="2021-11-26T00:00:00"/>
    <x v="3"/>
    <x v="3"/>
    <x v="0"/>
    <n v="718334777.37"/>
    <x v="3"/>
    <x v="3"/>
    <x v="0"/>
    <x v="11"/>
    <x v="3"/>
    <x v="2"/>
    <x v="4"/>
    <x v="2"/>
    <x v="5"/>
    <n v="26"/>
    <x v="0"/>
  </r>
  <r>
    <d v="2021-11-26T00:00:00"/>
    <x v="3"/>
    <x v="2"/>
    <x v="0"/>
    <n v="472098891.49000001"/>
    <x v="3"/>
    <x v="2"/>
    <x v="0"/>
    <x v="12"/>
    <x v="3"/>
    <x v="2"/>
    <x v="4"/>
    <x v="2"/>
    <x v="5"/>
    <n v="26"/>
    <x v="0"/>
  </r>
  <r>
    <d v="2021-11-26T00:00:00"/>
    <x v="3"/>
    <x v="1"/>
    <x v="0"/>
    <n v="20059591.190000001"/>
    <x v="3"/>
    <x v="1"/>
    <x v="0"/>
    <x v="13"/>
    <x v="3"/>
    <x v="2"/>
    <x v="4"/>
    <x v="2"/>
    <x v="5"/>
    <n v="26"/>
    <x v="0"/>
  </r>
  <r>
    <d v="2021-11-26T00:00:00"/>
    <x v="3"/>
    <x v="2"/>
    <x v="1"/>
    <n v="12138411112.870001"/>
    <x v="3"/>
    <x v="2"/>
    <x v="1"/>
    <x v="14"/>
    <x v="3"/>
    <x v="2"/>
    <x v="4"/>
    <x v="2"/>
    <x v="5"/>
    <n v="26"/>
    <x v="0"/>
  </r>
  <r>
    <d v="2021-11-24T00:00:00"/>
    <x v="1"/>
    <x v="0"/>
    <x v="2"/>
    <n v="10194.67"/>
    <x v="1"/>
    <x v="0"/>
    <x v="2"/>
    <x v="1"/>
    <x v="3"/>
    <x v="2"/>
    <x v="4"/>
    <x v="2"/>
    <x v="5"/>
    <n v="24"/>
    <x v="0"/>
  </r>
  <r>
    <d v="2021-11-24T00:00:00"/>
    <x v="2"/>
    <x v="1"/>
    <x v="0"/>
    <n v="100745051.8"/>
    <x v="2"/>
    <x v="1"/>
    <x v="0"/>
    <x v="6"/>
    <x v="3"/>
    <x v="2"/>
    <x v="4"/>
    <x v="2"/>
    <x v="5"/>
    <n v="24"/>
    <x v="0"/>
  </r>
  <r>
    <d v="2021-11-24T00:00:00"/>
    <x v="2"/>
    <x v="1"/>
    <x v="2"/>
    <n v="1420887"/>
    <x v="2"/>
    <x v="1"/>
    <x v="2"/>
    <x v="2"/>
    <x v="3"/>
    <x v="2"/>
    <x v="4"/>
    <x v="2"/>
    <x v="5"/>
    <n v="24"/>
    <x v="0"/>
  </r>
  <r>
    <d v="2021-11-24T00:00:00"/>
    <x v="3"/>
    <x v="2"/>
    <x v="2"/>
    <n v="700109.99"/>
    <x v="3"/>
    <x v="2"/>
    <x v="2"/>
    <x v="5"/>
    <x v="3"/>
    <x v="2"/>
    <x v="4"/>
    <x v="2"/>
    <x v="5"/>
    <n v="24"/>
    <x v="0"/>
  </r>
  <r>
    <d v="2021-11-24T00:00:00"/>
    <x v="2"/>
    <x v="1"/>
    <x v="1"/>
    <n v="139720380.81999999"/>
    <x v="2"/>
    <x v="1"/>
    <x v="1"/>
    <x v="8"/>
    <x v="3"/>
    <x v="2"/>
    <x v="4"/>
    <x v="2"/>
    <x v="5"/>
    <n v="24"/>
    <x v="0"/>
  </r>
  <r>
    <d v="2021-11-24T00:00:00"/>
    <x v="1"/>
    <x v="0"/>
    <x v="0"/>
    <n v="79362703.349999994"/>
    <x v="1"/>
    <x v="0"/>
    <x v="0"/>
    <x v="10"/>
    <x v="3"/>
    <x v="2"/>
    <x v="4"/>
    <x v="2"/>
    <x v="5"/>
    <n v="24"/>
    <x v="0"/>
  </r>
  <r>
    <d v="2021-11-24T00:00:00"/>
    <x v="0"/>
    <x v="1"/>
    <x v="0"/>
    <n v="28248713.899999999"/>
    <x v="0"/>
    <x v="1"/>
    <x v="0"/>
    <x v="0"/>
    <x v="3"/>
    <x v="2"/>
    <x v="4"/>
    <x v="2"/>
    <x v="5"/>
    <n v="24"/>
    <x v="0"/>
  </r>
  <r>
    <d v="2021-11-24T00:00:00"/>
    <x v="0"/>
    <x v="1"/>
    <x v="1"/>
    <n v="8855691.3100000005"/>
    <x v="0"/>
    <x v="1"/>
    <x v="1"/>
    <x v="4"/>
    <x v="3"/>
    <x v="2"/>
    <x v="4"/>
    <x v="2"/>
    <x v="5"/>
    <n v="24"/>
    <x v="0"/>
  </r>
  <r>
    <d v="2021-11-24T00:00:00"/>
    <x v="3"/>
    <x v="3"/>
    <x v="1"/>
    <n v="24696.36"/>
    <x v="3"/>
    <x v="3"/>
    <x v="1"/>
    <x v="3"/>
    <x v="3"/>
    <x v="2"/>
    <x v="4"/>
    <x v="2"/>
    <x v="5"/>
    <n v="24"/>
    <x v="0"/>
  </r>
  <r>
    <d v="2021-11-24T00:00:00"/>
    <x v="1"/>
    <x v="0"/>
    <x v="1"/>
    <n v="632715257.72000003"/>
    <x v="1"/>
    <x v="0"/>
    <x v="1"/>
    <x v="9"/>
    <x v="3"/>
    <x v="2"/>
    <x v="4"/>
    <x v="2"/>
    <x v="5"/>
    <n v="24"/>
    <x v="0"/>
  </r>
  <r>
    <d v="2021-11-24T00:00:00"/>
    <x v="3"/>
    <x v="3"/>
    <x v="0"/>
    <n v="1733052517.1700001"/>
    <x v="3"/>
    <x v="3"/>
    <x v="0"/>
    <x v="7"/>
    <x v="3"/>
    <x v="2"/>
    <x v="4"/>
    <x v="2"/>
    <x v="5"/>
    <n v="24"/>
    <x v="0"/>
  </r>
  <r>
    <d v="2021-11-24T00:00:00"/>
    <x v="3"/>
    <x v="1"/>
    <x v="0"/>
    <n v="16814485.129999999"/>
    <x v="3"/>
    <x v="1"/>
    <x v="0"/>
    <x v="11"/>
    <x v="3"/>
    <x v="2"/>
    <x v="4"/>
    <x v="2"/>
    <x v="5"/>
    <n v="24"/>
    <x v="0"/>
  </r>
  <r>
    <d v="2021-11-24T00:00:00"/>
    <x v="3"/>
    <x v="2"/>
    <x v="0"/>
    <n v="521764057.51999998"/>
    <x v="3"/>
    <x v="2"/>
    <x v="0"/>
    <x v="12"/>
    <x v="3"/>
    <x v="2"/>
    <x v="4"/>
    <x v="2"/>
    <x v="5"/>
    <n v="24"/>
    <x v="0"/>
  </r>
  <r>
    <d v="2021-11-24T00:00:00"/>
    <x v="3"/>
    <x v="2"/>
    <x v="1"/>
    <n v="12441858914.799999"/>
    <x v="3"/>
    <x v="2"/>
    <x v="1"/>
    <x v="13"/>
    <x v="3"/>
    <x v="2"/>
    <x v="4"/>
    <x v="2"/>
    <x v="5"/>
    <n v="24"/>
    <x v="0"/>
  </r>
  <r>
    <d v="2021-11-23T00:00:00"/>
    <x v="1"/>
    <x v="0"/>
    <x v="2"/>
    <n v="3390.34"/>
    <x v="1"/>
    <x v="0"/>
    <x v="2"/>
    <x v="2"/>
    <x v="3"/>
    <x v="2"/>
    <x v="4"/>
    <x v="2"/>
    <x v="5"/>
    <n v="23"/>
    <x v="0"/>
  </r>
  <r>
    <d v="2021-11-23T00:00:00"/>
    <x v="2"/>
    <x v="1"/>
    <x v="2"/>
    <n v="5995"/>
    <x v="2"/>
    <x v="1"/>
    <x v="2"/>
    <x v="3"/>
    <x v="3"/>
    <x v="2"/>
    <x v="4"/>
    <x v="2"/>
    <x v="5"/>
    <n v="23"/>
    <x v="0"/>
  </r>
  <r>
    <d v="2021-11-23T00:00:00"/>
    <x v="3"/>
    <x v="2"/>
    <x v="2"/>
    <n v="623491.73"/>
    <x v="3"/>
    <x v="2"/>
    <x v="2"/>
    <x v="4"/>
    <x v="3"/>
    <x v="2"/>
    <x v="4"/>
    <x v="2"/>
    <x v="5"/>
    <n v="23"/>
    <x v="0"/>
  </r>
  <r>
    <d v="2021-11-23T00:00:00"/>
    <x v="2"/>
    <x v="1"/>
    <x v="0"/>
    <n v="81921325.680000007"/>
    <x v="2"/>
    <x v="1"/>
    <x v="0"/>
    <x v="6"/>
    <x v="3"/>
    <x v="2"/>
    <x v="4"/>
    <x v="2"/>
    <x v="5"/>
    <n v="23"/>
    <x v="0"/>
  </r>
  <r>
    <d v="2021-11-23T00:00:00"/>
    <x v="1"/>
    <x v="0"/>
    <x v="1"/>
    <n v="236564677.33000001"/>
    <x v="1"/>
    <x v="0"/>
    <x v="1"/>
    <x v="9"/>
    <x v="3"/>
    <x v="2"/>
    <x v="4"/>
    <x v="2"/>
    <x v="5"/>
    <n v="23"/>
    <x v="0"/>
  </r>
  <r>
    <d v="2021-11-23T00:00:00"/>
    <x v="0"/>
    <x v="1"/>
    <x v="0"/>
    <n v="11291067.17"/>
    <x v="0"/>
    <x v="1"/>
    <x v="0"/>
    <x v="1"/>
    <x v="3"/>
    <x v="2"/>
    <x v="4"/>
    <x v="2"/>
    <x v="5"/>
    <n v="23"/>
    <x v="0"/>
  </r>
  <r>
    <d v="2021-11-23T00:00:00"/>
    <x v="0"/>
    <x v="1"/>
    <x v="1"/>
    <n v="13019817.869999999"/>
    <x v="0"/>
    <x v="1"/>
    <x v="1"/>
    <x v="5"/>
    <x v="3"/>
    <x v="2"/>
    <x v="4"/>
    <x v="2"/>
    <x v="5"/>
    <n v="23"/>
    <x v="0"/>
  </r>
  <r>
    <d v="2021-11-23T00:00:00"/>
    <x v="0"/>
    <x v="0"/>
    <x v="0"/>
    <n v="200"/>
    <x v="0"/>
    <x v="0"/>
    <x v="0"/>
    <x v="0"/>
    <x v="3"/>
    <x v="2"/>
    <x v="4"/>
    <x v="2"/>
    <x v="5"/>
    <n v="23"/>
    <x v="0"/>
  </r>
  <r>
    <d v="2021-11-23T00:00:00"/>
    <x v="2"/>
    <x v="1"/>
    <x v="1"/>
    <n v="111661176.72"/>
    <x v="2"/>
    <x v="1"/>
    <x v="1"/>
    <x v="8"/>
    <x v="3"/>
    <x v="2"/>
    <x v="4"/>
    <x v="2"/>
    <x v="5"/>
    <n v="23"/>
    <x v="0"/>
  </r>
  <r>
    <d v="2021-11-23T00:00:00"/>
    <x v="3"/>
    <x v="3"/>
    <x v="0"/>
    <n v="8385293136.3100004"/>
    <x v="3"/>
    <x v="3"/>
    <x v="0"/>
    <x v="7"/>
    <x v="3"/>
    <x v="2"/>
    <x v="4"/>
    <x v="2"/>
    <x v="5"/>
    <n v="23"/>
    <x v="0"/>
  </r>
  <r>
    <d v="2021-11-23T00:00:00"/>
    <x v="1"/>
    <x v="0"/>
    <x v="0"/>
    <n v="92495571.469999999"/>
    <x v="1"/>
    <x v="0"/>
    <x v="0"/>
    <x v="10"/>
    <x v="3"/>
    <x v="2"/>
    <x v="4"/>
    <x v="2"/>
    <x v="5"/>
    <n v="23"/>
    <x v="0"/>
  </r>
  <r>
    <d v="2021-11-23T00:00:00"/>
    <x v="3"/>
    <x v="1"/>
    <x v="0"/>
    <n v="13539807.199999999"/>
    <x v="3"/>
    <x v="1"/>
    <x v="0"/>
    <x v="11"/>
    <x v="3"/>
    <x v="2"/>
    <x v="4"/>
    <x v="2"/>
    <x v="5"/>
    <n v="23"/>
    <x v="0"/>
  </r>
  <r>
    <d v="2021-11-23T00:00:00"/>
    <x v="3"/>
    <x v="2"/>
    <x v="0"/>
    <n v="6758291152.4799995"/>
    <x v="3"/>
    <x v="2"/>
    <x v="0"/>
    <x v="12"/>
    <x v="3"/>
    <x v="2"/>
    <x v="4"/>
    <x v="2"/>
    <x v="5"/>
    <n v="23"/>
    <x v="0"/>
  </r>
  <r>
    <d v="2021-11-23T00:00:00"/>
    <x v="3"/>
    <x v="2"/>
    <x v="1"/>
    <n v="4803664734.1300001"/>
    <x v="3"/>
    <x v="2"/>
    <x v="1"/>
    <x v="13"/>
    <x v="3"/>
    <x v="2"/>
    <x v="4"/>
    <x v="2"/>
    <x v="5"/>
    <n v="23"/>
    <x v="0"/>
  </r>
  <r>
    <d v="2021-11-22T00:00:00"/>
    <x v="1"/>
    <x v="0"/>
    <x v="2"/>
    <n v="1494.62"/>
    <x v="1"/>
    <x v="0"/>
    <x v="2"/>
    <x v="3"/>
    <x v="3"/>
    <x v="2"/>
    <x v="4"/>
    <x v="2"/>
    <x v="5"/>
    <n v="22"/>
    <x v="0"/>
  </r>
  <r>
    <d v="2021-11-22T00:00:00"/>
    <x v="3"/>
    <x v="2"/>
    <x v="2"/>
    <n v="501218.11"/>
    <x v="3"/>
    <x v="2"/>
    <x v="2"/>
    <x v="5"/>
    <x v="3"/>
    <x v="2"/>
    <x v="4"/>
    <x v="2"/>
    <x v="5"/>
    <n v="22"/>
    <x v="0"/>
  </r>
  <r>
    <d v="2021-11-22T00:00:00"/>
    <x v="2"/>
    <x v="1"/>
    <x v="2"/>
    <n v="264118.21999999997"/>
    <x v="2"/>
    <x v="1"/>
    <x v="2"/>
    <x v="4"/>
    <x v="3"/>
    <x v="2"/>
    <x v="4"/>
    <x v="2"/>
    <x v="5"/>
    <n v="22"/>
    <x v="0"/>
  </r>
  <r>
    <d v="2021-11-22T00:00:00"/>
    <x v="1"/>
    <x v="1"/>
    <x v="0"/>
    <n v="885"/>
    <x v="1"/>
    <x v="1"/>
    <x v="0"/>
    <x v="0"/>
    <x v="3"/>
    <x v="2"/>
    <x v="4"/>
    <x v="2"/>
    <x v="5"/>
    <n v="22"/>
    <x v="0"/>
  </r>
  <r>
    <d v="2021-11-22T00:00:00"/>
    <x v="0"/>
    <x v="1"/>
    <x v="0"/>
    <n v="11226372.17"/>
    <x v="0"/>
    <x v="1"/>
    <x v="0"/>
    <x v="2"/>
    <x v="3"/>
    <x v="2"/>
    <x v="4"/>
    <x v="2"/>
    <x v="5"/>
    <n v="22"/>
    <x v="0"/>
  </r>
  <r>
    <d v="2021-11-22T00:00:00"/>
    <x v="1"/>
    <x v="0"/>
    <x v="1"/>
    <n v="188875110.44999999"/>
    <x v="1"/>
    <x v="0"/>
    <x v="1"/>
    <x v="11"/>
    <x v="3"/>
    <x v="2"/>
    <x v="4"/>
    <x v="2"/>
    <x v="5"/>
    <n v="22"/>
    <x v="0"/>
  </r>
  <r>
    <d v="2021-11-22T00:00:00"/>
    <x v="3"/>
    <x v="3"/>
    <x v="1"/>
    <n v="643"/>
    <x v="3"/>
    <x v="3"/>
    <x v="1"/>
    <x v="6"/>
    <x v="3"/>
    <x v="2"/>
    <x v="4"/>
    <x v="2"/>
    <x v="5"/>
    <n v="22"/>
    <x v="0"/>
  </r>
  <r>
    <d v="2021-11-22T00:00:00"/>
    <x v="1"/>
    <x v="0"/>
    <x v="0"/>
    <n v="80696023.459999993"/>
    <x v="1"/>
    <x v="0"/>
    <x v="0"/>
    <x v="12"/>
    <x v="3"/>
    <x v="2"/>
    <x v="4"/>
    <x v="2"/>
    <x v="5"/>
    <n v="22"/>
    <x v="0"/>
  </r>
  <r>
    <d v="2021-11-22T00:00:00"/>
    <x v="0"/>
    <x v="1"/>
    <x v="1"/>
    <n v="876581.51"/>
    <x v="0"/>
    <x v="1"/>
    <x v="1"/>
    <x v="7"/>
    <x v="3"/>
    <x v="2"/>
    <x v="4"/>
    <x v="2"/>
    <x v="5"/>
    <n v="22"/>
    <x v="0"/>
  </r>
  <r>
    <d v="2021-11-22T00:00:00"/>
    <x v="0"/>
    <x v="0"/>
    <x v="0"/>
    <n v="92"/>
    <x v="0"/>
    <x v="0"/>
    <x v="0"/>
    <x v="1"/>
    <x v="3"/>
    <x v="2"/>
    <x v="4"/>
    <x v="2"/>
    <x v="5"/>
    <n v="22"/>
    <x v="0"/>
  </r>
  <r>
    <d v="2021-11-22T00:00:00"/>
    <x v="3"/>
    <x v="3"/>
    <x v="0"/>
    <n v="1713157059.8399999"/>
    <x v="3"/>
    <x v="3"/>
    <x v="0"/>
    <x v="8"/>
    <x v="3"/>
    <x v="2"/>
    <x v="4"/>
    <x v="2"/>
    <x v="5"/>
    <n v="22"/>
    <x v="0"/>
  </r>
  <r>
    <d v="2021-11-22T00:00:00"/>
    <x v="2"/>
    <x v="1"/>
    <x v="0"/>
    <n v="76082808.689999998"/>
    <x v="2"/>
    <x v="1"/>
    <x v="0"/>
    <x v="9"/>
    <x v="3"/>
    <x v="2"/>
    <x v="4"/>
    <x v="2"/>
    <x v="5"/>
    <n v="22"/>
    <x v="0"/>
  </r>
  <r>
    <d v="2021-11-22T00:00:00"/>
    <x v="2"/>
    <x v="1"/>
    <x v="1"/>
    <n v="163268696.06999999"/>
    <x v="2"/>
    <x v="1"/>
    <x v="1"/>
    <x v="10"/>
    <x v="3"/>
    <x v="2"/>
    <x v="4"/>
    <x v="2"/>
    <x v="5"/>
    <n v="22"/>
    <x v="0"/>
  </r>
  <r>
    <d v="2021-11-22T00:00:00"/>
    <x v="3"/>
    <x v="2"/>
    <x v="0"/>
    <n v="670593807.16999996"/>
    <x v="3"/>
    <x v="2"/>
    <x v="0"/>
    <x v="13"/>
    <x v="3"/>
    <x v="2"/>
    <x v="4"/>
    <x v="2"/>
    <x v="5"/>
    <n v="22"/>
    <x v="0"/>
  </r>
  <r>
    <d v="2021-11-22T00:00:00"/>
    <x v="3"/>
    <x v="1"/>
    <x v="0"/>
    <n v="45886512.859999999"/>
    <x v="3"/>
    <x v="1"/>
    <x v="0"/>
    <x v="14"/>
    <x v="3"/>
    <x v="2"/>
    <x v="4"/>
    <x v="2"/>
    <x v="5"/>
    <n v="22"/>
    <x v="0"/>
  </r>
  <r>
    <d v="2021-11-22T00:00:00"/>
    <x v="3"/>
    <x v="2"/>
    <x v="1"/>
    <n v="20171552570.32"/>
    <x v="3"/>
    <x v="2"/>
    <x v="1"/>
    <x v="15"/>
    <x v="3"/>
    <x v="2"/>
    <x v="4"/>
    <x v="2"/>
    <x v="5"/>
    <n v="22"/>
    <x v="0"/>
  </r>
  <r>
    <d v="2021-11-19T00:00:00"/>
    <x v="1"/>
    <x v="0"/>
    <x v="2"/>
    <n v="3248.93"/>
    <x v="1"/>
    <x v="0"/>
    <x v="2"/>
    <x v="1"/>
    <x v="3"/>
    <x v="2"/>
    <x v="4"/>
    <x v="2"/>
    <x v="5"/>
    <n v="19"/>
    <x v="0"/>
  </r>
  <r>
    <d v="2021-11-19T00:00:00"/>
    <x v="2"/>
    <x v="1"/>
    <x v="0"/>
    <n v="79348664.230000004"/>
    <x v="2"/>
    <x v="1"/>
    <x v="0"/>
    <x v="7"/>
    <x v="3"/>
    <x v="2"/>
    <x v="4"/>
    <x v="2"/>
    <x v="5"/>
    <n v="19"/>
    <x v="0"/>
  </r>
  <r>
    <d v="2021-11-19T00:00:00"/>
    <x v="3"/>
    <x v="2"/>
    <x v="2"/>
    <n v="517928.84"/>
    <x v="3"/>
    <x v="2"/>
    <x v="2"/>
    <x v="2"/>
    <x v="3"/>
    <x v="2"/>
    <x v="4"/>
    <x v="2"/>
    <x v="5"/>
    <n v="19"/>
    <x v="0"/>
  </r>
  <r>
    <d v="2021-11-19T00:00:00"/>
    <x v="0"/>
    <x v="1"/>
    <x v="0"/>
    <n v="12577837.550000001"/>
    <x v="0"/>
    <x v="1"/>
    <x v="0"/>
    <x v="0"/>
    <x v="3"/>
    <x v="2"/>
    <x v="4"/>
    <x v="2"/>
    <x v="5"/>
    <n v="19"/>
    <x v="0"/>
  </r>
  <r>
    <d v="2021-11-19T00:00:00"/>
    <x v="2"/>
    <x v="1"/>
    <x v="1"/>
    <n v="165652729.71000001"/>
    <x v="2"/>
    <x v="1"/>
    <x v="1"/>
    <x v="8"/>
    <x v="3"/>
    <x v="2"/>
    <x v="4"/>
    <x v="2"/>
    <x v="5"/>
    <n v="19"/>
    <x v="0"/>
  </r>
  <r>
    <d v="2021-11-19T00:00:00"/>
    <x v="1"/>
    <x v="0"/>
    <x v="0"/>
    <n v="65873762.689999998"/>
    <x v="1"/>
    <x v="0"/>
    <x v="0"/>
    <x v="9"/>
    <x v="3"/>
    <x v="2"/>
    <x v="4"/>
    <x v="2"/>
    <x v="5"/>
    <n v="19"/>
    <x v="0"/>
  </r>
  <r>
    <d v="2021-11-19T00:00:00"/>
    <x v="0"/>
    <x v="1"/>
    <x v="1"/>
    <n v="21050002.809999999"/>
    <x v="0"/>
    <x v="1"/>
    <x v="1"/>
    <x v="4"/>
    <x v="3"/>
    <x v="2"/>
    <x v="4"/>
    <x v="2"/>
    <x v="5"/>
    <n v="19"/>
    <x v="0"/>
  </r>
  <r>
    <d v="2021-11-19T00:00:00"/>
    <x v="1"/>
    <x v="0"/>
    <x v="1"/>
    <n v="119302062.03"/>
    <x v="1"/>
    <x v="0"/>
    <x v="1"/>
    <x v="10"/>
    <x v="3"/>
    <x v="2"/>
    <x v="4"/>
    <x v="2"/>
    <x v="5"/>
    <n v="19"/>
    <x v="0"/>
  </r>
  <r>
    <d v="2021-11-19T00:00:00"/>
    <x v="2"/>
    <x v="1"/>
    <x v="2"/>
    <n v="1985"/>
    <x v="2"/>
    <x v="1"/>
    <x v="2"/>
    <x v="5"/>
    <x v="3"/>
    <x v="2"/>
    <x v="4"/>
    <x v="2"/>
    <x v="5"/>
    <n v="19"/>
    <x v="0"/>
  </r>
  <r>
    <d v="2021-11-19T00:00:00"/>
    <x v="3"/>
    <x v="3"/>
    <x v="0"/>
    <n v="1612879680.77"/>
    <x v="3"/>
    <x v="3"/>
    <x v="0"/>
    <x v="6"/>
    <x v="3"/>
    <x v="2"/>
    <x v="4"/>
    <x v="2"/>
    <x v="5"/>
    <n v="19"/>
    <x v="0"/>
  </r>
  <r>
    <d v="2021-11-19T00:00:00"/>
    <x v="3"/>
    <x v="3"/>
    <x v="1"/>
    <n v="166183.79999999999"/>
    <x v="3"/>
    <x v="3"/>
    <x v="1"/>
    <x v="3"/>
    <x v="3"/>
    <x v="2"/>
    <x v="4"/>
    <x v="2"/>
    <x v="5"/>
    <n v="19"/>
    <x v="0"/>
  </r>
  <r>
    <d v="2021-11-19T00:00:00"/>
    <x v="3"/>
    <x v="2"/>
    <x v="0"/>
    <n v="323824067.04000002"/>
    <x v="3"/>
    <x v="2"/>
    <x v="0"/>
    <x v="11"/>
    <x v="3"/>
    <x v="2"/>
    <x v="4"/>
    <x v="2"/>
    <x v="5"/>
    <n v="19"/>
    <x v="0"/>
  </r>
  <r>
    <d v="2021-11-19T00:00:00"/>
    <x v="3"/>
    <x v="1"/>
    <x v="0"/>
    <n v="15427297.890000001"/>
    <x v="3"/>
    <x v="1"/>
    <x v="0"/>
    <x v="12"/>
    <x v="3"/>
    <x v="2"/>
    <x v="4"/>
    <x v="2"/>
    <x v="5"/>
    <n v="19"/>
    <x v="0"/>
  </r>
  <r>
    <d v="2021-11-19T00:00:00"/>
    <x v="3"/>
    <x v="2"/>
    <x v="1"/>
    <n v="10115716074.33"/>
    <x v="3"/>
    <x v="2"/>
    <x v="1"/>
    <x v="13"/>
    <x v="3"/>
    <x v="2"/>
    <x v="4"/>
    <x v="2"/>
    <x v="5"/>
    <n v="19"/>
    <x v="0"/>
  </r>
  <r>
    <d v="2021-11-18T00:00:00"/>
    <x v="1"/>
    <x v="0"/>
    <x v="2"/>
    <n v="870.45"/>
    <x v="1"/>
    <x v="0"/>
    <x v="2"/>
    <x v="1"/>
    <x v="3"/>
    <x v="2"/>
    <x v="4"/>
    <x v="2"/>
    <x v="5"/>
    <n v="18"/>
    <x v="0"/>
  </r>
  <r>
    <d v="2021-11-18T00:00:00"/>
    <x v="0"/>
    <x v="1"/>
    <x v="0"/>
    <n v="13694981.24"/>
    <x v="0"/>
    <x v="1"/>
    <x v="0"/>
    <x v="0"/>
    <x v="3"/>
    <x v="2"/>
    <x v="4"/>
    <x v="2"/>
    <x v="5"/>
    <n v="18"/>
    <x v="0"/>
  </r>
  <r>
    <d v="2021-11-18T00:00:00"/>
    <x v="2"/>
    <x v="1"/>
    <x v="2"/>
    <n v="17700"/>
    <x v="2"/>
    <x v="1"/>
    <x v="2"/>
    <x v="3"/>
    <x v="3"/>
    <x v="2"/>
    <x v="4"/>
    <x v="2"/>
    <x v="5"/>
    <n v="18"/>
    <x v="0"/>
  </r>
  <r>
    <d v="2021-11-18T00:00:00"/>
    <x v="3"/>
    <x v="2"/>
    <x v="2"/>
    <n v="423154.98"/>
    <x v="3"/>
    <x v="2"/>
    <x v="2"/>
    <x v="4"/>
    <x v="3"/>
    <x v="2"/>
    <x v="4"/>
    <x v="2"/>
    <x v="5"/>
    <n v="18"/>
    <x v="0"/>
  </r>
  <r>
    <d v="2021-11-18T00:00:00"/>
    <x v="2"/>
    <x v="1"/>
    <x v="1"/>
    <n v="217141167.5"/>
    <x v="2"/>
    <x v="1"/>
    <x v="1"/>
    <x v="6"/>
    <x v="3"/>
    <x v="2"/>
    <x v="4"/>
    <x v="2"/>
    <x v="5"/>
    <n v="18"/>
    <x v="0"/>
  </r>
  <r>
    <d v="2021-11-18T00:00:00"/>
    <x v="0"/>
    <x v="1"/>
    <x v="1"/>
    <n v="21132248.649999999"/>
    <x v="0"/>
    <x v="1"/>
    <x v="1"/>
    <x v="2"/>
    <x v="3"/>
    <x v="2"/>
    <x v="4"/>
    <x v="2"/>
    <x v="5"/>
    <n v="18"/>
    <x v="0"/>
  </r>
  <r>
    <d v="2021-11-18T00:00:00"/>
    <x v="1"/>
    <x v="0"/>
    <x v="0"/>
    <n v="114470495.56999999"/>
    <x v="1"/>
    <x v="0"/>
    <x v="0"/>
    <x v="7"/>
    <x v="3"/>
    <x v="2"/>
    <x v="4"/>
    <x v="2"/>
    <x v="5"/>
    <n v="18"/>
    <x v="0"/>
  </r>
  <r>
    <d v="2021-11-18T00:00:00"/>
    <x v="1"/>
    <x v="0"/>
    <x v="1"/>
    <n v="148007232.46000001"/>
    <x v="1"/>
    <x v="0"/>
    <x v="1"/>
    <x v="9"/>
    <x v="3"/>
    <x v="2"/>
    <x v="4"/>
    <x v="2"/>
    <x v="5"/>
    <n v="18"/>
    <x v="0"/>
  </r>
  <r>
    <d v="2021-11-18T00:00:00"/>
    <x v="2"/>
    <x v="1"/>
    <x v="0"/>
    <n v="74220239.969999999"/>
    <x v="2"/>
    <x v="1"/>
    <x v="0"/>
    <x v="5"/>
    <x v="3"/>
    <x v="2"/>
    <x v="4"/>
    <x v="2"/>
    <x v="5"/>
    <n v="18"/>
    <x v="0"/>
  </r>
  <r>
    <d v="2021-11-18T00:00:00"/>
    <x v="3"/>
    <x v="3"/>
    <x v="0"/>
    <n v="991891348.69000006"/>
    <x v="3"/>
    <x v="3"/>
    <x v="0"/>
    <x v="8"/>
    <x v="3"/>
    <x v="2"/>
    <x v="4"/>
    <x v="2"/>
    <x v="5"/>
    <n v="18"/>
    <x v="0"/>
  </r>
  <r>
    <d v="2021-11-18T00:00:00"/>
    <x v="3"/>
    <x v="1"/>
    <x v="0"/>
    <n v="14916485.49"/>
    <x v="3"/>
    <x v="1"/>
    <x v="0"/>
    <x v="10"/>
    <x v="3"/>
    <x v="2"/>
    <x v="4"/>
    <x v="2"/>
    <x v="5"/>
    <n v="18"/>
    <x v="0"/>
  </r>
  <r>
    <d v="2021-11-18T00:00:00"/>
    <x v="3"/>
    <x v="2"/>
    <x v="0"/>
    <n v="378253950.88999999"/>
    <x v="3"/>
    <x v="2"/>
    <x v="0"/>
    <x v="11"/>
    <x v="3"/>
    <x v="2"/>
    <x v="4"/>
    <x v="2"/>
    <x v="5"/>
    <n v="18"/>
    <x v="0"/>
  </r>
  <r>
    <d v="2021-11-18T00:00:00"/>
    <x v="3"/>
    <x v="2"/>
    <x v="1"/>
    <n v="4449318937.2700005"/>
    <x v="3"/>
    <x v="2"/>
    <x v="1"/>
    <x v="12"/>
    <x v="3"/>
    <x v="2"/>
    <x v="4"/>
    <x v="2"/>
    <x v="5"/>
    <n v="18"/>
    <x v="0"/>
  </r>
  <r>
    <d v="2021-11-17T00:00:00"/>
    <x v="1"/>
    <x v="0"/>
    <x v="2"/>
    <n v="224.14"/>
    <x v="1"/>
    <x v="0"/>
    <x v="2"/>
    <x v="2"/>
    <x v="3"/>
    <x v="2"/>
    <x v="4"/>
    <x v="2"/>
    <x v="5"/>
    <n v="17"/>
    <x v="0"/>
  </r>
  <r>
    <d v="2021-11-17T00:00:00"/>
    <x v="0"/>
    <x v="1"/>
    <x v="0"/>
    <n v="16214304.630000001"/>
    <x v="0"/>
    <x v="1"/>
    <x v="0"/>
    <x v="1"/>
    <x v="3"/>
    <x v="2"/>
    <x v="4"/>
    <x v="2"/>
    <x v="5"/>
    <n v="17"/>
    <x v="0"/>
  </r>
  <r>
    <d v="2021-11-17T00:00:00"/>
    <x v="2"/>
    <x v="1"/>
    <x v="2"/>
    <n v="102019.63"/>
    <x v="2"/>
    <x v="1"/>
    <x v="2"/>
    <x v="3"/>
    <x v="3"/>
    <x v="2"/>
    <x v="4"/>
    <x v="2"/>
    <x v="5"/>
    <n v="17"/>
    <x v="0"/>
  </r>
  <r>
    <d v="2021-11-17T00:00:00"/>
    <x v="2"/>
    <x v="1"/>
    <x v="0"/>
    <n v="101963782.62"/>
    <x v="2"/>
    <x v="1"/>
    <x v="0"/>
    <x v="6"/>
    <x v="3"/>
    <x v="2"/>
    <x v="4"/>
    <x v="2"/>
    <x v="5"/>
    <n v="17"/>
    <x v="0"/>
  </r>
  <r>
    <d v="2021-11-17T00:00:00"/>
    <x v="3"/>
    <x v="2"/>
    <x v="2"/>
    <n v="318581.03999999998"/>
    <x v="3"/>
    <x v="2"/>
    <x v="2"/>
    <x v="5"/>
    <x v="3"/>
    <x v="2"/>
    <x v="4"/>
    <x v="2"/>
    <x v="5"/>
    <n v="17"/>
    <x v="0"/>
  </r>
  <r>
    <d v="2021-11-17T00:00:00"/>
    <x v="0"/>
    <x v="1"/>
    <x v="1"/>
    <n v="1442321.02"/>
    <x v="0"/>
    <x v="1"/>
    <x v="1"/>
    <x v="4"/>
    <x v="3"/>
    <x v="2"/>
    <x v="4"/>
    <x v="2"/>
    <x v="5"/>
    <n v="17"/>
    <x v="0"/>
  </r>
  <r>
    <d v="2021-11-17T00:00:00"/>
    <x v="1"/>
    <x v="0"/>
    <x v="1"/>
    <n v="497780285.02999997"/>
    <x v="1"/>
    <x v="0"/>
    <x v="1"/>
    <x v="9"/>
    <x v="3"/>
    <x v="2"/>
    <x v="4"/>
    <x v="2"/>
    <x v="5"/>
    <n v="17"/>
    <x v="0"/>
  </r>
  <r>
    <d v="2021-11-17T00:00:00"/>
    <x v="1"/>
    <x v="0"/>
    <x v="0"/>
    <n v="114202273.19"/>
    <x v="1"/>
    <x v="0"/>
    <x v="0"/>
    <x v="10"/>
    <x v="3"/>
    <x v="2"/>
    <x v="4"/>
    <x v="2"/>
    <x v="5"/>
    <n v="17"/>
    <x v="0"/>
  </r>
  <r>
    <d v="2021-11-17T00:00:00"/>
    <x v="0"/>
    <x v="0"/>
    <x v="0"/>
    <n v="1558.34"/>
    <x v="0"/>
    <x v="0"/>
    <x v="0"/>
    <x v="0"/>
    <x v="3"/>
    <x v="2"/>
    <x v="4"/>
    <x v="2"/>
    <x v="5"/>
    <n v="17"/>
    <x v="0"/>
  </r>
  <r>
    <d v="2021-11-17T00:00:00"/>
    <x v="2"/>
    <x v="1"/>
    <x v="1"/>
    <n v="413634998.38"/>
    <x v="2"/>
    <x v="1"/>
    <x v="1"/>
    <x v="8"/>
    <x v="3"/>
    <x v="2"/>
    <x v="4"/>
    <x v="2"/>
    <x v="5"/>
    <n v="17"/>
    <x v="0"/>
  </r>
  <r>
    <d v="2021-11-17T00:00:00"/>
    <x v="3"/>
    <x v="3"/>
    <x v="0"/>
    <n v="911932653.82000005"/>
    <x v="3"/>
    <x v="3"/>
    <x v="0"/>
    <x v="7"/>
    <x v="3"/>
    <x v="2"/>
    <x v="4"/>
    <x v="2"/>
    <x v="5"/>
    <n v="17"/>
    <x v="0"/>
  </r>
  <r>
    <d v="2021-11-17T00:00:00"/>
    <x v="3"/>
    <x v="1"/>
    <x v="0"/>
    <n v="14022879.220000001"/>
    <x v="3"/>
    <x v="1"/>
    <x v="0"/>
    <x v="11"/>
    <x v="3"/>
    <x v="2"/>
    <x v="4"/>
    <x v="2"/>
    <x v="5"/>
    <n v="17"/>
    <x v="0"/>
  </r>
  <r>
    <d v="2021-11-17T00:00:00"/>
    <x v="3"/>
    <x v="2"/>
    <x v="0"/>
    <n v="342265430.76999998"/>
    <x v="3"/>
    <x v="2"/>
    <x v="0"/>
    <x v="12"/>
    <x v="3"/>
    <x v="2"/>
    <x v="4"/>
    <x v="2"/>
    <x v="5"/>
    <n v="17"/>
    <x v="0"/>
  </r>
  <r>
    <d v="2021-11-17T00:00:00"/>
    <x v="3"/>
    <x v="2"/>
    <x v="1"/>
    <n v="11159924530.92"/>
    <x v="3"/>
    <x v="2"/>
    <x v="1"/>
    <x v="13"/>
    <x v="3"/>
    <x v="2"/>
    <x v="4"/>
    <x v="2"/>
    <x v="5"/>
    <n v="17"/>
    <x v="0"/>
  </r>
  <r>
    <d v="2021-11-16T00:00:00"/>
    <x v="3"/>
    <x v="2"/>
    <x v="2"/>
    <n v="507559.82"/>
    <x v="3"/>
    <x v="2"/>
    <x v="2"/>
    <x v="5"/>
    <x v="3"/>
    <x v="2"/>
    <x v="4"/>
    <x v="2"/>
    <x v="5"/>
    <n v="16"/>
    <x v="0"/>
  </r>
  <r>
    <d v="2021-11-16T00:00:00"/>
    <x v="1"/>
    <x v="0"/>
    <x v="2"/>
    <n v="5023.71"/>
    <x v="1"/>
    <x v="0"/>
    <x v="2"/>
    <x v="2"/>
    <x v="3"/>
    <x v="2"/>
    <x v="4"/>
    <x v="2"/>
    <x v="5"/>
    <n v="16"/>
    <x v="0"/>
  </r>
  <r>
    <d v="2021-11-16T00:00:00"/>
    <x v="2"/>
    <x v="1"/>
    <x v="2"/>
    <n v="9430"/>
    <x v="2"/>
    <x v="1"/>
    <x v="2"/>
    <x v="3"/>
    <x v="3"/>
    <x v="2"/>
    <x v="4"/>
    <x v="2"/>
    <x v="5"/>
    <n v="16"/>
    <x v="0"/>
  </r>
  <r>
    <d v="2021-11-16T00:00:00"/>
    <x v="2"/>
    <x v="1"/>
    <x v="1"/>
    <n v="124042795.8"/>
    <x v="2"/>
    <x v="1"/>
    <x v="1"/>
    <x v="8"/>
    <x v="3"/>
    <x v="2"/>
    <x v="4"/>
    <x v="2"/>
    <x v="5"/>
    <n v="16"/>
    <x v="0"/>
  </r>
  <r>
    <d v="2021-11-16T00:00:00"/>
    <x v="0"/>
    <x v="1"/>
    <x v="1"/>
    <n v="7719690.6200000001"/>
    <x v="0"/>
    <x v="1"/>
    <x v="1"/>
    <x v="4"/>
    <x v="3"/>
    <x v="2"/>
    <x v="4"/>
    <x v="2"/>
    <x v="5"/>
    <n v="16"/>
    <x v="0"/>
  </r>
  <r>
    <d v="2021-11-16T00:00:00"/>
    <x v="1"/>
    <x v="0"/>
    <x v="1"/>
    <n v="373957025.81"/>
    <x v="1"/>
    <x v="0"/>
    <x v="1"/>
    <x v="9"/>
    <x v="3"/>
    <x v="2"/>
    <x v="4"/>
    <x v="2"/>
    <x v="5"/>
    <n v="16"/>
    <x v="0"/>
  </r>
  <r>
    <d v="2021-11-16T00:00:00"/>
    <x v="1"/>
    <x v="0"/>
    <x v="0"/>
    <n v="92743093.310000002"/>
    <x v="1"/>
    <x v="0"/>
    <x v="0"/>
    <x v="10"/>
    <x v="3"/>
    <x v="2"/>
    <x v="4"/>
    <x v="2"/>
    <x v="5"/>
    <n v="16"/>
    <x v="0"/>
  </r>
  <r>
    <d v="2021-11-16T00:00:00"/>
    <x v="0"/>
    <x v="1"/>
    <x v="0"/>
    <n v="15058142.6"/>
    <x v="0"/>
    <x v="1"/>
    <x v="0"/>
    <x v="1"/>
    <x v="3"/>
    <x v="2"/>
    <x v="4"/>
    <x v="2"/>
    <x v="5"/>
    <n v="16"/>
    <x v="0"/>
  </r>
  <r>
    <d v="2021-11-16T00:00:00"/>
    <x v="0"/>
    <x v="0"/>
    <x v="0"/>
    <n v="1200"/>
    <x v="0"/>
    <x v="0"/>
    <x v="0"/>
    <x v="0"/>
    <x v="3"/>
    <x v="2"/>
    <x v="4"/>
    <x v="2"/>
    <x v="5"/>
    <n v="16"/>
    <x v="0"/>
  </r>
  <r>
    <d v="2021-11-16T00:00:00"/>
    <x v="2"/>
    <x v="1"/>
    <x v="0"/>
    <n v="94482529.689999998"/>
    <x v="2"/>
    <x v="1"/>
    <x v="0"/>
    <x v="6"/>
    <x v="3"/>
    <x v="2"/>
    <x v="4"/>
    <x v="2"/>
    <x v="5"/>
    <n v="16"/>
    <x v="0"/>
  </r>
  <r>
    <d v="2021-11-16T00:00:00"/>
    <x v="3"/>
    <x v="3"/>
    <x v="0"/>
    <n v="1394171164.98"/>
    <x v="3"/>
    <x v="3"/>
    <x v="0"/>
    <x v="7"/>
    <x v="3"/>
    <x v="2"/>
    <x v="4"/>
    <x v="2"/>
    <x v="5"/>
    <n v="16"/>
    <x v="0"/>
  </r>
  <r>
    <d v="2021-11-16T00:00:00"/>
    <x v="3"/>
    <x v="1"/>
    <x v="0"/>
    <n v="10517923.01"/>
    <x v="3"/>
    <x v="1"/>
    <x v="0"/>
    <x v="11"/>
    <x v="3"/>
    <x v="2"/>
    <x v="4"/>
    <x v="2"/>
    <x v="5"/>
    <n v="16"/>
    <x v="0"/>
  </r>
  <r>
    <d v="2021-11-16T00:00:00"/>
    <x v="3"/>
    <x v="2"/>
    <x v="0"/>
    <n v="503503332.63999999"/>
    <x v="3"/>
    <x v="2"/>
    <x v="0"/>
    <x v="12"/>
    <x v="3"/>
    <x v="2"/>
    <x v="4"/>
    <x v="2"/>
    <x v="5"/>
    <n v="16"/>
    <x v="0"/>
  </r>
  <r>
    <d v="2021-11-16T00:00:00"/>
    <x v="3"/>
    <x v="2"/>
    <x v="1"/>
    <n v="15477520139.200001"/>
    <x v="3"/>
    <x v="2"/>
    <x v="1"/>
    <x v="13"/>
    <x v="3"/>
    <x v="2"/>
    <x v="4"/>
    <x v="2"/>
    <x v="5"/>
    <n v="16"/>
    <x v="0"/>
  </r>
  <r>
    <d v="2021-11-15T00:00:00"/>
    <x v="1"/>
    <x v="0"/>
    <x v="2"/>
    <n v="5071.54"/>
    <x v="1"/>
    <x v="0"/>
    <x v="2"/>
    <x v="1"/>
    <x v="3"/>
    <x v="2"/>
    <x v="4"/>
    <x v="2"/>
    <x v="5"/>
    <n v="15"/>
    <x v="0"/>
  </r>
  <r>
    <d v="2021-11-15T00:00:00"/>
    <x v="2"/>
    <x v="1"/>
    <x v="2"/>
    <n v="6418.76"/>
    <x v="2"/>
    <x v="1"/>
    <x v="2"/>
    <x v="2"/>
    <x v="3"/>
    <x v="2"/>
    <x v="4"/>
    <x v="2"/>
    <x v="5"/>
    <n v="15"/>
    <x v="0"/>
  </r>
  <r>
    <d v="2021-11-15T00:00:00"/>
    <x v="2"/>
    <x v="1"/>
    <x v="0"/>
    <n v="54242001.579999998"/>
    <x v="2"/>
    <x v="1"/>
    <x v="0"/>
    <x v="5"/>
    <x v="3"/>
    <x v="2"/>
    <x v="4"/>
    <x v="2"/>
    <x v="5"/>
    <n v="15"/>
    <x v="0"/>
  </r>
  <r>
    <d v="2021-11-15T00:00:00"/>
    <x v="1"/>
    <x v="0"/>
    <x v="0"/>
    <n v="65057081.969999999"/>
    <x v="1"/>
    <x v="0"/>
    <x v="0"/>
    <x v="7"/>
    <x v="3"/>
    <x v="2"/>
    <x v="4"/>
    <x v="2"/>
    <x v="5"/>
    <n v="15"/>
    <x v="0"/>
  </r>
  <r>
    <d v="2021-11-15T00:00:00"/>
    <x v="1"/>
    <x v="0"/>
    <x v="1"/>
    <n v="64385405.539999999"/>
    <x v="1"/>
    <x v="0"/>
    <x v="1"/>
    <x v="8"/>
    <x v="3"/>
    <x v="2"/>
    <x v="4"/>
    <x v="2"/>
    <x v="5"/>
    <n v="15"/>
    <x v="0"/>
  </r>
  <r>
    <d v="2021-11-15T00:00:00"/>
    <x v="0"/>
    <x v="1"/>
    <x v="0"/>
    <n v="19183984.420000002"/>
    <x v="0"/>
    <x v="1"/>
    <x v="0"/>
    <x v="0"/>
    <x v="3"/>
    <x v="2"/>
    <x v="4"/>
    <x v="2"/>
    <x v="5"/>
    <n v="15"/>
    <x v="0"/>
  </r>
  <r>
    <d v="2021-11-15T00:00:00"/>
    <x v="3"/>
    <x v="2"/>
    <x v="2"/>
    <n v="894399.54"/>
    <x v="3"/>
    <x v="2"/>
    <x v="2"/>
    <x v="4"/>
    <x v="3"/>
    <x v="2"/>
    <x v="4"/>
    <x v="2"/>
    <x v="5"/>
    <n v="15"/>
    <x v="0"/>
  </r>
  <r>
    <d v="2021-11-15T00:00:00"/>
    <x v="2"/>
    <x v="1"/>
    <x v="1"/>
    <n v="99678765.090000004"/>
    <x v="2"/>
    <x v="1"/>
    <x v="1"/>
    <x v="6"/>
    <x v="3"/>
    <x v="2"/>
    <x v="4"/>
    <x v="2"/>
    <x v="5"/>
    <n v="15"/>
    <x v="0"/>
  </r>
  <r>
    <d v="2021-11-15T00:00:00"/>
    <x v="0"/>
    <x v="1"/>
    <x v="1"/>
    <n v="13071664.869999999"/>
    <x v="0"/>
    <x v="1"/>
    <x v="1"/>
    <x v="3"/>
    <x v="3"/>
    <x v="2"/>
    <x v="4"/>
    <x v="2"/>
    <x v="5"/>
    <n v="15"/>
    <x v="0"/>
  </r>
  <r>
    <d v="2021-11-15T00:00:00"/>
    <x v="3"/>
    <x v="3"/>
    <x v="0"/>
    <n v="1997197601.72"/>
    <x v="3"/>
    <x v="3"/>
    <x v="0"/>
    <x v="9"/>
    <x v="3"/>
    <x v="2"/>
    <x v="4"/>
    <x v="2"/>
    <x v="5"/>
    <n v="15"/>
    <x v="0"/>
  </r>
  <r>
    <d v="2021-11-15T00:00:00"/>
    <x v="3"/>
    <x v="2"/>
    <x v="0"/>
    <n v="716964051.46000004"/>
    <x v="3"/>
    <x v="2"/>
    <x v="0"/>
    <x v="10"/>
    <x v="3"/>
    <x v="2"/>
    <x v="4"/>
    <x v="2"/>
    <x v="5"/>
    <n v="15"/>
    <x v="0"/>
  </r>
  <r>
    <d v="2021-11-15T00:00:00"/>
    <x v="3"/>
    <x v="1"/>
    <x v="0"/>
    <n v="41778748.359999999"/>
    <x v="3"/>
    <x v="1"/>
    <x v="0"/>
    <x v="11"/>
    <x v="3"/>
    <x v="2"/>
    <x v="4"/>
    <x v="2"/>
    <x v="5"/>
    <n v="15"/>
    <x v="0"/>
  </r>
  <r>
    <d v="2021-11-15T00:00:00"/>
    <x v="3"/>
    <x v="2"/>
    <x v="1"/>
    <n v="28447553103.34"/>
    <x v="3"/>
    <x v="2"/>
    <x v="1"/>
    <x v="12"/>
    <x v="3"/>
    <x v="2"/>
    <x v="4"/>
    <x v="2"/>
    <x v="5"/>
    <n v="15"/>
    <x v="0"/>
  </r>
  <r>
    <d v="2021-11-12T00:00:00"/>
    <x v="0"/>
    <x v="1"/>
    <x v="0"/>
    <n v="15756390.35"/>
    <x v="0"/>
    <x v="1"/>
    <x v="0"/>
    <x v="1"/>
    <x v="3"/>
    <x v="2"/>
    <x v="4"/>
    <x v="2"/>
    <x v="5"/>
    <n v="12"/>
    <x v="0"/>
  </r>
  <r>
    <d v="2021-11-12T00:00:00"/>
    <x v="1"/>
    <x v="0"/>
    <x v="2"/>
    <n v="10708.26"/>
    <x v="1"/>
    <x v="0"/>
    <x v="2"/>
    <x v="2"/>
    <x v="3"/>
    <x v="2"/>
    <x v="4"/>
    <x v="2"/>
    <x v="5"/>
    <n v="12"/>
    <x v="0"/>
  </r>
  <r>
    <d v="2021-11-12T00:00:00"/>
    <x v="2"/>
    <x v="1"/>
    <x v="2"/>
    <n v="8935"/>
    <x v="2"/>
    <x v="1"/>
    <x v="2"/>
    <x v="3"/>
    <x v="3"/>
    <x v="2"/>
    <x v="4"/>
    <x v="2"/>
    <x v="5"/>
    <n v="12"/>
    <x v="0"/>
  </r>
  <r>
    <d v="2021-11-12T00:00:00"/>
    <x v="1"/>
    <x v="1"/>
    <x v="0"/>
    <n v="1498.44"/>
    <x v="1"/>
    <x v="1"/>
    <x v="0"/>
    <x v="0"/>
    <x v="3"/>
    <x v="2"/>
    <x v="4"/>
    <x v="2"/>
    <x v="5"/>
    <n v="12"/>
    <x v="0"/>
  </r>
  <r>
    <d v="2021-11-12T00:00:00"/>
    <x v="2"/>
    <x v="1"/>
    <x v="0"/>
    <n v="83160727.560000002"/>
    <x v="2"/>
    <x v="1"/>
    <x v="0"/>
    <x v="6"/>
    <x v="3"/>
    <x v="2"/>
    <x v="4"/>
    <x v="2"/>
    <x v="5"/>
    <n v="12"/>
    <x v="0"/>
  </r>
  <r>
    <d v="2021-11-12T00:00:00"/>
    <x v="2"/>
    <x v="1"/>
    <x v="1"/>
    <n v="204532285.53"/>
    <x v="2"/>
    <x v="1"/>
    <x v="1"/>
    <x v="8"/>
    <x v="3"/>
    <x v="2"/>
    <x v="4"/>
    <x v="2"/>
    <x v="5"/>
    <n v="12"/>
    <x v="0"/>
  </r>
  <r>
    <d v="2021-11-12T00:00:00"/>
    <x v="0"/>
    <x v="1"/>
    <x v="1"/>
    <n v="8710374.6500000004"/>
    <x v="0"/>
    <x v="1"/>
    <x v="1"/>
    <x v="4"/>
    <x v="3"/>
    <x v="2"/>
    <x v="4"/>
    <x v="2"/>
    <x v="5"/>
    <n v="12"/>
    <x v="0"/>
  </r>
  <r>
    <d v="2021-11-12T00:00:00"/>
    <x v="3"/>
    <x v="3"/>
    <x v="0"/>
    <n v="1840641911.76"/>
    <x v="3"/>
    <x v="3"/>
    <x v="0"/>
    <x v="7"/>
    <x v="3"/>
    <x v="2"/>
    <x v="4"/>
    <x v="2"/>
    <x v="5"/>
    <n v="12"/>
    <x v="0"/>
  </r>
  <r>
    <d v="2021-11-12T00:00:00"/>
    <x v="3"/>
    <x v="2"/>
    <x v="2"/>
    <n v="404560"/>
    <x v="3"/>
    <x v="2"/>
    <x v="2"/>
    <x v="5"/>
    <x v="3"/>
    <x v="2"/>
    <x v="4"/>
    <x v="2"/>
    <x v="5"/>
    <n v="12"/>
    <x v="0"/>
  </r>
  <r>
    <d v="2021-11-12T00:00:00"/>
    <x v="1"/>
    <x v="0"/>
    <x v="0"/>
    <n v="81540588.799999997"/>
    <x v="1"/>
    <x v="0"/>
    <x v="0"/>
    <x v="9"/>
    <x v="3"/>
    <x v="2"/>
    <x v="4"/>
    <x v="2"/>
    <x v="5"/>
    <n v="12"/>
    <x v="0"/>
  </r>
  <r>
    <d v="2021-11-12T00:00:00"/>
    <x v="1"/>
    <x v="0"/>
    <x v="1"/>
    <n v="257969528.61000001"/>
    <x v="1"/>
    <x v="0"/>
    <x v="1"/>
    <x v="10"/>
    <x v="3"/>
    <x v="2"/>
    <x v="4"/>
    <x v="2"/>
    <x v="5"/>
    <n v="12"/>
    <x v="0"/>
  </r>
  <r>
    <d v="2021-11-12T00:00:00"/>
    <x v="3"/>
    <x v="2"/>
    <x v="0"/>
    <n v="592268993.26999998"/>
    <x v="3"/>
    <x v="2"/>
    <x v="0"/>
    <x v="11"/>
    <x v="3"/>
    <x v="2"/>
    <x v="4"/>
    <x v="2"/>
    <x v="5"/>
    <n v="12"/>
    <x v="0"/>
  </r>
  <r>
    <d v="2021-11-12T00:00:00"/>
    <x v="3"/>
    <x v="1"/>
    <x v="0"/>
    <n v="23694722.93"/>
    <x v="3"/>
    <x v="1"/>
    <x v="0"/>
    <x v="12"/>
    <x v="3"/>
    <x v="2"/>
    <x v="4"/>
    <x v="2"/>
    <x v="5"/>
    <n v="12"/>
    <x v="0"/>
  </r>
  <r>
    <d v="2021-11-12T00:00:00"/>
    <x v="3"/>
    <x v="2"/>
    <x v="1"/>
    <n v="13828303687.309999"/>
    <x v="3"/>
    <x v="2"/>
    <x v="1"/>
    <x v="13"/>
    <x v="3"/>
    <x v="2"/>
    <x v="4"/>
    <x v="2"/>
    <x v="5"/>
    <n v="12"/>
    <x v="0"/>
  </r>
  <r>
    <d v="2021-11-10T00:00:00"/>
    <x v="1"/>
    <x v="0"/>
    <x v="2"/>
    <n v="4678.26"/>
    <x v="1"/>
    <x v="0"/>
    <x v="2"/>
    <x v="1"/>
    <x v="3"/>
    <x v="2"/>
    <x v="4"/>
    <x v="2"/>
    <x v="5"/>
    <n v="10"/>
    <x v="0"/>
  </r>
  <r>
    <d v="2021-11-10T00:00:00"/>
    <x v="2"/>
    <x v="1"/>
    <x v="0"/>
    <n v="99706596.640000001"/>
    <x v="2"/>
    <x v="1"/>
    <x v="0"/>
    <x v="5"/>
    <x v="3"/>
    <x v="2"/>
    <x v="4"/>
    <x v="2"/>
    <x v="5"/>
    <n v="10"/>
    <x v="0"/>
  </r>
  <r>
    <d v="2021-11-10T00:00:00"/>
    <x v="2"/>
    <x v="1"/>
    <x v="2"/>
    <n v="107741.52"/>
    <x v="2"/>
    <x v="1"/>
    <x v="2"/>
    <x v="2"/>
    <x v="3"/>
    <x v="2"/>
    <x v="4"/>
    <x v="2"/>
    <x v="5"/>
    <n v="10"/>
    <x v="0"/>
  </r>
  <r>
    <d v="2021-11-10T00:00:00"/>
    <x v="0"/>
    <x v="1"/>
    <x v="0"/>
    <n v="17661230.809999999"/>
    <x v="0"/>
    <x v="1"/>
    <x v="0"/>
    <x v="0"/>
    <x v="3"/>
    <x v="2"/>
    <x v="4"/>
    <x v="2"/>
    <x v="5"/>
    <n v="10"/>
    <x v="0"/>
  </r>
  <r>
    <d v="2021-11-10T00:00:00"/>
    <x v="2"/>
    <x v="1"/>
    <x v="1"/>
    <n v="204356925.62"/>
    <x v="2"/>
    <x v="1"/>
    <x v="1"/>
    <x v="7"/>
    <x v="3"/>
    <x v="2"/>
    <x v="4"/>
    <x v="2"/>
    <x v="5"/>
    <n v="10"/>
    <x v="0"/>
  </r>
  <r>
    <d v="2021-11-10T00:00:00"/>
    <x v="0"/>
    <x v="1"/>
    <x v="1"/>
    <n v="10323317.779999999"/>
    <x v="0"/>
    <x v="1"/>
    <x v="1"/>
    <x v="3"/>
    <x v="3"/>
    <x v="2"/>
    <x v="4"/>
    <x v="2"/>
    <x v="5"/>
    <n v="10"/>
    <x v="0"/>
  </r>
  <r>
    <d v="2021-11-10T00:00:00"/>
    <x v="1"/>
    <x v="0"/>
    <x v="0"/>
    <n v="87892995.640000001"/>
    <x v="1"/>
    <x v="0"/>
    <x v="0"/>
    <x v="8"/>
    <x v="3"/>
    <x v="2"/>
    <x v="4"/>
    <x v="2"/>
    <x v="5"/>
    <n v="10"/>
    <x v="0"/>
  </r>
  <r>
    <d v="2021-11-10T00:00:00"/>
    <x v="3"/>
    <x v="2"/>
    <x v="2"/>
    <n v="329924.55"/>
    <x v="3"/>
    <x v="2"/>
    <x v="2"/>
    <x v="4"/>
    <x v="3"/>
    <x v="2"/>
    <x v="4"/>
    <x v="2"/>
    <x v="5"/>
    <n v="10"/>
    <x v="0"/>
  </r>
  <r>
    <d v="2021-11-10T00:00:00"/>
    <x v="3"/>
    <x v="3"/>
    <x v="0"/>
    <n v="1273173510.4100001"/>
    <x v="3"/>
    <x v="3"/>
    <x v="0"/>
    <x v="6"/>
    <x v="3"/>
    <x v="2"/>
    <x v="4"/>
    <x v="2"/>
    <x v="5"/>
    <n v="10"/>
    <x v="0"/>
  </r>
  <r>
    <d v="2021-11-10T00:00:00"/>
    <x v="1"/>
    <x v="0"/>
    <x v="1"/>
    <n v="450773033.92000002"/>
    <x v="1"/>
    <x v="0"/>
    <x v="1"/>
    <x v="9"/>
    <x v="3"/>
    <x v="2"/>
    <x v="4"/>
    <x v="2"/>
    <x v="5"/>
    <n v="10"/>
    <x v="0"/>
  </r>
  <r>
    <d v="2021-11-10T00:00:00"/>
    <x v="3"/>
    <x v="1"/>
    <x v="0"/>
    <n v="12311490.65"/>
    <x v="3"/>
    <x v="1"/>
    <x v="0"/>
    <x v="10"/>
    <x v="3"/>
    <x v="2"/>
    <x v="4"/>
    <x v="2"/>
    <x v="5"/>
    <n v="10"/>
    <x v="0"/>
  </r>
  <r>
    <d v="2021-11-10T00:00:00"/>
    <x v="3"/>
    <x v="2"/>
    <x v="0"/>
    <n v="457961843.02999997"/>
    <x v="3"/>
    <x v="2"/>
    <x v="0"/>
    <x v="11"/>
    <x v="3"/>
    <x v="2"/>
    <x v="4"/>
    <x v="2"/>
    <x v="5"/>
    <n v="10"/>
    <x v="0"/>
  </r>
  <r>
    <d v="2021-11-10T00:00:00"/>
    <x v="3"/>
    <x v="2"/>
    <x v="1"/>
    <n v="10964415058.120001"/>
    <x v="3"/>
    <x v="2"/>
    <x v="1"/>
    <x v="12"/>
    <x v="3"/>
    <x v="2"/>
    <x v="4"/>
    <x v="2"/>
    <x v="5"/>
    <n v="10"/>
    <x v="0"/>
  </r>
  <r>
    <d v="2021-11-09T00:00:00"/>
    <x v="3"/>
    <x v="3"/>
    <x v="1"/>
    <n v="3503476.16"/>
    <x v="3"/>
    <x v="3"/>
    <x v="1"/>
    <x v="4"/>
    <x v="3"/>
    <x v="2"/>
    <x v="4"/>
    <x v="2"/>
    <x v="5"/>
    <n v="9"/>
    <x v="0"/>
  </r>
  <r>
    <d v="2021-11-09T00:00:00"/>
    <x v="0"/>
    <x v="1"/>
    <x v="0"/>
    <n v="8155872.1799999997"/>
    <x v="0"/>
    <x v="1"/>
    <x v="0"/>
    <x v="1"/>
    <x v="3"/>
    <x v="2"/>
    <x v="4"/>
    <x v="2"/>
    <x v="5"/>
    <n v="9"/>
    <x v="0"/>
  </r>
  <r>
    <d v="2021-11-09T00:00:00"/>
    <x v="2"/>
    <x v="1"/>
    <x v="2"/>
    <n v="4955"/>
    <x v="2"/>
    <x v="1"/>
    <x v="2"/>
    <x v="2"/>
    <x v="3"/>
    <x v="2"/>
    <x v="4"/>
    <x v="2"/>
    <x v="5"/>
    <n v="9"/>
    <x v="0"/>
  </r>
  <r>
    <d v="2021-11-09T00:00:00"/>
    <x v="1"/>
    <x v="0"/>
    <x v="2"/>
    <n v="20885.34"/>
    <x v="1"/>
    <x v="0"/>
    <x v="2"/>
    <x v="3"/>
    <x v="3"/>
    <x v="2"/>
    <x v="4"/>
    <x v="2"/>
    <x v="5"/>
    <n v="9"/>
    <x v="0"/>
  </r>
  <r>
    <d v="2021-11-09T00:00:00"/>
    <x v="2"/>
    <x v="1"/>
    <x v="0"/>
    <n v="87400184.260000005"/>
    <x v="2"/>
    <x v="1"/>
    <x v="0"/>
    <x v="7"/>
    <x v="3"/>
    <x v="2"/>
    <x v="4"/>
    <x v="2"/>
    <x v="5"/>
    <n v="9"/>
    <x v="0"/>
  </r>
  <r>
    <d v="2021-11-09T00:00:00"/>
    <x v="2"/>
    <x v="1"/>
    <x v="1"/>
    <n v="212551728.22999999"/>
    <x v="2"/>
    <x v="1"/>
    <x v="1"/>
    <x v="9"/>
    <x v="3"/>
    <x v="2"/>
    <x v="4"/>
    <x v="2"/>
    <x v="5"/>
    <n v="9"/>
    <x v="0"/>
  </r>
  <r>
    <d v="2021-11-09T00:00:00"/>
    <x v="0"/>
    <x v="1"/>
    <x v="1"/>
    <n v="980681.2"/>
    <x v="0"/>
    <x v="1"/>
    <x v="1"/>
    <x v="5"/>
    <x v="3"/>
    <x v="2"/>
    <x v="4"/>
    <x v="2"/>
    <x v="5"/>
    <n v="9"/>
    <x v="0"/>
  </r>
  <r>
    <d v="2021-11-09T00:00:00"/>
    <x v="1"/>
    <x v="0"/>
    <x v="0"/>
    <n v="85924197.879999995"/>
    <x v="1"/>
    <x v="0"/>
    <x v="0"/>
    <x v="10"/>
    <x v="3"/>
    <x v="2"/>
    <x v="4"/>
    <x v="2"/>
    <x v="5"/>
    <n v="9"/>
    <x v="0"/>
  </r>
  <r>
    <d v="2021-11-09T00:00:00"/>
    <x v="1"/>
    <x v="0"/>
    <x v="1"/>
    <n v="294149438.36000001"/>
    <x v="1"/>
    <x v="0"/>
    <x v="1"/>
    <x v="11"/>
    <x v="3"/>
    <x v="2"/>
    <x v="4"/>
    <x v="2"/>
    <x v="5"/>
    <n v="9"/>
    <x v="0"/>
  </r>
  <r>
    <d v="2021-11-09T00:00:00"/>
    <x v="3"/>
    <x v="2"/>
    <x v="2"/>
    <n v="356756.56"/>
    <x v="3"/>
    <x v="2"/>
    <x v="2"/>
    <x v="6"/>
    <x v="3"/>
    <x v="2"/>
    <x v="4"/>
    <x v="2"/>
    <x v="5"/>
    <n v="9"/>
    <x v="0"/>
  </r>
  <r>
    <d v="2021-11-09T00:00:00"/>
    <x v="0"/>
    <x v="0"/>
    <x v="0"/>
    <n v="100"/>
    <x v="0"/>
    <x v="0"/>
    <x v="0"/>
    <x v="0"/>
    <x v="3"/>
    <x v="2"/>
    <x v="4"/>
    <x v="2"/>
    <x v="5"/>
    <n v="9"/>
    <x v="0"/>
  </r>
  <r>
    <d v="2021-11-09T00:00:00"/>
    <x v="3"/>
    <x v="3"/>
    <x v="0"/>
    <n v="1194406261.6199999"/>
    <x v="3"/>
    <x v="3"/>
    <x v="0"/>
    <x v="8"/>
    <x v="3"/>
    <x v="2"/>
    <x v="4"/>
    <x v="2"/>
    <x v="5"/>
    <n v="9"/>
    <x v="0"/>
  </r>
  <r>
    <d v="2021-11-09T00:00:00"/>
    <x v="3"/>
    <x v="1"/>
    <x v="0"/>
    <n v="9708695.6099999994"/>
    <x v="3"/>
    <x v="1"/>
    <x v="0"/>
    <x v="12"/>
    <x v="3"/>
    <x v="2"/>
    <x v="4"/>
    <x v="2"/>
    <x v="5"/>
    <n v="9"/>
    <x v="0"/>
  </r>
  <r>
    <d v="2021-11-09T00:00:00"/>
    <x v="3"/>
    <x v="2"/>
    <x v="0"/>
    <n v="597179142.12"/>
    <x v="3"/>
    <x v="2"/>
    <x v="0"/>
    <x v="13"/>
    <x v="3"/>
    <x v="2"/>
    <x v="4"/>
    <x v="2"/>
    <x v="5"/>
    <n v="9"/>
    <x v="0"/>
  </r>
  <r>
    <d v="2021-11-09T00:00:00"/>
    <x v="3"/>
    <x v="2"/>
    <x v="1"/>
    <n v="2884421725.2199998"/>
    <x v="3"/>
    <x v="2"/>
    <x v="1"/>
    <x v="14"/>
    <x v="3"/>
    <x v="2"/>
    <x v="4"/>
    <x v="2"/>
    <x v="5"/>
    <n v="9"/>
    <x v="0"/>
  </r>
  <r>
    <d v="2021-11-08T00:00:00"/>
    <x v="3"/>
    <x v="2"/>
    <x v="2"/>
    <n v="378728.49"/>
    <x v="3"/>
    <x v="2"/>
    <x v="2"/>
    <x v="5"/>
    <x v="3"/>
    <x v="2"/>
    <x v="4"/>
    <x v="2"/>
    <x v="5"/>
    <n v="8"/>
    <x v="0"/>
  </r>
  <r>
    <d v="2021-11-08T00:00:00"/>
    <x v="0"/>
    <x v="1"/>
    <x v="0"/>
    <n v="15797166.49"/>
    <x v="0"/>
    <x v="1"/>
    <x v="0"/>
    <x v="1"/>
    <x v="3"/>
    <x v="2"/>
    <x v="4"/>
    <x v="2"/>
    <x v="5"/>
    <n v="8"/>
    <x v="0"/>
  </r>
  <r>
    <d v="2021-11-08T00:00:00"/>
    <x v="1"/>
    <x v="0"/>
    <x v="2"/>
    <n v="17789.18"/>
    <x v="1"/>
    <x v="0"/>
    <x v="2"/>
    <x v="2"/>
    <x v="3"/>
    <x v="2"/>
    <x v="4"/>
    <x v="2"/>
    <x v="5"/>
    <n v="8"/>
    <x v="0"/>
  </r>
  <r>
    <d v="2021-11-08T00:00:00"/>
    <x v="2"/>
    <x v="1"/>
    <x v="2"/>
    <n v="16481.189999999999"/>
    <x v="2"/>
    <x v="1"/>
    <x v="2"/>
    <x v="3"/>
    <x v="3"/>
    <x v="2"/>
    <x v="4"/>
    <x v="2"/>
    <x v="5"/>
    <n v="8"/>
    <x v="0"/>
  </r>
  <r>
    <d v="2021-11-08T00:00:00"/>
    <x v="0"/>
    <x v="1"/>
    <x v="1"/>
    <n v="1353243.96"/>
    <x v="0"/>
    <x v="1"/>
    <x v="1"/>
    <x v="4"/>
    <x v="3"/>
    <x v="2"/>
    <x v="4"/>
    <x v="2"/>
    <x v="5"/>
    <n v="8"/>
    <x v="0"/>
  </r>
  <r>
    <d v="2021-11-08T00:00:00"/>
    <x v="1"/>
    <x v="0"/>
    <x v="0"/>
    <n v="63052017.740000002"/>
    <x v="1"/>
    <x v="0"/>
    <x v="0"/>
    <x v="9"/>
    <x v="3"/>
    <x v="2"/>
    <x v="4"/>
    <x v="2"/>
    <x v="5"/>
    <n v="8"/>
    <x v="0"/>
  </r>
  <r>
    <d v="2021-11-08T00:00:00"/>
    <x v="1"/>
    <x v="0"/>
    <x v="1"/>
    <n v="248956236.19"/>
    <x v="1"/>
    <x v="0"/>
    <x v="1"/>
    <x v="10"/>
    <x v="3"/>
    <x v="2"/>
    <x v="4"/>
    <x v="2"/>
    <x v="5"/>
    <n v="8"/>
    <x v="0"/>
  </r>
  <r>
    <d v="2021-11-08T00:00:00"/>
    <x v="2"/>
    <x v="1"/>
    <x v="0"/>
    <n v="62835948.32"/>
    <x v="2"/>
    <x v="1"/>
    <x v="0"/>
    <x v="6"/>
    <x v="3"/>
    <x v="2"/>
    <x v="4"/>
    <x v="2"/>
    <x v="5"/>
    <n v="8"/>
    <x v="0"/>
  </r>
  <r>
    <d v="2021-11-08T00:00:00"/>
    <x v="3"/>
    <x v="3"/>
    <x v="0"/>
    <n v="1838192547.3800001"/>
    <x v="3"/>
    <x v="3"/>
    <x v="0"/>
    <x v="7"/>
    <x v="3"/>
    <x v="2"/>
    <x v="4"/>
    <x v="2"/>
    <x v="5"/>
    <n v="8"/>
    <x v="0"/>
  </r>
  <r>
    <d v="2021-11-08T00:00:00"/>
    <x v="0"/>
    <x v="0"/>
    <x v="0"/>
    <n v="200"/>
    <x v="0"/>
    <x v="0"/>
    <x v="0"/>
    <x v="0"/>
    <x v="3"/>
    <x v="2"/>
    <x v="4"/>
    <x v="2"/>
    <x v="5"/>
    <n v="8"/>
    <x v="0"/>
  </r>
  <r>
    <d v="2021-11-08T00:00:00"/>
    <x v="2"/>
    <x v="1"/>
    <x v="1"/>
    <n v="138700386.61000001"/>
    <x v="2"/>
    <x v="1"/>
    <x v="1"/>
    <x v="8"/>
    <x v="3"/>
    <x v="2"/>
    <x v="4"/>
    <x v="2"/>
    <x v="5"/>
    <n v="8"/>
    <x v="0"/>
  </r>
  <r>
    <d v="2021-11-08T00:00:00"/>
    <x v="3"/>
    <x v="2"/>
    <x v="0"/>
    <n v="523522026.58999997"/>
    <x v="3"/>
    <x v="2"/>
    <x v="0"/>
    <x v="11"/>
    <x v="3"/>
    <x v="2"/>
    <x v="4"/>
    <x v="2"/>
    <x v="5"/>
    <n v="8"/>
    <x v="0"/>
  </r>
  <r>
    <d v="2021-11-08T00:00:00"/>
    <x v="3"/>
    <x v="2"/>
    <x v="1"/>
    <n v="19688268430.119999"/>
    <x v="3"/>
    <x v="2"/>
    <x v="1"/>
    <x v="12"/>
    <x v="3"/>
    <x v="2"/>
    <x v="4"/>
    <x v="2"/>
    <x v="5"/>
    <n v="8"/>
    <x v="0"/>
  </r>
  <r>
    <d v="2021-11-08T00:00:00"/>
    <x v="3"/>
    <x v="1"/>
    <x v="0"/>
    <n v="39632053.07"/>
    <x v="3"/>
    <x v="1"/>
    <x v="0"/>
    <x v="13"/>
    <x v="3"/>
    <x v="2"/>
    <x v="4"/>
    <x v="2"/>
    <x v="5"/>
    <n v="8"/>
    <x v="0"/>
  </r>
  <r>
    <d v="2021-11-05T00:00:00"/>
    <x v="1"/>
    <x v="0"/>
    <x v="2"/>
    <n v="22201.16"/>
    <x v="1"/>
    <x v="0"/>
    <x v="2"/>
    <x v="3"/>
    <x v="3"/>
    <x v="2"/>
    <x v="4"/>
    <x v="2"/>
    <x v="5"/>
    <n v="5"/>
    <x v="0"/>
  </r>
  <r>
    <d v="2021-11-05T00:00:00"/>
    <x v="1"/>
    <x v="1"/>
    <x v="0"/>
    <n v="2065.41"/>
    <x v="1"/>
    <x v="1"/>
    <x v="0"/>
    <x v="0"/>
    <x v="3"/>
    <x v="2"/>
    <x v="4"/>
    <x v="2"/>
    <x v="5"/>
    <n v="5"/>
    <x v="0"/>
  </r>
  <r>
    <d v="2021-11-05T00:00:00"/>
    <x v="0"/>
    <x v="1"/>
    <x v="0"/>
    <n v="10160523.9"/>
    <x v="0"/>
    <x v="1"/>
    <x v="0"/>
    <x v="1"/>
    <x v="3"/>
    <x v="2"/>
    <x v="4"/>
    <x v="2"/>
    <x v="5"/>
    <n v="5"/>
    <x v="0"/>
  </r>
  <r>
    <d v="2021-11-05T00:00:00"/>
    <x v="2"/>
    <x v="1"/>
    <x v="2"/>
    <n v="4205"/>
    <x v="2"/>
    <x v="1"/>
    <x v="2"/>
    <x v="2"/>
    <x v="3"/>
    <x v="2"/>
    <x v="4"/>
    <x v="2"/>
    <x v="5"/>
    <n v="5"/>
    <x v="0"/>
  </r>
  <r>
    <d v="2021-11-05T00:00:00"/>
    <x v="2"/>
    <x v="1"/>
    <x v="1"/>
    <n v="113010682.31999999"/>
    <x v="2"/>
    <x v="1"/>
    <x v="1"/>
    <x v="9"/>
    <x v="3"/>
    <x v="2"/>
    <x v="4"/>
    <x v="2"/>
    <x v="5"/>
    <n v="5"/>
    <x v="0"/>
  </r>
  <r>
    <d v="2021-11-05T00:00:00"/>
    <x v="0"/>
    <x v="1"/>
    <x v="1"/>
    <n v="15053980.310000001"/>
    <x v="0"/>
    <x v="1"/>
    <x v="1"/>
    <x v="5"/>
    <x v="3"/>
    <x v="2"/>
    <x v="4"/>
    <x v="2"/>
    <x v="5"/>
    <n v="5"/>
    <x v="0"/>
  </r>
  <r>
    <d v="2021-11-05T00:00:00"/>
    <x v="3"/>
    <x v="2"/>
    <x v="2"/>
    <n v="458544.04"/>
    <x v="3"/>
    <x v="2"/>
    <x v="2"/>
    <x v="6"/>
    <x v="3"/>
    <x v="2"/>
    <x v="4"/>
    <x v="2"/>
    <x v="5"/>
    <n v="5"/>
    <x v="0"/>
  </r>
  <r>
    <d v="2021-11-05T00:00:00"/>
    <x v="3"/>
    <x v="3"/>
    <x v="0"/>
    <n v="1163623850.75"/>
    <x v="3"/>
    <x v="3"/>
    <x v="0"/>
    <x v="7"/>
    <x v="3"/>
    <x v="2"/>
    <x v="4"/>
    <x v="2"/>
    <x v="5"/>
    <n v="5"/>
    <x v="0"/>
  </r>
  <r>
    <d v="2021-11-05T00:00:00"/>
    <x v="3"/>
    <x v="3"/>
    <x v="1"/>
    <n v="2345933.61"/>
    <x v="3"/>
    <x v="3"/>
    <x v="1"/>
    <x v="4"/>
    <x v="3"/>
    <x v="2"/>
    <x v="4"/>
    <x v="2"/>
    <x v="5"/>
    <n v="5"/>
    <x v="0"/>
  </r>
  <r>
    <d v="2021-11-05T00:00:00"/>
    <x v="2"/>
    <x v="1"/>
    <x v="0"/>
    <n v="63473369.899999999"/>
    <x v="2"/>
    <x v="1"/>
    <x v="0"/>
    <x v="8"/>
    <x v="3"/>
    <x v="2"/>
    <x v="4"/>
    <x v="2"/>
    <x v="5"/>
    <n v="5"/>
    <x v="0"/>
  </r>
  <r>
    <d v="2021-11-05T00:00:00"/>
    <x v="1"/>
    <x v="0"/>
    <x v="0"/>
    <n v="78275164.5"/>
    <x v="1"/>
    <x v="0"/>
    <x v="0"/>
    <x v="10"/>
    <x v="3"/>
    <x v="2"/>
    <x v="4"/>
    <x v="2"/>
    <x v="5"/>
    <n v="5"/>
    <x v="0"/>
  </r>
  <r>
    <d v="2021-11-05T00:00:00"/>
    <x v="1"/>
    <x v="0"/>
    <x v="1"/>
    <n v="108600875.92"/>
    <x v="1"/>
    <x v="0"/>
    <x v="1"/>
    <x v="11"/>
    <x v="3"/>
    <x v="2"/>
    <x v="4"/>
    <x v="2"/>
    <x v="5"/>
    <n v="5"/>
    <x v="0"/>
  </r>
  <r>
    <d v="2021-11-05T00:00:00"/>
    <x v="3"/>
    <x v="1"/>
    <x v="0"/>
    <n v="12490438.48"/>
    <x v="3"/>
    <x v="1"/>
    <x v="0"/>
    <x v="12"/>
    <x v="3"/>
    <x v="2"/>
    <x v="4"/>
    <x v="2"/>
    <x v="5"/>
    <n v="5"/>
    <x v="0"/>
  </r>
  <r>
    <d v="2021-11-05T00:00:00"/>
    <x v="3"/>
    <x v="2"/>
    <x v="0"/>
    <n v="416966319.88999999"/>
    <x v="3"/>
    <x v="2"/>
    <x v="0"/>
    <x v="13"/>
    <x v="3"/>
    <x v="2"/>
    <x v="4"/>
    <x v="2"/>
    <x v="5"/>
    <n v="5"/>
    <x v="0"/>
  </r>
  <r>
    <d v="2021-11-05T00:00:00"/>
    <x v="3"/>
    <x v="2"/>
    <x v="1"/>
    <n v="7426137995.6700001"/>
    <x v="3"/>
    <x v="2"/>
    <x v="1"/>
    <x v="14"/>
    <x v="3"/>
    <x v="2"/>
    <x v="4"/>
    <x v="2"/>
    <x v="5"/>
    <n v="5"/>
    <x v="0"/>
  </r>
  <r>
    <d v="2021-11-04T00:00:00"/>
    <x v="1"/>
    <x v="0"/>
    <x v="2"/>
    <n v="8170.58"/>
    <x v="1"/>
    <x v="0"/>
    <x v="2"/>
    <x v="1"/>
    <x v="3"/>
    <x v="2"/>
    <x v="4"/>
    <x v="2"/>
    <x v="5"/>
    <n v="4"/>
    <x v="0"/>
  </r>
  <r>
    <d v="2021-11-04T00:00:00"/>
    <x v="3"/>
    <x v="2"/>
    <x v="2"/>
    <n v="492941.46"/>
    <x v="3"/>
    <x v="2"/>
    <x v="2"/>
    <x v="2"/>
    <x v="3"/>
    <x v="2"/>
    <x v="4"/>
    <x v="2"/>
    <x v="5"/>
    <n v="4"/>
    <x v="0"/>
  </r>
  <r>
    <d v="2021-11-04T00:00:00"/>
    <x v="0"/>
    <x v="1"/>
    <x v="0"/>
    <n v="16435454.880000001"/>
    <x v="0"/>
    <x v="1"/>
    <x v="0"/>
    <x v="0"/>
    <x v="3"/>
    <x v="2"/>
    <x v="4"/>
    <x v="2"/>
    <x v="5"/>
    <n v="4"/>
    <x v="0"/>
  </r>
  <r>
    <d v="2021-11-04T00:00:00"/>
    <x v="2"/>
    <x v="1"/>
    <x v="0"/>
    <n v="84777590.670000002"/>
    <x v="2"/>
    <x v="1"/>
    <x v="0"/>
    <x v="5"/>
    <x v="3"/>
    <x v="2"/>
    <x v="4"/>
    <x v="2"/>
    <x v="5"/>
    <n v="4"/>
    <x v="0"/>
  </r>
  <r>
    <d v="2021-11-04T00:00:00"/>
    <x v="2"/>
    <x v="1"/>
    <x v="1"/>
    <n v="242368662.47999999"/>
    <x v="2"/>
    <x v="1"/>
    <x v="1"/>
    <x v="6"/>
    <x v="3"/>
    <x v="2"/>
    <x v="4"/>
    <x v="2"/>
    <x v="5"/>
    <n v="4"/>
    <x v="0"/>
  </r>
  <r>
    <d v="2021-11-04T00:00:00"/>
    <x v="0"/>
    <x v="1"/>
    <x v="1"/>
    <n v="12970257.800000001"/>
    <x v="0"/>
    <x v="1"/>
    <x v="1"/>
    <x v="3"/>
    <x v="3"/>
    <x v="2"/>
    <x v="4"/>
    <x v="2"/>
    <x v="5"/>
    <n v="4"/>
    <x v="0"/>
  </r>
  <r>
    <d v="2021-11-04T00:00:00"/>
    <x v="3"/>
    <x v="3"/>
    <x v="0"/>
    <n v="1159864337.1199999"/>
    <x v="3"/>
    <x v="3"/>
    <x v="0"/>
    <x v="8"/>
    <x v="3"/>
    <x v="2"/>
    <x v="4"/>
    <x v="2"/>
    <x v="5"/>
    <n v="4"/>
    <x v="0"/>
  </r>
  <r>
    <d v="2021-11-04T00:00:00"/>
    <x v="1"/>
    <x v="0"/>
    <x v="1"/>
    <n v="232962321.36000001"/>
    <x v="1"/>
    <x v="0"/>
    <x v="1"/>
    <x v="9"/>
    <x v="3"/>
    <x v="2"/>
    <x v="4"/>
    <x v="2"/>
    <x v="5"/>
    <n v="4"/>
    <x v="0"/>
  </r>
  <r>
    <d v="2021-11-04T00:00:00"/>
    <x v="2"/>
    <x v="1"/>
    <x v="2"/>
    <n v="8665"/>
    <x v="2"/>
    <x v="1"/>
    <x v="2"/>
    <x v="4"/>
    <x v="3"/>
    <x v="2"/>
    <x v="4"/>
    <x v="2"/>
    <x v="5"/>
    <n v="4"/>
    <x v="0"/>
  </r>
  <r>
    <d v="2021-11-04T00:00:00"/>
    <x v="1"/>
    <x v="0"/>
    <x v="0"/>
    <n v="99217770.469999999"/>
    <x v="1"/>
    <x v="0"/>
    <x v="0"/>
    <x v="7"/>
    <x v="3"/>
    <x v="2"/>
    <x v="4"/>
    <x v="2"/>
    <x v="5"/>
    <n v="4"/>
    <x v="0"/>
  </r>
  <r>
    <d v="2021-11-04T00:00:00"/>
    <x v="3"/>
    <x v="2"/>
    <x v="0"/>
    <n v="446828889.17000002"/>
    <x v="3"/>
    <x v="2"/>
    <x v="0"/>
    <x v="10"/>
    <x v="3"/>
    <x v="2"/>
    <x v="4"/>
    <x v="2"/>
    <x v="5"/>
    <n v="4"/>
    <x v="0"/>
  </r>
  <r>
    <d v="2021-11-04T00:00:00"/>
    <x v="3"/>
    <x v="1"/>
    <x v="0"/>
    <n v="13249463.74"/>
    <x v="3"/>
    <x v="1"/>
    <x v="0"/>
    <x v="11"/>
    <x v="3"/>
    <x v="2"/>
    <x v="4"/>
    <x v="2"/>
    <x v="5"/>
    <n v="4"/>
    <x v="0"/>
  </r>
  <r>
    <d v="2021-11-04T00:00:00"/>
    <x v="3"/>
    <x v="2"/>
    <x v="1"/>
    <n v="3310730514.8000002"/>
    <x v="3"/>
    <x v="2"/>
    <x v="1"/>
    <x v="12"/>
    <x v="3"/>
    <x v="2"/>
    <x v="4"/>
    <x v="2"/>
    <x v="5"/>
    <n v="4"/>
    <x v="0"/>
  </r>
  <r>
    <d v="2021-11-03T00:00:00"/>
    <x v="3"/>
    <x v="2"/>
    <x v="2"/>
    <n v="386470.49"/>
    <x v="3"/>
    <x v="2"/>
    <x v="2"/>
    <x v="5"/>
    <x v="3"/>
    <x v="2"/>
    <x v="4"/>
    <x v="2"/>
    <x v="5"/>
    <n v="3"/>
    <x v="0"/>
  </r>
  <r>
    <d v="2021-11-03T00:00:00"/>
    <x v="0"/>
    <x v="1"/>
    <x v="0"/>
    <n v="6434915.8300000001"/>
    <x v="0"/>
    <x v="1"/>
    <x v="0"/>
    <x v="0"/>
    <x v="3"/>
    <x v="2"/>
    <x v="4"/>
    <x v="2"/>
    <x v="5"/>
    <n v="3"/>
    <x v="0"/>
  </r>
  <r>
    <d v="2021-11-03T00:00:00"/>
    <x v="2"/>
    <x v="1"/>
    <x v="2"/>
    <n v="319943.59000000003"/>
    <x v="2"/>
    <x v="1"/>
    <x v="2"/>
    <x v="2"/>
    <x v="3"/>
    <x v="2"/>
    <x v="4"/>
    <x v="2"/>
    <x v="5"/>
    <n v="3"/>
    <x v="0"/>
  </r>
  <r>
    <d v="2021-11-03T00:00:00"/>
    <x v="3"/>
    <x v="3"/>
    <x v="1"/>
    <n v="2040.16"/>
    <x v="3"/>
    <x v="3"/>
    <x v="1"/>
    <x v="3"/>
    <x v="3"/>
    <x v="2"/>
    <x v="4"/>
    <x v="2"/>
    <x v="5"/>
    <n v="3"/>
    <x v="0"/>
  </r>
  <r>
    <d v="2021-11-03T00:00:00"/>
    <x v="0"/>
    <x v="1"/>
    <x v="1"/>
    <n v="11151053.039999999"/>
    <x v="0"/>
    <x v="1"/>
    <x v="1"/>
    <x v="4"/>
    <x v="3"/>
    <x v="2"/>
    <x v="4"/>
    <x v="2"/>
    <x v="5"/>
    <n v="3"/>
    <x v="0"/>
  </r>
  <r>
    <d v="2021-11-03T00:00:00"/>
    <x v="1"/>
    <x v="0"/>
    <x v="2"/>
    <n v="10328.81"/>
    <x v="1"/>
    <x v="0"/>
    <x v="2"/>
    <x v="1"/>
    <x v="3"/>
    <x v="2"/>
    <x v="4"/>
    <x v="2"/>
    <x v="5"/>
    <n v="3"/>
    <x v="0"/>
  </r>
  <r>
    <d v="2021-11-03T00:00:00"/>
    <x v="3"/>
    <x v="3"/>
    <x v="0"/>
    <n v="2653576510.3000002"/>
    <x v="3"/>
    <x v="3"/>
    <x v="0"/>
    <x v="7"/>
    <x v="3"/>
    <x v="2"/>
    <x v="4"/>
    <x v="2"/>
    <x v="5"/>
    <n v="3"/>
    <x v="0"/>
  </r>
  <r>
    <d v="2021-11-03T00:00:00"/>
    <x v="2"/>
    <x v="1"/>
    <x v="1"/>
    <n v="132492341.55"/>
    <x v="2"/>
    <x v="1"/>
    <x v="1"/>
    <x v="8"/>
    <x v="3"/>
    <x v="2"/>
    <x v="4"/>
    <x v="2"/>
    <x v="5"/>
    <n v="3"/>
    <x v="0"/>
  </r>
  <r>
    <d v="2021-11-03T00:00:00"/>
    <x v="1"/>
    <x v="0"/>
    <x v="0"/>
    <n v="125374653.61"/>
    <x v="1"/>
    <x v="0"/>
    <x v="0"/>
    <x v="9"/>
    <x v="3"/>
    <x v="2"/>
    <x v="4"/>
    <x v="2"/>
    <x v="5"/>
    <n v="3"/>
    <x v="0"/>
  </r>
  <r>
    <d v="2021-11-03T00:00:00"/>
    <x v="2"/>
    <x v="1"/>
    <x v="0"/>
    <n v="128090626.62"/>
    <x v="2"/>
    <x v="1"/>
    <x v="0"/>
    <x v="6"/>
    <x v="3"/>
    <x v="2"/>
    <x v="4"/>
    <x v="2"/>
    <x v="5"/>
    <n v="3"/>
    <x v="0"/>
  </r>
  <r>
    <d v="2021-11-03T00:00:00"/>
    <x v="1"/>
    <x v="0"/>
    <x v="1"/>
    <n v="676056601.35000002"/>
    <x v="1"/>
    <x v="0"/>
    <x v="1"/>
    <x v="10"/>
    <x v="3"/>
    <x v="2"/>
    <x v="4"/>
    <x v="2"/>
    <x v="5"/>
    <n v="3"/>
    <x v="0"/>
  </r>
  <r>
    <d v="2021-11-03T00:00:00"/>
    <x v="3"/>
    <x v="2"/>
    <x v="0"/>
    <n v="431155339.22000003"/>
    <x v="3"/>
    <x v="2"/>
    <x v="0"/>
    <x v="11"/>
    <x v="3"/>
    <x v="2"/>
    <x v="4"/>
    <x v="2"/>
    <x v="5"/>
    <n v="3"/>
    <x v="0"/>
  </r>
  <r>
    <d v="2021-11-03T00:00:00"/>
    <x v="3"/>
    <x v="1"/>
    <x v="0"/>
    <n v="13094421.15"/>
    <x v="3"/>
    <x v="1"/>
    <x v="0"/>
    <x v="12"/>
    <x v="3"/>
    <x v="2"/>
    <x v="4"/>
    <x v="2"/>
    <x v="5"/>
    <n v="3"/>
    <x v="0"/>
  </r>
  <r>
    <d v="2021-11-03T00:00:00"/>
    <x v="3"/>
    <x v="2"/>
    <x v="1"/>
    <n v="13312713627.870001"/>
    <x v="3"/>
    <x v="2"/>
    <x v="1"/>
    <x v="13"/>
    <x v="3"/>
    <x v="2"/>
    <x v="4"/>
    <x v="2"/>
    <x v="5"/>
    <n v="3"/>
    <x v="0"/>
  </r>
  <r>
    <d v="2021-11-02T00:00:00"/>
    <x v="3"/>
    <x v="2"/>
    <x v="2"/>
    <n v="641691.79"/>
    <x v="3"/>
    <x v="2"/>
    <x v="2"/>
    <x v="5"/>
    <x v="3"/>
    <x v="2"/>
    <x v="4"/>
    <x v="2"/>
    <x v="5"/>
    <n v="2"/>
    <x v="0"/>
  </r>
  <r>
    <d v="2021-11-02T00:00:00"/>
    <x v="0"/>
    <x v="1"/>
    <x v="0"/>
    <n v="14727296.75"/>
    <x v="0"/>
    <x v="1"/>
    <x v="0"/>
    <x v="2"/>
    <x v="3"/>
    <x v="2"/>
    <x v="4"/>
    <x v="2"/>
    <x v="5"/>
    <n v="2"/>
    <x v="0"/>
  </r>
  <r>
    <d v="2021-11-02T00:00:00"/>
    <x v="1"/>
    <x v="1"/>
    <x v="0"/>
    <n v="140.77000000000001"/>
    <x v="1"/>
    <x v="1"/>
    <x v="0"/>
    <x v="0"/>
    <x v="3"/>
    <x v="2"/>
    <x v="4"/>
    <x v="2"/>
    <x v="5"/>
    <n v="2"/>
    <x v="0"/>
  </r>
  <r>
    <d v="2021-11-02T00:00:00"/>
    <x v="3"/>
    <x v="3"/>
    <x v="0"/>
    <n v="1685777627.24"/>
    <x v="3"/>
    <x v="3"/>
    <x v="0"/>
    <x v="7"/>
    <x v="3"/>
    <x v="2"/>
    <x v="4"/>
    <x v="2"/>
    <x v="5"/>
    <n v="2"/>
    <x v="0"/>
  </r>
  <r>
    <d v="2021-11-02T00:00:00"/>
    <x v="2"/>
    <x v="1"/>
    <x v="2"/>
    <n v="5865"/>
    <x v="2"/>
    <x v="1"/>
    <x v="2"/>
    <x v="3"/>
    <x v="3"/>
    <x v="2"/>
    <x v="4"/>
    <x v="2"/>
    <x v="5"/>
    <n v="2"/>
    <x v="0"/>
  </r>
  <r>
    <d v="2021-11-02T00:00:00"/>
    <x v="2"/>
    <x v="1"/>
    <x v="0"/>
    <n v="150601180.94"/>
    <x v="2"/>
    <x v="1"/>
    <x v="0"/>
    <x v="8"/>
    <x v="3"/>
    <x v="2"/>
    <x v="4"/>
    <x v="2"/>
    <x v="5"/>
    <n v="2"/>
    <x v="0"/>
  </r>
  <r>
    <d v="2021-11-02T00:00:00"/>
    <x v="0"/>
    <x v="1"/>
    <x v="1"/>
    <n v="464672302.31"/>
    <x v="0"/>
    <x v="1"/>
    <x v="1"/>
    <x v="6"/>
    <x v="3"/>
    <x v="2"/>
    <x v="4"/>
    <x v="2"/>
    <x v="5"/>
    <n v="2"/>
    <x v="0"/>
  </r>
  <r>
    <d v="2021-11-02T00:00:00"/>
    <x v="1"/>
    <x v="0"/>
    <x v="1"/>
    <n v="277348402.48000002"/>
    <x v="1"/>
    <x v="0"/>
    <x v="1"/>
    <x v="10"/>
    <x v="3"/>
    <x v="2"/>
    <x v="4"/>
    <x v="2"/>
    <x v="5"/>
    <n v="2"/>
    <x v="0"/>
  </r>
  <r>
    <d v="2021-11-02T00:00:00"/>
    <x v="1"/>
    <x v="0"/>
    <x v="0"/>
    <n v="78029701.920000002"/>
    <x v="1"/>
    <x v="0"/>
    <x v="0"/>
    <x v="11"/>
    <x v="3"/>
    <x v="2"/>
    <x v="4"/>
    <x v="2"/>
    <x v="5"/>
    <n v="2"/>
    <x v="0"/>
  </r>
  <r>
    <d v="2021-11-02T00:00:00"/>
    <x v="0"/>
    <x v="0"/>
    <x v="0"/>
    <n v="942.28"/>
    <x v="0"/>
    <x v="0"/>
    <x v="0"/>
    <x v="1"/>
    <x v="3"/>
    <x v="2"/>
    <x v="4"/>
    <x v="2"/>
    <x v="5"/>
    <n v="2"/>
    <x v="0"/>
  </r>
  <r>
    <d v="2021-11-02T00:00:00"/>
    <x v="2"/>
    <x v="1"/>
    <x v="1"/>
    <n v="222528455.28"/>
    <x v="2"/>
    <x v="1"/>
    <x v="1"/>
    <x v="9"/>
    <x v="3"/>
    <x v="2"/>
    <x v="4"/>
    <x v="2"/>
    <x v="5"/>
    <n v="2"/>
    <x v="0"/>
  </r>
  <r>
    <d v="2021-11-02T00:00:00"/>
    <x v="1"/>
    <x v="0"/>
    <x v="2"/>
    <n v="41699.47"/>
    <x v="1"/>
    <x v="0"/>
    <x v="2"/>
    <x v="4"/>
    <x v="3"/>
    <x v="2"/>
    <x v="4"/>
    <x v="2"/>
    <x v="5"/>
    <n v="2"/>
    <x v="0"/>
  </r>
  <r>
    <d v="2021-11-02T00:00:00"/>
    <x v="3"/>
    <x v="1"/>
    <x v="0"/>
    <n v="10212673.49"/>
    <x v="3"/>
    <x v="1"/>
    <x v="0"/>
    <x v="12"/>
    <x v="3"/>
    <x v="2"/>
    <x v="4"/>
    <x v="2"/>
    <x v="5"/>
    <n v="2"/>
    <x v="0"/>
  </r>
  <r>
    <d v="2021-11-02T00:00:00"/>
    <x v="3"/>
    <x v="2"/>
    <x v="0"/>
    <n v="914171286.66999996"/>
    <x v="3"/>
    <x v="2"/>
    <x v="0"/>
    <x v="13"/>
    <x v="3"/>
    <x v="2"/>
    <x v="4"/>
    <x v="2"/>
    <x v="5"/>
    <n v="2"/>
    <x v="0"/>
  </r>
  <r>
    <d v="2021-11-02T00:00:00"/>
    <x v="3"/>
    <x v="2"/>
    <x v="1"/>
    <n v="7395814284.7700005"/>
    <x v="3"/>
    <x v="2"/>
    <x v="1"/>
    <x v="14"/>
    <x v="3"/>
    <x v="2"/>
    <x v="4"/>
    <x v="2"/>
    <x v="5"/>
    <n v="2"/>
    <x v="0"/>
  </r>
  <r>
    <d v="2021-11-01T00:00:00"/>
    <x v="0"/>
    <x v="1"/>
    <x v="0"/>
    <n v="6575690.5999999996"/>
    <x v="0"/>
    <x v="1"/>
    <x v="0"/>
    <x v="1"/>
    <x v="3"/>
    <x v="2"/>
    <x v="4"/>
    <x v="2"/>
    <x v="5"/>
    <n v="1"/>
    <x v="0"/>
  </r>
  <r>
    <d v="2021-11-01T00:00:00"/>
    <x v="1"/>
    <x v="0"/>
    <x v="2"/>
    <n v="16263.27"/>
    <x v="1"/>
    <x v="0"/>
    <x v="2"/>
    <x v="2"/>
    <x v="3"/>
    <x v="2"/>
    <x v="4"/>
    <x v="2"/>
    <x v="5"/>
    <n v="1"/>
    <x v="0"/>
  </r>
  <r>
    <d v="2021-11-01T00:00:00"/>
    <x v="2"/>
    <x v="1"/>
    <x v="2"/>
    <n v="35747.96"/>
    <x v="2"/>
    <x v="1"/>
    <x v="2"/>
    <x v="3"/>
    <x v="3"/>
    <x v="2"/>
    <x v="4"/>
    <x v="2"/>
    <x v="5"/>
    <n v="1"/>
    <x v="0"/>
  </r>
  <r>
    <d v="2021-11-01T00:00:00"/>
    <x v="3"/>
    <x v="3"/>
    <x v="0"/>
    <n v="4014603467.1100001"/>
    <x v="3"/>
    <x v="3"/>
    <x v="0"/>
    <x v="7"/>
    <x v="3"/>
    <x v="2"/>
    <x v="4"/>
    <x v="2"/>
    <x v="5"/>
    <n v="1"/>
    <x v="0"/>
  </r>
  <r>
    <d v="2021-11-01T00:00:00"/>
    <x v="1"/>
    <x v="0"/>
    <x v="0"/>
    <n v="67367156.310000002"/>
    <x v="1"/>
    <x v="0"/>
    <x v="0"/>
    <x v="8"/>
    <x v="3"/>
    <x v="2"/>
    <x v="4"/>
    <x v="2"/>
    <x v="5"/>
    <n v="1"/>
    <x v="0"/>
  </r>
  <r>
    <d v="2021-11-01T00:00:00"/>
    <x v="2"/>
    <x v="1"/>
    <x v="1"/>
    <n v="131667692.5"/>
    <x v="2"/>
    <x v="1"/>
    <x v="1"/>
    <x v="9"/>
    <x v="3"/>
    <x v="2"/>
    <x v="4"/>
    <x v="2"/>
    <x v="5"/>
    <n v="1"/>
    <x v="0"/>
  </r>
  <r>
    <d v="2021-11-01T00:00:00"/>
    <x v="0"/>
    <x v="1"/>
    <x v="1"/>
    <n v="7319083.7400000002"/>
    <x v="0"/>
    <x v="1"/>
    <x v="1"/>
    <x v="4"/>
    <x v="3"/>
    <x v="2"/>
    <x v="4"/>
    <x v="2"/>
    <x v="5"/>
    <n v="1"/>
    <x v="0"/>
  </r>
  <r>
    <d v="2021-11-01T00:00:00"/>
    <x v="3"/>
    <x v="2"/>
    <x v="2"/>
    <n v="1912537.14"/>
    <x v="3"/>
    <x v="2"/>
    <x v="2"/>
    <x v="5"/>
    <x v="3"/>
    <x v="2"/>
    <x v="4"/>
    <x v="2"/>
    <x v="5"/>
    <n v="1"/>
    <x v="0"/>
  </r>
  <r>
    <d v="2021-11-01T00:00:00"/>
    <x v="2"/>
    <x v="1"/>
    <x v="0"/>
    <n v="98721355.75"/>
    <x v="2"/>
    <x v="1"/>
    <x v="0"/>
    <x v="6"/>
    <x v="3"/>
    <x v="2"/>
    <x v="4"/>
    <x v="2"/>
    <x v="5"/>
    <n v="1"/>
    <x v="0"/>
  </r>
  <r>
    <d v="2021-11-01T00:00:00"/>
    <x v="0"/>
    <x v="0"/>
    <x v="0"/>
    <n v="100"/>
    <x v="0"/>
    <x v="0"/>
    <x v="0"/>
    <x v="0"/>
    <x v="3"/>
    <x v="2"/>
    <x v="4"/>
    <x v="2"/>
    <x v="5"/>
    <n v="1"/>
    <x v="0"/>
  </r>
  <r>
    <d v="2021-11-01T00:00:00"/>
    <x v="1"/>
    <x v="0"/>
    <x v="1"/>
    <n v="207055958.41"/>
    <x v="1"/>
    <x v="0"/>
    <x v="1"/>
    <x v="10"/>
    <x v="3"/>
    <x v="2"/>
    <x v="4"/>
    <x v="2"/>
    <x v="5"/>
    <n v="1"/>
    <x v="0"/>
  </r>
  <r>
    <d v="2021-11-01T00:00:00"/>
    <x v="3"/>
    <x v="2"/>
    <x v="0"/>
    <n v="607798240.05999994"/>
    <x v="3"/>
    <x v="2"/>
    <x v="0"/>
    <x v="11"/>
    <x v="3"/>
    <x v="2"/>
    <x v="4"/>
    <x v="2"/>
    <x v="5"/>
    <n v="1"/>
    <x v="0"/>
  </r>
  <r>
    <d v="2021-11-01T00:00:00"/>
    <x v="3"/>
    <x v="1"/>
    <x v="0"/>
    <n v="43210864.659999996"/>
    <x v="3"/>
    <x v="1"/>
    <x v="0"/>
    <x v="12"/>
    <x v="3"/>
    <x v="2"/>
    <x v="4"/>
    <x v="2"/>
    <x v="5"/>
    <n v="1"/>
    <x v="0"/>
  </r>
  <r>
    <d v="2021-11-01T00:00:00"/>
    <x v="3"/>
    <x v="2"/>
    <x v="1"/>
    <n v="38223957997.089996"/>
    <x v="3"/>
    <x v="2"/>
    <x v="1"/>
    <x v="13"/>
    <x v="3"/>
    <x v="2"/>
    <x v="4"/>
    <x v="2"/>
    <x v="5"/>
    <n v="1"/>
    <x v="0"/>
  </r>
  <r>
    <d v="2021-10-29T00:00:00"/>
    <x v="1"/>
    <x v="1"/>
    <x v="0"/>
    <n v="1022.5"/>
    <x v="1"/>
    <x v="1"/>
    <x v="0"/>
    <x v="0"/>
    <x v="3"/>
    <x v="2"/>
    <x v="4"/>
    <x v="2"/>
    <x v="6"/>
    <n v="29"/>
    <x v="0"/>
  </r>
  <r>
    <d v="2021-10-29T00:00:00"/>
    <x v="0"/>
    <x v="1"/>
    <x v="0"/>
    <n v="14772374.34"/>
    <x v="0"/>
    <x v="1"/>
    <x v="0"/>
    <x v="1"/>
    <x v="3"/>
    <x v="2"/>
    <x v="4"/>
    <x v="2"/>
    <x v="6"/>
    <n v="29"/>
    <x v="0"/>
  </r>
  <r>
    <d v="2021-10-29T00:00:00"/>
    <x v="2"/>
    <x v="1"/>
    <x v="2"/>
    <n v="1875"/>
    <x v="2"/>
    <x v="1"/>
    <x v="2"/>
    <x v="2"/>
    <x v="3"/>
    <x v="2"/>
    <x v="4"/>
    <x v="2"/>
    <x v="6"/>
    <n v="29"/>
    <x v="0"/>
  </r>
  <r>
    <d v="2021-10-29T00:00:00"/>
    <x v="1"/>
    <x v="0"/>
    <x v="2"/>
    <n v="22356.71"/>
    <x v="1"/>
    <x v="0"/>
    <x v="2"/>
    <x v="3"/>
    <x v="3"/>
    <x v="2"/>
    <x v="4"/>
    <x v="2"/>
    <x v="6"/>
    <n v="29"/>
    <x v="0"/>
  </r>
  <r>
    <d v="2021-10-29T00:00:00"/>
    <x v="3"/>
    <x v="3"/>
    <x v="0"/>
    <n v="2926864347.02"/>
    <x v="3"/>
    <x v="3"/>
    <x v="0"/>
    <x v="7"/>
    <x v="3"/>
    <x v="2"/>
    <x v="4"/>
    <x v="2"/>
    <x v="6"/>
    <n v="29"/>
    <x v="0"/>
  </r>
  <r>
    <d v="2021-10-29T00:00:00"/>
    <x v="2"/>
    <x v="1"/>
    <x v="1"/>
    <n v="207013369.94"/>
    <x v="2"/>
    <x v="1"/>
    <x v="1"/>
    <x v="8"/>
    <x v="3"/>
    <x v="2"/>
    <x v="4"/>
    <x v="2"/>
    <x v="6"/>
    <n v="29"/>
    <x v="0"/>
  </r>
  <r>
    <d v="2021-10-29T00:00:00"/>
    <x v="0"/>
    <x v="1"/>
    <x v="1"/>
    <n v="5250734.83"/>
    <x v="0"/>
    <x v="1"/>
    <x v="1"/>
    <x v="4"/>
    <x v="3"/>
    <x v="2"/>
    <x v="4"/>
    <x v="2"/>
    <x v="6"/>
    <n v="29"/>
    <x v="0"/>
  </r>
  <r>
    <d v="2021-10-29T00:00:00"/>
    <x v="1"/>
    <x v="0"/>
    <x v="0"/>
    <n v="63960328.43"/>
    <x v="1"/>
    <x v="0"/>
    <x v="0"/>
    <x v="9"/>
    <x v="3"/>
    <x v="2"/>
    <x v="4"/>
    <x v="2"/>
    <x v="6"/>
    <n v="29"/>
    <x v="0"/>
  </r>
  <r>
    <d v="2021-10-29T00:00:00"/>
    <x v="3"/>
    <x v="2"/>
    <x v="2"/>
    <n v="669482.01"/>
    <x v="3"/>
    <x v="2"/>
    <x v="2"/>
    <x v="5"/>
    <x v="3"/>
    <x v="2"/>
    <x v="4"/>
    <x v="2"/>
    <x v="6"/>
    <n v="29"/>
    <x v="0"/>
  </r>
  <r>
    <d v="2021-10-29T00:00:00"/>
    <x v="2"/>
    <x v="1"/>
    <x v="0"/>
    <n v="72321361.159999996"/>
    <x v="2"/>
    <x v="1"/>
    <x v="0"/>
    <x v="6"/>
    <x v="3"/>
    <x v="2"/>
    <x v="4"/>
    <x v="2"/>
    <x v="6"/>
    <n v="29"/>
    <x v="0"/>
  </r>
  <r>
    <d v="2021-10-29T00:00:00"/>
    <x v="1"/>
    <x v="0"/>
    <x v="1"/>
    <n v="62218029.32"/>
    <x v="1"/>
    <x v="0"/>
    <x v="1"/>
    <x v="10"/>
    <x v="3"/>
    <x v="2"/>
    <x v="4"/>
    <x v="2"/>
    <x v="6"/>
    <n v="29"/>
    <x v="0"/>
  </r>
  <r>
    <d v="2021-10-29T00:00:00"/>
    <x v="3"/>
    <x v="2"/>
    <x v="0"/>
    <n v="1066198362.35"/>
    <x v="3"/>
    <x v="2"/>
    <x v="0"/>
    <x v="11"/>
    <x v="3"/>
    <x v="2"/>
    <x v="4"/>
    <x v="2"/>
    <x v="6"/>
    <n v="29"/>
    <x v="0"/>
  </r>
  <r>
    <d v="2021-10-29T00:00:00"/>
    <x v="3"/>
    <x v="1"/>
    <x v="0"/>
    <n v="12309789.300000001"/>
    <x v="3"/>
    <x v="1"/>
    <x v="0"/>
    <x v="12"/>
    <x v="3"/>
    <x v="2"/>
    <x v="4"/>
    <x v="2"/>
    <x v="6"/>
    <n v="29"/>
    <x v="0"/>
  </r>
  <r>
    <d v="2021-10-29T00:00:00"/>
    <x v="3"/>
    <x v="2"/>
    <x v="1"/>
    <n v="14114058672.959999"/>
    <x v="3"/>
    <x v="2"/>
    <x v="1"/>
    <x v="13"/>
    <x v="3"/>
    <x v="2"/>
    <x v="4"/>
    <x v="2"/>
    <x v="6"/>
    <n v="29"/>
    <x v="0"/>
  </r>
  <r>
    <d v="2021-10-28T00:00:00"/>
    <x v="1"/>
    <x v="0"/>
    <x v="2"/>
    <n v="6455.4"/>
    <x v="1"/>
    <x v="0"/>
    <x v="2"/>
    <x v="2"/>
    <x v="3"/>
    <x v="2"/>
    <x v="4"/>
    <x v="2"/>
    <x v="6"/>
    <n v="28"/>
    <x v="0"/>
  </r>
  <r>
    <d v="2021-10-28T00:00:00"/>
    <x v="0"/>
    <x v="1"/>
    <x v="0"/>
    <n v="11941412.960000001"/>
    <x v="0"/>
    <x v="1"/>
    <x v="0"/>
    <x v="1"/>
    <x v="3"/>
    <x v="2"/>
    <x v="4"/>
    <x v="2"/>
    <x v="6"/>
    <n v="28"/>
    <x v="0"/>
  </r>
  <r>
    <d v="2021-10-28T00:00:00"/>
    <x v="2"/>
    <x v="1"/>
    <x v="2"/>
    <n v="15585"/>
    <x v="2"/>
    <x v="1"/>
    <x v="2"/>
    <x v="3"/>
    <x v="3"/>
    <x v="2"/>
    <x v="4"/>
    <x v="2"/>
    <x v="6"/>
    <n v="28"/>
    <x v="0"/>
  </r>
  <r>
    <d v="2021-10-28T00:00:00"/>
    <x v="2"/>
    <x v="1"/>
    <x v="0"/>
    <n v="153842516.46000001"/>
    <x v="2"/>
    <x v="1"/>
    <x v="0"/>
    <x v="6"/>
    <x v="3"/>
    <x v="2"/>
    <x v="4"/>
    <x v="2"/>
    <x v="6"/>
    <n v="28"/>
    <x v="0"/>
  </r>
  <r>
    <d v="2021-10-28T00:00:00"/>
    <x v="2"/>
    <x v="1"/>
    <x v="1"/>
    <n v="280331809.27999997"/>
    <x v="2"/>
    <x v="1"/>
    <x v="1"/>
    <x v="7"/>
    <x v="3"/>
    <x v="2"/>
    <x v="4"/>
    <x v="2"/>
    <x v="6"/>
    <n v="28"/>
    <x v="0"/>
  </r>
  <r>
    <d v="2021-10-28T00:00:00"/>
    <x v="1"/>
    <x v="0"/>
    <x v="0"/>
    <n v="77909993.219999999"/>
    <x v="1"/>
    <x v="0"/>
    <x v="0"/>
    <x v="8"/>
    <x v="3"/>
    <x v="2"/>
    <x v="4"/>
    <x v="2"/>
    <x v="6"/>
    <n v="28"/>
    <x v="0"/>
  </r>
  <r>
    <d v="2021-10-28T00:00:00"/>
    <x v="3"/>
    <x v="3"/>
    <x v="0"/>
    <n v="1322341340.4300001"/>
    <x v="3"/>
    <x v="3"/>
    <x v="0"/>
    <x v="9"/>
    <x v="3"/>
    <x v="2"/>
    <x v="4"/>
    <x v="2"/>
    <x v="6"/>
    <n v="28"/>
    <x v="0"/>
  </r>
  <r>
    <d v="2021-10-28T00:00:00"/>
    <x v="0"/>
    <x v="1"/>
    <x v="1"/>
    <n v="15104060.710000001"/>
    <x v="0"/>
    <x v="1"/>
    <x v="1"/>
    <x v="4"/>
    <x v="3"/>
    <x v="2"/>
    <x v="4"/>
    <x v="2"/>
    <x v="6"/>
    <n v="28"/>
    <x v="0"/>
  </r>
  <r>
    <d v="2021-10-28T00:00:00"/>
    <x v="3"/>
    <x v="2"/>
    <x v="2"/>
    <n v="1753808.37"/>
    <x v="3"/>
    <x v="2"/>
    <x v="2"/>
    <x v="5"/>
    <x v="3"/>
    <x v="2"/>
    <x v="4"/>
    <x v="2"/>
    <x v="6"/>
    <n v="28"/>
    <x v="0"/>
  </r>
  <r>
    <d v="2021-10-28T00:00:00"/>
    <x v="0"/>
    <x v="0"/>
    <x v="0"/>
    <n v="5.75"/>
    <x v="0"/>
    <x v="0"/>
    <x v="0"/>
    <x v="0"/>
    <x v="3"/>
    <x v="2"/>
    <x v="4"/>
    <x v="2"/>
    <x v="6"/>
    <n v="28"/>
    <x v="0"/>
  </r>
  <r>
    <d v="2021-10-28T00:00:00"/>
    <x v="1"/>
    <x v="0"/>
    <x v="1"/>
    <n v="312421597.72000003"/>
    <x v="1"/>
    <x v="0"/>
    <x v="1"/>
    <x v="10"/>
    <x v="3"/>
    <x v="2"/>
    <x v="4"/>
    <x v="2"/>
    <x v="6"/>
    <n v="28"/>
    <x v="0"/>
  </r>
  <r>
    <d v="2021-10-28T00:00:00"/>
    <x v="3"/>
    <x v="2"/>
    <x v="0"/>
    <n v="546463770.53999996"/>
    <x v="3"/>
    <x v="2"/>
    <x v="0"/>
    <x v="11"/>
    <x v="3"/>
    <x v="2"/>
    <x v="4"/>
    <x v="2"/>
    <x v="6"/>
    <n v="28"/>
    <x v="0"/>
  </r>
  <r>
    <d v="2021-10-28T00:00:00"/>
    <x v="3"/>
    <x v="1"/>
    <x v="0"/>
    <n v="12100629.859999999"/>
    <x v="3"/>
    <x v="1"/>
    <x v="0"/>
    <x v="12"/>
    <x v="3"/>
    <x v="2"/>
    <x v="4"/>
    <x v="2"/>
    <x v="6"/>
    <n v="28"/>
    <x v="0"/>
  </r>
  <r>
    <d v="2021-10-28T00:00:00"/>
    <x v="3"/>
    <x v="2"/>
    <x v="1"/>
    <n v="3388058022.0999999"/>
    <x v="3"/>
    <x v="2"/>
    <x v="1"/>
    <x v="13"/>
    <x v="3"/>
    <x v="2"/>
    <x v="4"/>
    <x v="2"/>
    <x v="6"/>
    <n v="28"/>
    <x v="0"/>
  </r>
  <r>
    <d v="2021-10-27T00:00:00"/>
    <x v="3"/>
    <x v="2"/>
    <x v="2"/>
    <n v="573843.66"/>
    <x v="3"/>
    <x v="2"/>
    <x v="2"/>
    <x v="5"/>
    <x v="3"/>
    <x v="2"/>
    <x v="4"/>
    <x v="2"/>
    <x v="6"/>
    <n v="27"/>
    <x v="0"/>
  </r>
  <r>
    <d v="2021-10-27T00:00:00"/>
    <x v="1"/>
    <x v="0"/>
    <x v="2"/>
    <n v="10386.200000000001"/>
    <x v="1"/>
    <x v="0"/>
    <x v="2"/>
    <x v="2"/>
    <x v="3"/>
    <x v="2"/>
    <x v="4"/>
    <x v="2"/>
    <x v="6"/>
    <n v="27"/>
    <x v="0"/>
  </r>
  <r>
    <d v="2021-10-27T00:00:00"/>
    <x v="3"/>
    <x v="3"/>
    <x v="0"/>
    <n v="2578329817.0700002"/>
    <x v="3"/>
    <x v="3"/>
    <x v="0"/>
    <x v="7"/>
    <x v="3"/>
    <x v="2"/>
    <x v="4"/>
    <x v="2"/>
    <x v="6"/>
    <n v="27"/>
    <x v="0"/>
  </r>
  <r>
    <d v="2021-10-27T00:00:00"/>
    <x v="1"/>
    <x v="0"/>
    <x v="0"/>
    <n v="107438645.54000001"/>
    <x v="1"/>
    <x v="0"/>
    <x v="0"/>
    <x v="9"/>
    <x v="3"/>
    <x v="2"/>
    <x v="4"/>
    <x v="2"/>
    <x v="6"/>
    <n v="27"/>
    <x v="0"/>
  </r>
  <r>
    <d v="2021-10-27T00:00:00"/>
    <x v="0"/>
    <x v="1"/>
    <x v="1"/>
    <n v="3558465.08"/>
    <x v="0"/>
    <x v="1"/>
    <x v="1"/>
    <x v="4"/>
    <x v="3"/>
    <x v="2"/>
    <x v="4"/>
    <x v="2"/>
    <x v="6"/>
    <n v="27"/>
    <x v="0"/>
  </r>
  <r>
    <d v="2021-10-27T00:00:00"/>
    <x v="2"/>
    <x v="1"/>
    <x v="2"/>
    <n v="8323.65"/>
    <x v="2"/>
    <x v="1"/>
    <x v="2"/>
    <x v="1"/>
    <x v="3"/>
    <x v="2"/>
    <x v="4"/>
    <x v="2"/>
    <x v="6"/>
    <n v="27"/>
    <x v="0"/>
  </r>
  <r>
    <d v="2021-10-27T00:00:00"/>
    <x v="0"/>
    <x v="1"/>
    <x v="0"/>
    <n v="6073144.7400000002"/>
    <x v="0"/>
    <x v="1"/>
    <x v="0"/>
    <x v="0"/>
    <x v="3"/>
    <x v="2"/>
    <x v="4"/>
    <x v="2"/>
    <x v="6"/>
    <n v="27"/>
    <x v="0"/>
  </r>
  <r>
    <d v="2021-10-27T00:00:00"/>
    <x v="2"/>
    <x v="1"/>
    <x v="1"/>
    <n v="246974376.61000001"/>
    <x v="2"/>
    <x v="1"/>
    <x v="1"/>
    <x v="8"/>
    <x v="3"/>
    <x v="2"/>
    <x v="4"/>
    <x v="2"/>
    <x v="6"/>
    <n v="27"/>
    <x v="0"/>
  </r>
  <r>
    <d v="2021-10-27T00:00:00"/>
    <x v="3"/>
    <x v="3"/>
    <x v="1"/>
    <n v="149718.68"/>
    <x v="3"/>
    <x v="3"/>
    <x v="1"/>
    <x v="3"/>
    <x v="3"/>
    <x v="2"/>
    <x v="4"/>
    <x v="2"/>
    <x v="6"/>
    <n v="27"/>
    <x v="0"/>
  </r>
  <r>
    <d v="2021-10-27T00:00:00"/>
    <x v="2"/>
    <x v="1"/>
    <x v="0"/>
    <n v="97078120.129999995"/>
    <x v="2"/>
    <x v="1"/>
    <x v="0"/>
    <x v="6"/>
    <x v="3"/>
    <x v="2"/>
    <x v="4"/>
    <x v="2"/>
    <x v="6"/>
    <n v="27"/>
    <x v="0"/>
  </r>
  <r>
    <d v="2021-10-27T00:00:00"/>
    <x v="1"/>
    <x v="0"/>
    <x v="1"/>
    <n v="1020190561.78"/>
    <x v="1"/>
    <x v="0"/>
    <x v="1"/>
    <x v="10"/>
    <x v="3"/>
    <x v="2"/>
    <x v="4"/>
    <x v="2"/>
    <x v="6"/>
    <n v="27"/>
    <x v="0"/>
  </r>
  <r>
    <d v="2021-10-27T00:00:00"/>
    <x v="3"/>
    <x v="1"/>
    <x v="0"/>
    <n v="11567639.380000001"/>
    <x v="3"/>
    <x v="1"/>
    <x v="0"/>
    <x v="11"/>
    <x v="3"/>
    <x v="2"/>
    <x v="4"/>
    <x v="2"/>
    <x v="6"/>
    <n v="27"/>
    <x v="0"/>
  </r>
  <r>
    <d v="2021-10-27T00:00:00"/>
    <x v="3"/>
    <x v="2"/>
    <x v="0"/>
    <n v="417178646.79000002"/>
    <x v="3"/>
    <x v="2"/>
    <x v="0"/>
    <x v="12"/>
    <x v="3"/>
    <x v="2"/>
    <x v="4"/>
    <x v="2"/>
    <x v="6"/>
    <n v="27"/>
    <x v="0"/>
  </r>
  <r>
    <d v="2021-10-27T00:00:00"/>
    <x v="3"/>
    <x v="2"/>
    <x v="1"/>
    <n v="10800152861.85"/>
    <x v="3"/>
    <x v="2"/>
    <x v="1"/>
    <x v="13"/>
    <x v="3"/>
    <x v="2"/>
    <x v="4"/>
    <x v="2"/>
    <x v="6"/>
    <n v="27"/>
    <x v="0"/>
  </r>
  <r>
    <d v="2021-10-26T00:00:00"/>
    <x v="1"/>
    <x v="0"/>
    <x v="2"/>
    <n v="37477.519999999997"/>
    <x v="1"/>
    <x v="0"/>
    <x v="2"/>
    <x v="3"/>
    <x v="3"/>
    <x v="2"/>
    <x v="4"/>
    <x v="2"/>
    <x v="6"/>
    <n v="26"/>
    <x v="0"/>
  </r>
  <r>
    <d v="2021-10-26T00:00:00"/>
    <x v="2"/>
    <x v="1"/>
    <x v="2"/>
    <n v="4860"/>
    <x v="2"/>
    <x v="1"/>
    <x v="2"/>
    <x v="2"/>
    <x v="3"/>
    <x v="2"/>
    <x v="4"/>
    <x v="2"/>
    <x v="6"/>
    <n v="26"/>
    <x v="0"/>
  </r>
  <r>
    <d v="2021-10-26T00:00:00"/>
    <x v="3"/>
    <x v="3"/>
    <x v="0"/>
    <n v="2500794900.23"/>
    <x v="3"/>
    <x v="3"/>
    <x v="0"/>
    <x v="8"/>
    <x v="3"/>
    <x v="2"/>
    <x v="4"/>
    <x v="2"/>
    <x v="6"/>
    <n v="26"/>
    <x v="0"/>
  </r>
  <r>
    <d v="2021-10-26T00:00:00"/>
    <x v="2"/>
    <x v="1"/>
    <x v="1"/>
    <n v="152016077.11000001"/>
    <x v="2"/>
    <x v="1"/>
    <x v="1"/>
    <x v="9"/>
    <x v="3"/>
    <x v="2"/>
    <x v="4"/>
    <x v="2"/>
    <x v="6"/>
    <n v="26"/>
    <x v="0"/>
  </r>
  <r>
    <d v="2021-10-26T00:00:00"/>
    <x v="1"/>
    <x v="0"/>
    <x v="0"/>
    <n v="89338724.950000003"/>
    <x v="1"/>
    <x v="0"/>
    <x v="0"/>
    <x v="10"/>
    <x v="3"/>
    <x v="2"/>
    <x v="4"/>
    <x v="2"/>
    <x v="6"/>
    <n v="26"/>
    <x v="0"/>
  </r>
  <r>
    <d v="2021-10-26T00:00:00"/>
    <x v="3"/>
    <x v="3"/>
    <x v="1"/>
    <n v="175371.81"/>
    <x v="3"/>
    <x v="3"/>
    <x v="1"/>
    <x v="4"/>
    <x v="3"/>
    <x v="2"/>
    <x v="4"/>
    <x v="2"/>
    <x v="6"/>
    <n v="26"/>
    <x v="0"/>
  </r>
  <r>
    <d v="2021-10-26T00:00:00"/>
    <x v="0"/>
    <x v="1"/>
    <x v="1"/>
    <n v="10445793.949999999"/>
    <x v="0"/>
    <x v="1"/>
    <x v="1"/>
    <x v="5"/>
    <x v="3"/>
    <x v="2"/>
    <x v="4"/>
    <x v="2"/>
    <x v="6"/>
    <n v="26"/>
    <x v="0"/>
  </r>
  <r>
    <d v="2021-10-26T00:00:00"/>
    <x v="3"/>
    <x v="2"/>
    <x v="2"/>
    <n v="787903.97"/>
    <x v="3"/>
    <x v="2"/>
    <x v="2"/>
    <x v="6"/>
    <x v="3"/>
    <x v="2"/>
    <x v="4"/>
    <x v="2"/>
    <x v="6"/>
    <n v="26"/>
    <x v="0"/>
  </r>
  <r>
    <d v="2021-10-26T00:00:00"/>
    <x v="0"/>
    <x v="0"/>
    <x v="0"/>
    <n v="2119.1"/>
    <x v="0"/>
    <x v="0"/>
    <x v="0"/>
    <x v="0"/>
    <x v="3"/>
    <x v="2"/>
    <x v="4"/>
    <x v="2"/>
    <x v="6"/>
    <n v="26"/>
    <x v="0"/>
  </r>
  <r>
    <d v="2021-10-26T00:00:00"/>
    <x v="2"/>
    <x v="1"/>
    <x v="0"/>
    <n v="81423753.730000004"/>
    <x v="2"/>
    <x v="1"/>
    <x v="0"/>
    <x v="7"/>
    <x v="3"/>
    <x v="2"/>
    <x v="4"/>
    <x v="2"/>
    <x v="6"/>
    <n v="26"/>
    <x v="0"/>
  </r>
  <r>
    <d v="2021-10-26T00:00:00"/>
    <x v="0"/>
    <x v="1"/>
    <x v="0"/>
    <n v="30000887"/>
    <x v="0"/>
    <x v="1"/>
    <x v="0"/>
    <x v="1"/>
    <x v="3"/>
    <x v="2"/>
    <x v="4"/>
    <x v="2"/>
    <x v="6"/>
    <n v="26"/>
    <x v="0"/>
  </r>
  <r>
    <d v="2021-10-26T00:00:00"/>
    <x v="1"/>
    <x v="0"/>
    <x v="1"/>
    <n v="683394016.74000001"/>
    <x v="1"/>
    <x v="0"/>
    <x v="1"/>
    <x v="11"/>
    <x v="3"/>
    <x v="2"/>
    <x v="4"/>
    <x v="2"/>
    <x v="6"/>
    <n v="26"/>
    <x v="0"/>
  </r>
  <r>
    <d v="2021-10-26T00:00:00"/>
    <x v="3"/>
    <x v="2"/>
    <x v="0"/>
    <n v="541831746.99000001"/>
    <x v="3"/>
    <x v="2"/>
    <x v="0"/>
    <x v="12"/>
    <x v="3"/>
    <x v="2"/>
    <x v="4"/>
    <x v="2"/>
    <x v="6"/>
    <n v="26"/>
    <x v="0"/>
  </r>
  <r>
    <d v="2021-10-26T00:00:00"/>
    <x v="3"/>
    <x v="1"/>
    <x v="0"/>
    <n v="9296637.7100000009"/>
    <x v="3"/>
    <x v="1"/>
    <x v="0"/>
    <x v="13"/>
    <x v="3"/>
    <x v="2"/>
    <x v="4"/>
    <x v="2"/>
    <x v="6"/>
    <n v="26"/>
    <x v="0"/>
  </r>
  <r>
    <d v="2021-10-26T00:00:00"/>
    <x v="3"/>
    <x v="2"/>
    <x v="1"/>
    <n v="4200060178.5799999"/>
    <x v="3"/>
    <x v="2"/>
    <x v="1"/>
    <x v="14"/>
    <x v="3"/>
    <x v="2"/>
    <x v="4"/>
    <x v="2"/>
    <x v="6"/>
    <n v="26"/>
    <x v="0"/>
  </r>
  <r>
    <d v="2021-10-25T00:00:00"/>
    <x v="2"/>
    <x v="1"/>
    <x v="2"/>
    <n v="17030.03"/>
    <x v="2"/>
    <x v="1"/>
    <x v="2"/>
    <x v="2"/>
    <x v="3"/>
    <x v="2"/>
    <x v="4"/>
    <x v="2"/>
    <x v="6"/>
    <n v="25"/>
    <x v="0"/>
  </r>
  <r>
    <d v="2021-10-25T00:00:00"/>
    <x v="1"/>
    <x v="0"/>
    <x v="0"/>
    <n v="79663214.209999993"/>
    <x v="1"/>
    <x v="0"/>
    <x v="0"/>
    <x v="8"/>
    <x v="3"/>
    <x v="2"/>
    <x v="4"/>
    <x v="2"/>
    <x v="6"/>
    <n v="25"/>
    <x v="0"/>
  </r>
  <r>
    <d v="2021-10-25T00:00:00"/>
    <x v="3"/>
    <x v="2"/>
    <x v="2"/>
    <n v="729351.99"/>
    <x v="3"/>
    <x v="2"/>
    <x v="2"/>
    <x v="4"/>
    <x v="3"/>
    <x v="2"/>
    <x v="4"/>
    <x v="2"/>
    <x v="6"/>
    <n v="25"/>
    <x v="0"/>
  </r>
  <r>
    <d v="2021-10-25T00:00:00"/>
    <x v="0"/>
    <x v="1"/>
    <x v="1"/>
    <n v="9695236.7699999996"/>
    <x v="0"/>
    <x v="1"/>
    <x v="1"/>
    <x v="3"/>
    <x v="3"/>
    <x v="2"/>
    <x v="4"/>
    <x v="2"/>
    <x v="6"/>
    <n v="25"/>
    <x v="0"/>
  </r>
  <r>
    <d v="2021-10-25T00:00:00"/>
    <x v="2"/>
    <x v="1"/>
    <x v="0"/>
    <n v="100928095.58"/>
    <x v="2"/>
    <x v="1"/>
    <x v="0"/>
    <x v="5"/>
    <x v="3"/>
    <x v="2"/>
    <x v="4"/>
    <x v="2"/>
    <x v="6"/>
    <n v="25"/>
    <x v="0"/>
  </r>
  <r>
    <d v="2021-10-25T00:00:00"/>
    <x v="0"/>
    <x v="1"/>
    <x v="0"/>
    <n v="11937518"/>
    <x v="0"/>
    <x v="1"/>
    <x v="0"/>
    <x v="0"/>
    <x v="3"/>
    <x v="2"/>
    <x v="4"/>
    <x v="2"/>
    <x v="6"/>
    <n v="25"/>
    <x v="0"/>
  </r>
  <r>
    <d v="2021-10-25T00:00:00"/>
    <x v="1"/>
    <x v="0"/>
    <x v="2"/>
    <n v="3195.81"/>
    <x v="1"/>
    <x v="0"/>
    <x v="2"/>
    <x v="1"/>
    <x v="3"/>
    <x v="2"/>
    <x v="4"/>
    <x v="2"/>
    <x v="6"/>
    <n v="25"/>
    <x v="0"/>
  </r>
  <r>
    <d v="2021-10-25T00:00:00"/>
    <x v="3"/>
    <x v="3"/>
    <x v="0"/>
    <n v="2335840526.4000001"/>
    <x v="3"/>
    <x v="3"/>
    <x v="0"/>
    <x v="6"/>
    <x v="3"/>
    <x v="2"/>
    <x v="4"/>
    <x v="2"/>
    <x v="6"/>
    <n v="25"/>
    <x v="0"/>
  </r>
  <r>
    <d v="2021-10-25T00:00:00"/>
    <x v="2"/>
    <x v="1"/>
    <x v="1"/>
    <n v="321940891.83999997"/>
    <x v="2"/>
    <x v="1"/>
    <x v="1"/>
    <x v="7"/>
    <x v="3"/>
    <x v="2"/>
    <x v="4"/>
    <x v="2"/>
    <x v="6"/>
    <n v="25"/>
    <x v="0"/>
  </r>
  <r>
    <d v="2021-10-25T00:00:00"/>
    <x v="1"/>
    <x v="0"/>
    <x v="1"/>
    <n v="723640158.28999996"/>
    <x v="1"/>
    <x v="0"/>
    <x v="1"/>
    <x v="9"/>
    <x v="3"/>
    <x v="2"/>
    <x v="4"/>
    <x v="2"/>
    <x v="6"/>
    <n v="25"/>
    <x v="0"/>
  </r>
  <r>
    <d v="2021-10-25T00:00:00"/>
    <x v="3"/>
    <x v="2"/>
    <x v="0"/>
    <n v="6621310951.75"/>
    <x v="3"/>
    <x v="2"/>
    <x v="0"/>
    <x v="10"/>
    <x v="3"/>
    <x v="2"/>
    <x v="4"/>
    <x v="2"/>
    <x v="6"/>
    <n v="25"/>
    <x v="0"/>
  </r>
  <r>
    <d v="2021-10-25T00:00:00"/>
    <x v="3"/>
    <x v="2"/>
    <x v="1"/>
    <n v="17878261022.48"/>
    <x v="3"/>
    <x v="2"/>
    <x v="1"/>
    <x v="11"/>
    <x v="3"/>
    <x v="2"/>
    <x v="4"/>
    <x v="2"/>
    <x v="6"/>
    <n v="25"/>
    <x v="0"/>
  </r>
  <r>
    <d v="2021-10-25T00:00:00"/>
    <x v="3"/>
    <x v="1"/>
    <x v="0"/>
    <n v="38218623.649999999"/>
    <x v="3"/>
    <x v="1"/>
    <x v="0"/>
    <x v="12"/>
    <x v="3"/>
    <x v="2"/>
    <x v="4"/>
    <x v="2"/>
    <x v="6"/>
    <n v="25"/>
    <x v="0"/>
  </r>
  <r>
    <d v="2021-10-22T00:00:00"/>
    <x v="1"/>
    <x v="0"/>
    <x v="2"/>
    <n v="3636.6"/>
    <x v="1"/>
    <x v="0"/>
    <x v="2"/>
    <x v="3"/>
    <x v="3"/>
    <x v="2"/>
    <x v="4"/>
    <x v="2"/>
    <x v="6"/>
    <n v="22"/>
    <x v="0"/>
  </r>
  <r>
    <d v="2021-10-22T00:00:00"/>
    <x v="2"/>
    <x v="1"/>
    <x v="0"/>
    <n v="53965947.039999999"/>
    <x v="2"/>
    <x v="1"/>
    <x v="0"/>
    <x v="8"/>
    <x v="3"/>
    <x v="2"/>
    <x v="4"/>
    <x v="2"/>
    <x v="6"/>
    <n v="22"/>
    <x v="0"/>
  </r>
  <r>
    <d v="2021-10-22T00:00:00"/>
    <x v="2"/>
    <x v="1"/>
    <x v="2"/>
    <n v="2175"/>
    <x v="2"/>
    <x v="1"/>
    <x v="2"/>
    <x v="4"/>
    <x v="3"/>
    <x v="2"/>
    <x v="4"/>
    <x v="2"/>
    <x v="6"/>
    <n v="22"/>
    <x v="0"/>
  </r>
  <r>
    <d v="2021-10-22T00:00:00"/>
    <x v="2"/>
    <x v="1"/>
    <x v="1"/>
    <n v="220502616.66"/>
    <x v="2"/>
    <x v="1"/>
    <x v="1"/>
    <x v="10"/>
    <x v="3"/>
    <x v="2"/>
    <x v="4"/>
    <x v="2"/>
    <x v="6"/>
    <n v="22"/>
    <x v="0"/>
  </r>
  <r>
    <d v="2021-10-22T00:00:00"/>
    <x v="0"/>
    <x v="1"/>
    <x v="1"/>
    <n v="3384507.79"/>
    <x v="0"/>
    <x v="1"/>
    <x v="1"/>
    <x v="6"/>
    <x v="3"/>
    <x v="2"/>
    <x v="4"/>
    <x v="2"/>
    <x v="6"/>
    <n v="22"/>
    <x v="0"/>
  </r>
  <r>
    <d v="2021-10-22T00:00:00"/>
    <x v="3"/>
    <x v="2"/>
    <x v="2"/>
    <n v="646351.71"/>
    <x v="3"/>
    <x v="2"/>
    <x v="2"/>
    <x v="7"/>
    <x v="3"/>
    <x v="2"/>
    <x v="4"/>
    <x v="2"/>
    <x v="6"/>
    <n v="22"/>
    <x v="0"/>
  </r>
  <r>
    <d v="2021-10-22T00:00:00"/>
    <x v="1"/>
    <x v="1"/>
    <x v="0"/>
    <n v="2815.28"/>
    <x v="1"/>
    <x v="1"/>
    <x v="0"/>
    <x v="1"/>
    <x v="3"/>
    <x v="2"/>
    <x v="4"/>
    <x v="2"/>
    <x v="6"/>
    <n v="22"/>
    <x v="0"/>
  </r>
  <r>
    <d v="2021-10-22T00:00:00"/>
    <x v="0"/>
    <x v="1"/>
    <x v="0"/>
    <n v="24478318.789999999"/>
    <x v="0"/>
    <x v="1"/>
    <x v="0"/>
    <x v="2"/>
    <x v="3"/>
    <x v="2"/>
    <x v="4"/>
    <x v="2"/>
    <x v="6"/>
    <n v="22"/>
    <x v="0"/>
  </r>
  <r>
    <d v="2021-10-22T00:00:00"/>
    <x v="0"/>
    <x v="0"/>
    <x v="0"/>
    <n v="462.78"/>
    <x v="0"/>
    <x v="0"/>
    <x v="0"/>
    <x v="0"/>
    <x v="3"/>
    <x v="2"/>
    <x v="4"/>
    <x v="2"/>
    <x v="6"/>
    <n v="22"/>
    <x v="0"/>
  </r>
  <r>
    <d v="2021-10-22T00:00:00"/>
    <x v="3"/>
    <x v="3"/>
    <x v="0"/>
    <n v="2291797955.6300001"/>
    <x v="3"/>
    <x v="3"/>
    <x v="0"/>
    <x v="9"/>
    <x v="3"/>
    <x v="2"/>
    <x v="4"/>
    <x v="2"/>
    <x v="6"/>
    <n v="22"/>
    <x v="0"/>
  </r>
  <r>
    <d v="2021-10-22T00:00:00"/>
    <x v="3"/>
    <x v="3"/>
    <x v="1"/>
    <n v="303686.07"/>
    <x v="3"/>
    <x v="3"/>
    <x v="1"/>
    <x v="5"/>
    <x v="3"/>
    <x v="2"/>
    <x v="4"/>
    <x v="2"/>
    <x v="6"/>
    <n v="22"/>
    <x v="0"/>
  </r>
  <r>
    <d v="2021-10-22T00:00:00"/>
    <x v="1"/>
    <x v="0"/>
    <x v="0"/>
    <n v="98844818"/>
    <x v="1"/>
    <x v="0"/>
    <x v="0"/>
    <x v="11"/>
    <x v="3"/>
    <x v="2"/>
    <x v="4"/>
    <x v="2"/>
    <x v="6"/>
    <n v="22"/>
    <x v="0"/>
  </r>
  <r>
    <d v="2021-10-22T00:00:00"/>
    <x v="1"/>
    <x v="0"/>
    <x v="1"/>
    <n v="1912568811.6500001"/>
    <x v="1"/>
    <x v="0"/>
    <x v="1"/>
    <x v="12"/>
    <x v="3"/>
    <x v="2"/>
    <x v="4"/>
    <x v="2"/>
    <x v="6"/>
    <n v="22"/>
    <x v="0"/>
  </r>
  <r>
    <d v="2021-10-22T00:00:00"/>
    <x v="3"/>
    <x v="2"/>
    <x v="0"/>
    <n v="343712869.37"/>
    <x v="3"/>
    <x v="2"/>
    <x v="0"/>
    <x v="13"/>
    <x v="3"/>
    <x v="2"/>
    <x v="4"/>
    <x v="2"/>
    <x v="6"/>
    <n v="22"/>
    <x v="0"/>
  </r>
  <r>
    <d v="2021-10-22T00:00:00"/>
    <x v="3"/>
    <x v="1"/>
    <x v="0"/>
    <n v="12316578.439999999"/>
    <x v="3"/>
    <x v="1"/>
    <x v="0"/>
    <x v="14"/>
    <x v="3"/>
    <x v="2"/>
    <x v="4"/>
    <x v="2"/>
    <x v="6"/>
    <n v="22"/>
    <x v="0"/>
  </r>
  <r>
    <d v="2021-10-22T00:00:00"/>
    <x v="3"/>
    <x v="2"/>
    <x v="1"/>
    <n v="7218775570.71"/>
    <x v="3"/>
    <x v="2"/>
    <x v="1"/>
    <x v="15"/>
    <x v="3"/>
    <x v="2"/>
    <x v="4"/>
    <x v="2"/>
    <x v="6"/>
    <n v="22"/>
    <x v="0"/>
  </r>
  <r>
    <d v="2021-10-21T00:00:00"/>
    <x v="2"/>
    <x v="1"/>
    <x v="0"/>
    <n v="108289383.38"/>
    <x v="2"/>
    <x v="1"/>
    <x v="0"/>
    <x v="5"/>
    <x v="3"/>
    <x v="2"/>
    <x v="4"/>
    <x v="2"/>
    <x v="6"/>
    <n v="21"/>
    <x v="0"/>
  </r>
  <r>
    <d v="2021-10-21T00:00:00"/>
    <x v="2"/>
    <x v="1"/>
    <x v="2"/>
    <n v="14245"/>
    <x v="2"/>
    <x v="1"/>
    <x v="2"/>
    <x v="2"/>
    <x v="3"/>
    <x v="2"/>
    <x v="4"/>
    <x v="2"/>
    <x v="6"/>
    <n v="21"/>
    <x v="0"/>
  </r>
  <r>
    <d v="2021-10-21T00:00:00"/>
    <x v="2"/>
    <x v="1"/>
    <x v="1"/>
    <n v="220599553.81999999"/>
    <x v="2"/>
    <x v="1"/>
    <x v="1"/>
    <x v="6"/>
    <x v="3"/>
    <x v="2"/>
    <x v="4"/>
    <x v="2"/>
    <x v="6"/>
    <n v="21"/>
    <x v="0"/>
  </r>
  <r>
    <d v="2021-10-21T00:00:00"/>
    <x v="1"/>
    <x v="0"/>
    <x v="0"/>
    <n v="100701908.33"/>
    <x v="1"/>
    <x v="0"/>
    <x v="0"/>
    <x v="8"/>
    <x v="3"/>
    <x v="2"/>
    <x v="4"/>
    <x v="2"/>
    <x v="6"/>
    <n v="21"/>
    <x v="0"/>
  </r>
  <r>
    <d v="2021-10-21T00:00:00"/>
    <x v="0"/>
    <x v="1"/>
    <x v="1"/>
    <n v="18771113.789999999"/>
    <x v="0"/>
    <x v="1"/>
    <x v="1"/>
    <x v="3"/>
    <x v="3"/>
    <x v="2"/>
    <x v="4"/>
    <x v="2"/>
    <x v="6"/>
    <n v="21"/>
    <x v="0"/>
  </r>
  <r>
    <d v="2021-10-21T00:00:00"/>
    <x v="3"/>
    <x v="2"/>
    <x v="2"/>
    <n v="601182.44999999995"/>
    <x v="3"/>
    <x v="2"/>
    <x v="2"/>
    <x v="4"/>
    <x v="3"/>
    <x v="2"/>
    <x v="4"/>
    <x v="2"/>
    <x v="6"/>
    <n v="21"/>
    <x v="0"/>
  </r>
  <r>
    <d v="2021-10-21T00:00:00"/>
    <x v="0"/>
    <x v="1"/>
    <x v="0"/>
    <n v="9043749.9800000004"/>
    <x v="0"/>
    <x v="1"/>
    <x v="0"/>
    <x v="0"/>
    <x v="3"/>
    <x v="2"/>
    <x v="4"/>
    <x v="2"/>
    <x v="6"/>
    <n v="21"/>
    <x v="0"/>
  </r>
  <r>
    <d v="2021-10-21T00:00:00"/>
    <x v="1"/>
    <x v="0"/>
    <x v="2"/>
    <n v="444.79"/>
    <x v="1"/>
    <x v="0"/>
    <x v="2"/>
    <x v="1"/>
    <x v="3"/>
    <x v="2"/>
    <x v="4"/>
    <x v="2"/>
    <x v="6"/>
    <n v="21"/>
    <x v="0"/>
  </r>
  <r>
    <d v="2021-10-21T00:00:00"/>
    <x v="3"/>
    <x v="3"/>
    <x v="0"/>
    <n v="2830909025.6799998"/>
    <x v="3"/>
    <x v="3"/>
    <x v="0"/>
    <x v="7"/>
    <x v="3"/>
    <x v="2"/>
    <x v="4"/>
    <x v="2"/>
    <x v="6"/>
    <n v="21"/>
    <x v="0"/>
  </r>
  <r>
    <d v="2021-10-21T00:00:00"/>
    <x v="1"/>
    <x v="0"/>
    <x v="1"/>
    <n v="3093622215.4299998"/>
    <x v="1"/>
    <x v="0"/>
    <x v="1"/>
    <x v="9"/>
    <x v="3"/>
    <x v="2"/>
    <x v="4"/>
    <x v="2"/>
    <x v="6"/>
    <n v="21"/>
    <x v="0"/>
  </r>
  <r>
    <d v="2021-10-21T00:00:00"/>
    <x v="3"/>
    <x v="2"/>
    <x v="0"/>
    <n v="327030472.61000001"/>
    <x v="3"/>
    <x v="2"/>
    <x v="0"/>
    <x v="10"/>
    <x v="3"/>
    <x v="2"/>
    <x v="4"/>
    <x v="2"/>
    <x v="6"/>
    <n v="21"/>
    <x v="0"/>
  </r>
  <r>
    <d v="2021-10-21T00:00:00"/>
    <x v="3"/>
    <x v="1"/>
    <x v="0"/>
    <n v="12493695.050000001"/>
    <x v="3"/>
    <x v="1"/>
    <x v="0"/>
    <x v="11"/>
    <x v="3"/>
    <x v="2"/>
    <x v="4"/>
    <x v="2"/>
    <x v="6"/>
    <n v="21"/>
    <x v="0"/>
  </r>
  <r>
    <d v="2021-10-21T00:00:00"/>
    <x v="3"/>
    <x v="2"/>
    <x v="1"/>
    <n v="3783499050.3000002"/>
    <x v="3"/>
    <x v="2"/>
    <x v="1"/>
    <x v="12"/>
    <x v="3"/>
    <x v="2"/>
    <x v="4"/>
    <x v="2"/>
    <x v="6"/>
    <n v="21"/>
    <x v="0"/>
  </r>
  <r>
    <d v="2021-10-20T00:00:00"/>
    <x v="1"/>
    <x v="0"/>
    <x v="2"/>
    <n v="1605.27"/>
    <x v="1"/>
    <x v="0"/>
    <x v="2"/>
    <x v="1"/>
    <x v="3"/>
    <x v="2"/>
    <x v="4"/>
    <x v="2"/>
    <x v="6"/>
    <n v="20"/>
    <x v="0"/>
  </r>
  <r>
    <d v="2021-10-20T00:00:00"/>
    <x v="2"/>
    <x v="1"/>
    <x v="2"/>
    <n v="1424450.65"/>
    <x v="2"/>
    <x v="1"/>
    <x v="2"/>
    <x v="2"/>
    <x v="3"/>
    <x v="2"/>
    <x v="4"/>
    <x v="2"/>
    <x v="6"/>
    <n v="20"/>
    <x v="0"/>
  </r>
  <r>
    <d v="2021-10-20T00:00:00"/>
    <x v="2"/>
    <x v="1"/>
    <x v="0"/>
    <n v="66158290.469999999"/>
    <x v="2"/>
    <x v="1"/>
    <x v="0"/>
    <x v="6"/>
    <x v="3"/>
    <x v="2"/>
    <x v="4"/>
    <x v="2"/>
    <x v="6"/>
    <n v="20"/>
    <x v="0"/>
  </r>
  <r>
    <d v="2021-10-20T00:00:00"/>
    <x v="3"/>
    <x v="3"/>
    <x v="0"/>
    <n v="2509444687.9400001"/>
    <x v="3"/>
    <x v="3"/>
    <x v="0"/>
    <x v="7"/>
    <x v="3"/>
    <x v="2"/>
    <x v="4"/>
    <x v="2"/>
    <x v="6"/>
    <n v="20"/>
    <x v="0"/>
  </r>
  <r>
    <d v="2021-10-20T00:00:00"/>
    <x v="3"/>
    <x v="3"/>
    <x v="1"/>
    <n v="17077.66"/>
    <x v="3"/>
    <x v="3"/>
    <x v="1"/>
    <x v="3"/>
    <x v="3"/>
    <x v="2"/>
    <x v="4"/>
    <x v="2"/>
    <x v="6"/>
    <n v="20"/>
    <x v="0"/>
  </r>
  <r>
    <d v="2021-10-20T00:00:00"/>
    <x v="1"/>
    <x v="0"/>
    <x v="0"/>
    <n v="105061374.03"/>
    <x v="1"/>
    <x v="0"/>
    <x v="0"/>
    <x v="9"/>
    <x v="3"/>
    <x v="2"/>
    <x v="4"/>
    <x v="2"/>
    <x v="6"/>
    <n v="20"/>
    <x v="0"/>
  </r>
  <r>
    <d v="2021-10-20T00:00:00"/>
    <x v="1"/>
    <x v="0"/>
    <x v="1"/>
    <n v="4297061736.7299995"/>
    <x v="1"/>
    <x v="0"/>
    <x v="1"/>
    <x v="10"/>
    <x v="3"/>
    <x v="2"/>
    <x v="4"/>
    <x v="2"/>
    <x v="6"/>
    <n v="20"/>
    <x v="0"/>
  </r>
  <r>
    <d v="2021-10-20T00:00:00"/>
    <x v="0"/>
    <x v="1"/>
    <x v="1"/>
    <n v="1492334.97"/>
    <x v="0"/>
    <x v="1"/>
    <x v="1"/>
    <x v="4"/>
    <x v="3"/>
    <x v="2"/>
    <x v="4"/>
    <x v="2"/>
    <x v="6"/>
    <n v="20"/>
    <x v="0"/>
  </r>
  <r>
    <d v="2021-10-20T00:00:00"/>
    <x v="3"/>
    <x v="2"/>
    <x v="2"/>
    <n v="770255.9"/>
    <x v="3"/>
    <x v="2"/>
    <x v="2"/>
    <x v="5"/>
    <x v="3"/>
    <x v="2"/>
    <x v="4"/>
    <x v="2"/>
    <x v="6"/>
    <n v="20"/>
    <x v="0"/>
  </r>
  <r>
    <d v="2021-10-20T00:00:00"/>
    <x v="0"/>
    <x v="1"/>
    <x v="0"/>
    <n v="12401532.15"/>
    <x v="0"/>
    <x v="1"/>
    <x v="0"/>
    <x v="0"/>
    <x v="3"/>
    <x v="2"/>
    <x v="4"/>
    <x v="2"/>
    <x v="6"/>
    <n v="20"/>
    <x v="0"/>
  </r>
  <r>
    <d v="2021-10-20T00:00:00"/>
    <x v="2"/>
    <x v="1"/>
    <x v="1"/>
    <n v="258022939.28"/>
    <x v="2"/>
    <x v="1"/>
    <x v="1"/>
    <x v="8"/>
    <x v="3"/>
    <x v="2"/>
    <x v="4"/>
    <x v="2"/>
    <x v="6"/>
    <n v="20"/>
    <x v="0"/>
  </r>
  <r>
    <d v="2021-10-20T00:00:00"/>
    <x v="3"/>
    <x v="2"/>
    <x v="0"/>
    <n v="550265404.46000004"/>
    <x v="3"/>
    <x v="2"/>
    <x v="0"/>
    <x v="11"/>
    <x v="3"/>
    <x v="2"/>
    <x v="4"/>
    <x v="2"/>
    <x v="6"/>
    <n v="20"/>
    <x v="0"/>
  </r>
  <r>
    <d v="2021-10-20T00:00:00"/>
    <x v="3"/>
    <x v="1"/>
    <x v="0"/>
    <n v="12286638.77"/>
    <x v="3"/>
    <x v="1"/>
    <x v="0"/>
    <x v="12"/>
    <x v="3"/>
    <x v="2"/>
    <x v="4"/>
    <x v="2"/>
    <x v="6"/>
    <n v="20"/>
    <x v="0"/>
  </r>
  <r>
    <d v="2021-10-20T00:00:00"/>
    <x v="3"/>
    <x v="2"/>
    <x v="1"/>
    <n v="11376233479.639999"/>
    <x v="3"/>
    <x v="2"/>
    <x v="1"/>
    <x v="13"/>
    <x v="3"/>
    <x v="2"/>
    <x v="4"/>
    <x v="2"/>
    <x v="6"/>
    <n v="20"/>
    <x v="0"/>
  </r>
  <r>
    <d v="2021-10-19T00:00:00"/>
    <x v="3"/>
    <x v="2"/>
    <x v="2"/>
    <n v="308782.46999999997"/>
    <x v="3"/>
    <x v="2"/>
    <x v="2"/>
    <x v="5"/>
    <x v="3"/>
    <x v="2"/>
    <x v="4"/>
    <x v="2"/>
    <x v="6"/>
    <n v="19"/>
    <x v="0"/>
  </r>
  <r>
    <d v="2021-10-19T00:00:00"/>
    <x v="1"/>
    <x v="0"/>
    <x v="2"/>
    <n v="4286.9799999999996"/>
    <x v="1"/>
    <x v="0"/>
    <x v="2"/>
    <x v="1"/>
    <x v="3"/>
    <x v="2"/>
    <x v="4"/>
    <x v="2"/>
    <x v="6"/>
    <n v="19"/>
    <x v="0"/>
  </r>
  <r>
    <d v="2021-10-19T00:00:00"/>
    <x v="2"/>
    <x v="1"/>
    <x v="2"/>
    <n v="9690"/>
    <x v="2"/>
    <x v="1"/>
    <x v="2"/>
    <x v="2"/>
    <x v="3"/>
    <x v="2"/>
    <x v="4"/>
    <x v="2"/>
    <x v="6"/>
    <n v="19"/>
    <x v="0"/>
  </r>
  <r>
    <d v="2021-10-19T00:00:00"/>
    <x v="2"/>
    <x v="1"/>
    <x v="1"/>
    <n v="199458834.41"/>
    <x v="2"/>
    <x v="1"/>
    <x v="1"/>
    <x v="8"/>
    <x v="3"/>
    <x v="2"/>
    <x v="4"/>
    <x v="2"/>
    <x v="6"/>
    <n v="19"/>
    <x v="0"/>
  </r>
  <r>
    <d v="2021-10-19T00:00:00"/>
    <x v="1"/>
    <x v="0"/>
    <x v="0"/>
    <n v="138689754.94"/>
    <x v="1"/>
    <x v="0"/>
    <x v="0"/>
    <x v="10"/>
    <x v="3"/>
    <x v="2"/>
    <x v="4"/>
    <x v="2"/>
    <x v="6"/>
    <n v="19"/>
    <x v="0"/>
  </r>
  <r>
    <d v="2021-10-19T00:00:00"/>
    <x v="0"/>
    <x v="1"/>
    <x v="1"/>
    <n v="17202613.66"/>
    <x v="0"/>
    <x v="1"/>
    <x v="1"/>
    <x v="4"/>
    <x v="3"/>
    <x v="2"/>
    <x v="4"/>
    <x v="2"/>
    <x v="6"/>
    <n v="19"/>
    <x v="0"/>
  </r>
  <r>
    <d v="2021-10-19T00:00:00"/>
    <x v="0"/>
    <x v="1"/>
    <x v="0"/>
    <n v="15118962.859999999"/>
    <x v="0"/>
    <x v="1"/>
    <x v="0"/>
    <x v="0"/>
    <x v="3"/>
    <x v="2"/>
    <x v="4"/>
    <x v="2"/>
    <x v="6"/>
    <n v="19"/>
    <x v="0"/>
  </r>
  <r>
    <d v="2021-10-19T00:00:00"/>
    <x v="2"/>
    <x v="1"/>
    <x v="0"/>
    <n v="71966785.049999997"/>
    <x v="2"/>
    <x v="1"/>
    <x v="0"/>
    <x v="6"/>
    <x v="3"/>
    <x v="2"/>
    <x v="4"/>
    <x v="2"/>
    <x v="6"/>
    <n v="19"/>
    <x v="0"/>
  </r>
  <r>
    <d v="2021-10-19T00:00:00"/>
    <x v="3"/>
    <x v="3"/>
    <x v="1"/>
    <n v="331485.59999999998"/>
    <x v="3"/>
    <x v="3"/>
    <x v="1"/>
    <x v="3"/>
    <x v="3"/>
    <x v="2"/>
    <x v="4"/>
    <x v="2"/>
    <x v="6"/>
    <n v="19"/>
    <x v="0"/>
  </r>
  <r>
    <d v="2021-10-19T00:00:00"/>
    <x v="1"/>
    <x v="0"/>
    <x v="1"/>
    <n v="920834116.82000005"/>
    <x v="1"/>
    <x v="0"/>
    <x v="1"/>
    <x v="9"/>
    <x v="3"/>
    <x v="2"/>
    <x v="4"/>
    <x v="2"/>
    <x v="6"/>
    <n v="19"/>
    <x v="0"/>
  </r>
  <r>
    <d v="2021-10-19T00:00:00"/>
    <x v="3"/>
    <x v="3"/>
    <x v="0"/>
    <n v="1926297438.54"/>
    <x v="3"/>
    <x v="3"/>
    <x v="0"/>
    <x v="7"/>
    <x v="3"/>
    <x v="2"/>
    <x v="4"/>
    <x v="2"/>
    <x v="6"/>
    <n v="19"/>
    <x v="0"/>
  </r>
  <r>
    <d v="2021-10-19T00:00:00"/>
    <x v="3"/>
    <x v="2"/>
    <x v="0"/>
    <n v="445969457.67000002"/>
    <x v="3"/>
    <x v="2"/>
    <x v="0"/>
    <x v="11"/>
    <x v="3"/>
    <x v="2"/>
    <x v="4"/>
    <x v="2"/>
    <x v="6"/>
    <n v="19"/>
    <x v="0"/>
  </r>
  <r>
    <d v="2021-10-19T00:00:00"/>
    <x v="3"/>
    <x v="1"/>
    <x v="0"/>
    <n v="10483992.67"/>
    <x v="3"/>
    <x v="1"/>
    <x v="0"/>
    <x v="12"/>
    <x v="3"/>
    <x v="2"/>
    <x v="4"/>
    <x v="2"/>
    <x v="6"/>
    <n v="19"/>
    <x v="0"/>
  </r>
  <r>
    <d v="2021-10-19T00:00:00"/>
    <x v="3"/>
    <x v="2"/>
    <x v="1"/>
    <n v="4767640598.6599998"/>
    <x v="3"/>
    <x v="2"/>
    <x v="1"/>
    <x v="13"/>
    <x v="3"/>
    <x v="2"/>
    <x v="4"/>
    <x v="2"/>
    <x v="6"/>
    <n v="19"/>
    <x v="0"/>
  </r>
  <r>
    <d v="2021-10-18T00:00:00"/>
    <x v="1"/>
    <x v="0"/>
    <x v="2"/>
    <n v="1862.17"/>
    <x v="1"/>
    <x v="0"/>
    <x v="2"/>
    <x v="1"/>
    <x v="3"/>
    <x v="2"/>
    <x v="4"/>
    <x v="2"/>
    <x v="6"/>
    <n v="18"/>
    <x v="0"/>
  </r>
  <r>
    <d v="2021-10-18T00:00:00"/>
    <x v="2"/>
    <x v="1"/>
    <x v="2"/>
    <n v="97302.11"/>
    <x v="2"/>
    <x v="1"/>
    <x v="2"/>
    <x v="2"/>
    <x v="3"/>
    <x v="2"/>
    <x v="4"/>
    <x v="2"/>
    <x v="6"/>
    <n v="18"/>
    <x v="0"/>
  </r>
  <r>
    <d v="2021-10-18T00:00:00"/>
    <x v="2"/>
    <x v="1"/>
    <x v="0"/>
    <n v="55677344.670000002"/>
    <x v="2"/>
    <x v="1"/>
    <x v="0"/>
    <x v="5"/>
    <x v="3"/>
    <x v="2"/>
    <x v="4"/>
    <x v="2"/>
    <x v="6"/>
    <n v="18"/>
    <x v="0"/>
  </r>
  <r>
    <d v="2021-10-18T00:00:00"/>
    <x v="0"/>
    <x v="1"/>
    <x v="1"/>
    <n v="10843402.119999999"/>
    <x v="0"/>
    <x v="1"/>
    <x v="1"/>
    <x v="3"/>
    <x v="3"/>
    <x v="2"/>
    <x v="4"/>
    <x v="2"/>
    <x v="6"/>
    <n v="18"/>
    <x v="0"/>
  </r>
  <r>
    <d v="2021-10-18T00:00:00"/>
    <x v="2"/>
    <x v="1"/>
    <x v="1"/>
    <n v="206106989.34999999"/>
    <x v="2"/>
    <x v="1"/>
    <x v="1"/>
    <x v="6"/>
    <x v="3"/>
    <x v="2"/>
    <x v="4"/>
    <x v="2"/>
    <x v="6"/>
    <n v="18"/>
    <x v="0"/>
  </r>
  <r>
    <d v="2021-10-18T00:00:00"/>
    <x v="1"/>
    <x v="0"/>
    <x v="0"/>
    <n v="85373857.810000002"/>
    <x v="1"/>
    <x v="0"/>
    <x v="0"/>
    <x v="7"/>
    <x v="3"/>
    <x v="2"/>
    <x v="4"/>
    <x v="2"/>
    <x v="6"/>
    <n v="18"/>
    <x v="0"/>
  </r>
  <r>
    <d v="2021-10-18T00:00:00"/>
    <x v="1"/>
    <x v="0"/>
    <x v="1"/>
    <n v="208197615.16999999"/>
    <x v="1"/>
    <x v="0"/>
    <x v="1"/>
    <x v="9"/>
    <x v="3"/>
    <x v="2"/>
    <x v="4"/>
    <x v="2"/>
    <x v="6"/>
    <n v="18"/>
    <x v="0"/>
  </r>
  <r>
    <d v="2021-10-18T00:00:00"/>
    <x v="3"/>
    <x v="2"/>
    <x v="2"/>
    <n v="247455.28"/>
    <x v="3"/>
    <x v="2"/>
    <x v="2"/>
    <x v="4"/>
    <x v="3"/>
    <x v="2"/>
    <x v="4"/>
    <x v="2"/>
    <x v="6"/>
    <n v="18"/>
    <x v="0"/>
  </r>
  <r>
    <d v="2021-10-18T00:00:00"/>
    <x v="0"/>
    <x v="1"/>
    <x v="0"/>
    <n v="5107064.4000000004"/>
    <x v="0"/>
    <x v="1"/>
    <x v="0"/>
    <x v="0"/>
    <x v="3"/>
    <x v="2"/>
    <x v="4"/>
    <x v="2"/>
    <x v="6"/>
    <n v="18"/>
    <x v="0"/>
  </r>
  <r>
    <d v="2021-10-18T00:00:00"/>
    <x v="3"/>
    <x v="3"/>
    <x v="0"/>
    <n v="2404852679.3800001"/>
    <x v="3"/>
    <x v="3"/>
    <x v="0"/>
    <x v="8"/>
    <x v="3"/>
    <x v="2"/>
    <x v="4"/>
    <x v="2"/>
    <x v="6"/>
    <n v="18"/>
    <x v="0"/>
  </r>
  <r>
    <d v="2021-10-18T00:00:00"/>
    <x v="3"/>
    <x v="2"/>
    <x v="0"/>
    <n v="494486539.89999998"/>
    <x v="3"/>
    <x v="2"/>
    <x v="0"/>
    <x v="10"/>
    <x v="3"/>
    <x v="2"/>
    <x v="4"/>
    <x v="2"/>
    <x v="6"/>
    <n v="18"/>
    <x v="0"/>
  </r>
  <r>
    <d v="2021-10-18T00:00:00"/>
    <x v="3"/>
    <x v="1"/>
    <x v="0"/>
    <n v="42583645.289999999"/>
    <x v="3"/>
    <x v="1"/>
    <x v="0"/>
    <x v="11"/>
    <x v="3"/>
    <x v="2"/>
    <x v="4"/>
    <x v="2"/>
    <x v="6"/>
    <n v="18"/>
    <x v="0"/>
  </r>
  <r>
    <d v="2021-10-18T00:00:00"/>
    <x v="3"/>
    <x v="2"/>
    <x v="1"/>
    <n v="37408811675.169998"/>
    <x v="3"/>
    <x v="2"/>
    <x v="1"/>
    <x v="12"/>
    <x v="3"/>
    <x v="2"/>
    <x v="4"/>
    <x v="2"/>
    <x v="6"/>
    <n v="18"/>
    <x v="0"/>
  </r>
  <r>
    <d v="2021-10-15T00:00:00"/>
    <x v="3"/>
    <x v="2"/>
    <x v="2"/>
    <n v="668936.9"/>
    <x v="3"/>
    <x v="2"/>
    <x v="2"/>
    <x v="4"/>
    <x v="3"/>
    <x v="2"/>
    <x v="4"/>
    <x v="2"/>
    <x v="6"/>
    <n v="15"/>
    <x v="0"/>
  </r>
  <r>
    <d v="2021-10-15T00:00:00"/>
    <x v="3"/>
    <x v="3"/>
    <x v="0"/>
    <n v="1920224015.29"/>
    <x v="3"/>
    <x v="3"/>
    <x v="0"/>
    <x v="7"/>
    <x v="3"/>
    <x v="2"/>
    <x v="4"/>
    <x v="2"/>
    <x v="6"/>
    <n v="15"/>
    <x v="0"/>
  </r>
  <r>
    <d v="2021-10-15T00:00:00"/>
    <x v="0"/>
    <x v="1"/>
    <x v="1"/>
    <n v="14079460.68"/>
    <x v="0"/>
    <x v="1"/>
    <x v="1"/>
    <x v="5"/>
    <x v="3"/>
    <x v="2"/>
    <x v="4"/>
    <x v="2"/>
    <x v="6"/>
    <n v="15"/>
    <x v="0"/>
  </r>
  <r>
    <d v="2021-10-15T00:00:00"/>
    <x v="2"/>
    <x v="1"/>
    <x v="1"/>
    <n v="160692975.15000001"/>
    <x v="2"/>
    <x v="1"/>
    <x v="1"/>
    <x v="8"/>
    <x v="3"/>
    <x v="2"/>
    <x v="4"/>
    <x v="2"/>
    <x v="6"/>
    <n v="15"/>
    <x v="0"/>
  </r>
  <r>
    <d v="2021-10-15T00:00:00"/>
    <x v="1"/>
    <x v="0"/>
    <x v="0"/>
    <n v="154591258.81"/>
    <x v="1"/>
    <x v="0"/>
    <x v="0"/>
    <x v="9"/>
    <x v="3"/>
    <x v="2"/>
    <x v="4"/>
    <x v="2"/>
    <x v="6"/>
    <n v="15"/>
    <x v="0"/>
  </r>
  <r>
    <d v="2021-10-15T00:00:00"/>
    <x v="1"/>
    <x v="0"/>
    <x v="1"/>
    <n v="178977288.97"/>
    <x v="1"/>
    <x v="0"/>
    <x v="1"/>
    <x v="10"/>
    <x v="3"/>
    <x v="2"/>
    <x v="4"/>
    <x v="2"/>
    <x v="6"/>
    <n v="15"/>
    <x v="0"/>
  </r>
  <r>
    <d v="2021-10-15T00:00:00"/>
    <x v="1"/>
    <x v="1"/>
    <x v="0"/>
    <n v="1189.5"/>
    <x v="1"/>
    <x v="1"/>
    <x v="0"/>
    <x v="0"/>
    <x v="3"/>
    <x v="2"/>
    <x v="4"/>
    <x v="2"/>
    <x v="6"/>
    <n v="15"/>
    <x v="0"/>
  </r>
  <r>
    <d v="2021-10-15T00:00:00"/>
    <x v="0"/>
    <x v="1"/>
    <x v="0"/>
    <n v="14564367.34"/>
    <x v="0"/>
    <x v="1"/>
    <x v="0"/>
    <x v="2"/>
    <x v="3"/>
    <x v="2"/>
    <x v="4"/>
    <x v="2"/>
    <x v="6"/>
    <n v="15"/>
    <x v="0"/>
  </r>
  <r>
    <d v="2021-10-15T00:00:00"/>
    <x v="0"/>
    <x v="0"/>
    <x v="0"/>
    <n v="515.79999999999995"/>
    <x v="0"/>
    <x v="0"/>
    <x v="0"/>
    <x v="1"/>
    <x v="3"/>
    <x v="2"/>
    <x v="4"/>
    <x v="2"/>
    <x v="6"/>
    <n v="15"/>
    <x v="0"/>
  </r>
  <r>
    <d v="2021-10-15T00:00:00"/>
    <x v="2"/>
    <x v="1"/>
    <x v="0"/>
    <n v="69396689.769999996"/>
    <x v="2"/>
    <x v="1"/>
    <x v="0"/>
    <x v="6"/>
    <x v="3"/>
    <x v="2"/>
    <x v="4"/>
    <x v="2"/>
    <x v="6"/>
    <n v="15"/>
    <x v="0"/>
  </r>
  <r>
    <d v="2021-10-15T00:00:00"/>
    <x v="1"/>
    <x v="0"/>
    <x v="2"/>
    <n v="1087.1500000000001"/>
    <x v="1"/>
    <x v="0"/>
    <x v="2"/>
    <x v="3"/>
    <x v="3"/>
    <x v="2"/>
    <x v="4"/>
    <x v="2"/>
    <x v="6"/>
    <n v="15"/>
    <x v="0"/>
  </r>
  <r>
    <d v="2021-10-15T00:00:00"/>
    <x v="3"/>
    <x v="2"/>
    <x v="0"/>
    <n v="1497226080.8099999"/>
    <x v="3"/>
    <x v="2"/>
    <x v="0"/>
    <x v="11"/>
    <x v="3"/>
    <x v="2"/>
    <x v="4"/>
    <x v="2"/>
    <x v="6"/>
    <n v="15"/>
    <x v="0"/>
  </r>
  <r>
    <d v="2021-10-15T00:00:00"/>
    <x v="3"/>
    <x v="1"/>
    <x v="0"/>
    <n v="13305573.779999999"/>
    <x v="3"/>
    <x v="1"/>
    <x v="0"/>
    <x v="12"/>
    <x v="3"/>
    <x v="2"/>
    <x v="4"/>
    <x v="2"/>
    <x v="6"/>
    <n v="15"/>
    <x v="0"/>
  </r>
  <r>
    <d v="2021-10-15T00:00:00"/>
    <x v="3"/>
    <x v="2"/>
    <x v="1"/>
    <n v="25422840602.369999"/>
    <x v="3"/>
    <x v="2"/>
    <x v="1"/>
    <x v="13"/>
    <x v="3"/>
    <x v="2"/>
    <x v="4"/>
    <x v="2"/>
    <x v="6"/>
    <n v="15"/>
    <x v="0"/>
  </r>
  <r>
    <d v="2021-10-14T00:00:00"/>
    <x v="3"/>
    <x v="2"/>
    <x v="2"/>
    <n v="442225.99"/>
    <x v="3"/>
    <x v="2"/>
    <x v="2"/>
    <x v="4"/>
    <x v="3"/>
    <x v="2"/>
    <x v="4"/>
    <x v="2"/>
    <x v="6"/>
    <n v="14"/>
    <x v="0"/>
  </r>
  <r>
    <d v="2021-10-14T00:00:00"/>
    <x v="1"/>
    <x v="0"/>
    <x v="2"/>
    <n v="1650.78"/>
    <x v="1"/>
    <x v="0"/>
    <x v="2"/>
    <x v="2"/>
    <x v="3"/>
    <x v="2"/>
    <x v="4"/>
    <x v="2"/>
    <x v="6"/>
    <n v="14"/>
    <x v="0"/>
  </r>
  <r>
    <d v="2021-10-14T00:00:00"/>
    <x v="2"/>
    <x v="1"/>
    <x v="0"/>
    <n v="118915177.83"/>
    <x v="2"/>
    <x v="1"/>
    <x v="0"/>
    <x v="5"/>
    <x v="3"/>
    <x v="2"/>
    <x v="4"/>
    <x v="2"/>
    <x v="6"/>
    <n v="14"/>
    <x v="0"/>
  </r>
  <r>
    <d v="2021-10-14T00:00:00"/>
    <x v="0"/>
    <x v="1"/>
    <x v="1"/>
    <n v="2732601.97"/>
    <x v="0"/>
    <x v="1"/>
    <x v="1"/>
    <x v="3"/>
    <x v="3"/>
    <x v="2"/>
    <x v="4"/>
    <x v="2"/>
    <x v="6"/>
    <n v="14"/>
    <x v="0"/>
  </r>
  <r>
    <d v="2021-10-14T00:00:00"/>
    <x v="2"/>
    <x v="1"/>
    <x v="1"/>
    <n v="308722083.27999997"/>
    <x v="2"/>
    <x v="1"/>
    <x v="1"/>
    <x v="8"/>
    <x v="3"/>
    <x v="2"/>
    <x v="4"/>
    <x v="2"/>
    <x v="6"/>
    <n v="14"/>
    <x v="0"/>
  </r>
  <r>
    <d v="2021-10-14T00:00:00"/>
    <x v="0"/>
    <x v="0"/>
    <x v="0"/>
    <n v="514"/>
    <x v="0"/>
    <x v="0"/>
    <x v="0"/>
    <x v="0"/>
    <x v="3"/>
    <x v="2"/>
    <x v="4"/>
    <x v="2"/>
    <x v="6"/>
    <n v="14"/>
    <x v="0"/>
  </r>
  <r>
    <d v="2021-10-14T00:00:00"/>
    <x v="0"/>
    <x v="1"/>
    <x v="0"/>
    <n v="17528160.640000001"/>
    <x v="0"/>
    <x v="1"/>
    <x v="0"/>
    <x v="1"/>
    <x v="3"/>
    <x v="2"/>
    <x v="4"/>
    <x v="2"/>
    <x v="6"/>
    <n v="14"/>
    <x v="0"/>
  </r>
  <r>
    <d v="2021-10-14T00:00:00"/>
    <x v="3"/>
    <x v="3"/>
    <x v="0"/>
    <n v="2775286531.8400002"/>
    <x v="3"/>
    <x v="3"/>
    <x v="0"/>
    <x v="6"/>
    <x v="3"/>
    <x v="2"/>
    <x v="4"/>
    <x v="2"/>
    <x v="6"/>
    <n v="14"/>
    <x v="0"/>
  </r>
  <r>
    <d v="2021-10-14T00:00:00"/>
    <x v="1"/>
    <x v="0"/>
    <x v="0"/>
    <n v="98533905.790000007"/>
    <x v="1"/>
    <x v="0"/>
    <x v="0"/>
    <x v="7"/>
    <x v="3"/>
    <x v="2"/>
    <x v="4"/>
    <x v="2"/>
    <x v="6"/>
    <n v="14"/>
    <x v="0"/>
  </r>
  <r>
    <d v="2021-10-14T00:00:00"/>
    <x v="1"/>
    <x v="0"/>
    <x v="1"/>
    <n v="728076300.09000003"/>
    <x v="1"/>
    <x v="0"/>
    <x v="1"/>
    <x v="9"/>
    <x v="3"/>
    <x v="2"/>
    <x v="4"/>
    <x v="2"/>
    <x v="6"/>
    <n v="14"/>
    <x v="0"/>
  </r>
  <r>
    <d v="2021-10-14T00:00:00"/>
    <x v="3"/>
    <x v="2"/>
    <x v="0"/>
    <n v="489538345.94999999"/>
    <x v="3"/>
    <x v="2"/>
    <x v="0"/>
    <x v="10"/>
    <x v="3"/>
    <x v="2"/>
    <x v="4"/>
    <x v="2"/>
    <x v="6"/>
    <n v="14"/>
    <x v="0"/>
  </r>
  <r>
    <d v="2021-10-14T00:00:00"/>
    <x v="3"/>
    <x v="2"/>
    <x v="1"/>
    <n v="11591916023.709999"/>
    <x v="3"/>
    <x v="2"/>
    <x v="1"/>
    <x v="11"/>
    <x v="3"/>
    <x v="2"/>
    <x v="4"/>
    <x v="2"/>
    <x v="6"/>
    <n v="14"/>
    <x v="0"/>
  </r>
  <r>
    <d v="2021-10-14T00:00:00"/>
    <x v="3"/>
    <x v="1"/>
    <x v="0"/>
    <n v="12672338.48"/>
    <x v="3"/>
    <x v="1"/>
    <x v="0"/>
    <x v="12"/>
    <x v="3"/>
    <x v="2"/>
    <x v="4"/>
    <x v="2"/>
    <x v="6"/>
    <n v="14"/>
    <x v="0"/>
  </r>
  <r>
    <d v="2021-10-13T00:00:00"/>
    <x v="1"/>
    <x v="0"/>
    <x v="2"/>
    <n v="21490.11"/>
    <x v="1"/>
    <x v="0"/>
    <x v="2"/>
    <x v="2"/>
    <x v="3"/>
    <x v="2"/>
    <x v="4"/>
    <x v="2"/>
    <x v="6"/>
    <n v="13"/>
    <x v="0"/>
  </r>
  <r>
    <d v="2021-10-13T00:00:00"/>
    <x v="2"/>
    <x v="1"/>
    <x v="0"/>
    <n v="55686911.109999999"/>
    <x v="2"/>
    <x v="1"/>
    <x v="0"/>
    <x v="6"/>
    <x v="3"/>
    <x v="2"/>
    <x v="4"/>
    <x v="2"/>
    <x v="6"/>
    <n v="13"/>
    <x v="0"/>
  </r>
  <r>
    <d v="2021-10-13T00:00:00"/>
    <x v="2"/>
    <x v="1"/>
    <x v="1"/>
    <n v="200704337.58000001"/>
    <x v="2"/>
    <x v="1"/>
    <x v="1"/>
    <x v="8"/>
    <x v="3"/>
    <x v="2"/>
    <x v="4"/>
    <x v="2"/>
    <x v="6"/>
    <n v="13"/>
    <x v="0"/>
  </r>
  <r>
    <d v="2021-10-13T00:00:00"/>
    <x v="0"/>
    <x v="1"/>
    <x v="1"/>
    <n v="14317256.560000001"/>
    <x v="0"/>
    <x v="1"/>
    <x v="1"/>
    <x v="4"/>
    <x v="3"/>
    <x v="2"/>
    <x v="4"/>
    <x v="2"/>
    <x v="6"/>
    <n v="13"/>
    <x v="0"/>
  </r>
  <r>
    <d v="2021-10-13T00:00:00"/>
    <x v="2"/>
    <x v="1"/>
    <x v="2"/>
    <n v="5215.91"/>
    <x v="2"/>
    <x v="1"/>
    <x v="2"/>
    <x v="5"/>
    <x v="3"/>
    <x v="2"/>
    <x v="4"/>
    <x v="2"/>
    <x v="6"/>
    <n v="13"/>
    <x v="0"/>
  </r>
  <r>
    <d v="2021-10-13T00:00:00"/>
    <x v="0"/>
    <x v="1"/>
    <x v="0"/>
    <n v="8803104.7699999996"/>
    <x v="0"/>
    <x v="1"/>
    <x v="0"/>
    <x v="1"/>
    <x v="3"/>
    <x v="2"/>
    <x v="4"/>
    <x v="2"/>
    <x v="6"/>
    <n v="13"/>
    <x v="0"/>
  </r>
  <r>
    <d v="2021-10-13T00:00:00"/>
    <x v="3"/>
    <x v="2"/>
    <x v="2"/>
    <n v="748544.99"/>
    <x v="3"/>
    <x v="2"/>
    <x v="2"/>
    <x v="3"/>
    <x v="3"/>
    <x v="2"/>
    <x v="4"/>
    <x v="2"/>
    <x v="6"/>
    <n v="13"/>
    <x v="0"/>
  </r>
  <r>
    <d v="2021-10-13T00:00:00"/>
    <x v="0"/>
    <x v="0"/>
    <x v="0"/>
    <n v="6175"/>
    <x v="0"/>
    <x v="0"/>
    <x v="0"/>
    <x v="0"/>
    <x v="3"/>
    <x v="2"/>
    <x v="4"/>
    <x v="2"/>
    <x v="6"/>
    <n v="13"/>
    <x v="0"/>
  </r>
  <r>
    <d v="2021-10-13T00:00:00"/>
    <x v="3"/>
    <x v="3"/>
    <x v="0"/>
    <n v="2000038746.45"/>
    <x v="3"/>
    <x v="3"/>
    <x v="0"/>
    <x v="7"/>
    <x v="3"/>
    <x v="2"/>
    <x v="4"/>
    <x v="2"/>
    <x v="6"/>
    <n v="13"/>
    <x v="0"/>
  </r>
  <r>
    <d v="2021-10-13T00:00:00"/>
    <x v="1"/>
    <x v="0"/>
    <x v="0"/>
    <n v="90227163.469999999"/>
    <x v="1"/>
    <x v="0"/>
    <x v="0"/>
    <x v="9"/>
    <x v="3"/>
    <x v="2"/>
    <x v="4"/>
    <x v="2"/>
    <x v="6"/>
    <n v="13"/>
    <x v="0"/>
  </r>
  <r>
    <d v="2021-10-13T00:00:00"/>
    <x v="1"/>
    <x v="0"/>
    <x v="1"/>
    <n v="1348054184.28"/>
    <x v="1"/>
    <x v="0"/>
    <x v="1"/>
    <x v="10"/>
    <x v="3"/>
    <x v="2"/>
    <x v="4"/>
    <x v="2"/>
    <x v="6"/>
    <n v="13"/>
    <x v="0"/>
  </r>
  <r>
    <d v="2021-10-13T00:00:00"/>
    <x v="3"/>
    <x v="2"/>
    <x v="0"/>
    <n v="742514731.39999998"/>
    <x v="3"/>
    <x v="2"/>
    <x v="0"/>
    <x v="11"/>
    <x v="3"/>
    <x v="2"/>
    <x v="4"/>
    <x v="2"/>
    <x v="6"/>
    <n v="13"/>
    <x v="0"/>
  </r>
  <r>
    <d v="2021-10-13T00:00:00"/>
    <x v="3"/>
    <x v="1"/>
    <x v="0"/>
    <n v="10300100.779999999"/>
    <x v="3"/>
    <x v="1"/>
    <x v="0"/>
    <x v="12"/>
    <x v="3"/>
    <x v="2"/>
    <x v="4"/>
    <x v="2"/>
    <x v="6"/>
    <n v="13"/>
    <x v="0"/>
  </r>
  <r>
    <d v="2021-10-13T00:00:00"/>
    <x v="3"/>
    <x v="2"/>
    <x v="1"/>
    <n v="5150282774.1099997"/>
    <x v="3"/>
    <x v="2"/>
    <x v="1"/>
    <x v="13"/>
    <x v="3"/>
    <x v="2"/>
    <x v="4"/>
    <x v="2"/>
    <x v="6"/>
    <n v="13"/>
    <x v="0"/>
  </r>
  <r>
    <d v="2021-10-12T00:00:00"/>
    <x v="1"/>
    <x v="0"/>
    <x v="2"/>
    <n v="5081.3"/>
    <x v="1"/>
    <x v="0"/>
    <x v="2"/>
    <x v="2"/>
    <x v="3"/>
    <x v="2"/>
    <x v="4"/>
    <x v="2"/>
    <x v="6"/>
    <n v="12"/>
    <x v="0"/>
  </r>
  <r>
    <d v="2021-10-12T00:00:00"/>
    <x v="2"/>
    <x v="1"/>
    <x v="2"/>
    <n v="300177.90999999997"/>
    <x v="2"/>
    <x v="1"/>
    <x v="2"/>
    <x v="3"/>
    <x v="3"/>
    <x v="2"/>
    <x v="4"/>
    <x v="2"/>
    <x v="6"/>
    <n v="12"/>
    <x v="0"/>
  </r>
  <r>
    <d v="2021-10-12T00:00:00"/>
    <x v="2"/>
    <x v="1"/>
    <x v="0"/>
    <n v="55870665.469999999"/>
    <x v="2"/>
    <x v="1"/>
    <x v="0"/>
    <x v="7"/>
    <x v="3"/>
    <x v="2"/>
    <x v="4"/>
    <x v="2"/>
    <x v="6"/>
    <n v="12"/>
    <x v="0"/>
  </r>
  <r>
    <d v="2021-10-12T00:00:00"/>
    <x v="2"/>
    <x v="1"/>
    <x v="1"/>
    <n v="158822713.72"/>
    <x v="2"/>
    <x v="1"/>
    <x v="1"/>
    <x v="8"/>
    <x v="3"/>
    <x v="2"/>
    <x v="4"/>
    <x v="2"/>
    <x v="6"/>
    <n v="12"/>
    <x v="0"/>
  </r>
  <r>
    <d v="2021-10-12T00:00:00"/>
    <x v="3"/>
    <x v="3"/>
    <x v="1"/>
    <n v="51590.81"/>
    <x v="3"/>
    <x v="3"/>
    <x v="1"/>
    <x v="4"/>
    <x v="3"/>
    <x v="2"/>
    <x v="4"/>
    <x v="2"/>
    <x v="6"/>
    <n v="12"/>
    <x v="0"/>
  </r>
  <r>
    <d v="2021-10-12T00:00:00"/>
    <x v="0"/>
    <x v="1"/>
    <x v="1"/>
    <n v="11627274.1"/>
    <x v="0"/>
    <x v="1"/>
    <x v="1"/>
    <x v="5"/>
    <x v="3"/>
    <x v="2"/>
    <x v="4"/>
    <x v="2"/>
    <x v="6"/>
    <n v="12"/>
    <x v="0"/>
  </r>
  <r>
    <d v="2021-10-12T00:00:00"/>
    <x v="3"/>
    <x v="3"/>
    <x v="0"/>
    <n v="2807044181.0599999"/>
    <x v="3"/>
    <x v="3"/>
    <x v="0"/>
    <x v="10"/>
    <x v="3"/>
    <x v="2"/>
    <x v="4"/>
    <x v="2"/>
    <x v="6"/>
    <n v="12"/>
    <x v="0"/>
  </r>
  <r>
    <d v="2021-10-12T00:00:00"/>
    <x v="1"/>
    <x v="0"/>
    <x v="1"/>
    <n v="350470464.82999998"/>
    <x v="1"/>
    <x v="0"/>
    <x v="1"/>
    <x v="11"/>
    <x v="3"/>
    <x v="2"/>
    <x v="4"/>
    <x v="2"/>
    <x v="6"/>
    <n v="12"/>
    <x v="0"/>
  </r>
  <r>
    <d v="2021-10-12T00:00:00"/>
    <x v="3"/>
    <x v="2"/>
    <x v="2"/>
    <n v="355453.26"/>
    <x v="3"/>
    <x v="2"/>
    <x v="2"/>
    <x v="6"/>
    <x v="3"/>
    <x v="2"/>
    <x v="4"/>
    <x v="2"/>
    <x v="6"/>
    <n v="12"/>
    <x v="0"/>
  </r>
  <r>
    <d v="2021-10-12T00:00:00"/>
    <x v="0"/>
    <x v="1"/>
    <x v="0"/>
    <n v="17125074.649999999"/>
    <x v="0"/>
    <x v="1"/>
    <x v="0"/>
    <x v="1"/>
    <x v="3"/>
    <x v="2"/>
    <x v="4"/>
    <x v="2"/>
    <x v="6"/>
    <n v="12"/>
    <x v="0"/>
  </r>
  <r>
    <d v="2021-10-12T00:00:00"/>
    <x v="0"/>
    <x v="0"/>
    <x v="0"/>
    <n v="100.32"/>
    <x v="0"/>
    <x v="0"/>
    <x v="0"/>
    <x v="0"/>
    <x v="3"/>
    <x v="2"/>
    <x v="4"/>
    <x v="2"/>
    <x v="6"/>
    <n v="12"/>
    <x v="0"/>
  </r>
  <r>
    <d v="2021-10-12T00:00:00"/>
    <x v="1"/>
    <x v="0"/>
    <x v="0"/>
    <n v="66877893.43"/>
    <x v="1"/>
    <x v="0"/>
    <x v="0"/>
    <x v="9"/>
    <x v="3"/>
    <x v="2"/>
    <x v="4"/>
    <x v="2"/>
    <x v="6"/>
    <n v="12"/>
    <x v="0"/>
  </r>
  <r>
    <d v="2021-10-12T00:00:00"/>
    <x v="3"/>
    <x v="2"/>
    <x v="0"/>
    <n v="562227797.65999997"/>
    <x v="3"/>
    <x v="2"/>
    <x v="0"/>
    <x v="12"/>
    <x v="3"/>
    <x v="2"/>
    <x v="4"/>
    <x v="2"/>
    <x v="6"/>
    <n v="12"/>
    <x v="0"/>
  </r>
  <r>
    <d v="2021-10-12T00:00:00"/>
    <x v="3"/>
    <x v="2"/>
    <x v="1"/>
    <n v="19119006017.439999"/>
    <x v="3"/>
    <x v="2"/>
    <x v="1"/>
    <x v="13"/>
    <x v="3"/>
    <x v="2"/>
    <x v="4"/>
    <x v="2"/>
    <x v="6"/>
    <n v="12"/>
    <x v="0"/>
  </r>
  <r>
    <d v="2021-10-12T00:00:00"/>
    <x v="3"/>
    <x v="1"/>
    <x v="0"/>
    <n v="44619486.130000003"/>
    <x v="3"/>
    <x v="1"/>
    <x v="0"/>
    <x v="14"/>
    <x v="3"/>
    <x v="2"/>
    <x v="4"/>
    <x v="2"/>
    <x v="6"/>
    <n v="12"/>
    <x v="0"/>
  </r>
  <r>
    <d v="2021-10-08T00:00:00"/>
    <x v="2"/>
    <x v="1"/>
    <x v="2"/>
    <n v="2740"/>
    <x v="2"/>
    <x v="1"/>
    <x v="2"/>
    <x v="2"/>
    <x v="3"/>
    <x v="2"/>
    <x v="4"/>
    <x v="2"/>
    <x v="6"/>
    <n v="8"/>
    <x v="0"/>
  </r>
  <r>
    <d v="2021-10-08T00:00:00"/>
    <x v="2"/>
    <x v="1"/>
    <x v="1"/>
    <n v="294673700.02999997"/>
    <x v="2"/>
    <x v="1"/>
    <x v="1"/>
    <x v="8"/>
    <x v="3"/>
    <x v="2"/>
    <x v="4"/>
    <x v="2"/>
    <x v="6"/>
    <n v="8"/>
    <x v="0"/>
  </r>
  <r>
    <d v="2021-10-08T00:00:00"/>
    <x v="1"/>
    <x v="0"/>
    <x v="0"/>
    <n v="75928854.159999996"/>
    <x v="1"/>
    <x v="0"/>
    <x v="0"/>
    <x v="9"/>
    <x v="3"/>
    <x v="2"/>
    <x v="4"/>
    <x v="2"/>
    <x v="6"/>
    <n v="8"/>
    <x v="0"/>
  </r>
  <r>
    <d v="2021-10-08T00:00:00"/>
    <x v="0"/>
    <x v="1"/>
    <x v="1"/>
    <n v="4920320.22"/>
    <x v="0"/>
    <x v="1"/>
    <x v="1"/>
    <x v="5"/>
    <x v="3"/>
    <x v="2"/>
    <x v="4"/>
    <x v="2"/>
    <x v="6"/>
    <n v="8"/>
    <x v="0"/>
  </r>
  <r>
    <d v="2021-10-08T00:00:00"/>
    <x v="1"/>
    <x v="1"/>
    <x v="0"/>
    <n v="1403.5"/>
    <x v="1"/>
    <x v="1"/>
    <x v="0"/>
    <x v="0"/>
    <x v="3"/>
    <x v="2"/>
    <x v="4"/>
    <x v="2"/>
    <x v="6"/>
    <n v="8"/>
    <x v="0"/>
  </r>
  <r>
    <d v="2021-10-08T00:00:00"/>
    <x v="0"/>
    <x v="1"/>
    <x v="0"/>
    <n v="18115972.920000002"/>
    <x v="0"/>
    <x v="1"/>
    <x v="0"/>
    <x v="1"/>
    <x v="3"/>
    <x v="2"/>
    <x v="4"/>
    <x v="2"/>
    <x v="6"/>
    <n v="8"/>
    <x v="0"/>
  </r>
  <r>
    <d v="2021-10-08T00:00:00"/>
    <x v="2"/>
    <x v="1"/>
    <x v="0"/>
    <n v="77642672.329999998"/>
    <x v="2"/>
    <x v="1"/>
    <x v="0"/>
    <x v="6"/>
    <x v="3"/>
    <x v="2"/>
    <x v="4"/>
    <x v="2"/>
    <x v="6"/>
    <n v="8"/>
    <x v="0"/>
  </r>
  <r>
    <d v="2021-10-08T00:00:00"/>
    <x v="1"/>
    <x v="0"/>
    <x v="2"/>
    <n v="15230.22"/>
    <x v="1"/>
    <x v="0"/>
    <x v="2"/>
    <x v="3"/>
    <x v="3"/>
    <x v="2"/>
    <x v="4"/>
    <x v="2"/>
    <x v="6"/>
    <n v="8"/>
    <x v="0"/>
  </r>
  <r>
    <d v="2021-10-08T00:00:00"/>
    <x v="3"/>
    <x v="2"/>
    <x v="2"/>
    <n v="347578.8"/>
    <x v="3"/>
    <x v="2"/>
    <x v="2"/>
    <x v="4"/>
    <x v="3"/>
    <x v="2"/>
    <x v="4"/>
    <x v="2"/>
    <x v="6"/>
    <n v="8"/>
    <x v="0"/>
  </r>
  <r>
    <d v="2021-10-08T00:00:00"/>
    <x v="3"/>
    <x v="3"/>
    <x v="0"/>
    <n v="2448552441.6799998"/>
    <x v="3"/>
    <x v="3"/>
    <x v="0"/>
    <x v="7"/>
    <x v="3"/>
    <x v="2"/>
    <x v="4"/>
    <x v="2"/>
    <x v="6"/>
    <n v="8"/>
    <x v="0"/>
  </r>
  <r>
    <d v="2021-10-08T00:00:00"/>
    <x v="1"/>
    <x v="0"/>
    <x v="1"/>
    <n v="111443035.42"/>
    <x v="1"/>
    <x v="0"/>
    <x v="1"/>
    <x v="10"/>
    <x v="3"/>
    <x v="2"/>
    <x v="4"/>
    <x v="2"/>
    <x v="6"/>
    <n v="8"/>
    <x v="0"/>
  </r>
  <r>
    <d v="2021-10-08T00:00:00"/>
    <x v="3"/>
    <x v="2"/>
    <x v="0"/>
    <n v="465814394.94"/>
    <x v="3"/>
    <x v="2"/>
    <x v="0"/>
    <x v="11"/>
    <x v="3"/>
    <x v="2"/>
    <x v="4"/>
    <x v="2"/>
    <x v="6"/>
    <n v="8"/>
    <x v="0"/>
  </r>
  <r>
    <d v="2021-10-08T00:00:00"/>
    <x v="3"/>
    <x v="2"/>
    <x v="1"/>
    <n v="8495483328.6499996"/>
    <x v="3"/>
    <x v="2"/>
    <x v="1"/>
    <x v="12"/>
    <x v="3"/>
    <x v="2"/>
    <x v="4"/>
    <x v="2"/>
    <x v="6"/>
    <n v="8"/>
    <x v="0"/>
  </r>
  <r>
    <d v="2021-10-08T00:00:00"/>
    <x v="3"/>
    <x v="1"/>
    <x v="0"/>
    <n v="13196641.529999999"/>
    <x v="3"/>
    <x v="1"/>
    <x v="0"/>
    <x v="13"/>
    <x v="3"/>
    <x v="2"/>
    <x v="4"/>
    <x v="2"/>
    <x v="6"/>
    <n v="8"/>
    <x v="0"/>
  </r>
  <r>
    <d v="2021-10-07T00:00:00"/>
    <x v="1"/>
    <x v="0"/>
    <x v="2"/>
    <n v="12705.84"/>
    <x v="1"/>
    <x v="0"/>
    <x v="2"/>
    <x v="2"/>
    <x v="3"/>
    <x v="2"/>
    <x v="4"/>
    <x v="2"/>
    <x v="6"/>
    <n v="7"/>
    <x v="0"/>
  </r>
  <r>
    <d v="2021-10-07T00:00:00"/>
    <x v="1"/>
    <x v="0"/>
    <x v="0"/>
    <n v="92560679.260000005"/>
    <x v="1"/>
    <x v="0"/>
    <x v="0"/>
    <x v="8"/>
    <x v="3"/>
    <x v="2"/>
    <x v="4"/>
    <x v="2"/>
    <x v="6"/>
    <n v="7"/>
    <x v="0"/>
  </r>
  <r>
    <d v="2021-10-07T00:00:00"/>
    <x v="0"/>
    <x v="1"/>
    <x v="1"/>
    <n v="605357.07999999996"/>
    <x v="0"/>
    <x v="1"/>
    <x v="1"/>
    <x v="3"/>
    <x v="3"/>
    <x v="2"/>
    <x v="4"/>
    <x v="2"/>
    <x v="6"/>
    <n v="7"/>
    <x v="0"/>
  </r>
  <r>
    <d v="2021-10-07T00:00:00"/>
    <x v="2"/>
    <x v="1"/>
    <x v="2"/>
    <n v="8800"/>
    <x v="2"/>
    <x v="1"/>
    <x v="2"/>
    <x v="4"/>
    <x v="3"/>
    <x v="2"/>
    <x v="4"/>
    <x v="2"/>
    <x v="6"/>
    <n v="7"/>
    <x v="0"/>
  </r>
  <r>
    <d v="2021-10-07T00:00:00"/>
    <x v="3"/>
    <x v="2"/>
    <x v="2"/>
    <n v="53766.07"/>
    <x v="3"/>
    <x v="2"/>
    <x v="2"/>
    <x v="5"/>
    <x v="3"/>
    <x v="2"/>
    <x v="4"/>
    <x v="2"/>
    <x v="6"/>
    <n v="7"/>
    <x v="0"/>
  </r>
  <r>
    <d v="2021-10-07T00:00:00"/>
    <x v="0"/>
    <x v="1"/>
    <x v="0"/>
    <n v="17257155.100000001"/>
    <x v="0"/>
    <x v="1"/>
    <x v="0"/>
    <x v="1"/>
    <x v="3"/>
    <x v="2"/>
    <x v="4"/>
    <x v="2"/>
    <x v="6"/>
    <n v="7"/>
    <x v="0"/>
  </r>
  <r>
    <d v="2021-10-07T00:00:00"/>
    <x v="2"/>
    <x v="1"/>
    <x v="0"/>
    <n v="70191106.75"/>
    <x v="2"/>
    <x v="1"/>
    <x v="0"/>
    <x v="6"/>
    <x v="3"/>
    <x v="2"/>
    <x v="4"/>
    <x v="2"/>
    <x v="6"/>
    <n v="7"/>
    <x v="0"/>
  </r>
  <r>
    <d v="2021-10-07T00:00:00"/>
    <x v="0"/>
    <x v="0"/>
    <x v="0"/>
    <n v="30"/>
    <x v="0"/>
    <x v="0"/>
    <x v="0"/>
    <x v="0"/>
    <x v="3"/>
    <x v="2"/>
    <x v="4"/>
    <x v="2"/>
    <x v="6"/>
    <n v="7"/>
    <x v="0"/>
  </r>
  <r>
    <d v="2021-10-07T00:00:00"/>
    <x v="3"/>
    <x v="3"/>
    <x v="0"/>
    <n v="1522867081.1199999"/>
    <x v="3"/>
    <x v="3"/>
    <x v="0"/>
    <x v="7"/>
    <x v="3"/>
    <x v="2"/>
    <x v="4"/>
    <x v="2"/>
    <x v="6"/>
    <n v="7"/>
    <x v="0"/>
  </r>
  <r>
    <d v="2021-10-07T00:00:00"/>
    <x v="2"/>
    <x v="1"/>
    <x v="1"/>
    <n v="399370740.81999999"/>
    <x v="2"/>
    <x v="1"/>
    <x v="1"/>
    <x v="9"/>
    <x v="3"/>
    <x v="2"/>
    <x v="4"/>
    <x v="2"/>
    <x v="6"/>
    <n v="7"/>
    <x v="0"/>
  </r>
  <r>
    <d v="2021-10-07T00:00:00"/>
    <x v="1"/>
    <x v="0"/>
    <x v="1"/>
    <n v="304248692.91000003"/>
    <x v="1"/>
    <x v="0"/>
    <x v="1"/>
    <x v="10"/>
    <x v="3"/>
    <x v="2"/>
    <x v="4"/>
    <x v="2"/>
    <x v="6"/>
    <n v="7"/>
    <x v="0"/>
  </r>
  <r>
    <d v="2021-10-07T00:00:00"/>
    <x v="3"/>
    <x v="2"/>
    <x v="0"/>
    <n v="547358704.55999994"/>
    <x v="3"/>
    <x v="2"/>
    <x v="0"/>
    <x v="11"/>
    <x v="3"/>
    <x v="2"/>
    <x v="4"/>
    <x v="2"/>
    <x v="6"/>
    <n v="7"/>
    <x v="0"/>
  </r>
  <r>
    <d v="2021-10-07T00:00:00"/>
    <x v="3"/>
    <x v="1"/>
    <x v="0"/>
    <n v="12097239.939999999"/>
    <x v="3"/>
    <x v="1"/>
    <x v="0"/>
    <x v="12"/>
    <x v="3"/>
    <x v="2"/>
    <x v="4"/>
    <x v="2"/>
    <x v="6"/>
    <n v="7"/>
    <x v="0"/>
  </r>
  <r>
    <d v="2021-10-07T00:00:00"/>
    <x v="3"/>
    <x v="2"/>
    <x v="1"/>
    <n v="3638973962.8400002"/>
    <x v="3"/>
    <x v="2"/>
    <x v="1"/>
    <x v="13"/>
    <x v="3"/>
    <x v="2"/>
    <x v="4"/>
    <x v="2"/>
    <x v="6"/>
    <n v="7"/>
    <x v="0"/>
  </r>
  <r>
    <d v="2021-10-06T00:00:00"/>
    <x v="2"/>
    <x v="1"/>
    <x v="2"/>
    <n v="172920.2"/>
    <x v="2"/>
    <x v="1"/>
    <x v="2"/>
    <x v="3"/>
    <x v="3"/>
    <x v="2"/>
    <x v="4"/>
    <x v="2"/>
    <x v="6"/>
    <n v="6"/>
    <x v="0"/>
  </r>
  <r>
    <d v="2021-10-06T00:00:00"/>
    <x v="3"/>
    <x v="3"/>
    <x v="0"/>
    <n v="1716045374.77"/>
    <x v="3"/>
    <x v="3"/>
    <x v="0"/>
    <x v="6"/>
    <x v="3"/>
    <x v="2"/>
    <x v="4"/>
    <x v="2"/>
    <x v="6"/>
    <n v="6"/>
    <x v="0"/>
  </r>
  <r>
    <d v="2021-10-06T00:00:00"/>
    <x v="2"/>
    <x v="1"/>
    <x v="0"/>
    <n v="86124501.079999998"/>
    <x v="2"/>
    <x v="1"/>
    <x v="0"/>
    <x v="7"/>
    <x v="3"/>
    <x v="2"/>
    <x v="4"/>
    <x v="2"/>
    <x v="6"/>
    <n v="6"/>
    <x v="0"/>
  </r>
  <r>
    <d v="2021-10-06T00:00:00"/>
    <x v="2"/>
    <x v="1"/>
    <x v="1"/>
    <n v="258391448.72999999"/>
    <x v="2"/>
    <x v="1"/>
    <x v="1"/>
    <x v="8"/>
    <x v="3"/>
    <x v="2"/>
    <x v="4"/>
    <x v="2"/>
    <x v="6"/>
    <n v="6"/>
    <x v="0"/>
  </r>
  <r>
    <d v="2021-10-06T00:00:00"/>
    <x v="0"/>
    <x v="1"/>
    <x v="1"/>
    <n v="23958733.82"/>
    <x v="0"/>
    <x v="1"/>
    <x v="1"/>
    <x v="4"/>
    <x v="3"/>
    <x v="2"/>
    <x v="4"/>
    <x v="2"/>
    <x v="6"/>
    <n v="6"/>
    <x v="0"/>
  </r>
  <r>
    <d v="2021-10-06T00:00:00"/>
    <x v="0"/>
    <x v="1"/>
    <x v="0"/>
    <n v="14782142.33"/>
    <x v="0"/>
    <x v="1"/>
    <x v="0"/>
    <x v="1"/>
    <x v="3"/>
    <x v="2"/>
    <x v="4"/>
    <x v="2"/>
    <x v="6"/>
    <n v="6"/>
    <x v="0"/>
  </r>
  <r>
    <d v="2021-10-06T00:00:00"/>
    <x v="3"/>
    <x v="2"/>
    <x v="2"/>
    <n v="167970"/>
    <x v="3"/>
    <x v="2"/>
    <x v="2"/>
    <x v="5"/>
    <x v="3"/>
    <x v="2"/>
    <x v="4"/>
    <x v="2"/>
    <x v="6"/>
    <n v="6"/>
    <x v="0"/>
  </r>
  <r>
    <d v="2021-10-06T00:00:00"/>
    <x v="0"/>
    <x v="0"/>
    <x v="0"/>
    <n v="1720"/>
    <x v="0"/>
    <x v="0"/>
    <x v="0"/>
    <x v="0"/>
    <x v="3"/>
    <x v="2"/>
    <x v="4"/>
    <x v="2"/>
    <x v="6"/>
    <n v="6"/>
    <x v="0"/>
  </r>
  <r>
    <d v="2021-10-06T00:00:00"/>
    <x v="1"/>
    <x v="0"/>
    <x v="2"/>
    <n v="7223.69"/>
    <x v="1"/>
    <x v="0"/>
    <x v="2"/>
    <x v="2"/>
    <x v="3"/>
    <x v="2"/>
    <x v="4"/>
    <x v="2"/>
    <x v="6"/>
    <n v="6"/>
    <x v="0"/>
  </r>
  <r>
    <d v="2021-10-06T00:00:00"/>
    <x v="1"/>
    <x v="0"/>
    <x v="0"/>
    <n v="124737028.55"/>
    <x v="1"/>
    <x v="0"/>
    <x v="0"/>
    <x v="9"/>
    <x v="3"/>
    <x v="2"/>
    <x v="4"/>
    <x v="2"/>
    <x v="6"/>
    <n v="6"/>
    <x v="0"/>
  </r>
  <r>
    <d v="2021-10-06T00:00:00"/>
    <x v="1"/>
    <x v="0"/>
    <x v="1"/>
    <n v="1125219111.76"/>
    <x v="1"/>
    <x v="0"/>
    <x v="1"/>
    <x v="10"/>
    <x v="3"/>
    <x v="2"/>
    <x v="4"/>
    <x v="2"/>
    <x v="6"/>
    <n v="6"/>
    <x v="0"/>
  </r>
  <r>
    <d v="2021-10-06T00:00:00"/>
    <x v="3"/>
    <x v="2"/>
    <x v="0"/>
    <n v="492583019.30000001"/>
    <x v="3"/>
    <x v="2"/>
    <x v="0"/>
    <x v="11"/>
    <x v="3"/>
    <x v="2"/>
    <x v="4"/>
    <x v="2"/>
    <x v="6"/>
    <n v="6"/>
    <x v="0"/>
  </r>
  <r>
    <d v="2021-10-06T00:00:00"/>
    <x v="3"/>
    <x v="1"/>
    <x v="0"/>
    <n v="12316433.470000001"/>
    <x v="3"/>
    <x v="1"/>
    <x v="0"/>
    <x v="12"/>
    <x v="3"/>
    <x v="2"/>
    <x v="4"/>
    <x v="2"/>
    <x v="6"/>
    <n v="6"/>
    <x v="0"/>
  </r>
  <r>
    <d v="2021-10-06T00:00:00"/>
    <x v="3"/>
    <x v="2"/>
    <x v="1"/>
    <n v="12583454001.65"/>
    <x v="3"/>
    <x v="2"/>
    <x v="1"/>
    <x v="13"/>
    <x v="3"/>
    <x v="2"/>
    <x v="4"/>
    <x v="2"/>
    <x v="6"/>
    <n v="6"/>
    <x v="0"/>
  </r>
  <r>
    <d v="2021-10-05T00:00:00"/>
    <x v="2"/>
    <x v="1"/>
    <x v="2"/>
    <n v="6035"/>
    <x v="2"/>
    <x v="1"/>
    <x v="2"/>
    <x v="2"/>
    <x v="3"/>
    <x v="2"/>
    <x v="4"/>
    <x v="2"/>
    <x v="6"/>
    <n v="5"/>
    <x v="0"/>
  </r>
  <r>
    <d v="2021-10-05T00:00:00"/>
    <x v="1"/>
    <x v="0"/>
    <x v="2"/>
    <n v="47196.12"/>
    <x v="1"/>
    <x v="0"/>
    <x v="2"/>
    <x v="3"/>
    <x v="3"/>
    <x v="2"/>
    <x v="4"/>
    <x v="2"/>
    <x v="6"/>
    <n v="5"/>
    <x v="0"/>
  </r>
  <r>
    <d v="2021-10-05T00:00:00"/>
    <x v="3"/>
    <x v="3"/>
    <x v="0"/>
    <n v="1498458684.45"/>
    <x v="3"/>
    <x v="3"/>
    <x v="0"/>
    <x v="7"/>
    <x v="3"/>
    <x v="2"/>
    <x v="4"/>
    <x v="2"/>
    <x v="6"/>
    <n v="5"/>
    <x v="0"/>
  </r>
  <r>
    <d v="2021-10-05T00:00:00"/>
    <x v="1"/>
    <x v="0"/>
    <x v="1"/>
    <n v="474271058.25999999"/>
    <x v="1"/>
    <x v="0"/>
    <x v="1"/>
    <x v="8"/>
    <x v="3"/>
    <x v="2"/>
    <x v="4"/>
    <x v="2"/>
    <x v="6"/>
    <n v="5"/>
    <x v="0"/>
  </r>
  <r>
    <d v="2021-10-05T00:00:00"/>
    <x v="2"/>
    <x v="1"/>
    <x v="1"/>
    <n v="318264611.43000001"/>
    <x v="2"/>
    <x v="1"/>
    <x v="1"/>
    <x v="9"/>
    <x v="3"/>
    <x v="2"/>
    <x v="4"/>
    <x v="2"/>
    <x v="6"/>
    <n v="5"/>
    <x v="0"/>
  </r>
  <r>
    <d v="2021-10-05T00:00:00"/>
    <x v="0"/>
    <x v="1"/>
    <x v="1"/>
    <n v="1955507.11"/>
    <x v="0"/>
    <x v="1"/>
    <x v="1"/>
    <x v="4"/>
    <x v="3"/>
    <x v="2"/>
    <x v="4"/>
    <x v="2"/>
    <x v="6"/>
    <n v="5"/>
    <x v="0"/>
  </r>
  <r>
    <d v="2021-10-05T00:00:00"/>
    <x v="1"/>
    <x v="0"/>
    <x v="0"/>
    <n v="73236367.920000002"/>
    <x v="1"/>
    <x v="0"/>
    <x v="0"/>
    <x v="10"/>
    <x v="3"/>
    <x v="2"/>
    <x v="4"/>
    <x v="2"/>
    <x v="6"/>
    <n v="5"/>
    <x v="0"/>
  </r>
  <r>
    <d v="2021-10-05T00:00:00"/>
    <x v="1"/>
    <x v="1"/>
    <x v="0"/>
    <n v="2373.63"/>
    <x v="1"/>
    <x v="1"/>
    <x v="0"/>
    <x v="0"/>
    <x v="3"/>
    <x v="2"/>
    <x v="4"/>
    <x v="2"/>
    <x v="6"/>
    <n v="5"/>
    <x v="0"/>
  </r>
  <r>
    <d v="2021-10-05T00:00:00"/>
    <x v="0"/>
    <x v="1"/>
    <x v="0"/>
    <n v="3370856.37"/>
    <x v="0"/>
    <x v="1"/>
    <x v="0"/>
    <x v="1"/>
    <x v="3"/>
    <x v="2"/>
    <x v="4"/>
    <x v="2"/>
    <x v="6"/>
    <n v="5"/>
    <x v="0"/>
  </r>
  <r>
    <d v="2021-10-05T00:00:00"/>
    <x v="3"/>
    <x v="2"/>
    <x v="2"/>
    <n v="277506.53999999998"/>
    <x v="3"/>
    <x v="2"/>
    <x v="2"/>
    <x v="5"/>
    <x v="3"/>
    <x v="2"/>
    <x v="4"/>
    <x v="2"/>
    <x v="6"/>
    <n v="5"/>
    <x v="0"/>
  </r>
  <r>
    <d v="2021-10-05T00:00:00"/>
    <x v="2"/>
    <x v="1"/>
    <x v="0"/>
    <n v="138668620.99000001"/>
    <x v="2"/>
    <x v="1"/>
    <x v="0"/>
    <x v="6"/>
    <x v="3"/>
    <x v="2"/>
    <x v="4"/>
    <x v="2"/>
    <x v="6"/>
    <n v="5"/>
    <x v="0"/>
  </r>
  <r>
    <d v="2021-10-05T00:00:00"/>
    <x v="3"/>
    <x v="2"/>
    <x v="0"/>
    <n v="655301958.62"/>
    <x v="3"/>
    <x v="2"/>
    <x v="0"/>
    <x v="11"/>
    <x v="3"/>
    <x v="2"/>
    <x v="4"/>
    <x v="2"/>
    <x v="6"/>
    <n v="5"/>
    <x v="0"/>
  </r>
  <r>
    <d v="2021-10-05T00:00:00"/>
    <x v="3"/>
    <x v="1"/>
    <x v="0"/>
    <n v="10576134.1"/>
    <x v="3"/>
    <x v="1"/>
    <x v="0"/>
    <x v="12"/>
    <x v="3"/>
    <x v="2"/>
    <x v="4"/>
    <x v="2"/>
    <x v="6"/>
    <n v="5"/>
    <x v="0"/>
  </r>
  <r>
    <d v="2021-10-05T00:00:00"/>
    <x v="3"/>
    <x v="2"/>
    <x v="1"/>
    <n v="3687303726.4200001"/>
    <x v="3"/>
    <x v="2"/>
    <x v="1"/>
    <x v="13"/>
    <x v="3"/>
    <x v="2"/>
    <x v="4"/>
    <x v="2"/>
    <x v="6"/>
    <n v="5"/>
    <x v="0"/>
  </r>
  <r>
    <d v="2021-10-04T00:00:00"/>
    <x v="2"/>
    <x v="1"/>
    <x v="2"/>
    <n v="253290.43"/>
    <x v="2"/>
    <x v="1"/>
    <x v="2"/>
    <x v="3"/>
    <x v="3"/>
    <x v="2"/>
    <x v="4"/>
    <x v="2"/>
    <x v="6"/>
    <n v="4"/>
    <x v="0"/>
  </r>
  <r>
    <d v="2021-10-04T00:00:00"/>
    <x v="2"/>
    <x v="1"/>
    <x v="0"/>
    <n v="64718402.909999996"/>
    <x v="2"/>
    <x v="1"/>
    <x v="0"/>
    <x v="7"/>
    <x v="3"/>
    <x v="2"/>
    <x v="4"/>
    <x v="2"/>
    <x v="6"/>
    <n v="4"/>
    <x v="0"/>
  </r>
  <r>
    <d v="2021-10-04T00:00:00"/>
    <x v="2"/>
    <x v="1"/>
    <x v="1"/>
    <n v="197068397.38"/>
    <x v="2"/>
    <x v="1"/>
    <x v="1"/>
    <x v="8"/>
    <x v="3"/>
    <x v="2"/>
    <x v="4"/>
    <x v="2"/>
    <x v="6"/>
    <n v="4"/>
    <x v="0"/>
  </r>
  <r>
    <d v="2021-10-04T00:00:00"/>
    <x v="1"/>
    <x v="0"/>
    <x v="0"/>
    <n v="90190743.640000001"/>
    <x v="1"/>
    <x v="0"/>
    <x v="0"/>
    <x v="9"/>
    <x v="3"/>
    <x v="2"/>
    <x v="4"/>
    <x v="2"/>
    <x v="6"/>
    <n v="4"/>
    <x v="0"/>
  </r>
  <r>
    <d v="2021-10-04T00:00:00"/>
    <x v="0"/>
    <x v="1"/>
    <x v="1"/>
    <n v="10281444.279999999"/>
    <x v="0"/>
    <x v="1"/>
    <x v="1"/>
    <x v="4"/>
    <x v="3"/>
    <x v="2"/>
    <x v="4"/>
    <x v="2"/>
    <x v="6"/>
    <n v="4"/>
    <x v="0"/>
  </r>
  <r>
    <d v="2021-10-04T00:00:00"/>
    <x v="1"/>
    <x v="0"/>
    <x v="1"/>
    <n v="333848357.73000002"/>
    <x v="1"/>
    <x v="0"/>
    <x v="1"/>
    <x v="10"/>
    <x v="3"/>
    <x v="2"/>
    <x v="4"/>
    <x v="2"/>
    <x v="6"/>
    <n v="4"/>
    <x v="0"/>
  </r>
  <r>
    <d v="2021-10-04T00:00:00"/>
    <x v="0"/>
    <x v="1"/>
    <x v="0"/>
    <n v="5465269.6299999999"/>
    <x v="0"/>
    <x v="1"/>
    <x v="0"/>
    <x v="1"/>
    <x v="3"/>
    <x v="2"/>
    <x v="4"/>
    <x v="2"/>
    <x v="6"/>
    <n v="4"/>
    <x v="0"/>
  </r>
  <r>
    <d v="2021-10-04T00:00:00"/>
    <x v="3"/>
    <x v="2"/>
    <x v="2"/>
    <n v="221090.99"/>
    <x v="3"/>
    <x v="2"/>
    <x v="2"/>
    <x v="5"/>
    <x v="3"/>
    <x v="2"/>
    <x v="4"/>
    <x v="2"/>
    <x v="6"/>
    <n v="4"/>
    <x v="0"/>
  </r>
  <r>
    <d v="2021-10-04T00:00:00"/>
    <x v="1"/>
    <x v="0"/>
    <x v="2"/>
    <n v="18727.09"/>
    <x v="1"/>
    <x v="0"/>
    <x v="2"/>
    <x v="2"/>
    <x v="3"/>
    <x v="2"/>
    <x v="4"/>
    <x v="2"/>
    <x v="6"/>
    <n v="4"/>
    <x v="0"/>
  </r>
  <r>
    <d v="2021-10-04T00:00:00"/>
    <x v="1"/>
    <x v="1"/>
    <x v="0"/>
    <n v="271"/>
    <x v="1"/>
    <x v="1"/>
    <x v="0"/>
    <x v="0"/>
    <x v="3"/>
    <x v="2"/>
    <x v="4"/>
    <x v="2"/>
    <x v="6"/>
    <n v="4"/>
    <x v="0"/>
  </r>
  <r>
    <d v="2021-10-04T00:00:00"/>
    <x v="3"/>
    <x v="3"/>
    <x v="0"/>
    <n v="1237703085.55"/>
    <x v="3"/>
    <x v="3"/>
    <x v="0"/>
    <x v="6"/>
    <x v="3"/>
    <x v="2"/>
    <x v="4"/>
    <x v="2"/>
    <x v="6"/>
    <n v="4"/>
    <x v="0"/>
  </r>
  <r>
    <d v="2021-10-04T00:00:00"/>
    <x v="3"/>
    <x v="2"/>
    <x v="0"/>
    <n v="1044360521.8"/>
    <x v="3"/>
    <x v="2"/>
    <x v="0"/>
    <x v="11"/>
    <x v="3"/>
    <x v="2"/>
    <x v="4"/>
    <x v="2"/>
    <x v="6"/>
    <n v="4"/>
    <x v="0"/>
  </r>
  <r>
    <d v="2021-10-04T00:00:00"/>
    <x v="3"/>
    <x v="2"/>
    <x v="1"/>
    <n v="26474948104.700001"/>
    <x v="3"/>
    <x v="2"/>
    <x v="1"/>
    <x v="12"/>
    <x v="3"/>
    <x v="2"/>
    <x v="4"/>
    <x v="2"/>
    <x v="6"/>
    <n v="4"/>
    <x v="0"/>
  </r>
  <r>
    <d v="2021-10-04T00:00:00"/>
    <x v="3"/>
    <x v="1"/>
    <x v="0"/>
    <n v="43489185.670000002"/>
    <x v="3"/>
    <x v="1"/>
    <x v="0"/>
    <x v="13"/>
    <x v="3"/>
    <x v="2"/>
    <x v="4"/>
    <x v="2"/>
    <x v="6"/>
    <n v="4"/>
    <x v="0"/>
  </r>
  <r>
    <d v="2021-10-01T00:00:00"/>
    <x v="1"/>
    <x v="0"/>
    <x v="2"/>
    <n v="17848.57"/>
    <x v="1"/>
    <x v="0"/>
    <x v="2"/>
    <x v="3"/>
    <x v="3"/>
    <x v="2"/>
    <x v="4"/>
    <x v="2"/>
    <x v="6"/>
    <n v="1"/>
    <x v="0"/>
  </r>
  <r>
    <d v="2021-10-01T00:00:00"/>
    <x v="2"/>
    <x v="1"/>
    <x v="2"/>
    <n v="4935"/>
    <x v="2"/>
    <x v="1"/>
    <x v="2"/>
    <x v="2"/>
    <x v="3"/>
    <x v="2"/>
    <x v="4"/>
    <x v="2"/>
    <x v="6"/>
    <n v="1"/>
    <x v="0"/>
  </r>
  <r>
    <d v="2021-10-01T00:00:00"/>
    <x v="3"/>
    <x v="3"/>
    <x v="0"/>
    <n v="2960839681.75"/>
    <x v="3"/>
    <x v="3"/>
    <x v="0"/>
    <x v="6"/>
    <x v="3"/>
    <x v="2"/>
    <x v="4"/>
    <x v="2"/>
    <x v="6"/>
    <n v="1"/>
    <x v="0"/>
  </r>
  <r>
    <d v="2021-10-01T00:00:00"/>
    <x v="3"/>
    <x v="2"/>
    <x v="2"/>
    <n v="2479546.86"/>
    <x v="3"/>
    <x v="2"/>
    <x v="2"/>
    <x v="5"/>
    <x v="3"/>
    <x v="2"/>
    <x v="4"/>
    <x v="2"/>
    <x v="6"/>
    <n v="1"/>
    <x v="0"/>
  </r>
  <r>
    <d v="2021-10-01T00:00:00"/>
    <x v="0"/>
    <x v="1"/>
    <x v="1"/>
    <n v="21307380.600000001"/>
    <x v="0"/>
    <x v="1"/>
    <x v="1"/>
    <x v="4"/>
    <x v="3"/>
    <x v="2"/>
    <x v="4"/>
    <x v="2"/>
    <x v="6"/>
    <n v="1"/>
    <x v="0"/>
  </r>
  <r>
    <d v="2021-10-01T00:00:00"/>
    <x v="2"/>
    <x v="1"/>
    <x v="1"/>
    <n v="173745704.25999999"/>
    <x v="2"/>
    <x v="1"/>
    <x v="1"/>
    <x v="7"/>
    <x v="3"/>
    <x v="2"/>
    <x v="4"/>
    <x v="2"/>
    <x v="6"/>
    <n v="1"/>
    <x v="0"/>
  </r>
  <r>
    <d v="2021-10-01T00:00:00"/>
    <x v="1"/>
    <x v="0"/>
    <x v="0"/>
    <n v="65556862.979999997"/>
    <x v="1"/>
    <x v="0"/>
    <x v="0"/>
    <x v="8"/>
    <x v="3"/>
    <x v="2"/>
    <x v="4"/>
    <x v="2"/>
    <x v="6"/>
    <n v="1"/>
    <x v="0"/>
  </r>
  <r>
    <d v="2021-10-01T00:00:00"/>
    <x v="2"/>
    <x v="1"/>
    <x v="0"/>
    <n v="98545978.010000005"/>
    <x v="2"/>
    <x v="1"/>
    <x v="0"/>
    <x v="9"/>
    <x v="3"/>
    <x v="2"/>
    <x v="4"/>
    <x v="2"/>
    <x v="6"/>
    <n v="1"/>
    <x v="0"/>
  </r>
  <r>
    <d v="2021-10-01T00:00:00"/>
    <x v="0"/>
    <x v="1"/>
    <x v="0"/>
    <n v="5085654.95"/>
    <x v="0"/>
    <x v="1"/>
    <x v="0"/>
    <x v="1"/>
    <x v="3"/>
    <x v="2"/>
    <x v="4"/>
    <x v="2"/>
    <x v="6"/>
    <n v="1"/>
    <x v="0"/>
  </r>
  <r>
    <d v="2021-10-01T00:00:00"/>
    <x v="0"/>
    <x v="0"/>
    <x v="0"/>
    <n v="5"/>
    <x v="0"/>
    <x v="0"/>
    <x v="0"/>
    <x v="0"/>
    <x v="3"/>
    <x v="2"/>
    <x v="4"/>
    <x v="2"/>
    <x v="6"/>
    <n v="1"/>
    <x v="0"/>
  </r>
  <r>
    <d v="2021-10-01T00:00:00"/>
    <x v="1"/>
    <x v="0"/>
    <x v="1"/>
    <n v="86804093.670000002"/>
    <x v="1"/>
    <x v="0"/>
    <x v="1"/>
    <x v="10"/>
    <x v="3"/>
    <x v="2"/>
    <x v="4"/>
    <x v="2"/>
    <x v="6"/>
    <n v="1"/>
    <x v="0"/>
  </r>
  <r>
    <d v="2021-10-01T00:00:00"/>
    <x v="3"/>
    <x v="2"/>
    <x v="0"/>
    <n v="533253141"/>
    <x v="3"/>
    <x v="2"/>
    <x v="0"/>
    <x v="11"/>
    <x v="3"/>
    <x v="2"/>
    <x v="4"/>
    <x v="2"/>
    <x v="6"/>
    <n v="1"/>
    <x v="0"/>
  </r>
  <r>
    <d v="2021-10-01T00:00:00"/>
    <x v="3"/>
    <x v="2"/>
    <x v="1"/>
    <n v="25864239924.279999"/>
    <x v="3"/>
    <x v="2"/>
    <x v="1"/>
    <x v="12"/>
    <x v="3"/>
    <x v="2"/>
    <x v="4"/>
    <x v="2"/>
    <x v="6"/>
    <n v="1"/>
    <x v="0"/>
  </r>
  <r>
    <d v="2021-10-01T00:00:00"/>
    <x v="3"/>
    <x v="1"/>
    <x v="0"/>
    <n v="12755230.51"/>
    <x v="3"/>
    <x v="1"/>
    <x v="0"/>
    <x v="13"/>
    <x v="3"/>
    <x v="2"/>
    <x v="4"/>
    <x v="2"/>
    <x v="6"/>
    <n v="1"/>
    <x v="0"/>
  </r>
  <r>
    <d v="2021-09-30T00:00:00"/>
    <x v="1"/>
    <x v="0"/>
    <x v="2"/>
    <n v="8253.7900000000009"/>
    <x v="1"/>
    <x v="0"/>
    <x v="2"/>
    <x v="1"/>
    <x v="4"/>
    <x v="3"/>
    <x v="4"/>
    <x v="3"/>
    <x v="7"/>
    <n v="30"/>
    <x v="0"/>
  </r>
  <r>
    <d v="2021-09-30T00:00:00"/>
    <x v="2"/>
    <x v="1"/>
    <x v="2"/>
    <n v="7755"/>
    <x v="2"/>
    <x v="1"/>
    <x v="2"/>
    <x v="2"/>
    <x v="4"/>
    <x v="3"/>
    <x v="4"/>
    <x v="3"/>
    <x v="7"/>
    <n v="30"/>
    <x v="0"/>
  </r>
  <r>
    <d v="2021-09-30T00:00:00"/>
    <x v="2"/>
    <x v="1"/>
    <x v="1"/>
    <n v="201408972.99000001"/>
    <x v="2"/>
    <x v="1"/>
    <x v="1"/>
    <x v="6"/>
    <x v="4"/>
    <x v="3"/>
    <x v="4"/>
    <x v="3"/>
    <x v="7"/>
    <n v="30"/>
    <x v="0"/>
  </r>
  <r>
    <d v="2021-09-30T00:00:00"/>
    <x v="0"/>
    <x v="1"/>
    <x v="1"/>
    <n v="905309.52"/>
    <x v="0"/>
    <x v="1"/>
    <x v="1"/>
    <x v="3"/>
    <x v="4"/>
    <x v="3"/>
    <x v="4"/>
    <x v="3"/>
    <x v="7"/>
    <n v="30"/>
    <x v="0"/>
  </r>
  <r>
    <d v="2021-09-30T00:00:00"/>
    <x v="3"/>
    <x v="2"/>
    <x v="2"/>
    <n v="386050.95"/>
    <x v="3"/>
    <x v="2"/>
    <x v="2"/>
    <x v="4"/>
    <x v="4"/>
    <x v="3"/>
    <x v="4"/>
    <x v="3"/>
    <x v="7"/>
    <n v="30"/>
    <x v="0"/>
  </r>
  <r>
    <d v="2021-09-30T00:00:00"/>
    <x v="3"/>
    <x v="3"/>
    <x v="0"/>
    <n v="4903855010.0200005"/>
    <x v="3"/>
    <x v="3"/>
    <x v="0"/>
    <x v="8"/>
    <x v="4"/>
    <x v="3"/>
    <x v="4"/>
    <x v="3"/>
    <x v="7"/>
    <n v="30"/>
    <x v="0"/>
  </r>
  <r>
    <d v="2021-09-30T00:00:00"/>
    <x v="0"/>
    <x v="1"/>
    <x v="0"/>
    <n v="12943739.17"/>
    <x v="0"/>
    <x v="1"/>
    <x v="0"/>
    <x v="0"/>
    <x v="4"/>
    <x v="3"/>
    <x v="4"/>
    <x v="3"/>
    <x v="7"/>
    <n v="30"/>
    <x v="0"/>
  </r>
  <r>
    <d v="2021-09-30T00:00:00"/>
    <x v="2"/>
    <x v="1"/>
    <x v="0"/>
    <n v="70702436.709999993"/>
    <x v="2"/>
    <x v="1"/>
    <x v="0"/>
    <x v="5"/>
    <x v="4"/>
    <x v="3"/>
    <x v="4"/>
    <x v="3"/>
    <x v="7"/>
    <n v="30"/>
    <x v="0"/>
  </r>
  <r>
    <d v="2021-09-30T00:00:00"/>
    <x v="1"/>
    <x v="0"/>
    <x v="0"/>
    <n v="78913018.659999996"/>
    <x v="1"/>
    <x v="0"/>
    <x v="0"/>
    <x v="7"/>
    <x v="4"/>
    <x v="3"/>
    <x v="4"/>
    <x v="3"/>
    <x v="7"/>
    <n v="30"/>
    <x v="0"/>
  </r>
  <r>
    <d v="2021-09-30T00:00:00"/>
    <x v="1"/>
    <x v="0"/>
    <x v="1"/>
    <n v="254984886.50999999"/>
    <x v="1"/>
    <x v="0"/>
    <x v="1"/>
    <x v="9"/>
    <x v="4"/>
    <x v="3"/>
    <x v="4"/>
    <x v="3"/>
    <x v="7"/>
    <n v="30"/>
    <x v="0"/>
  </r>
  <r>
    <d v="2021-09-30T00:00:00"/>
    <x v="3"/>
    <x v="2"/>
    <x v="0"/>
    <n v="1490453538.4000001"/>
    <x v="3"/>
    <x v="2"/>
    <x v="0"/>
    <x v="10"/>
    <x v="4"/>
    <x v="3"/>
    <x v="4"/>
    <x v="3"/>
    <x v="7"/>
    <n v="30"/>
    <x v="0"/>
  </r>
  <r>
    <d v="2021-09-30T00:00:00"/>
    <x v="3"/>
    <x v="1"/>
    <x v="0"/>
    <n v="11828675.77"/>
    <x v="3"/>
    <x v="1"/>
    <x v="0"/>
    <x v="11"/>
    <x v="4"/>
    <x v="3"/>
    <x v="4"/>
    <x v="3"/>
    <x v="7"/>
    <n v="30"/>
    <x v="0"/>
  </r>
  <r>
    <d v="2021-09-30T00:00:00"/>
    <x v="3"/>
    <x v="2"/>
    <x v="1"/>
    <n v="7814546566.9399996"/>
    <x v="3"/>
    <x v="2"/>
    <x v="1"/>
    <x v="12"/>
    <x v="4"/>
    <x v="3"/>
    <x v="4"/>
    <x v="3"/>
    <x v="7"/>
    <n v="30"/>
    <x v="0"/>
  </r>
  <r>
    <d v="2021-09-29T00:00:00"/>
    <x v="2"/>
    <x v="1"/>
    <x v="2"/>
    <n v="34318.49"/>
    <x v="2"/>
    <x v="1"/>
    <x v="2"/>
    <x v="4"/>
    <x v="4"/>
    <x v="3"/>
    <x v="4"/>
    <x v="3"/>
    <x v="7"/>
    <n v="29"/>
    <x v="0"/>
  </r>
  <r>
    <d v="2021-09-29T00:00:00"/>
    <x v="3"/>
    <x v="3"/>
    <x v="0"/>
    <n v="2761195011.1500001"/>
    <x v="3"/>
    <x v="3"/>
    <x v="0"/>
    <x v="8"/>
    <x v="4"/>
    <x v="3"/>
    <x v="4"/>
    <x v="3"/>
    <x v="7"/>
    <n v="29"/>
    <x v="0"/>
  </r>
  <r>
    <d v="2021-09-29T00:00:00"/>
    <x v="2"/>
    <x v="1"/>
    <x v="1"/>
    <n v="244443909.06999999"/>
    <x v="2"/>
    <x v="1"/>
    <x v="1"/>
    <x v="9"/>
    <x v="4"/>
    <x v="3"/>
    <x v="4"/>
    <x v="3"/>
    <x v="7"/>
    <n v="29"/>
    <x v="0"/>
  </r>
  <r>
    <d v="2021-09-29T00:00:00"/>
    <x v="0"/>
    <x v="1"/>
    <x v="1"/>
    <n v="12900244.98"/>
    <x v="0"/>
    <x v="1"/>
    <x v="1"/>
    <x v="5"/>
    <x v="4"/>
    <x v="3"/>
    <x v="4"/>
    <x v="3"/>
    <x v="7"/>
    <n v="29"/>
    <x v="0"/>
  </r>
  <r>
    <d v="2021-09-29T00:00:00"/>
    <x v="0"/>
    <x v="1"/>
    <x v="0"/>
    <n v="12410445.91"/>
    <x v="0"/>
    <x v="1"/>
    <x v="0"/>
    <x v="1"/>
    <x v="4"/>
    <x v="3"/>
    <x v="4"/>
    <x v="3"/>
    <x v="7"/>
    <n v="29"/>
    <x v="0"/>
  </r>
  <r>
    <d v="2021-09-29T00:00:00"/>
    <x v="3"/>
    <x v="2"/>
    <x v="2"/>
    <n v="403690.99"/>
    <x v="3"/>
    <x v="2"/>
    <x v="2"/>
    <x v="6"/>
    <x v="4"/>
    <x v="3"/>
    <x v="4"/>
    <x v="3"/>
    <x v="7"/>
    <n v="29"/>
    <x v="0"/>
  </r>
  <r>
    <d v="2021-09-29T00:00:00"/>
    <x v="1"/>
    <x v="0"/>
    <x v="2"/>
    <n v="11908.33"/>
    <x v="1"/>
    <x v="0"/>
    <x v="2"/>
    <x v="3"/>
    <x v="4"/>
    <x v="3"/>
    <x v="4"/>
    <x v="3"/>
    <x v="7"/>
    <n v="29"/>
    <x v="0"/>
  </r>
  <r>
    <d v="2021-09-29T00:00:00"/>
    <x v="0"/>
    <x v="0"/>
    <x v="0"/>
    <n v="4835"/>
    <x v="0"/>
    <x v="0"/>
    <x v="0"/>
    <x v="0"/>
    <x v="4"/>
    <x v="3"/>
    <x v="4"/>
    <x v="3"/>
    <x v="7"/>
    <n v="29"/>
    <x v="0"/>
  </r>
  <r>
    <d v="2021-09-29T00:00:00"/>
    <x v="0"/>
    <x v="1"/>
    <x v="2"/>
    <n v="67"/>
    <x v="0"/>
    <x v="1"/>
    <x v="2"/>
    <x v="2"/>
    <x v="4"/>
    <x v="3"/>
    <x v="4"/>
    <x v="3"/>
    <x v="7"/>
    <n v="29"/>
    <x v="0"/>
  </r>
  <r>
    <d v="2021-09-29T00:00:00"/>
    <x v="1"/>
    <x v="0"/>
    <x v="0"/>
    <n v="88988381.900000006"/>
    <x v="1"/>
    <x v="0"/>
    <x v="0"/>
    <x v="10"/>
    <x v="4"/>
    <x v="3"/>
    <x v="4"/>
    <x v="3"/>
    <x v="7"/>
    <n v="29"/>
    <x v="0"/>
  </r>
  <r>
    <d v="2021-09-29T00:00:00"/>
    <x v="2"/>
    <x v="1"/>
    <x v="0"/>
    <n v="108516574.64"/>
    <x v="2"/>
    <x v="1"/>
    <x v="0"/>
    <x v="7"/>
    <x v="4"/>
    <x v="3"/>
    <x v="4"/>
    <x v="3"/>
    <x v="7"/>
    <n v="29"/>
    <x v="0"/>
  </r>
  <r>
    <d v="2021-09-29T00:00:00"/>
    <x v="1"/>
    <x v="0"/>
    <x v="1"/>
    <n v="1211607745.1099999"/>
    <x v="1"/>
    <x v="0"/>
    <x v="1"/>
    <x v="11"/>
    <x v="4"/>
    <x v="3"/>
    <x v="4"/>
    <x v="3"/>
    <x v="7"/>
    <n v="29"/>
    <x v="0"/>
  </r>
  <r>
    <d v="2021-09-29T00:00:00"/>
    <x v="3"/>
    <x v="2"/>
    <x v="0"/>
    <n v="837450140.19000006"/>
    <x v="3"/>
    <x v="2"/>
    <x v="0"/>
    <x v="12"/>
    <x v="4"/>
    <x v="3"/>
    <x v="4"/>
    <x v="3"/>
    <x v="7"/>
    <n v="29"/>
    <x v="0"/>
  </r>
  <r>
    <d v="2021-09-29T00:00:00"/>
    <x v="3"/>
    <x v="1"/>
    <x v="0"/>
    <n v="11451134.27"/>
    <x v="3"/>
    <x v="1"/>
    <x v="0"/>
    <x v="13"/>
    <x v="4"/>
    <x v="3"/>
    <x v="4"/>
    <x v="3"/>
    <x v="7"/>
    <n v="29"/>
    <x v="0"/>
  </r>
  <r>
    <d v="2021-09-29T00:00:00"/>
    <x v="3"/>
    <x v="2"/>
    <x v="1"/>
    <n v="13326240250.82"/>
    <x v="3"/>
    <x v="2"/>
    <x v="1"/>
    <x v="14"/>
    <x v="4"/>
    <x v="3"/>
    <x v="4"/>
    <x v="3"/>
    <x v="7"/>
    <n v="29"/>
    <x v="0"/>
  </r>
  <r>
    <d v="2021-09-28T00:00:00"/>
    <x v="2"/>
    <x v="1"/>
    <x v="2"/>
    <n v="6260"/>
    <x v="2"/>
    <x v="1"/>
    <x v="2"/>
    <x v="1"/>
    <x v="4"/>
    <x v="3"/>
    <x v="4"/>
    <x v="3"/>
    <x v="7"/>
    <n v="28"/>
    <x v="0"/>
  </r>
  <r>
    <d v="2021-09-28T00:00:00"/>
    <x v="2"/>
    <x v="1"/>
    <x v="0"/>
    <n v="162766711.99000001"/>
    <x v="2"/>
    <x v="1"/>
    <x v="0"/>
    <x v="6"/>
    <x v="4"/>
    <x v="3"/>
    <x v="4"/>
    <x v="3"/>
    <x v="7"/>
    <n v="28"/>
    <x v="0"/>
  </r>
  <r>
    <d v="2021-09-28T00:00:00"/>
    <x v="3"/>
    <x v="3"/>
    <x v="1"/>
    <n v="144205.56"/>
    <x v="3"/>
    <x v="3"/>
    <x v="1"/>
    <x v="3"/>
    <x v="4"/>
    <x v="3"/>
    <x v="4"/>
    <x v="3"/>
    <x v="7"/>
    <n v="28"/>
    <x v="0"/>
  </r>
  <r>
    <d v="2021-09-28T00:00:00"/>
    <x v="0"/>
    <x v="1"/>
    <x v="1"/>
    <n v="17810389.670000002"/>
    <x v="0"/>
    <x v="1"/>
    <x v="1"/>
    <x v="4"/>
    <x v="4"/>
    <x v="3"/>
    <x v="4"/>
    <x v="3"/>
    <x v="7"/>
    <n v="28"/>
    <x v="0"/>
  </r>
  <r>
    <d v="2021-09-28T00:00:00"/>
    <x v="1"/>
    <x v="0"/>
    <x v="0"/>
    <n v="84573690.969999999"/>
    <x v="1"/>
    <x v="0"/>
    <x v="0"/>
    <x v="9"/>
    <x v="4"/>
    <x v="3"/>
    <x v="4"/>
    <x v="3"/>
    <x v="7"/>
    <n v="28"/>
    <x v="0"/>
  </r>
  <r>
    <d v="2021-09-28T00:00:00"/>
    <x v="0"/>
    <x v="1"/>
    <x v="0"/>
    <n v="8832986.7899999991"/>
    <x v="0"/>
    <x v="1"/>
    <x v="0"/>
    <x v="0"/>
    <x v="4"/>
    <x v="3"/>
    <x v="4"/>
    <x v="3"/>
    <x v="7"/>
    <n v="28"/>
    <x v="0"/>
  </r>
  <r>
    <d v="2021-09-28T00:00:00"/>
    <x v="3"/>
    <x v="2"/>
    <x v="2"/>
    <n v="1352729.21"/>
    <x v="3"/>
    <x v="2"/>
    <x v="2"/>
    <x v="5"/>
    <x v="4"/>
    <x v="3"/>
    <x v="4"/>
    <x v="3"/>
    <x v="7"/>
    <n v="28"/>
    <x v="0"/>
  </r>
  <r>
    <d v="2021-09-28T00:00:00"/>
    <x v="3"/>
    <x v="3"/>
    <x v="0"/>
    <n v="3782804090.79"/>
    <x v="3"/>
    <x v="3"/>
    <x v="0"/>
    <x v="7"/>
    <x v="4"/>
    <x v="3"/>
    <x v="4"/>
    <x v="3"/>
    <x v="7"/>
    <n v="28"/>
    <x v="0"/>
  </r>
  <r>
    <d v="2021-09-28T00:00:00"/>
    <x v="1"/>
    <x v="0"/>
    <x v="2"/>
    <n v="49142.64"/>
    <x v="1"/>
    <x v="0"/>
    <x v="2"/>
    <x v="2"/>
    <x v="4"/>
    <x v="3"/>
    <x v="4"/>
    <x v="3"/>
    <x v="7"/>
    <n v="28"/>
    <x v="0"/>
  </r>
  <r>
    <d v="2021-09-28T00:00:00"/>
    <x v="2"/>
    <x v="1"/>
    <x v="1"/>
    <n v="185005609.62"/>
    <x v="2"/>
    <x v="1"/>
    <x v="1"/>
    <x v="8"/>
    <x v="4"/>
    <x v="3"/>
    <x v="4"/>
    <x v="3"/>
    <x v="7"/>
    <n v="28"/>
    <x v="0"/>
  </r>
  <r>
    <d v="2021-09-28T00:00:00"/>
    <x v="1"/>
    <x v="0"/>
    <x v="1"/>
    <n v="932387635.44000006"/>
    <x v="1"/>
    <x v="0"/>
    <x v="1"/>
    <x v="10"/>
    <x v="4"/>
    <x v="3"/>
    <x v="4"/>
    <x v="3"/>
    <x v="7"/>
    <n v="28"/>
    <x v="0"/>
  </r>
  <r>
    <d v="2021-09-28T00:00:00"/>
    <x v="3"/>
    <x v="2"/>
    <x v="0"/>
    <n v="586153124.58000004"/>
    <x v="3"/>
    <x v="2"/>
    <x v="0"/>
    <x v="11"/>
    <x v="4"/>
    <x v="3"/>
    <x v="4"/>
    <x v="3"/>
    <x v="7"/>
    <n v="28"/>
    <x v="0"/>
  </r>
  <r>
    <d v="2021-09-28T00:00:00"/>
    <x v="3"/>
    <x v="1"/>
    <x v="0"/>
    <n v="9965209.5899999999"/>
    <x v="3"/>
    <x v="1"/>
    <x v="0"/>
    <x v="12"/>
    <x v="4"/>
    <x v="3"/>
    <x v="4"/>
    <x v="3"/>
    <x v="7"/>
    <n v="28"/>
    <x v="0"/>
  </r>
  <r>
    <d v="2021-09-28T00:00:00"/>
    <x v="3"/>
    <x v="2"/>
    <x v="1"/>
    <n v="3478000675.21"/>
    <x v="3"/>
    <x v="2"/>
    <x v="1"/>
    <x v="13"/>
    <x v="4"/>
    <x v="3"/>
    <x v="4"/>
    <x v="3"/>
    <x v="7"/>
    <n v="28"/>
    <x v="0"/>
  </r>
  <r>
    <d v="2021-09-27T00:00:00"/>
    <x v="3"/>
    <x v="2"/>
    <x v="2"/>
    <n v="316616.82"/>
    <x v="3"/>
    <x v="2"/>
    <x v="2"/>
    <x v="6"/>
    <x v="4"/>
    <x v="3"/>
    <x v="4"/>
    <x v="3"/>
    <x v="7"/>
    <n v="27"/>
    <x v="0"/>
  </r>
  <r>
    <d v="2021-09-27T00:00:00"/>
    <x v="1"/>
    <x v="0"/>
    <x v="2"/>
    <n v="8738.2000000000007"/>
    <x v="1"/>
    <x v="0"/>
    <x v="2"/>
    <x v="2"/>
    <x v="4"/>
    <x v="3"/>
    <x v="4"/>
    <x v="3"/>
    <x v="7"/>
    <n v="27"/>
    <x v="0"/>
  </r>
  <r>
    <d v="2021-09-27T00:00:00"/>
    <x v="2"/>
    <x v="1"/>
    <x v="2"/>
    <n v="31468.71"/>
    <x v="2"/>
    <x v="1"/>
    <x v="2"/>
    <x v="3"/>
    <x v="4"/>
    <x v="3"/>
    <x v="4"/>
    <x v="3"/>
    <x v="7"/>
    <n v="27"/>
    <x v="0"/>
  </r>
  <r>
    <d v="2021-09-27T00:00:00"/>
    <x v="3"/>
    <x v="3"/>
    <x v="0"/>
    <n v="2204004216.6999998"/>
    <x v="3"/>
    <x v="3"/>
    <x v="0"/>
    <x v="8"/>
    <x v="4"/>
    <x v="3"/>
    <x v="4"/>
    <x v="3"/>
    <x v="7"/>
    <n v="27"/>
    <x v="0"/>
  </r>
  <r>
    <d v="2021-09-27T00:00:00"/>
    <x v="1"/>
    <x v="0"/>
    <x v="0"/>
    <n v="58591288.399999999"/>
    <x v="1"/>
    <x v="0"/>
    <x v="0"/>
    <x v="10"/>
    <x v="4"/>
    <x v="3"/>
    <x v="4"/>
    <x v="3"/>
    <x v="7"/>
    <n v="27"/>
    <x v="0"/>
  </r>
  <r>
    <d v="2021-09-27T00:00:00"/>
    <x v="0"/>
    <x v="1"/>
    <x v="1"/>
    <n v="5972786.9900000002"/>
    <x v="0"/>
    <x v="1"/>
    <x v="1"/>
    <x v="5"/>
    <x v="4"/>
    <x v="3"/>
    <x v="4"/>
    <x v="3"/>
    <x v="7"/>
    <n v="27"/>
    <x v="0"/>
  </r>
  <r>
    <d v="2021-09-27T00:00:00"/>
    <x v="0"/>
    <x v="1"/>
    <x v="0"/>
    <n v="19986825.16"/>
    <x v="0"/>
    <x v="1"/>
    <x v="0"/>
    <x v="1"/>
    <x v="4"/>
    <x v="3"/>
    <x v="4"/>
    <x v="3"/>
    <x v="7"/>
    <n v="27"/>
    <x v="0"/>
  </r>
  <r>
    <d v="2021-09-27T00:00:00"/>
    <x v="0"/>
    <x v="0"/>
    <x v="0"/>
    <n v="5314.91"/>
    <x v="0"/>
    <x v="0"/>
    <x v="0"/>
    <x v="0"/>
    <x v="4"/>
    <x v="3"/>
    <x v="4"/>
    <x v="3"/>
    <x v="7"/>
    <n v="27"/>
    <x v="0"/>
  </r>
  <r>
    <d v="2021-09-27T00:00:00"/>
    <x v="3"/>
    <x v="3"/>
    <x v="1"/>
    <n v="2339156.94"/>
    <x v="3"/>
    <x v="3"/>
    <x v="1"/>
    <x v="4"/>
    <x v="4"/>
    <x v="3"/>
    <x v="4"/>
    <x v="3"/>
    <x v="7"/>
    <n v="27"/>
    <x v="0"/>
  </r>
  <r>
    <d v="2021-09-27T00:00:00"/>
    <x v="2"/>
    <x v="1"/>
    <x v="1"/>
    <n v="378054344.23000002"/>
    <x v="2"/>
    <x v="1"/>
    <x v="1"/>
    <x v="9"/>
    <x v="4"/>
    <x v="3"/>
    <x v="4"/>
    <x v="3"/>
    <x v="7"/>
    <n v="27"/>
    <x v="0"/>
  </r>
  <r>
    <d v="2021-09-27T00:00:00"/>
    <x v="2"/>
    <x v="1"/>
    <x v="0"/>
    <n v="80621814.290000007"/>
    <x v="2"/>
    <x v="1"/>
    <x v="0"/>
    <x v="7"/>
    <x v="4"/>
    <x v="3"/>
    <x v="4"/>
    <x v="3"/>
    <x v="7"/>
    <n v="27"/>
    <x v="0"/>
  </r>
  <r>
    <d v="2021-09-27T00:00:00"/>
    <x v="1"/>
    <x v="0"/>
    <x v="1"/>
    <n v="1230438956.52"/>
    <x v="1"/>
    <x v="0"/>
    <x v="1"/>
    <x v="11"/>
    <x v="4"/>
    <x v="3"/>
    <x v="4"/>
    <x v="3"/>
    <x v="7"/>
    <n v="27"/>
    <x v="0"/>
  </r>
  <r>
    <d v="2021-09-27T00:00:00"/>
    <x v="3"/>
    <x v="2"/>
    <x v="0"/>
    <n v="526212504.24000001"/>
    <x v="3"/>
    <x v="2"/>
    <x v="0"/>
    <x v="12"/>
    <x v="4"/>
    <x v="3"/>
    <x v="4"/>
    <x v="3"/>
    <x v="7"/>
    <n v="27"/>
    <x v="0"/>
  </r>
  <r>
    <d v="2021-09-27T00:00:00"/>
    <x v="3"/>
    <x v="2"/>
    <x v="1"/>
    <n v="19033987002.07"/>
    <x v="3"/>
    <x v="2"/>
    <x v="1"/>
    <x v="13"/>
    <x v="4"/>
    <x v="3"/>
    <x v="4"/>
    <x v="3"/>
    <x v="7"/>
    <n v="27"/>
    <x v="0"/>
  </r>
  <r>
    <d v="2021-09-27T00:00:00"/>
    <x v="3"/>
    <x v="1"/>
    <x v="0"/>
    <n v="36081134.57"/>
    <x v="3"/>
    <x v="1"/>
    <x v="0"/>
    <x v="14"/>
    <x v="4"/>
    <x v="3"/>
    <x v="4"/>
    <x v="3"/>
    <x v="7"/>
    <n v="27"/>
    <x v="0"/>
  </r>
  <r>
    <d v="2021-09-24T00:00:00"/>
    <x v="1"/>
    <x v="0"/>
    <x v="2"/>
    <n v="8001.67"/>
    <x v="1"/>
    <x v="0"/>
    <x v="2"/>
    <x v="4"/>
    <x v="4"/>
    <x v="3"/>
    <x v="4"/>
    <x v="3"/>
    <x v="7"/>
    <n v="24"/>
    <x v="0"/>
  </r>
  <r>
    <d v="2021-09-24T00:00:00"/>
    <x v="2"/>
    <x v="1"/>
    <x v="2"/>
    <n v="5490"/>
    <x v="2"/>
    <x v="1"/>
    <x v="2"/>
    <x v="3"/>
    <x v="4"/>
    <x v="3"/>
    <x v="4"/>
    <x v="3"/>
    <x v="7"/>
    <n v="24"/>
    <x v="0"/>
  </r>
  <r>
    <d v="2021-09-24T00:00:00"/>
    <x v="2"/>
    <x v="1"/>
    <x v="0"/>
    <n v="83065892.069999993"/>
    <x v="2"/>
    <x v="1"/>
    <x v="0"/>
    <x v="8"/>
    <x v="4"/>
    <x v="3"/>
    <x v="4"/>
    <x v="3"/>
    <x v="7"/>
    <n v="24"/>
    <x v="0"/>
  </r>
  <r>
    <d v="2021-09-24T00:00:00"/>
    <x v="0"/>
    <x v="1"/>
    <x v="1"/>
    <n v="7467867.8799999999"/>
    <x v="0"/>
    <x v="1"/>
    <x v="1"/>
    <x v="5"/>
    <x v="4"/>
    <x v="3"/>
    <x v="4"/>
    <x v="3"/>
    <x v="7"/>
    <n v="24"/>
    <x v="0"/>
  </r>
  <r>
    <d v="2021-09-24T00:00:00"/>
    <x v="2"/>
    <x v="1"/>
    <x v="1"/>
    <n v="338746364.66000003"/>
    <x v="2"/>
    <x v="1"/>
    <x v="1"/>
    <x v="9"/>
    <x v="4"/>
    <x v="3"/>
    <x v="4"/>
    <x v="3"/>
    <x v="7"/>
    <n v="24"/>
    <x v="0"/>
  </r>
  <r>
    <d v="2021-09-24T00:00:00"/>
    <x v="1"/>
    <x v="1"/>
    <x v="0"/>
    <n v="3161.68"/>
    <x v="1"/>
    <x v="1"/>
    <x v="0"/>
    <x v="1"/>
    <x v="4"/>
    <x v="3"/>
    <x v="4"/>
    <x v="3"/>
    <x v="7"/>
    <n v="24"/>
    <x v="0"/>
  </r>
  <r>
    <d v="2021-09-24T00:00:00"/>
    <x v="0"/>
    <x v="1"/>
    <x v="0"/>
    <n v="19671464.350000001"/>
    <x v="0"/>
    <x v="1"/>
    <x v="0"/>
    <x v="2"/>
    <x v="4"/>
    <x v="3"/>
    <x v="4"/>
    <x v="3"/>
    <x v="7"/>
    <n v="24"/>
    <x v="0"/>
  </r>
  <r>
    <d v="2021-09-24T00:00:00"/>
    <x v="3"/>
    <x v="2"/>
    <x v="2"/>
    <n v="426342"/>
    <x v="3"/>
    <x v="2"/>
    <x v="2"/>
    <x v="6"/>
    <x v="4"/>
    <x v="3"/>
    <x v="4"/>
    <x v="3"/>
    <x v="7"/>
    <n v="24"/>
    <x v="0"/>
  </r>
  <r>
    <d v="2021-09-24T00:00:00"/>
    <x v="0"/>
    <x v="0"/>
    <x v="0"/>
    <n v="551"/>
    <x v="0"/>
    <x v="0"/>
    <x v="0"/>
    <x v="0"/>
    <x v="4"/>
    <x v="3"/>
    <x v="4"/>
    <x v="3"/>
    <x v="7"/>
    <n v="24"/>
    <x v="0"/>
  </r>
  <r>
    <d v="2021-09-24T00:00:00"/>
    <x v="3"/>
    <x v="3"/>
    <x v="0"/>
    <n v="1958115387.8299999"/>
    <x v="3"/>
    <x v="3"/>
    <x v="0"/>
    <x v="7"/>
    <x v="4"/>
    <x v="3"/>
    <x v="4"/>
    <x v="3"/>
    <x v="7"/>
    <n v="24"/>
    <x v="0"/>
  </r>
  <r>
    <d v="2021-09-24T00:00:00"/>
    <x v="1"/>
    <x v="0"/>
    <x v="0"/>
    <n v="72396022.060000002"/>
    <x v="1"/>
    <x v="0"/>
    <x v="0"/>
    <x v="10"/>
    <x v="4"/>
    <x v="3"/>
    <x v="4"/>
    <x v="3"/>
    <x v="7"/>
    <n v="24"/>
    <x v="0"/>
  </r>
  <r>
    <d v="2021-09-24T00:00:00"/>
    <x v="1"/>
    <x v="0"/>
    <x v="1"/>
    <n v="5023682235.7299995"/>
    <x v="1"/>
    <x v="0"/>
    <x v="1"/>
    <x v="11"/>
    <x v="4"/>
    <x v="3"/>
    <x v="4"/>
    <x v="3"/>
    <x v="7"/>
    <n v="24"/>
    <x v="0"/>
  </r>
  <r>
    <d v="2021-09-24T00:00:00"/>
    <x v="3"/>
    <x v="2"/>
    <x v="0"/>
    <n v="384843716.36000001"/>
    <x v="3"/>
    <x v="2"/>
    <x v="0"/>
    <x v="12"/>
    <x v="4"/>
    <x v="3"/>
    <x v="4"/>
    <x v="3"/>
    <x v="7"/>
    <n v="24"/>
    <x v="0"/>
  </r>
  <r>
    <d v="2021-09-24T00:00:00"/>
    <x v="3"/>
    <x v="2"/>
    <x v="1"/>
    <n v="10397925331.99"/>
    <x v="3"/>
    <x v="2"/>
    <x v="1"/>
    <x v="13"/>
    <x v="4"/>
    <x v="3"/>
    <x v="4"/>
    <x v="3"/>
    <x v="7"/>
    <n v="24"/>
    <x v="0"/>
  </r>
  <r>
    <d v="2021-09-24T00:00:00"/>
    <x v="3"/>
    <x v="1"/>
    <x v="0"/>
    <n v="11657220.439999999"/>
    <x v="3"/>
    <x v="1"/>
    <x v="0"/>
    <x v="14"/>
    <x v="4"/>
    <x v="3"/>
    <x v="4"/>
    <x v="3"/>
    <x v="7"/>
    <n v="24"/>
    <x v="0"/>
  </r>
  <r>
    <d v="2021-09-23T00:00:00"/>
    <x v="2"/>
    <x v="1"/>
    <x v="0"/>
    <n v="79280054.430000007"/>
    <x v="2"/>
    <x v="1"/>
    <x v="0"/>
    <x v="6"/>
    <x v="4"/>
    <x v="3"/>
    <x v="4"/>
    <x v="3"/>
    <x v="7"/>
    <n v="23"/>
    <x v="0"/>
  </r>
  <r>
    <d v="2021-09-23T00:00:00"/>
    <x v="1"/>
    <x v="1"/>
    <x v="0"/>
    <n v="84.5"/>
    <x v="1"/>
    <x v="1"/>
    <x v="0"/>
    <x v="0"/>
    <x v="4"/>
    <x v="3"/>
    <x v="4"/>
    <x v="3"/>
    <x v="7"/>
    <n v="23"/>
    <x v="0"/>
  </r>
  <r>
    <d v="2021-09-23T00:00:00"/>
    <x v="0"/>
    <x v="1"/>
    <x v="0"/>
    <n v="15787724.52"/>
    <x v="0"/>
    <x v="1"/>
    <x v="0"/>
    <x v="1"/>
    <x v="4"/>
    <x v="3"/>
    <x v="4"/>
    <x v="3"/>
    <x v="7"/>
    <n v="23"/>
    <x v="0"/>
  </r>
  <r>
    <d v="2021-09-23T00:00:00"/>
    <x v="1"/>
    <x v="0"/>
    <x v="0"/>
    <n v="94969552.640000001"/>
    <x v="1"/>
    <x v="0"/>
    <x v="0"/>
    <x v="8"/>
    <x v="4"/>
    <x v="3"/>
    <x v="4"/>
    <x v="3"/>
    <x v="7"/>
    <n v="23"/>
    <x v="0"/>
  </r>
  <r>
    <d v="2021-09-23T00:00:00"/>
    <x v="0"/>
    <x v="1"/>
    <x v="1"/>
    <n v="10910629.35"/>
    <x v="0"/>
    <x v="1"/>
    <x v="1"/>
    <x v="3"/>
    <x v="4"/>
    <x v="3"/>
    <x v="4"/>
    <x v="3"/>
    <x v="7"/>
    <n v="23"/>
    <x v="0"/>
  </r>
  <r>
    <d v="2021-09-23T00:00:00"/>
    <x v="2"/>
    <x v="1"/>
    <x v="1"/>
    <n v="246575744.63999999"/>
    <x v="2"/>
    <x v="1"/>
    <x v="1"/>
    <x v="9"/>
    <x v="4"/>
    <x v="3"/>
    <x v="4"/>
    <x v="3"/>
    <x v="7"/>
    <n v="23"/>
    <x v="0"/>
  </r>
  <r>
    <d v="2021-09-23T00:00:00"/>
    <x v="2"/>
    <x v="1"/>
    <x v="2"/>
    <n v="11295"/>
    <x v="2"/>
    <x v="1"/>
    <x v="2"/>
    <x v="4"/>
    <x v="4"/>
    <x v="3"/>
    <x v="4"/>
    <x v="3"/>
    <x v="7"/>
    <n v="23"/>
    <x v="0"/>
  </r>
  <r>
    <d v="2021-09-23T00:00:00"/>
    <x v="3"/>
    <x v="2"/>
    <x v="2"/>
    <n v="304930.64"/>
    <x v="3"/>
    <x v="2"/>
    <x v="2"/>
    <x v="5"/>
    <x v="4"/>
    <x v="3"/>
    <x v="4"/>
    <x v="3"/>
    <x v="7"/>
    <n v="23"/>
    <x v="0"/>
  </r>
  <r>
    <d v="2021-09-23T00:00:00"/>
    <x v="1"/>
    <x v="0"/>
    <x v="2"/>
    <n v="2290.44"/>
    <x v="1"/>
    <x v="0"/>
    <x v="2"/>
    <x v="2"/>
    <x v="4"/>
    <x v="3"/>
    <x v="4"/>
    <x v="3"/>
    <x v="7"/>
    <n v="23"/>
    <x v="0"/>
  </r>
  <r>
    <d v="2021-09-23T00:00:00"/>
    <x v="3"/>
    <x v="3"/>
    <x v="0"/>
    <n v="2640147635.6100001"/>
    <x v="3"/>
    <x v="3"/>
    <x v="0"/>
    <x v="7"/>
    <x v="4"/>
    <x v="3"/>
    <x v="4"/>
    <x v="3"/>
    <x v="7"/>
    <n v="23"/>
    <x v="0"/>
  </r>
  <r>
    <d v="2021-09-23T00:00:00"/>
    <x v="1"/>
    <x v="0"/>
    <x v="1"/>
    <n v="6702704863.5299997"/>
    <x v="1"/>
    <x v="0"/>
    <x v="1"/>
    <x v="10"/>
    <x v="4"/>
    <x v="3"/>
    <x v="4"/>
    <x v="3"/>
    <x v="7"/>
    <n v="23"/>
    <x v="0"/>
  </r>
  <r>
    <d v="2021-09-23T00:00:00"/>
    <x v="3"/>
    <x v="2"/>
    <x v="0"/>
    <n v="6524904645.0200005"/>
    <x v="3"/>
    <x v="2"/>
    <x v="0"/>
    <x v="11"/>
    <x v="4"/>
    <x v="3"/>
    <x v="4"/>
    <x v="3"/>
    <x v="7"/>
    <n v="23"/>
    <x v="0"/>
  </r>
  <r>
    <d v="2021-09-23T00:00:00"/>
    <x v="3"/>
    <x v="1"/>
    <x v="0"/>
    <n v="12236561.43"/>
    <x v="3"/>
    <x v="1"/>
    <x v="0"/>
    <x v="12"/>
    <x v="4"/>
    <x v="3"/>
    <x v="4"/>
    <x v="3"/>
    <x v="7"/>
    <n v="23"/>
    <x v="0"/>
  </r>
  <r>
    <d v="2021-09-23T00:00:00"/>
    <x v="3"/>
    <x v="2"/>
    <x v="1"/>
    <n v="3838940204.1799998"/>
    <x v="3"/>
    <x v="2"/>
    <x v="1"/>
    <x v="13"/>
    <x v="4"/>
    <x v="3"/>
    <x v="4"/>
    <x v="3"/>
    <x v="7"/>
    <n v="23"/>
    <x v="0"/>
  </r>
  <r>
    <d v="2021-09-22T00:00:00"/>
    <x v="2"/>
    <x v="1"/>
    <x v="2"/>
    <n v="1708757.12"/>
    <x v="2"/>
    <x v="1"/>
    <x v="2"/>
    <x v="2"/>
    <x v="4"/>
    <x v="3"/>
    <x v="4"/>
    <x v="3"/>
    <x v="7"/>
    <n v="22"/>
    <x v="0"/>
  </r>
  <r>
    <d v="2021-09-22T00:00:00"/>
    <x v="0"/>
    <x v="1"/>
    <x v="0"/>
    <n v="26577219.379999999"/>
    <x v="0"/>
    <x v="1"/>
    <x v="0"/>
    <x v="0"/>
    <x v="4"/>
    <x v="3"/>
    <x v="4"/>
    <x v="3"/>
    <x v="7"/>
    <n v="22"/>
    <x v="0"/>
  </r>
  <r>
    <d v="2021-09-22T00:00:00"/>
    <x v="2"/>
    <x v="1"/>
    <x v="1"/>
    <n v="290552556.77999997"/>
    <x v="2"/>
    <x v="1"/>
    <x v="1"/>
    <x v="7"/>
    <x v="4"/>
    <x v="3"/>
    <x v="4"/>
    <x v="3"/>
    <x v="7"/>
    <n v="22"/>
    <x v="0"/>
  </r>
  <r>
    <d v="2021-09-22T00:00:00"/>
    <x v="0"/>
    <x v="1"/>
    <x v="1"/>
    <n v="851114.68"/>
    <x v="0"/>
    <x v="1"/>
    <x v="1"/>
    <x v="3"/>
    <x v="4"/>
    <x v="3"/>
    <x v="4"/>
    <x v="3"/>
    <x v="7"/>
    <n v="22"/>
    <x v="0"/>
  </r>
  <r>
    <d v="2021-09-22T00:00:00"/>
    <x v="3"/>
    <x v="2"/>
    <x v="2"/>
    <n v="661993.53"/>
    <x v="3"/>
    <x v="2"/>
    <x v="2"/>
    <x v="4"/>
    <x v="4"/>
    <x v="3"/>
    <x v="4"/>
    <x v="3"/>
    <x v="7"/>
    <n v="22"/>
    <x v="0"/>
  </r>
  <r>
    <d v="2021-09-22T00:00:00"/>
    <x v="1"/>
    <x v="0"/>
    <x v="2"/>
    <n v="3195.82"/>
    <x v="1"/>
    <x v="0"/>
    <x v="2"/>
    <x v="1"/>
    <x v="4"/>
    <x v="3"/>
    <x v="4"/>
    <x v="3"/>
    <x v="7"/>
    <n v="22"/>
    <x v="0"/>
  </r>
  <r>
    <d v="2021-09-22T00:00:00"/>
    <x v="1"/>
    <x v="0"/>
    <x v="0"/>
    <n v="122977366.43000001"/>
    <x v="1"/>
    <x v="0"/>
    <x v="0"/>
    <x v="8"/>
    <x v="4"/>
    <x v="3"/>
    <x v="4"/>
    <x v="3"/>
    <x v="7"/>
    <n v="22"/>
    <x v="0"/>
  </r>
  <r>
    <d v="2021-09-22T00:00:00"/>
    <x v="2"/>
    <x v="1"/>
    <x v="0"/>
    <n v="86173008.219999999"/>
    <x v="2"/>
    <x v="1"/>
    <x v="0"/>
    <x v="5"/>
    <x v="4"/>
    <x v="3"/>
    <x v="4"/>
    <x v="3"/>
    <x v="7"/>
    <n v="22"/>
    <x v="0"/>
  </r>
  <r>
    <d v="2021-09-22T00:00:00"/>
    <x v="3"/>
    <x v="3"/>
    <x v="0"/>
    <n v="2403679614.0500002"/>
    <x v="3"/>
    <x v="3"/>
    <x v="0"/>
    <x v="6"/>
    <x v="4"/>
    <x v="3"/>
    <x v="4"/>
    <x v="3"/>
    <x v="7"/>
    <n v="22"/>
    <x v="0"/>
  </r>
  <r>
    <d v="2021-09-22T00:00:00"/>
    <x v="1"/>
    <x v="0"/>
    <x v="1"/>
    <n v="8778285439.0400009"/>
    <x v="1"/>
    <x v="0"/>
    <x v="1"/>
    <x v="9"/>
    <x v="4"/>
    <x v="3"/>
    <x v="4"/>
    <x v="3"/>
    <x v="7"/>
    <n v="22"/>
    <x v="0"/>
  </r>
  <r>
    <d v="2021-09-22T00:00:00"/>
    <x v="3"/>
    <x v="2"/>
    <x v="0"/>
    <n v="363241210.29000002"/>
    <x v="3"/>
    <x v="2"/>
    <x v="0"/>
    <x v="10"/>
    <x v="4"/>
    <x v="3"/>
    <x v="4"/>
    <x v="3"/>
    <x v="7"/>
    <n v="22"/>
    <x v="0"/>
  </r>
  <r>
    <d v="2021-09-22T00:00:00"/>
    <x v="3"/>
    <x v="1"/>
    <x v="0"/>
    <n v="11251183.050000001"/>
    <x v="3"/>
    <x v="1"/>
    <x v="0"/>
    <x v="11"/>
    <x v="4"/>
    <x v="3"/>
    <x v="4"/>
    <x v="3"/>
    <x v="7"/>
    <n v="22"/>
    <x v="0"/>
  </r>
  <r>
    <d v="2021-09-22T00:00:00"/>
    <x v="3"/>
    <x v="2"/>
    <x v="1"/>
    <n v="11783603559.959999"/>
    <x v="3"/>
    <x v="2"/>
    <x v="1"/>
    <x v="12"/>
    <x v="4"/>
    <x v="3"/>
    <x v="4"/>
    <x v="3"/>
    <x v="7"/>
    <n v="22"/>
    <x v="0"/>
  </r>
  <r>
    <d v="2021-09-21T00:00:00"/>
    <x v="2"/>
    <x v="1"/>
    <x v="2"/>
    <n v="10145"/>
    <x v="2"/>
    <x v="1"/>
    <x v="2"/>
    <x v="2"/>
    <x v="4"/>
    <x v="3"/>
    <x v="4"/>
    <x v="3"/>
    <x v="7"/>
    <n v="21"/>
    <x v="0"/>
  </r>
  <r>
    <d v="2021-09-21T00:00:00"/>
    <x v="3"/>
    <x v="2"/>
    <x v="2"/>
    <n v="232156.46"/>
    <x v="3"/>
    <x v="2"/>
    <x v="2"/>
    <x v="4"/>
    <x v="4"/>
    <x v="3"/>
    <x v="4"/>
    <x v="3"/>
    <x v="7"/>
    <n v="21"/>
    <x v="0"/>
  </r>
  <r>
    <d v="2021-09-21T00:00:00"/>
    <x v="3"/>
    <x v="3"/>
    <x v="0"/>
    <n v="2707641373.5799999"/>
    <x v="3"/>
    <x v="3"/>
    <x v="0"/>
    <x v="6"/>
    <x v="4"/>
    <x v="3"/>
    <x v="4"/>
    <x v="3"/>
    <x v="7"/>
    <n v="21"/>
    <x v="0"/>
  </r>
  <r>
    <d v="2021-09-21T00:00:00"/>
    <x v="0"/>
    <x v="1"/>
    <x v="0"/>
    <n v="22459740.32"/>
    <x v="0"/>
    <x v="1"/>
    <x v="0"/>
    <x v="0"/>
    <x v="4"/>
    <x v="3"/>
    <x v="4"/>
    <x v="3"/>
    <x v="7"/>
    <n v="21"/>
    <x v="0"/>
  </r>
  <r>
    <d v="2021-09-21T00:00:00"/>
    <x v="0"/>
    <x v="1"/>
    <x v="1"/>
    <n v="5743110.6600000001"/>
    <x v="0"/>
    <x v="1"/>
    <x v="1"/>
    <x v="3"/>
    <x v="4"/>
    <x v="3"/>
    <x v="4"/>
    <x v="3"/>
    <x v="7"/>
    <n v="21"/>
    <x v="0"/>
  </r>
  <r>
    <d v="2021-09-21T00:00:00"/>
    <x v="1"/>
    <x v="0"/>
    <x v="0"/>
    <n v="78189986.409999996"/>
    <x v="1"/>
    <x v="0"/>
    <x v="0"/>
    <x v="8"/>
    <x v="4"/>
    <x v="3"/>
    <x v="4"/>
    <x v="3"/>
    <x v="7"/>
    <n v="21"/>
    <x v="0"/>
  </r>
  <r>
    <d v="2021-09-21T00:00:00"/>
    <x v="1"/>
    <x v="0"/>
    <x v="2"/>
    <n v="3042.04"/>
    <x v="1"/>
    <x v="0"/>
    <x v="2"/>
    <x v="1"/>
    <x v="4"/>
    <x v="3"/>
    <x v="4"/>
    <x v="3"/>
    <x v="7"/>
    <n v="21"/>
    <x v="0"/>
  </r>
  <r>
    <d v="2021-09-21T00:00:00"/>
    <x v="2"/>
    <x v="1"/>
    <x v="1"/>
    <n v="285003303.88"/>
    <x v="2"/>
    <x v="1"/>
    <x v="1"/>
    <x v="7"/>
    <x v="4"/>
    <x v="3"/>
    <x v="4"/>
    <x v="3"/>
    <x v="7"/>
    <n v="21"/>
    <x v="0"/>
  </r>
  <r>
    <d v="2021-09-21T00:00:00"/>
    <x v="2"/>
    <x v="1"/>
    <x v="0"/>
    <n v="73642043.090000004"/>
    <x v="2"/>
    <x v="1"/>
    <x v="0"/>
    <x v="5"/>
    <x v="4"/>
    <x v="3"/>
    <x v="4"/>
    <x v="3"/>
    <x v="7"/>
    <n v="21"/>
    <x v="0"/>
  </r>
  <r>
    <d v="2021-09-21T00:00:00"/>
    <x v="1"/>
    <x v="0"/>
    <x v="1"/>
    <n v="14235781850.889999"/>
    <x v="1"/>
    <x v="0"/>
    <x v="1"/>
    <x v="9"/>
    <x v="4"/>
    <x v="3"/>
    <x v="4"/>
    <x v="3"/>
    <x v="7"/>
    <n v="21"/>
    <x v="0"/>
  </r>
  <r>
    <d v="2021-09-21T00:00:00"/>
    <x v="3"/>
    <x v="2"/>
    <x v="0"/>
    <n v="595207154.82000005"/>
    <x v="3"/>
    <x v="2"/>
    <x v="0"/>
    <x v="10"/>
    <x v="4"/>
    <x v="3"/>
    <x v="4"/>
    <x v="3"/>
    <x v="7"/>
    <n v="21"/>
    <x v="0"/>
  </r>
  <r>
    <d v="2021-09-21T00:00:00"/>
    <x v="3"/>
    <x v="1"/>
    <x v="0"/>
    <n v="10046968.58"/>
    <x v="3"/>
    <x v="1"/>
    <x v="0"/>
    <x v="11"/>
    <x v="4"/>
    <x v="3"/>
    <x v="4"/>
    <x v="3"/>
    <x v="7"/>
    <n v="21"/>
    <x v="0"/>
  </r>
  <r>
    <d v="2021-09-21T00:00:00"/>
    <x v="3"/>
    <x v="2"/>
    <x v="1"/>
    <n v="3917423539.46"/>
    <x v="3"/>
    <x v="2"/>
    <x v="1"/>
    <x v="12"/>
    <x v="4"/>
    <x v="3"/>
    <x v="4"/>
    <x v="3"/>
    <x v="7"/>
    <n v="21"/>
    <x v="0"/>
  </r>
  <r>
    <d v="2021-09-20T00:00:00"/>
    <x v="1"/>
    <x v="0"/>
    <x v="2"/>
    <n v="589.87"/>
    <x v="1"/>
    <x v="0"/>
    <x v="2"/>
    <x v="1"/>
    <x v="4"/>
    <x v="3"/>
    <x v="4"/>
    <x v="3"/>
    <x v="7"/>
    <n v="20"/>
    <x v="0"/>
  </r>
  <r>
    <d v="2021-09-20T00:00:00"/>
    <x v="2"/>
    <x v="1"/>
    <x v="2"/>
    <n v="27137.71"/>
    <x v="2"/>
    <x v="1"/>
    <x v="2"/>
    <x v="2"/>
    <x v="4"/>
    <x v="3"/>
    <x v="4"/>
    <x v="3"/>
    <x v="7"/>
    <n v="20"/>
    <x v="0"/>
  </r>
  <r>
    <d v="2021-09-20T00:00:00"/>
    <x v="0"/>
    <x v="1"/>
    <x v="0"/>
    <n v="9123583.7400000002"/>
    <x v="0"/>
    <x v="1"/>
    <x v="0"/>
    <x v="0"/>
    <x v="4"/>
    <x v="3"/>
    <x v="4"/>
    <x v="3"/>
    <x v="7"/>
    <n v="20"/>
    <x v="0"/>
  </r>
  <r>
    <d v="2021-09-20T00:00:00"/>
    <x v="3"/>
    <x v="3"/>
    <x v="0"/>
    <n v="1335071084.5599999"/>
    <x v="3"/>
    <x v="3"/>
    <x v="0"/>
    <x v="6"/>
    <x v="4"/>
    <x v="3"/>
    <x v="4"/>
    <x v="3"/>
    <x v="7"/>
    <n v="20"/>
    <x v="0"/>
  </r>
  <r>
    <d v="2021-09-20T00:00:00"/>
    <x v="2"/>
    <x v="1"/>
    <x v="1"/>
    <n v="716733535.79999995"/>
    <x v="2"/>
    <x v="1"/>
    <x v="1"/>
    <x v="7"/>
    <x v="4"/>
    <x v="3"/>
    <x v="4"/>
    <x v="3"/>
    <x v="7"/>
    <n v="20"/>
    <x v="0"/>
  </r>
  <r>
    <d v="2021-09-20T00:00:00"/>
    <x v="1"/>
    <x v="0"/>
    <x v="0"/>
    <n v="85203570.579999998"/>
    <x v="1"/>
    <x v="0"/>
    <x v="0"/>
    <x v="8"/>
    <x v="4"/>
    <x v="3"/>
    <x v="4"/>
    <x v="3"/>
    <x v="7"/>
    <n v="20"/>
    <x v="0"/>
  </r>
  <r>
    <d v="2021-09-20T00:00:00"/>
    <x v="0"/>
    <x v="1"/>
    <x v="1"/>
    <n v="15395395.98"/>
    <x v="0"/>
    <x v="1"/>
    <x v="1"/>
    <x v="3"/>
    <x v="4"/>
    <x v="3"/>
    <x v="4"/>
    <x v="3"/>
    <x v="7"/>
    <n v="20"/>
    <x v="0"/>
  </r>
  <r>
    <d v="2021-09-20T00:00:00"/>
    <x v="3"/>
    <x v="2"/>
    <x v="2"/>
    <n v="263190.89"/>
    <x v="3"/>
    <x v="2"/>
    <x v="2"/>
    <x v="4"/>
    <x v="4"/>
    <x v="3"/>
    <x v="4"/>
    <x v="3"/>
    <x v="7"/>
    <n v="20"/>
    <x v="0"/>
  </r>
  <r>
    <d v="2021-09-20T00:00:00"/>
    <x v="2"/>
    <x v="1"/>
    <x v="0"/>
    <n v="65326140.729999997"/>
    <x v="2"/>
    <x v="1"/>
    <x v="0"/>
    <x v="5"/>
    <x v="4"/>
    <x v="3"/>
    <x v="4"/>
    <x v="3"/>
    <x v="7"/>
    <n v="20"/>
    <x v="0"/>
  </r>
  <r>
    <d v="2021-09-20T00:00:00"/>
    <x v="1"/>
    <x v="0"/>
    <x v="1"/>
    <n v="5408457176.9200001"/>
    <x v="1"/>
    <x v="0"/>
    <x v="1"/>
    <x v="9"/>
    <x v="4"/>
    <x v="3"/>
    <x v="4"/>
    <x v="3"/>
    <x v="7"/>
    <n v="20"/>
    <x v="0"/>
  </r>
  <r>
    <d v="2021-09-20T00:00:00"/>
    <x v="3"/>
    <x v="2"/>
    <x v="0"/>
    <n v="522481185.01999998"/>
    <x v="3"/>
    <x v="2"/>
    <x v="0"/>
    <x v="10"/>
    <x v="4"/>
    <x v="3"/>
    <x v="4"/>
    <x v="3"/>
    <x v="7"/>
    <n v="20"/>
    <x v="0"/>
  </r>
  <r>
    <d v="2021-09-20T00:00:00"/>
    <x v="3"/>
    <x v="2"/>
    <x v="1"/>
    <n v="21122340122.369999"/>
    <x v="3"/>
    <x v="2"/>
    <x v="1"/>
    <x v="11"/>
    <x v="4"/>
    <x v="3"/>
    <x v="4"/>
    <x v="3"/>
    <x v="7"/>
    <n v="20"/>
    <x v="0"/>
  </r>
  <r>
    <d v="2021-09-20T00:00:00"/>
    <x v="3"/>
    <x v="1"/>
    <x v="0"/>
    <n v="39400840.479999997"/>
    <x v="3"/>
    <x v="1"/>
    <x v="0"/>
    <x v="12"/>
    <x v="4"/>
    <x v="3"/>
    <x v="4"/>
    <x v="3"/>
    <x v="7"/>
    <n v="20"/>
    <x v="0"/>
  </r>
  <r>
    <d v="2021-09-17T00:00:00"/>
    <x v="1"/>
    <x v="0"/>
    <x v="2"/>
    <n v="946.47"/>
    <x v="1"/>
    <x v="0"/>
    <x v="2"/>
    <x v="2"/>
    <x v="4"/>
    <x v="3"/>
    <x v="4"/>
    <x v="3"/>
    <x v="7"/>
    <n v="17"/>
    <x v="0"/>
  </r>
  <r>
    <d v="2021-09-17T00:00:00"/>
    <x v="2"/>
    <x v="1"/>
    <x v="2"/>
    <n v="6170"/>
    <x v="2"/>
    <x v="1"/>
    <x v="2"/>
    <x v="3"/>
    <x v="4"/>
    <x v="3"/>
    <x v="4"/>
    <x v="3"/>
    <x v="7"/>
    <n v="17"/>
    <x v="0"/>
  </r>
  <r>
    <d v="2021-09-17T00:00:00"/>
    <x v="0"/>
    <x v="1"/>
    <x v="0"/>
    <n v="20282482.789999999"/>
    <x v="0"/>
    <x v="1"/>
    <x v="0"/>
    <x v="1"/>
    <x v="4"/>
    <x v="3"/>
    <x v="4"/>
    <x v="3"/>
    <x v="7"/>
    <n v="17"/>
    <x v="0"/>
  </r>
  <r>
    <d v="2021-09-17T00:00:00"/>
    <x v="3"/>
    <x v="2"/>
    <x v="2"/>
    <n v="220030.17"/>
    <x v="3"/>
    <x v="2"/>
    <x v="2"/>
    <x v="6"/>
    <x v="4"/>
    <x v="3"/>
    <x v="4"/>
    <x v="3"/>
    <x v="7"/>
    <n v="17"/>
    <x v="0"/>
  </r>
  <r>
    <d v="2021-09-17T00:00:00"/>
    <x v="2"/>
    <x v="1"/>
    <x v="1"/>
    <n v="375304424.51999998"/>
    <x v="2"/>
    <x v="1"/>
    <x v="1"/>
    <x v="9"/>
    <x v="4"/>
    <x v="3"/>
    <x v="4"/>
    <x v="3"/>
    <x v="7"/>
    <n v="17"/>
    <x v="0"/>
  </r>
  <r>
    <d v="2021-09-17T00:00:00"/>
    <x v="3"/>
    <x v="3"/>
    <x v="1"/>
    <n v="1993097.1"/>
    <x v="3"/>
    <x v="3"/>
    <x v="1"/>
    <x v="4"/>
    <x v="4"/>
    <x v="3"/>
    <x v="4"/>
    <x v="3"/>
    <x v="7"/>
    <n v="17"/>
    <x v="0"/>
  </r>
  <r>
    <d v="2021-09-17T00:00:00"/>
    <x v="0"/>
    <x v="1"/>
    <x v="1"/>
    <n v="10583807.210000001"/>
    <x v="0"/>
    <x v="1"/>
    <x v="1"/>
    <x v="5"/>
    <x v="4"/>
    <x v="3"/>
    <x v="4"/>
    <x v="3"/>
    <x v="7"/>
    <n v="17"/>
    <x v="0"/>
  </r>
  <r>
    <d v="2021-09-17T00:00:00"/>
    <x v="0"/>
    <x v="0"/>
    <x v="0"/>
    <n v="462.78"/>
    <x v="0"/>
    <x v="0"/>
    <x v="0"/>
    <x v="0"/>
    <x v="4"/>
    <x v="3"/>
    <x v="4"/>
    <x v="3"/>
    <x v="7"/>
    <n v="17"/>
    <x v="0"/>
  </r>
  <r>
    <d v="2021-09-17T00:00:00"/>
    <x v="2"/>
    <x v="1"/>
    <x v="0"/>
    <n v="103033962.93000001"/>
    <x v="2"/>
    <x v="1"/>
    <x v="0"/>
    <x v="7"/>
    <x v="4"/>
    <x v="3"/>
    <x v="4"/>
    <x v="3"/>
    <x v="7"/>
    <n v="17"/>
    <x v="0"/>
  </r>
  <r>
    <d v="2021-09-17T00:00:00"/>
    <x v="3"/>
    <x v="3"/>
    <x v="0"/>
    <n v="1170814680.1900001"/>
    <x v="3"/>
    <x v="3"/>
    <x v="0"/>
    <x v="8"/>
    <x v="4"/>
    <x v="3"/>
    <x v="4"/>
    <x v="3"/>
    <x v="7"/>
    <n v="17"/>
    <x v="0"/>
  </r>
  <r>
    <d v="2021-09-17T00:00:00"/>
    <x v="1"/>
    <x v="0"/>
    <x v="0"/>
    <n v="81770578.909999996"/>
    <x v="1"/>
    <x v="0"/>
    <x v="0"/>
    <x v="10"/>
    <x v="4"/>
    <x v="3"/>
    <x v="4"/>
    <x v="3"/>
    <x v="7"/>
    <n v="17"/>
    <x v="0"/>
  </r>
  <r>
    <d v="2021-09-17T00:00:00"/>
    <x v="1"/>
    <x v="0"/>
    <x v="1"/>
    <n v="2958896127.2800002"/>
    <x v="1"/>
    <x v="0"/>
    <x v="1"/>
    <x v="11"/>
    <x v="4"/>
    <x v="3"/>
    <x v="4"/>
    <x v="3"/>
    <x v="7"/>
    <n v="17"/>
    <x v="0"/>
  </r>
  <r>
    <d v="2021-09-17T00:00:00"/>
    <x v="3"/>
    <x v="2"/>
    <x v="0"/>
    <n v="486594362.37"/>
    <x v="3"/>
    <x v="2"/>
    <x v="0"/>
    <x v="12"/>
    <x v="4"/>
    <x v="3"/>
    <x v="4"/>
    <x v="3"/>
    <x v="7"/>
    <n v="17"/>
    <x v="0"/>
  </r>
  <r>
    <d v="2021-09-17T00:00:00"/>
    <x v="3"/>
    <x v="1"/>
    <x v="0"/>
    <n v="12989668.439999999"/>
    <x v="3"/>
    <x v="1"/>
    <x v="0"/>
    <x v="13"/>
    <x v="4"/>
    <x v="3"/>
    <x v="4"/>
    <x v="3"/>
    <x v="7"/>
    <n v="17"/>
    <x v="0"/>
  </r>
  <r>
    <d v="2021-09-17T00:00:00"/>
    <x v="3"/>
    <x v="2"/>
    <x v="1"/>
    <n v="10931141680.309999"/>
    <x v="3"/>
    <x v="2"/>
    <x v="1"/>
    <x v="14"/>
    <x v="4"/>
    <x v="3"/>
    <x v="4"/>
    <x v="3"/>
    <x v="7"/>
    <n v="17"/>
    <x v="0"/>
  </r>
  <r>
    <d v="2021-09-16T00:00:00"/>
    <x v="1"/>
    <x v="0"/>
    <x v="2"/>
    <n v="326.11"/>
    <x v="1"/>
    <x v="0"/>
    <x v="2"/>
    <x v="1"/>
    <x v="4"/>
    <x v="3"/>
    <x v="4"/>
    <x v="3"/>
    <x v="7"/>
    <n v="16"/>
    <x v="0"/>
  </r>
  <r>
    <d v="2021-09-16T00:00:00"/>
    <x v="2"/>
    <x v="1"/>
    <x v="1"/>
    <n v="412287648.45999998"/>
    <x v="2"/>
    <x v="1"/>
    <x v="1"/>
    <x v="6"/>
    <x v="4"/>
    <x v="3"/>
    <x v="4"/>
    <x v="3"/>
    <x v="7"/>
    <n v="16"/>
    <x v="0"/>
  </r>
  <r>
    <d v="2021-09-16T00:00:00"/>
    <x v="0"/>
    <x v="1"/>
    <x v="1"/>
    <n v="3095057.72"/>
    <x v="0"/>
    <x v="1"/>
    <x v="1"/>
    <x v="2"/>
    <x v="4"/>
    <x v="3"/>
    <x v="4"/>
    <x v="3"/>
    <x v="7"/>
    <n v="16"/>
    <x v="0"/>
  </r>
  <r>
    <d v="2021-09-16T00:00:00"/>
    <x v="3"/>
    <x v="3"/>
    <x v="0"/>
    <n v="1174369420.29"/>
    <x v="3"/>
    <x v="3"/>
    <x v="0"/>
    <x v="7"/>
    <x v="4"/>
    <x v="3"/>
    <x v="4"/>
    <x v="3"/>
    <x v="7"/>
    <n v="16"/>
    <x v="0"/>
  </r>
  <r>
    <d v="2021-09-16T00:00:00"/>
    <x v="2"/>
    <x v="1"/>
    <x v="2"/>
    <n v="5985"/>
    <x v="2"/>
    <x v="1"/>
    <x v="2"/>
    <x v="3"/>
    <x v="4"/>
    <x v="3"/>
    <x v="4"/>
    <x v="3"/>
    <x v="7"/>
    <n v="16"/>
    <x v="0"/>
  </r>
  <r>
    <d v="2021-09-16T00:00:00"/>
    <x v="1"/>
    <x v="0"/>
    <x v="0"/>
    <n v="63002075.719999999"/>
    <x v="1"/>
    <x v="0"/>
    <x v="0"/>
    <x v="8"/>
    <x v="4"/>
    <x v="3"/>
    <x v="4"/>
    <x v="3"/>
    <x v="7"/>
    <n v="16"/>
    <x v="0"/>
  </r>
  <r>
    <d v="2021-09-16T00:00:00"/>
    <x v="0"/>
    <x v="1"/>
    <x v="0"/>
    <n v="14271985.390000001"/>
    <x v="0"/>
    <x v="1"/>
    <x v="0"/>
    <x v="0"/>
    <x v="4"/>
    <x v="3"/>
    <x v="4"/>
    <x v="3"/>
    <x v="7"/>
    <n v="16"/>
    <x v="0"/>
  </r>
  <r>
    <d v="2021-09-16T00:00:00"/>
    <x v="3"/>
    <x v="2"/>
    <x v="2"/>
    <n v="151896.53"/>
    <x v="3"/>
    <x v="2"/>
    <x v="2"/>
    <x v="4"/>
    <x v="4"/>
    <x v="3"/>
    <x v="4"/>
    <x v="3"/>
    <x v="7"/>
    <n v="16"/>
    <x v="0"/>
  </r>
  <r>
    <d v="2021-09-16T00:00:00"/>
    <x v="2"/>
    <x v="1"/>
    <x v="0"/>
    <n v="67169240.900000006"/>
    <x v="2"/>
    <x v="1"/>
    <x v="0"/>
    <x v="5"/>
    <x v="4"/>
    <x v="3"/>
    <x v="4"/>
    <x v="3"/>
    <x v="7"/>
    <n v="16"/>
    <x v="0"/>
  </r>
  <r>
    <d v="2021-09-16T00:00:00"/>
    <x v="1"/>
    <x v="0"/>
    <x v="1"/>
    <n v="4073997243.52"/>
    <x v="1"/>
    <x v="0"/>
    <x v="1"/>
    <x v="9"/>
    <x v="4"/>
    <x v="3"/>
    <x v="4"/>
    <x v="3"/>
    <x v="7"/>
    <n v="16"/>
    <x v="0"/>
  </r>
  <r>
    <d v="2021-09-16T00:00:00"/>
    <x v="3"/>
    <x v="2"/>
    <x v="0"/>
    <n v="353838953.38"/>
    <x v="3"/>
    <x v="2"/>
    <x v="0"/>
    <x v="10"/>
    <x v="4"/>
    <x v="3"/>
    <x v="4"/>
    <x v="3"/>
    <x v="7"/>
    <n v="16"/>
    <x v="0"/>
  </r>
  <r>
    <d v="2021-09-16T00:00:00"/>
    <x v="3"/>
    <x v="1"/>
    <x v="0"/>
    <n v="13116994.029999999"/>
    <x v="3"/>
    <x v="1"/>
    <x v="0"/>
    <x v="11"/>
    <x v="4"/>
    <x v="3"/>
    <x v="4"/>
    <x v="3"/>
    <x v="7"/>
    <n v="16"/>
    <x v="0"/>
  </r>
  <r>
    <d v="2021-09-16T00:00:00"/>
    <x v="3"/>
    <x v="2"/>
    <x v="1"/>
    <n v="21714364935.130001"/>
    <x v="3"/>
    <x v="2"/>
    <x v="1"/>
    <x v="12"/>
    <x v="4"/>
    <x v="3"/>
    <x v="4"/>
    <x v="3"/>
    <x v="7"/>
    <n v="16"/>
    <x v="0"/>
  </r>
  <r>
    <d v="2021-09-15T00:00:00"/>
    <x v="2"/>
    <x v="1"/>
    <x v="0"/>
    <n v="104353523.72"/>
    <x v="2"/>
    <x v="1"/>
    <x v="0"/>
    <x v="5"/>
    <x v="4"/>
    <x v="3"/>
    <x v="4"/>
    <x v="3"/>
    <x v="7"/>
    <n v="15"/>
    <x v="0"/>
  </r>
  <r>
    <d v="2021-09-15T00:00:00"/>
    <x v="3"/>
    <x v="2"/>
    <x v="2"/>
    <n v="546047.27"/>
    <x v="3"/>
    <x v="2"/>
    <x v="2"/>
    <x v="4"/>
    <x v="4"/>
    <x v="3"/>
    <x v="4"/>
    <x v="3"/>
    <x v="7"/>
    <n v="15"/>
    <x v="0"/>
  </r>
  <r>
    <d v="2021-09-15T00:00:00"/>
    <x v="2"/>
    <x v="1"/>
    <x v="1"/>
    <n v="194237148.09999999"/>
    <x v="2"/>
    <x v="1"/>
    <x v="1"/>
    <x v="7"/>
    <x v="4"/>
    <x v="3"/>
    <x v="4"/>
    <x v="3"/>
    <x v="7"/>
    <n v="15"/>
    <x v="0"/>
  </r>
  <r>
    <d v="2021-09-15T00:00:00"/>
    <x v="2"/>
    <x v="1"/>
    <x v="2"/>
    <n v="21181.43"/>
    <x v="2"/>
    <x v="1"/>
    <x v="2"/>
    <x v="3"/>
    <x v="4"/>
    <x v="3"/>
    <x v="4"/>
    <x v="3"/>
    <x v="7"/>
    <n v="15"/>
    <x v="0"/>
  </r>
  <r>
    <d v="2021-09-15T00:00:00"/>
    <x v="0"/>
    <x v="1"/>
    <x v="1"/>
    <n v="14117042.24"/>
    <x v="0"/>
    <x v="1"/>
    <x v="1"/>
    <x v="2"/>
    <x v="4"/>
    <x v="3"/>
    <x v="4"/>
    <x v="3"/>
    <x v="7"/>
    <n v="15"/>
    <x v="0"/>
  </r>
  <r>
    <d v="2021-09-15T00:00:00"/>
    <x v="1"/>
    <x v="0"/>
    <x v="1"/>
    <n v="5222135042.6199999"/>
    <x v="1"/>
    <x v="0"/>
    <x v="1"/>
    <x v="9"/>
    <x v="4"/>
    <x v="3"/>
    <x v="4"/>
    <x v="3"/>
    <x v="7"/>
    <n v="15"/>
    <x v="0"/>
  </r>
  <r>
    <d v="2021-09-15T00:00:00"/>
    <x v="0"/>
    <x v="1"/>
    <x v="0"/>
    <n v="33399030.469999999"/>
    <x v="0"/>
    <x v="1"/>
    <x v="0"/>
    <x v="1"/>
    <x v="4"/>
    <x v="3"/>
    <x v="4"/>
    <x v="3"/>
    <x v="7"/>
    <n v="15"/>
    <x v="0"/>
  </r>
  <r>
    <d v="2021-09-15T00:00:00"/>
    <x v="0"/>
    <x v="0"/>
    <x v="0"/>
    <n v="67401.42"/>
    <x v="0"/>
    <x v="0"/>
    <x v="0"/>
    <x v="0"/>
    <x v="4"/>
    <x v="3"/>
    <x v="4"/>
    <x v="3"/>
    <x v="7"/>
    <n v="15"/>
    <x v="0"/>
  </r>
  <r>
    <d v="2021-09-15T00:00:00"/>
    <x v="3"/>
    <x v="3"/>
    <x v="0"/>
    <n v="2409231458.8400002"/>
    <x v="3"/>
    <x v="3"/>
    <x v="0"/>
    <x v="6"/>
    <x v="4"/>
    <x v="3"/>
    <x v="4"/>
    <x v="3"/>
    <x v="7"/>
    <n v="15"/>
    <x v="0"/>
  </r>
  <r>
    <d v="2021-09-15T00:00:00"/>
    <x v="1"/>
    <x v="0"/>
    <x v="0"/>
    <n v="104711765.76000001"/>
    <x v="1"/>
    <x v="0"/>
    <x v="0"/>
    <x v="8"/>
    <x v="4"/>
    <x v="3"/>
    <x v="4"/>
    <x v="3"/>
    <x v="7"/>
    <n v="15"/>
    <x v="0"/>
  </r>
  <r>
    <d v="2021-09-15T00:00:00"/>
    <x v="3"/>
    <x v="2"/>
    <x v="0"/>
    <n v="525337949.23000002"/>
    <x v="3"/>
    <x v="2"/>
    <x v="0"/>
    <x v="10"/>
    <x v="4"/>
    <x v="3"/>
    <x v="4"/>
    <x v="3"/>
    <x v="7"/>
    <n v="15"/>
    <x v="0"/>
  </r>
  <r>
    <d v="2021-09-15T00:00:00"/>
    <x v="3"/>
    <x v="1"/>
    <x v="0"/>
    <n v="11744845.1"/>
    <x v="3"/>
    <x v="1"/>
    <x v="0"/>
    <x v="11"/>
    <x v="4"/>
    <x v="3"/>
    <x v="4"/>
    <x v="3"/>
    <x v="7"/>
    <n v="15"/>
    <x v="0"/>
  </r>
  <r>
    <d v="2021-09-15T00:00:00"/>
    <x v="3"/>
    <x v="2"/>
    <x v="1"/>
    <n v="83874122735.149994"/>
    <x v="3"/>
    <x v="2"/>
    <x v="1"/>
    <x v="12"/>
    <x v="4"/>
    <x v="3"/>
    <x v="4"/>
    <x v="3"/>
    <x v="7"/>
    <n v="15"/>
    <x v="0"/>
  </r>
  <r>
    <d v="2021-09-14T00:00:00"/>
    <x v="1"/>
    <x v="0"/>
    <x v="2"/>
    <n v="8637.07"/>
    <x v="1"/>
    <x v="0"/>
    <x v="2"/>
    <x v="2"/>
    <x v="4"/>
    <x v="3"/>
    <x v="4"/>
    <x v="3"/>
    <x v="7"/>
    <n v="14"/>
    <x v="0"/>
  </r>
  <r>
    <d v="2021-09-14T00:00:00"/>
    <x v="2"/>
    <x v="1"/>
    <x v="0"/>
    <n v="87380209.430000007"/>
    <x v="2"/>
    <x v="1"/>
    <x v="0"/>
    <x v="7"/>
    <x v="4"/>
    <x v="3"/>
    <x v="4"/>
    <x v="3"/>
    <x v="7"/>
    <n v="14"/>
    <x v="0"/>
  </r>
  <r>
    <d v="2021-09-14T00:00:00"/>
    <x v="0"/>
    <x v="1"/>
    <x v="0"/>
    <n v="11914566.619999999"/>
    <x v="0"/>
    <x v="1"/>
    <x v="0"/>
    <x v="1"/>
    <x v="4"/>
    <x v="3"/>
    <x v="4"/>
    <x v="3"/>
    <x v="7"/>
    <n v="14"/>
    <x v="0"/>
  </r>
  <r>
    <d v="2021-09-14T00:00:00"/>
    <x v="2"/>
    <x v="1"/>
    <x v="2"/>
    <n v="8595"/>
    <x v="2"/>
    <x v="1"/>
    <x v="2"/>
    <x v="3"/>
    <x v="4"/>
    <x v="3"/>
    <x v="4"/>
    <x v="3"/>
    <x v="7"/>
    <n v="14"/>
    <x v="0"/>
  </r>
  <r>
    <d v="2021-09-14T00:00:00"/>
    <x v="3"/>
    <x v="3"/>
    <x v="1"/>
    <n v="251911.86"/>
    <x v="3"/>
    <x v="3"/>
    <x v="1"/>
    <x v="4"/>
    <x v="4"/>
    <x v="3"/>
    <x v="4"/>
    <x v="3"/>
    <x v="7"/>
    <n v="14"/>
    <x v="0"/>
  </r>
  <r>
    <d v="2021-09-14T00:00:00"/>
    <x v="0"/>
    <x v="1"/>
    <x v="1"/>
    <n v="15100747.93"/>
    <x v="0"/>
    <x v="1"/>
    <x v="1"/>
    <x v="5"/>
    <x v="4"/>
    <x v="3"/>
    <x v="4"/>
    <x v="3"/>
    <x v="7"/>
    <n v="14"/>
    <x v="0"/>
  </r>
  <r>
    <d v="2021-09-14T00:00:00"/>
    <x v="1"/>
    <x v="0"/>
    <x v="0"/>
    <n v="90259437.790000007"/>
    <x v="1"/>
    <x v="0"/>
    <x v="0"/>
    <x v="10"/>
    <x v="4"/>
    <x v="3"/>
    <x v="4"/>
    <x v="3"/>
    <x v="7"/>
    <n v="14"/>
    <x v="0"/>
  </r>
  <r>
    <d v="2021-09-14T00:00:00"/>
    <x v="3"/>
    <x v="2"/>
    <x v="2"/>
    <n v="154058.38"/>
    <x v="3"/>
    <x v="2"/>
    <x v="2"/>
    <x v="6"/>
    <x v="4"/>
    <x v="3"/>
    <x v="4"/>
    <x v="3"/>
    <x v="7"/>
    <n v="14"/>
    <x v="0"/>
  </r>
  <r>
    <d v="2021-09-14T00:00:00"/>
    <x v="0"/>
    <x v="0"/>
    <x v="0"/>
    <n v="450"/>
    <x v="0"/>
    <x v="0"/>
    <x v="0"/>
    <x v="0"/>
    <x v="4"/>
    <x v="3"/>
    <x v="4"/>
    <x v="3"/>
    <x v="7"/>
    <n v="14"/>
    <x v="0"/>
  </r>
  <r>
    <d v="2021-09-14T00:00:00"/>
    <x v="3"/>
    <x v="3"/>
    <x v="0"/>
    <n v="1703238252.78"/>
    <x v="3"/>
    <x v="3"/>
    <x v="0"/>
    <x v="8"/>
    <x v="4"/>
    <x v="3"/>
    <x v="4"/>
    <x v="3"/>
    <x v="7"/>
    <n v="14"/>
    <x v="0"/>
  </r>
  <r>
    <d v="2021-09-14T00:00:00"/>
    <x v="2"/>
    <x v="1"/>
    <x v="1"/>
    <n v="138618764.43000001"/>
    <x v="2"/>
    <x v="1"/>
    <x v="1"/>
    <x v="9"/>
    <x v="4"/>
    <x v="3"/>
    <x v="4"/>
    <x v="3"/>
    <x v="7"/>
    <n v="14"/>
    <x v="0"/>
  </r>
  <r>
    <d v="2021-09-14T00:00:00"/>
    <x v="1"/>
    <x v="0"/>
    <x v="1"/>
    <n v="1862861540.21"/>
    <x v="1"/>
    <x v="0"/>
    <x v="1"/>
    <x v="11"/>
    <x v="4"/>
    <x v="3"/>
    <x v="4"/>
    <x v="3"/>
    <x v="7"/>
    <n v="14"/>
    <x v="0"/>
  </r>
  <r>
    <d v="2021-09-14T00:00:00"/>
    <x v="3"/>
    <x v="2"/>
    <x v="0"/>
    <n v="808762021.72000003"/>
    <x v="3"/>
    <x v="2"/>
    <x v="0"/>
    <x v="12"/>
    <x v="4"/>
    <x v="3"/>
    <x v="4"/>
    <x v="3"/>
    <x v="7"/>
    <n v="14"/>
    <x v="0"/>
  </r>
  <r>
    <d v="2021-09-14T00:00:00"/>
    <x v="3"/>
    <x v="1"/>
    <x v="0"/>
    <n v="9898469.9499999993"/>
    <x v="3"/>
    <x v="1"/>
    <x v="0"/>
    <x v="13"/>
    <x v="4"/>
    <x v="3"/>
    <x v="4"/>
    <x v="3"/>
    <x v="7"/>
    <n v="14"/>
    <x v="0"/>
  </r>
  <r>
    <d v="2021-09-14T00:00:00"/>
    <x v="3"/>
    <x v="2"/>
    <x v="1"/>
    <n v="30938060476.400002"/>
    <x v="3"/>
    <x v="2"/>
    <x v="1"/>
    <x v="14"/>
    <x v="4"/>
    <x v="3"/>
    <x v="4"/>
    <x v="3"/>
    <x v="7"/>
    <n v="14"/>
    <x v="0"/>
  </r>
  <r>
    <d v="2021-09-13T00:00:00"/>
    <x v="0"/>
    <x v="1"/>
    <x v="0"/>
    <n v="16668688.199999999"/>
    <x v="0"/>
    <x v="1"/>
    <x v="0"/>
    <x v="0"/>
    <x v="4"/>
    <x v="3"/>
    <x v="4"/>
    <x v="3"/>
    <x v="7"/>
    <n v="13"/>
    <x v="0"/>
  </r>
  <r>
    <d v="2021-09-13T00:00:00"/>
    <x v="2"/>
    <x v="1"/>
    <x v="2"/>
    <n v="39300.050000000003"/>
    <x v="2"/>
    <x v="1"/>
    <x v="2"/>
    <x v="2"/>
    <x v="4"/>
    <x v="3"/>
    <x v="4"/>
    <x v="3"/>
    <x v="7"/>
    <n v="13"/>
    <x v="0"/>
  </r>
  <r>
    <d v="2021-09-13T00:00:00"/>
    <x v="2"/>
    <x v="1"/>
    <x v="0"/>
    <n v="104740624.69"/>
    <x v="2"/>
    <x v="1"/>
    <x v="0"/>
    <x v="6"/>
    <x v="4"/>
    <x v="3"/>
    <x v="4"/>
    <x v="3"/>
    <x v="7"/>
    <n v="13"/>
    <x v="0"/>
  </r>
  <r>
    <d v="2021-09-13T00:00:00"/>
    <x v="2"/>
    <x v="1"/>
    <x v="1"/>
    <n v="273158876.01999998"/>
    <x v="2"/>
    <x v="1"/>
    <x v="1"/>
    <x v="7"/>
    <x v="4"/>
    <x v="3"/>
    <x v="4"/>
    <x v="3"/>
    <x v="7"/>
    <n v="13"/>
    <x v="0"/>
  </r>
  <r>
    <d v="2021-09-13T00:00:00"/>
    <x v="0"/>
    <x v="1"/>
    <x v="1"/>
    <n v="3873833.07"/>
    <x v="0"/>
    <x v="1"/>
    <x v="1"/>
    <x v="3"/>
    <x v="4"/>
    <x v="3"/>
    <x v="4"/>
    <x v="3"/>
    <x v="7"/>
    <n v="13"/>
    <x v="0"/>
  </r>
  <r>
    <d v="2021-09-13T00:00:00"/>
    <x v="1"/>
    <x v="0"/>
    <x v="0"/>
    <n v="65428330.649999999"/>
    <x v="1"/>
    <x v="0"/>
    <x v="0"/>
    <x v="8"/>
    <x v="4"/>
    <x v="3"/>
    <x v="4"/>
    <x v="3"/>
    <x v="7"/>
    <n v="13"/>
    <x v="0"/>
  </r>
  <r>
    <d v="2021-09-13T00:00:00"/>
    <x v="3"/>
    <x v="2"/>
    <x v="2"/>
    <n v="163861"/>
    <x v="3"/>
    <x v="2"/>
    <x v="2"/>
    <x v="4"/>
    <x v="4"/>
    <x v="3"/>
    <x v="4"/>
    <x v="3"/>
    <x v="7"/>
    <n v="13"/>
    <x v="0"/>
  </r>
  <r>
    <d v="2021-09-13T00:00:00"/>
    <x v="1"/>
    <x v="0"/>
    <x v="2"/>
    <n v="7326.77"/>
    <x v="1"/>
    <x v="0"/>
    <x v="2"/>
    <x v="1"/>
    <x v="4"/>
    <x v="3"/>
    <x v="4"/>
    <x v="3"/>
    <x v="7"/>
    <n v="13"/>
    <x v="0"/>
  </r>
  <r>
    <d v="2021-09-13T00:00:00"/>
    <x v="3"/>
    <x v="3"/>
    <x v="0"/>
    <n v="1097428788.6199999"/>
    <x v="3"/>
    <x v="3"/>
    <x v="0"/>
    <x v="5"/>
    <x v="4"/>
    <x v="3"/>
    <x v="4"/>
    <x v="3"/>
    <x v="7"/>
    <n v="13"/>
    <x v="0"/>
  </r>
  <r>
    <d v="2021-09-13T00:00:00"/>
    <x v="1"/>
    <x v="0"/>
    <x v="1"/>
    <n v="558693436.30999994"/>
    <x v="1"/>
    <x v="0"/>
    <x v="1"/>
    <x v="9"/>
    <x v="4"/>
    <x v="3"/>
    <x v="4"/>
    <x v="3"/>
    <x v="7"/>
    <n v="13"/>
    <x v="0"/>
  </r>
  <r>
    <d v="2021-09-13T00:00:00"/>
    <x v="3"/>
    <x v="2"/>
    <x v="0"/>
    <n v="513430142.73000002"/>
    <x v="3"/>
    <x v="2"/>
    <x v="0"/>
    <x v="10"/>
    <x v="4"/>
    <x v="3"/>
    <x v="4"/>
    <x v="3"/>
    <x v="7"/>
    <n v="13"/>
    <x v="0"/>
  </r>
  <r>
    <d v="2021-09-13T00:00:00"/>
    <x v="3"/>
    <x v="2"/>
    <x v="1"/>
    <n v="30958950292.049999"/>
    <x v="3"/>
    <x v="2"/>
    <x v="1"/>
    <x v="11"/>
    <x v="4"/>
    <x v="3"/>
    <x v="4"/>
    <x v="3"/>
    <x v="7"/>
    <n v="13"/>
    <x v="0"/>
  </r>
  <r>
    <d v="2021-09-13T00:00:00"/>
    <x v="3"/>
    <x v="1"/>
    <x v="0"/>
    <n v="38401692.520000003"/>
    <x v="3"/>
    <x v="1"/>
    <x v="0"/>
    <x v="12"/>
    <x v="4"/>
    <x v="3"/>
    <x v="4"/>
    <x v="3"/>
    <x v="7"/>
    <n v="13"/>
    <x v="0"/>
  </r>
  <r>
    <d v="2021-09-10T00:00:00"/>
    <x v="1"/>
    <x v="0"/>
    <x v="2"/>
    <n v="12493.48"/>
    <x v="1"/>
    <x v="0"/>
    <x v="2"/>
    <x v="2"/>
    <x v="4"/>
    <x v="3"/>
    <x v="4"/>
    <x v="3"/>
    <x v="7"/>
    <n v="10"/>
    <x v="0"/>
  </r>
  <r>
    <d v="2021-09-10T00:00:00"/>
    <x v="0"/>
    <x v="1"/>
    <x v="0"/>
    <n v="20250869.800000001"/>
    <x v="0"/>
    <x v="1"/>
    <x v="0"/>
    <x v="1"/>
    <x v="4"/>
    <x v="3"/>
    <x v="4"/>
    <x v="3"/>
    <x v="7"/>
    <n v="10"/>
    <x v="0"/>
  </r>
  <r>
    <d v="2021-09-10T00:00:00"/>
    <x v="3"/>
    <x v="2"/>
    <x v="2"/>
    <n v="206205.28"/>
    <x v="3"/>
    <x v="2"/>
    <x v="2"/>
    <x v="4"/>
    <x v="4"/>
    <x v="3"/>
    <x v="4"/>
    <x v="3"/>
    <x v="7"/>
    <n v="10"/>
    <x v="0"/>
  </r>
  <r>
    <d v="2021-09-10T00:00:00"/>
    <x v="1"/>
    <x v="0"/>
    <x v="0"/>
    <n v="69633102.079999998"/>
    <x v="1"/>
    <x v="0"/>
    <x v="0"/>
    <x v="8"/>
    <x v="4"/>
    <x v="3"/>
    <x v="4"/>
    <x v="3"/>
    <x v="7"/>
    <n v="10"/>
    <x v="0"/>
  </r>
  <r>
    <d v="2021-09-10T00:00:00"/>
    <x v="0"/>
    <x v="1"/>
    <x v="1"/>
    <n v="1969886"/>
    <x v="0"/>
    <x v="1"/>
    <x v="1"/>
    <x v="3"/>
    <x v="4"/>
    <x v="3"/>
    <x v="4"/>
    <x v="3"/>
    <x v="7"/>
    <n v="10"/>
    <x v="0"/>
  </r>
  <r>
    <d v="2021-09-10T00:00:00"/>
    <x v="3"/>
    <x v="3"/>
    <x v="0"/>
    <n v="1572557697.3299999"/>
    <x v="3"/>
    <x v="3"/>
    <x v="0"/>
    <x v="5"/>
    <x v="4"/>
    <x v="3"/>
    <x v="4"/>
    <x v="3"/>
    <x v="7"/>
    <n v="10"/>
    <x v="0"/>
  </r>
  <r>
    <d v="2021-09-10T00:00:00"/>
    <x v="2"/>
    <x v="1"/>
    <x v="0"/>
    <n v="58030340.869999997"/>
    <x v="2"/>
    <x v="1"/>
    <x v="0"/>
    <x v="6"/>
    <x v="4"/>
    <x v="3"/>
    <x v="4"/>
    <x v="3"/>
    <x v="7"/>
    <n v="10"/>
    <x v="0"/>
  </r>
  <r>
    <d v="2021-09-10T00:00:00"/>
    <x v="0"/>
    <x v="0"/>
    <x v="0"/>
    <n v="11380"/>
    <x v="0"/>
    <x v="0"/>
    <x v="0"/>
    <x v="0"/>
    <x v="4"/>
    <x v="3"/>
    <x v="4"/>
    <x v="3"/>
    <x v="7"/>
    <n v="10"/>
    <x v="0"/>
  </r>
  <r>
    <d v="2021-09-10T00:00:00"/>
    <x v="2"/>
    <x v="1"/>
    <x v="1"/>
    <n v="349999798.26999998"/>
    <x v="2"/>
    <x v="1"/>
    <x v="1"/>
    <x v="7"/>
    <x v="4"/>
    <x v="3"/>
    <x v="4"/>
    <x v="3"/>
    <x v="7"/>
    <n v="10"/>
    <x v="0"/>
  </r>
  <r>
    <d v="2021-09-10T00:00:00"/>
    <x v="1"/>
    <x v="0"/>
    <x v="1"/>
    <n v="1638507778.3199999"/>
    <x v="1"/>
    <x v="0"/>
    <x v="1"/>
    <x v="9"/>
    <x v="4"/>
    <x v="3"/>
    <x v="4"/>
    <x v="3"/>
    <x v="7"/>
    <n v="10"/>
    <x v="0"/>
  </r>
  <r>
    <d v="2021-09-10T00:00:00"/>
    <x v="3"/>
    <x v="2"/>
    <x v="0"/>
    <n v="454453419.54000002"/>
    <x v="3"/>
    <x v="2"/>
    <x v="0"/>
    <x v="10"/>
    <x v="4"/>
    <x v="3"/>
    <x v="4"/>
    <x v="3"/>
    <x v="7"/>
    <n v="10"/>
    <x v="0"/>
  </r>
  <r>
    <d v="2021-09-10T00:00:00"/>
    <x v="3"/>
    <x v="2"/>
    <x v="1"/>
    <n v="14831052878.139999"/>
    <x v="3"/>
    <x v="2"/>
    <x v="1"/>
    <x v="11"/>
    <x v="4"/>
    <x v="3"/>
    <x v="4"/>
    <x v="3"/>
    <x v="7"/>
    <n v="10"/>
    <x v="0"/>
  </r>
  <r>
    <d v="2021-09-10T00:00:00"/>
    <x v="3"/>
    <x v="1"/>
    <x v="0"/>
    <n v="12622998.029999999"/>
    <x v="3"/>
    <x v="1"/>
    <x v="0"/>
    <x v="12"/>
    <x v="4"/>
    <x v="3"/>
    <x v="4"/>
    <x v="3"/>
    <x v="7"/>
    <n v="10"/>
    <x v="0"/>
  </r>
  <r>
    <d v="2021-09-09T00:00:00"/>
    <x v="1"/>
    <x v="0"/>
    <x v="2"/>
    <n v="652.16999999999996"/>
    <x v="1"/>
    <x v="0"/>
    <x v="2"/>
    <x v="2"/>
    <x v="4"/>
    <x v="3"/>
    <x v="4"/>
    <x v="3"/>
    <x v="7"/>
    <n v="9"/>
    <x v="0"/>
  </r>
  <r>
    <d v="2021-09-09T00:00:00"/>
    <x v="0"/>
    <x v="1"/>
    <x v="0"/>
    <n v="16975733.649999999"/>
    <x v="0"/>
    <x v="1"/>
    <x v="0"/>
    <x v="1"/>
    <x v="4"/>
    <x v="3"/>
    <x v="4"/>
    <x v="3"/>
    <x v="7"/>
    <n v="9"/>
    <x v="0"/>
  </r>
  <r>
    <d v="2021-09-09T00:00:00"/>
    <x v="2"/>
    <x v="1"/>
    <x v="0"/>
    <n v="105236750.37"/>
    <x v="2"/>
    <x v="1"/>
    <x v="0"/>
    <x v="7"/>
    <x v="4"/>
    <x v="3"/>
    <x v="4"/>
    <x v="3"/>
    <x v="7"/>
    <n v="9"/>
    <x v="0"/>
  </r>
  <r>
    <d v="2021-09-09T00:00:00"/>
    <x v="2"/>
    <x v="1"/>
    <x v="2"/>
    <n v="10847.16"/>
    <x v="2"/>
    <x v="1"/>
    <x v="2"/>
    <x v="3"/>
    <x v="4"/>
    <x v="3"/>
    <x v="4"/>
    <x v="3"/>
    <x v="7"/>
    <n v="9"/>
    <x v="0"/>
  </r>
  <r>
    <d v="2021-09-09T00:00:00"/>
    <x v="2"/>
    <x v="1"/>
    <x v="1"/>
    <n v="926337571.98000002"/>
    <x v="2"/>
    <x v="1"/>
    <x v="1"/>
    <x v="8"/>
    <x v="4"/>
    <x v="3"/>
    <x v="4"/>
    <x v="3"/>
    <x v="7"/>
    <n v="9"/>
    <x v="0"/>
  </r>
  <r>
    <d v="2021-09-09T00:00:00"/>
    <x v="3"/>
    <x v="2"/>
    <x v="2"/>
    <n v="104765.7"/>
    <x v="3"/>
    <x v="2"/>
    <x v="2"/>
    <x v="6"/>
    <x v="4"/>
    <x v="3"/>
    <x v="4"/>
    <x v="3"/>
    <x v="7"/>
    <n v="9"/>
    <x v="0"/>
  </r>
  <r>
    <d v="2021-09-09T00:00:00"/>
    <x v="3"/>
    <x v="3"/>
    <x v="1"/>
    <n v="5568"/>
    <x v="3"/>
    <x v="3"/>
    <x v="1"/>
    <x v="4"/>
    <x v="4"/>
    <x v="3"/>
    <x v="4"/>
    <x v="3"/>
    <x v="7"/>
    <n v="9"/>
    <x v="0"/>
  </r>
  <r>
    <d v="2021-09-09T00:00:00"/>
    <x v="1"/>
    <x v="0"/>
    <x v="0"/>
    <n v="71825621.260000005"/>
    <x v="1"/>
    <x v="0"/>
    <x v="0"/>
    <x v="9"/>
    <x v="4"/>
    <x v="3"/>
    <x v="4"/>
    <x v="3"/>
    <x v="7"/>
    <n v="9"/>
    <x v="0"/>
  </r>
  <r>
    <d v="2021-09-09T00:00:00"/>
    <x v="3"/>
    <x v="3"/>
    <x v="0"/>
    <n v="1111326504.3399999"/>
    <x v="3"/>
    <x v="3"/>
    <x v="0"/>
    <x v="10"/>
    <x v="4"/>
    <x v="3"/>
    <x v="4"/>
    <x v="3"/>
    <x v="7"/>
    <n v="9"/>
    <x v="0"/>
  </r>
  <r>
    <d v="2021-09-09T00:00:00"/>
    <x v="0"/>
    <x v="1"/>
    <x v="1"/>
    <n v="16620764.5"/>
    <x v="0"/>
    <x v="1"/>
    <x v="1"/>
    <x v="5"/>
    <x v="4"/>
    <x v="3"/>
    <x v="4"/>
    <x v="3"/>
    <x v="7"/>
    <n v="9"/>
    <x v="0"/>
  </r>
  <r>
    <d v="2021-09-09T00:00:00"/>
    <x v="0"/>
    <x v="0"/>
    <x v="0"/>
    <n v="578.85"/>
    <x v="0"/>
    <x v="0"/>
    <x v="0"/>
    <x v="0"/>
    <x v="4"/>
    <x v="3"/>
    <x v="4"/>
    <x v="3"/>
    <x v="7"/>
    <n v="9"/>
    <x v="0"/>
  </r>
  <r>
    <d v="2021-09-09T00:00:00"/>
    <x v="1"/>
    <x v="0"/>
    <x v="1"/>
    <n v="2658607499.8899999"/>
    <x v="1"/>
    <x v="0"/>
    <x v="1"/>
    <x v="11"/>
    <x v="4"/>
    <x v="3"/>
    <x v="4"/>
    <x v="3"/>
    <x v="7"/>
    <n v="9"/>
    <x v="0"/>
  </r>
  <r>
    <d v="2021-09-09T00:00:00"/>
    <x v="3"/>
    <x v="2"/>
    <x v="0"/>
    <n v="429735935.63999999"/>
    <x v="3"/>
    <x v="2"/>
    <x v="0"/>
    <x v="12"/>
    <x v="4"/>
    <x v="3"/>
    <x v="4"/>
    <x v="3"/>
    <x v="7"/>
    <n v="9"/>
    <x v="0"/>
  </r>
  <r>
    <d v="2021-09-09T00:00:00"/>
    <x v="3"/>
    <x v="1"/>
    <x v="0"/>
    <n v="12683846.48"/>
    <x v="3"/>
    <x v="1"/>
    <x v="0"/>
    <x v="13"/>
    <x v="4"/>
    <x v="3"/>
    <x v="4"/>
    <x v="3"/>
    <x v="7"/>
    <n v="9"/>
    <x v="0"/>
  </r>
  <r>
    <d v="2021-09-09T00:00:00"/>
    <x v="3"/>
    <x v="2"/>
    <x v="1"/>
    <n v="11016438853.82"/>
    <x v="3"/>
    <x v="2"/>
    <x v="1"/>
    <x v="14"/>
    <x v="4"/>
    <x v="3"/>
    <x v="4"/>
    <x v="3"/>
    <x v="7"/>
    <n v="9"/>
    <x v="0"/>
  </r>
  <r>
    <d v="2021-09-08T00:00:00"/>
    <x v="0"/>
    <x v="1"/>
    <x v="0"/>
    <n v="13764369.82"/>
    <x v="0"/>
    <x v="1"/>
    <x v="0"/>
    <x v="0"/>
    <x v="4"/>
    <x v="3"/>
    <x v="4"/>
    <x v="3"/>
    <x v="7"/>
    <n v="8"/>
    <x v="0"/>
  </r>
  <r>
    <d v="2021-09-08T00:00:00"/>
    <x v="1"/>
    <x v="0"/>
    <x v="2"/>
    <n v="45219.6"/>
    <x v="1"/>
    <x v="0"/>
    <x v="2"/>
    <x v="1"/>
    <x v="4"/>
    <x v="3"/>
    <x v="4"/>
    <x v="3"/>
    <x v="7"/>
    <n v="8"/>
    <x v="0"/>
  </r>
  <r>
    <d v="2021-09-08T00:00:00"/>
    <x v="2"/>
    <x v="1"/>
    <x v="1"/>
    <n v="147050070.87"/>
    <x v="2"/>
    <x v="1"/>
    <x v="1"/>
    <x v="7"/>
    <x v="4"/>
    <x v="3"/>
    <x v="4"/>
    <x v="3"/>
    <x v="7"/>
    <n v="8"/>
    <x v="0"/>
  </r>
  <r>
    <d v="2021-09-08T00:00:00"/>
    <x v="1"/>
    <x v="0"/>
    <x v="1"/>
    <n v="854818990.01999998"/>
    <x v="1"/>
    <x v="0"/>
    <x v="1"/>
    <x v="9"/>
    <x v="4"/>
    <x v="3"/>
    <x v="4"/>
    <x v="3"/>
    <x v="7"/>
    <n v="8"/>
    <x v="0"/>
  </r>
  <r>
    <d v="2021-09-08T00:00:00"/>
    <x v="3"/>
    <x v="3"/>
    <x v="1"/>
    <n v="333484.75"/>
    <x v="3"/>
    <x v="3"/>
    <x v="1"/>
    <x v="3"/>
    <x v="4"/>
    <x v="3"/>
    <x v="4"/>
    <x v="3"/>
    <x v="7"/>
    <n v="8"/>
    <x v="0"/>
  </r>
  <r>
    <d v="2021-09-08T00:00:00"/>
    <x v="3"/>
    <x v="2"/>
    <x v="2"/>
    <n v="84753.12"/>
    <x v="3"/>
    <x v="2"/>
    <x v="2"/>
    <x v="5"/>
    <x v="4"/>
    <x v="3"/>
    <x v="4"/>
    <x v="3"/>
    <x v="7"/>
    <n v="8"/>
    <x v="0"/>
  </r>
  <r>
    <d v="2021-09-08T00:00:00"/>
    <x v="0"/>
    <x v="1"/>
    <x v="1"/>
    <n v="2001439.91"/>
    <x v="0"/>
    <x v="1"/>
    <x v="1"/>
    <x v="4"/>
    <x v="4"/>
    <x v="3"/>
    <x v="4"/>
    <x v="3"/>
    <x v="7"/>
    <n v="8"/>
    <x v="0"/>
  </r>
  <r>
    <d v="2021-09-08T00:00:00"/>
    <x v="2"/>
    <x v="1"/>
    <x v="0"/>
    <n v="76301095.540000007"/>
    <x v="2"/>
    <x v="1"/>
    <x v="0"/>
    <x v="6"/>
    <x v="4"/>
    <x v="3"/>
    <x v="4"/>
    <x v="3"/>
    <x v="7"/>
    <n v="8"/>
    <x v="0"/>
  </r>
  <r>
    <d v="2021-09-08T00:00:00"/>
    <x v="2"/>
    <x v="1"/>
    <x v="2"/>
    <n v="3987.56"/>
    <x v="2"/>
    <x v="1"/>
    <x v="2"/>
    <x v="2"/>
    <x v="4"/>
    <x v="3"/>
    <x v="4"/>
    <x v="3"/>
    <x v="7"/>
    <n v="8"/>
    <x v="0"/>
  </r>
  <r>
    <d v="2021-09-08T00:00:00"/>
    <x v="3"/>
    <x v="3"/>
    <x v="0"/>
    <n v="1841529442.0999999"/>
    <x v="3"/>
    <x v="3"/>
    <x v="0"/>
    <x v="8"/>
    <x v="4"/>
    <x v="3"/>
    <x v="4"/>
    <x v="3"/>
    <x v="7"/>
    <n v="8"/>
    <x v="0"/>
  </r>
  <r>
    <d v="2021-09-08T00:00:00"/>
    <x v="1"/>
    <x v="0"/>
    <x v="0"/>
    <n v="77133572.390000001"/>
    <x v="1"/>
    <x v="0"/>
    <x v="0"/>
    <x v="10"/>
    <x v="4"/>
    <x v="3"/>
    <x v="4"/>
    <x v="3"/>
    <x v="7"/>
    <n v="8"/>
    <x v="0"/>
  </r>
  <r>
    <d v="2021-09-08T00:00:00"/>
    <x v="3"/>
    <x v="2"/>
    <x v="0"/>
    <n v="758684922.04999995"/>
    <x v="3"/>
    <x v="2"/>
    <x v="0"/>
    <x v="11"/>
    <x v="4"/>
    <x v="3"/>
    <x v="4"/>
    <x v="3"/>
    <x v="7"/>
    <n v="8"/>
    <x v="0"/>
  </r>
  <r>
    <d v="2021-09-08T00:00:00"/>
    <x v="3"/>
    <x v="1"/>
    <x v="0"/>
    <n v="10618025.5"/>
    <x v="3"/>
    <x v="1"/>
    <x v="0"/>
    <x v="12"/>
    <x v="4"/>
    <x v="3"/>
    <x v="4"/>
    <x v="3"/>
    <x v="7"/>
    <n v="8"/>
    <x v="0"/>
  </r>
  <r>
    <d v="2021-09-08T00:00:00"/>
    <x v="3"/>
    <x v="2"/>
    <x v="1"/>
    <n v="6154429303.0900002"/>
    <x v="3"/>
    <x v="2"/>
    <x v="1"/>
    <x v="13"/>
    <x v="4"/>
    <x v="3"/>
    <x v="4"/>
    <x v="3"/>
    <x v="7"/>
    <n v="8"/>
    <x v="0"/>
  </r>
  <r>
    <d v="2021-09-07T00:00:00"/>
    <x v="1"/>
    <x v="0"/>
    <x v="2"/>
    <n v="21834.74"/>
    <x v="1"/>
    <x v="0"/>
    <x v="2"/>
    <x v="2"/>
    <x v="4"/>
    <x v="3"/>
    <x v="4"/>
    <x v="3"/>
    <x v="7"/>
    <n v="7"/>
    <x v="0"/>
  </r>
  <r>
    <d v="2021-09-07T00:00:00"/>
    <x v="3"/>
    <x v="2"/>
    <x v="2"/>
    <n v="210358.34"/>
    <x v="3"/>
    <x v="2"/>
    <x v="2"/>
    <x v="4"/>
    <x v="4"/>
    <x v="3"/>
    <x v="4"/>
    <x v="3"/>
    <x v="7"/>
    <n v="7"/>
    <x v="0"/>
  </r>
  <r>
    <d v="2021-09-07T00:00:00"/>
    <x v="0"/>
    <x v="1"/>
    <x v="0"/>
    <n v="14797234.949999999"/>
    <x v="0"/>
    <x v="1"/>
    <x v="0"/>
    <x v="1"/>
    <x v="4"/>
    <x v="3"/>
    <x v="4"/>
    <x v="3"/>
    <x v="7"/>
    <n v="7"/>
    <x v="0"/>
  </r>
  <r>
    <d v="2021-09-07T00:00:00"/>
    <x v="2"/>
    <x v="1"/>
    <x v="2"/>
    <n v="28305.94"/>
    <x v="2"/>
    <x v="1"/>
    <x v="2"/>
    <x v="3"/>
    <x v="4"/>
    <x v="3"/>
    <x v="4"/>
    <x v="3"/>
    <x v="7"/>
    <n v="7"/>
    <x v="0"/>
  </r>
  <r>
    <d v="2021-09-07T00:00:00"/>
    <x v="2"/>
    <x v="1"/>
    <x v="1"/>
    <n v="131792292.97"/>
    <x v="2"/>
    <x v="1"/>
    <x v="1"/>
    <x v="7"/>
    <x v="4"/>
    <x v="3"/>
    <x v="4"/>
    <x v="3"/>
    <x v="7"/>
    <n v="7"/>
    <x v="0"/>
  </r>
  <r>
    <d v="2021-09-07T00:00:00"/>
    <x v="1"/>
    <x v="0"/>
    <x v="1"/>
    <n v="608035520.67999995"/>
    <x v="1"/>
    <x v="0"/>
    <x v="1"/>
    <x v="8"/>
    <x v="4"/>
    <x v="3"/>
    <x v="4"/>
    <x v="3"/>
    <x v="7"/>
    <n v="7"/>
    <x v="0"/>
  </r>
  <r>
    <d v="2021-09-07T00:00:00"/>
    <x v="3"/>
    <x v="3"/>
    <x v="0"/>
    <n v="2606676847.7800002"/>
    <x v="3"/>
    <x v="3"/>
    <x v="0"/>
    <x v="9"/>
    <x v="4"/>
    <x v="3"/>
    <x v="4"/>
    <x v="3"/>
    <x v="7"/>
    <n v="7"/>
    <x v="0"/>
  </r>
  <r>
    <d v="2021-09-07T00:00:00"/>
    <x v="1"/>
    <x v="0"/>
    <x v="0"/>
    <n v="76212348.140000001"/>
    <x v="1"/>
    <x v="0"/>
    <x v="0"/>
    <x v="10"/>
    <x v="4"/>
    <x v="3"/>
    <x v="4"/>
    <x v="3"/>
    <x v="7"/>
    <n v="7"/>
    <x v="0"/>
  </r>
  <r>
    <d v="2021-09-07T00:00:00"/>
    <x v="0"/>
    <x v="0"/>
    <x v="0"/>
    <n v="300"/>
    <x v="0"/>
    <x v="0"/>
    <x v="0"/>
    <x v="0"/>
    <x v="4"/>
    <x v="3"/>
    <x v="4"/>
    <x v="3"/>
    <x v="7"/>
    <n v="7"/>
    <x v="0"/>
  </r>
  <r>
    <d v="2021-09-07T00:00:00"/>
    <x v="0"/>
    <x v="1"/>
    <x v="1"/>
    <n v="30704922.309999999"/>
    <x v="0"/>
    <x v="1"/>
    <x v="1"/>
    <x v="5"/>
    <x v="4"/>
    <x v="3"/>
    <x v="4"/>
    <x v="3"/>
    <x v="7"/>
    <n v="7"/>
    <x v="0"/>
  </r>
  <r>
    <d v="2021-09-07T00:00:00"/>
    <x v="2"/>
    <x v="1"/>
    <x v="0"/>
    <n v="98238103.739999995"/>
    <x v="2"/>
    <x v="1"/>
    <x v="0"/>
    <x v="6"/>
    <x v="4"/>
    <x v="3"/>
    <x v="4"/>
    <x v="3"/>
    <x v="7"/>
    <n v="7"/>
    <x v="0"/>
  </r>
  <r>
    <d v="2021-09-07T00:00:00"/>
    <x v="3"/>
    <x v="2"/>
    <x v="0"/>
    <n v="528868328.92000002"/>
    <x v="3"/>
    <x v="2"/>
    <x v="0"/>
    <x v="11"/>
    <x v="4"/>
    <x v="3"/>
    <x v="4"/>
    <x v="3"/>
    <x v="7"/>
    <n v="7"/>
    <x v="0"/>
  </r>
  <r>
    <d v="2021-09-07T00:00:00"/>
    <x v="3"/>
    <x v="2"/>
    <x v="1"/>
    <n v="21785391972.240002"/>
    <x v="3"/>
    <x v="2"/>
    <x v="1"/>
    <x v="12"/>
    <x v="4"/>
    <x v="3"/>
    <x v="4"/>
    <x v="3"/>
    <x v="7"/>
    <n v="7"/>
    <x v="0"/>
  </r>
  <r>
    <d v="2021-09-07T00:00:00"/>
    <x v="3"/>
    <x v="1"/>
    <x v="0"/>
    <n v="50339156.350000001"/>
    <x v="3"/>
    <x v="1"/>
    <x v="0"/>
    <x v="13"/>
    <x v="4"/>
    <x v="3"/>
    <x v="4"/>
    <x v="3"/>
    <x v="7"/>
    <n v="7"/>
    <x v="0"/>
  </r>
  <r>
    <d v="2021-09-03T00:00:00"/>
    <x v="2"/>
    <x v="1"/>
    <x v="2"/>
    <n v="4490"/>
    <x v="2"/>
    <x v="1"/>
    <x v="2"/>
    <x v="2"/>
    <x v="4"/>
    <x v="3"/>
    <x v="4"/>
    <x v="3"/>
    <x v="7"/>
    <n v="3"/>
    <x v="0"/>
  </r>
  <r>
    <d v="2021-09-03T00:00:00"/>
    <x v="1"/>
    <x v="0"/>
    <x v="2"/>
    <n v="19653.98"/>
    <x v="1"/>
    <x v="0"/>
    <x v="2"/>
    <x v="3"/>
    <x v="4"/>
    <x v="3"/>
    <x v="4"/>
    <x v="3"/>
    <x v="7"/>
    <n v="3"/>
    <x v="0"/>
  </r>
  <r>
    <d v="2021-09-03T00:00:00"/>
    <x v="0"/>
    <x v="1"/>
    <x v="0"/>
    <n v="11707809.699999999"/>
    <x v="0"/>
    <x v="1"/>
    <x v="0"/>
    <x v="1"/>
    <x v="4"/>
    <x v="3"/>
    <x v="4"/>
    <x v="3"/>
    <x v="7"/>
    <n v="3"/>
    <x v="0"/>
  </r>
  <r>
    <d v="2021-09-03T00:00:00"/>
    <x v="2"/>
    <x v="1"/>
    <x v="0"/>
    <n v="81621233.030000001"/>
    <x v="2"/>
    <x v="1"/>
    <x v="0"/>
    <x v="6"/>
    <x v="4"/>
    <x v="3"/>
    <x v="4"/>
    <x v="3"/>
    <x v="7"/>
    <n v="3"/>
    <x v="0"/>
  </r>
  <r>
    <d v="2021-09-03T00:00:00"/>
    <x v="3"/>
    <x v="2"/>
    <x v="2"/>
    <n v="167880.35"/>
    <x v="3"/>
    <x v="2"/>
    <x v="2"/>
    <x v="5"/>
    <x v="4"/>
    <x v="3"/>
    <x v="4"/>
    <x v="3"/>
    <x v="7"/>
    <n v="3"/>
    <x v="0"/>
  </r>
  <r>
    <d v="2021-09-03T00:00:00"/>
    <x v="1"/>
    <x v="0"/>
    <x v="1"/>
    <n v="149472150.69999999"/>
    <x v="1"/>
    <x v="0"/>
    <x v="1"/>
    <x v="9"/>
    <x v="4"/>
    <x v="3"/>
    <x v="4"/>
    <x v="3"/>
    <x v="7"/>
    <n v="3"/>
    <x v="0"/>
  </r>
  <r>
    <d v="2021-09-03T00:00:00"/>
    <x v="1"/>
    <x v="0"/>
    <x v="0"/>
    <n v="60904536.210000001"/>
    <x v="1"/>
    <x v="0"/>
    <x v="0"/>
    <x v="10"/>
    <x v="4"/>
    <x v="3"/>
    <x v="4"/>
    <x v="3"/>
    <x v="7"/>
    <n v="3"/>
    <x v="0"/>
  </r>
  <r>
    <d v="2021-09-03T00:00:00"/>
    <x v="0"/>
    <x v="1"/>
    <x v="1"/>
    <n v="5150418.62"/>
    <x v="0"/>
    <x v="1"/>
    <x v="1"/>
    <x v="4"/>
    <x v="4"/>
    <x v="3"/>
    <x v="4"/>
    <x v="3"/>
    <x v="7"/>
    <n v="3"/>
    <x v="0"/>
  </r>
  <r>
    <d v="2021-09-03T00:00:00"/>
    <x v="3"/>
    <x v="3"/>
    <x v="0"/>
    <n v="2162697190.2399998"/>
    <x v="3"/>
    <x v="3"/>
    <x v="0"/>
    <x v="7"/>
    <x v="4"/>
    <x v="3"/>
    <x v="4"/>
    <x v="3"/>
    <x v="7"/>
    <n v="3"/>
    <x v="0"/>
  </r>
  <r>
    <d v="2021-09-03T00:00:00"/>
    <x v="0"/>
    <x v="0"/>
    <x v="0"/>
    <n v="225.8"/>
    <x v="0"/>
    <x v="0"/>
    <x v="0"/>
    <x v="0"/>
    <x v="4"/>
    <x v="3"/>
    <x v="4"/>
    <x v="3"/>
    <x v="7"/>
    <n v="3"/>
    <x v="0"/>
  </r>
  <r>
    <d v="2021-09-03T00:00:00"/>
    <x v="2"/>
    <x v="1"/>
    <x v="1"/>
    <n v="92642632.609999999"/>
    <x v="2"/>
    <x v="1"/>
    <x v="1"/>
    <x v="8"/>
    <x v="4"/>
    <x v="3"/>
    <x v="4"/>
    <x v="3"/>
    <x v="7"/>
    <n v="3"/>
    <x v="0"/>
  </r>
  <r>
    <d v="2021-09-03T00:00:00"/>
    <x v="3"/>
    <x v="2"/>
    <x v="0"/>
    <n v="490293994.32999998"/>
    <x v="3"/>
    <x v="2"/>
    <x v="0"/>
    <x v="11"/>
    <x v="4"/>
    <x v="3"/>
    <x v="4"/>
    <x v="3"/>
    <x v="7"/>
    <n v="3"/>
    <x v="0"/>
  </r>
  <r>
    <d v="2021-09-03T00:00:00"/>
    <x v="3"/>
    <x v="2"/>
    <x v="1"/>
    <n v="14344666389.66"/>
    <x v="3"/>
    <x v="2"/>
    <x v="1"/>
    <x v="12"/>
    <x v="4"/>
    <x v="3"/>
    <x v="4"/>
    <x v="3"/>
    <x v="7"/>
    <n v="3"/>
    <x v="0"/>
  </r>
  <r>
    <d v="2021-09-03T00:00:00"/>
    <x v="3"/>
    <x v="1"/>
    <x v="0"/>
    <n v="13178761.48"/>
    <x v="3"/>
    <x v="1"/>
    <x v="0"/>
    <x v="13"/>
    <x v="4"/>
    <x v="3"/>
    <x v="4"/>
    <x v="3"/>
    <x v="7"/>
    <n v="3"/>
    <x v="0"/>
  </r>
  <r>
    <d v="2021-09-02T00:00:00"/>
    <x v="1"/>
    <x v="0"/>
    <x v="2"/>
    <n v="3671.91"/>
    <x v="1"/>
    <x v="0"/>
    <x v="2"/>
    <x v="1"/>
    <x v="4"/>
    <x v="3"/>
    <x v="4"/>
    <x v="3"/>
    <x v="7"/>
    <n v="2"/>
    <x v="0"/>
  </r>
  <r>
    <d v="2021-09-02T00:00:00"/>
    <x v="3"/>
    <x v="2"/>
    <x v="2"/>
    <n v="3005582"/>
    <x v="3"/>
    <x v="2"/>
    <x v="2"/>
    <x v="2"/>
    <x v="4"/>
    <x v="3"/>
    <x v="4"/>
    <x v="3"/>
    <x v="7"/>
    <n v="2"/>
    <x v="0"/>
  </r>
  <r>
    <d v="2021-09-02T00:00:00"/>
    <x v="3"/>
    <x v="3"/>
    <x v="0"/>
    <n v="1914455268.8399999"/>
    <x v="3"/>
    <x v="3"/>
    <x v="0"/>
    <x v="6"/>
    <x v="4"/>
    <x v="3"/>
    <x v="4"/>
    <x v="3"/>
    <x v="7"/>
    <n v="2"/>
    <x v="0"/>
  </r>
  <r>
    <d v="2021-09-02T00:00:00"/>
    <x v="2"/>
    <x v="1"/>
    <x v="0"/>
    <n v="105709952.86"/>
    <x v="2"/>
    <x v="1"/>
    <x v="0"/>
    <x v="7"/>
    <x v="4"/>
    <x v="3"/>
    <x v="4"/>
    <x v="3"/>
    <x v="7"/>
    <n v="2"/>
    <x v="0"/>
  </r>
  <r>
    <d v="2021-09-02T00:00:00"/>
    <x v="2"/>
    <x v="1"/>
    <x v="1"/>
    <n v="109415734.53"/>
    <x v="2"/>
    <x v="1"/>
    <x v="1"/>
    <x v="8"/>
    <x v="4"/>
    <x v="3"/>
    <x v="4"/>
    <x v="3"/>
    <x v="7"/>
    <n v="2"/>
    <x v="0"/>
  </r>
  <r>
    <d v="2021-09-02T00:00:00"/>
    <x v="3"/>
    <x v="3"/>
    <x v="1"/>
    <n v="2387639.48"/>
    <x v="3"/>
    <x v="3"/>
    <x v="1"/>
    <x v="3"/>
    <x v="4"/>
    <x v="3"/>
    <x v="4"/>
    <x v="3"/>
    <x v="7"/>
    <n v="2"/>
    <x v="0"/>
  </r>
  <r>
    <d v="2021-09-02T00:00:00"/>
    <x v="0"/>
    <x v="1"/>
    <x v="1"/>
    <n v="3022693.32"/>
    <x v="0"/>
    <x v="1"/>
    <x v="1"/>
    <x v="4"/>
    <x v="4"/>
    <x v="3"/>
    <x v="4"/>
    <x v="3"/>
    <x v="7"/>
    <n v="2"/>
    <x v="0"/>
  </r>
  <r>
    <d v="2021-09-02T00:00:00"/>
    <x v="1"/>
    <x v="0"/>
    <x v="0"/>
    <n v="63806408.810000002"/>
    <x v="1"/>
    <x v="0"/>
    <x v="0"/>
    <x v="9"/>
    <x v="4"/>
    <x v="3"/>
    <x v="4"/>
    <x v="3"/>
    <x v="7"/>
    <n v="2"/>
    <x v="0"/>
  </r>
  <r>
    <d v="2021-09-02T00:00:00"/>
    <x v="0"/>
    <x v="1"/>
    <x v="0"/>
    <n v="18872603.719999999"/>
    <x v="0"/>
    <x v="1"/>
    <x v="0"/>
    <x v="0"/>
    <x v="4"/>
    <x v="3"/>
    <x v="4"/>
    <x v="3"/>
    <x v="7"/>
    <n v="2"/>
    <x v="0"/>
  </r>
  <r>
    <d v="2021-09-02T00:00:00"/>
    <x v="2"/>
    <x v="1"/>
    <x v="2"/>
    <n v="7255"/>
    <x v="2"/>
    <x v="1"/>
    <x v="2"/>
    <x v="5"/>
    <x v="4"/>
    <x v="3"/>
    <x v="4"/>
    <x v="3"/>
    <x v="7"/>
    <n v="2"/>
    <x v="0"/>
  </r>
  <r>
    <d v="2021-09-02T00:00:00"/>
    <x v="1"/>
    <x v="0"/>
    <x v="1"/>
    <n v="248671406.25999999"/>
    <x v="1"/>
    <x v="0"/>
    <x v="1"/>
    <x v="10"/>
    <x v="4"/>
    <x v="3"/>
    <x v="4"/>
    <x v="3"/>
    <x v="7"/>
    <n v="2"/>
    <x v="0"/>
  </r>
  <r>
    <d v="2021-09-02T00:00:00"/>
    <x v="3"/>
    <x v="2"/>
    <x v="0"/>
    <n v="890905408.38"/>
    <x v="3"/>
    <x v="2"/>
    <x v="0"/>
    <x v="11"/>
    <x v="4"/>
    <x v="3"/>
    <x v="4"/>
    <x v="3"/>
    <x v="7"/>
    <n v="2"/>
    <x v="0"/>
  </r>
  <r>
    <d v="2021-09-02T00:00:00"/>
    <x v="3"/>
    <x v="2"/>
    <x v="1"/>
    <n v="7884118632.2700005"/>
    <x v="3"/>
    <x v="2"/>
    <x v="1"/>
    <x v="12"/>
    <x v="4"/>
    <x v="3"/>
    <x v="4"/>
    <x v="3"/>
    <x v="7"/>
    <n v="2"/>
    <x v="0"/>
  </r>
  <r>
    <d v="2021-09-02T00:00:00"/>
    <x v="3"/>
    <x v="1"/>
    <x v="0"/>
    <n v="14026195.689999999"/>
    <x v="3"/>
    <x v="1"/>
    <x v="0"/>
    <x v="13"/>
    <x v="4"/>
    <x v="3"/>
    <x v="4"/>
    <x v="3"/>
    <x v="7"/>
    <n v="2"/>
    <x v="0"/>
  </r>
  <r>
    <d v="2021-09-01T00:00:00"/>
    <x v="2"/>
    <x v="1"/>
    <x v="2"/>
    <n v="83197.399999999994"/>
    <x v="2"/>
    <x v="1"/>
    <x v="2"/>
    <x v="2"/>
    <x v="4"/>
    <x v="3"/>
    <x v="4"/>
    <x v="3"/>
    <x v="7"/>
    <n v="1"/>
    <x v="0"/>
  </r>
  <r>
    <d v="2021-09-01T00:00:00"/>
    <x v="0"/>
    <x v="1"/>
    <x v="1"/>
    <n v="18619933.84"/>
    <x v="0"/>
    <x v="1"/>
    <x v="1"/>
    <x v="4"/>
    <x v="4"/>
    <x v="3"/>
    <x v="4"/>
    <x v="3"/>
    <x v="7"/>
    <n v="1"/>
    <x v="0"/>
  </r>
  <r>
    <d v="2021-09-01T00:00:00"/>
    <x v="1"/>
    <x v="0"/>
    <x v="1"/>
    <n v="1127213812.9400001"/>
    <x v="1"/>
    <x v="0"/>
    <x v="1"/>
    <x v="9"/>
    <x v="4"/>
    <x v="3"/>
    <x v="4"/>
    <x v="3"/>
    <x v="7"/>
    <n v="1"/>
    <x v="0"/>
  </r>
  <r>
    <d v="2021-09-01T00:00:00"/>
    <x v="0"/>
    <x v="1"/>
    <x v="0"/>
    <n v="5710075.9500000002"/>
    <x v="0"/>
    <x v="1"/>
    <x v="0"/>
    <x v="0"/>
    <x v="4"/>
    <x v="3"/>
    <x v="4"/>
    <x v="3"/>
    <x v="7"/>
    <n v="1"/>
    <x v="0"/>
  </r>
  <r>
    <d v="2021-09-01T00:00:00"/>
    <x v="3"/>
    <x v="2"/>
    <x v="2"/>
    <n v="48810.74"/>
    <x v="3"/>
    <x v="2"/>
    <x v="2"/>
    <x v="5"/>
    <x v="4"/>
    <x v="3"/>
    <x v="4"/>
    <x v="3"/>
    <x v="7"/>
    <n v="1"/>
    <x v="0"/>
  </r>
  <r>
    <d v="2021-09-01T00:00:00"/>
    <x v="1"/>
    <x v="0"/>
    <x v="2"/>
    <n v="7225.3"/>
    <x v="1"/>
    <x v="0"/>
    <x v="2"/>
    <x v="1"/>
    <x v="4"/>
    <x v="3"/>
    <x v="4"/>
    <x v="3"/>
    <x v="7"/>
    <n v="1"/>
    <x v="0"/>
  </r>
  <r>
    <d v="2021-09-01T00:00:00"/>
    <x v="2"/>
    <x v="1"/>
    <x v="1"/>
    <n v="235704089.78"/>
    <x v="2"/>
    <x v="1"/>
    <x v="1"/>
    <x v="8"/>
    <x v="4"/>
    <x v="3"/>
    <x v="4"/>
    <x v="3"/>
    <x v="7"/>
    <n v="1"/>
    <x v="0"/>
  </r>
  <r>
    <d v="2021-09-01T00:00:00"/>
    <x v="3"/>
    <x v="3"/>
    <x v="1"/>
    <n v="2578954.0499999998"/>
    <x v="3"/>
    <x v="3"/>
    <x v="1"/>
    <x v="3"/>
    <x v="4"/>
    <x v="3"/>
    <x v="4"/>
    <x v="3"/>
    <x v="7"/>
    <n v="1"/>
    <x v="0"/>
  </r>
  <r>
    <d v="2021-09-01T00:00:00"/>
    <x v="3"/>
    <x v="3"/>
    <x v="0"/>
    <n v="3232221417.54"/>
    <x v="3"/>
    <x v="3"/>
    <x v="0"/>
    <x v="6"/>
    <x v="4"/>
    <x v="3"/>
    <x v="4"/>
    <x v="3"/>
    <x v="7"/>
    <n v="1"/>
    <x v="0"/>
  </r>
  <r>
    <d v="2021-09-01T00:00:00"/>
    <x v="2"/>
    <x v="1"/>
    <x v="0"/>
    <n v="112237114.18000001"/>
    <x v="2"/>
    <x v="1"/>
    <x v="0"/>
    <x v="7"/>
    <x v="4"/>
    <x v="3"/>
    <x v="4"/>
    <x v="3"/>
    <x v="7"/>
    <n v="1"/>
    <x v="0"/>
  </r>
  <r>
    <d v="2021-09-01T00:00:00"/>
    <x v="1"/>
    <x v="0"/>
    <x v="0"/>
    <n v="81033714.079999998"/>
    <x v="1"/>
    <x v="0"/>
    <x v="0"/>
    <x v="10"/>
    <x v="4"/>
    <x v="3"/>
    <x v="4"/>
    <x v="3"/>
    <x v="7"/>
    <n v="1"/>
    <x v="0"/>
  </r>
  <r>
    <d v="2021-09-01T00:00:00"/>
    <x v="3"/>
    <x v="1"/>
    <x v="0"/>
    <n v="12019900.98"/>
    <x v="3"/>
    <x v="1"/>
    <x v="0"/>
    <x v="11"/>
    <x v="4"/>
    <x v="3"/>
    <x v="4"/>
    <x v="3"/>
    <x v="7"/>
    <n v="1"/>
    <x v="0"/>
  </r>
  <r>
    <d v="2021-09-01T00:00:00"/>
    <x v="3"/>
    <x v="2"/>
    <x v="0"/>
    <n v="405311983.23000002"/>
    <x v="3"/>
    <x v="2"/>
    <x v="0"/>
    <x v="12"/>
    <x v="4"/>
    <x v="3"/>
    <x v="4"/>
    <x v="3"/>
    <x v="7"/>
    <n v="1"/>
    <x v="0"/>
  </r>
  <r>
    <d v="2021-09-01T00:00:00"/>
    <x v="3"/>
    <x v="2"/>
    <x v="1"/>
    <n v="25716568032.389999"/>
    <x v="3"/>
    <x v="2"/>
    <x v="1"/>
    <x v="13"/>
    <x v="4"/>
    <x v="3"/>
    <x v="4"/>
    <x v="3"/>
    <x v="7"/>
    <n v="1"/>
    <x v="0"/>
  </r>
  <r>
    <d v="2021-08-31T00:00:00"/>
    <x v="1"/>
    <x v="0"/>
    <x v="2"/>
    <n v="57366.32"/>
    <x v="1"/>
    <x v="0"/>
    <x v="2"/>
    <x v="2"/>
    <x v="4"/>
    <x v="3"/>
    <x v="4"/>
    <x v="3"/>
    <x v="8"/>
    <n v="31"/>
    <x v="0"/>
  </r>
  <r>
    <d v="2021-08-31T00:00:00"/>
    <x v="0"/>
    <x v="1"/>
    <x v="0"/>
    <n v="11302908.27"/>
    <x v="0"/>
    <x v="1"/>
    <x v="0"/>
    <x v="0"/>
    <x v="4"/>
    <x v="3"/>
    <x v="4"/>
    <x v="3"/>
    <x v="8"/>
    <n v="31"/>
    <x v="0"/>
  </r>
  <r>
    <d v="2021-08-31T00:00:00"/>
    <x v="2"/>
    <x v="1"/>
    <x v="2"/>
    <n v="9310"/>
    <x v="2"/>
    <x v="1"/>
    <x v="2"/>
    <x v="1"/>
    <x v="4"/>
    <x v="3"/>
    <x v="4"/>
    <x v="3"/>
    <x v="8"/>
    <n v="31"/>
    <x v="0"/>
  </r>
  <r>
    <d v="2021-08-31T00:00:00"/>
    <x v="2"/>
    <x v="1"/>
    <x v="0"/>
    <n v="75550116.140000001"/>
    <x v="2"/>
    <x v="1"/>
    <x v="0"/>
    <x v="6"/>
    <x v="4"/>
    <x v="3"/>
    <x v="4"/>
    <x v="3"/>
    <x v="8"/>
    <n v="31"/>
    <x v="0"/>
  </r>
  <r>
    <d v="2021-08-31T00:00:00"/>
    <x v="3"/>
    <x v="2"/>
    <x v="2"/>
    <n v="415129.39"/>
    <x v="3"/>
    <x v="2"/>
    <x v="2"/>
    <x v="4"/>
    <x v="4"/>
    <x v="3"/>
    <x v="4"/>
    <x v="3"/>
    <x v="8"/>
    <n v="31"/>
    <x v="0"/>
  </r>
  <r>
    <d v="2021-08-31T00:00:00"/>
    <x v="0"/>
    <x v="1"/>
    <x v="1"/>
    <n v="7814879.1200000001"/>
    <x v="0"/>
    <x v="1"/>
    <x v="1"/>
    <x v="3"/>
    <x v="4"/>
    <x v="3"/>
    <x v="4"/>
    <x v="3"/>
    <x v="8"/>
    <n v="31"/>
    <x v="0"/>
  </r>
  <r>
    <d v="2021-08-31T00:00:00"/>
    <x v="1"/>
    <x v="0"/>
    <x v="1"/>
    <n v="346344518.19999999"/>
    <x v="1"/>
    <x v="0"/>
    <x v="1"/>
    <x v="8"/>
    <x v="4"/>
    <x v="3"/>
    <x v="4"/>
    <x v="3"/>
    <x v="8"/>
    <n v="31"/>
    <x v="0"/>
  </r>
  <r>
    <d v="2021-08-31T00:00:00"/>
    <x v="2"/>
    <x v="1"/>
    <x v="1"/>
    <n v="200841144.06999999"/>
    <x v="2"/>
    <x v="1"/>
    <x v="1"/>
    <x v="7"/>
    <x v="4"/>
    <x v="3"/>
    <x v="4"/>
    <x v="3"/>
    <x v="8"/>
    <n v="31"/>
    <x v="0"/>
  </r>
  <r>
    <d v="2021-08-31T00:00:00"/>
    <x v="3"/>
    <x v="3"/>
    <x v="0"/>
    <n v="2908066050.8400002"/>
    <x v="3"/>
    <x v="3"/>
    <x v="0"/>
    <x v="5"/>
    <x v="4"/>
    <x v="3"/>
    <x v="4"/>
    <x v="3"/>
    <x v="8"/>
    <n v="31"/>
    <x v="0"/>
  </r>
  <r>
    <d v="2021-08-31T00:00:00"/>
    <x v="1"/>
    <x v="0"/>
    <x v="0"/>
    <n v="68636660.159999996"/>
    <x v="1"/>
    <x v="0"/>
    <x v="0"/>
    <x v="9"/>
    <x v="4"/>
    <x v="3"/>
    <x v="4"/>
    <x v="3"/>
    <x v="8"/>
    <n v="31"/>
    <x v="0"/>
  </r>
  <r>
    <d v="2021-08-31T00:00:00"/>
    <x v="3"/>
    <x v="2"/>
    <x v="0"/>
    <n v="871353557.57000005"/>
    <x v="3"/>
    <x v="2"/>
    <x v="0"/>
    <x v="10"/>
    <x v="4"/>
    <x v="3"/>
    <x v="4"/>
    <x v="3"/>
    <x v="8"/>
    <n v="31"/>
    <x v="0"/>
  </r>
  <r>
    <d v="2021-08-31T00:00:00"/>
    <x v="3"/>
    <x v="1"/>
    <x v="0"/>
    <n v="10091202.84"/>
    <x v="3"/>
    <x v="1"/>
    <x v="0"/>
    <x v="11"/>
    <x v="4"/>
    <x v="3"/>
    <x v="4"/>
    <x v="3"/>
    <x v="8"/>
    <n v="31"/>
    <x v="0"/>
  </r>
  <r>
    <d v="2021-08-31T00:00:00"/>
    <x v="3"/>
    <x v="2"/>
    <x v="1"/>
    <n v="5661811840.79"/>
    <x v="3"/>
    <x v="2"/>
    <x v="1"/>
    <x v="12"/>
    <x v="4"/>
    <x v="3"/>
    <x v="4"/>
    <x v="3"/>
    <x v="8"/>
    <n v="31"/>
    <x v="0"/>
  </r>
  <r>
    <d v="2021-08-30T00:00:00"/>
    <x v="0"/>
    <x v="1"/>
    <x v="0"/>
    <n v="11416824.42"/>
    <x v="0"/>
    <x v="1"/>
    <x v="0"/>
    <x v="0"/>
    <x v="4"/>
    <x v="3"/>
    <x v="4"/>
    <x v="3"/>
    <x v="8"/>
    <n v="30"/>
    <x v="0"/>
  </r>
  <r>
    <d v="2021-08-30T00:00:00"/>
    <x v="1"/>
    <x v="0"/>
    <x v="2"/>
    <n v="18136.060000000001"/>
    <x v="1"/>
    <x v="0"/>
    <x v="2"/>
    <x v="1"/>
    <x v="4"/>
    <x v="3"/>
    <x v="4"/>
    <x v="3"/>
    <x v="8"/>
    <n v="30"/>
    <x v="0"/>
  </r>
  <r>
    <d v="2021-08-30T00:00:00"/>
    <x v="0"/>
    <x v="1"/>
    <x v="1"/>
    <n v="10548525.09"/>
    <x v="0"/>
    <x v="1"/>
    <x v="1"/>
    <x v="2"/>
    <x v="4"/>
    <x v="3"/>
    <x v="4"/>
    <x v="3"/>
    <x v="8"/>
    <n v="30"/>
    <x v="0"/>
  </r>
  <r>
    <d v="2021-08-30T00:00:00"/>
    <x v="2"/>
    <x v="1"/>
    <x v="0"/>
    <n v="83591755.549999997"/>
    <x v="2"/>
    <x v="1"/>
    <x v="0"/>
    <x v="6"/>
    <x v="4"/>
    <x v="3"/>
    <x v="4"/>
    <x v="3"/>
    <x v="8"/>
    <n v="30"/>
    <x v="0"/>
  </r>
  <r>
    <d v="2021-08-30T00:00:00"/>
    <x v="2"/>
    <x v="1"/>
    <x v="2"/>
    <n v="27492.34"/>
    <x v="2"/>
    <x v="1"/>
    <x v="2"/>
    <x v="3"/>
    <x v="4"/>
    <x v="3"/>
    <x v="4"/>
    <x v="3"/>
    <x v="8"/>
    <n v="30"/>
    <x v="0"/>
  </r>
  <r>
    <d v="2021-08-30T00:00:00"/>
    <x v="2"/>
    <x v="1"/>
    <x v="1"/>
    <n v="104239232.69"/>
    <x v="2"/>
    <x v="1"/>
    <x v="1"/>
    <x v="7"/>
    <x v="4"/>
    <x v="3"/>
    <x v="4"/>
    <x v="3"/>
    <x v="8"/>
    <n v="30"/>
    <x v="0"/>
  </r>
  <r>
    <d v="2021-08-30T00:00:00"/>
    <x v="1"/>
    <x v="0"/>
    <x v="0"/>
    <n v="66761245.159999996"/>
    <x v="1"/>
    <x v="0"/>
    <x v="0"/>
    <x v="8"/>
    <x v="4"/>
    <x v="3"/>
    <x v="4"/>
    <x v="3"/>
    <x v="8"/>
    <n v="30"/>
    <x v="0"/>
  </r>
  <r>
    <d v="2021-08-30T00:00:00"/>
    <x v="1"/>
    <x v="0"/>
    <x v="1"/>
    <n v="334268474.49000001"/>
    <x v="1"/>
    <x v="0"/>
    <x v="1"/>
    <x v="9"/>
    <x v="4"/>
    <x v="3"/>
    <x v="4"/>
    <x v="3"/>
    <x v="8"/>
    <n v="30"/>
    <x v="0"/>
  </r>
  <r>
    <d v="2021-08-30T00:00:00"/>
    <x v="3"/>
    <x v="2"/>
    <x v="2"/>
    <n v="273982.21999999997"/>
    <x v="3"/>
    <x v="2"/>
    <x v="2"/>
    <x v="4"/>
    <x v="4"/>
    <x v="3"/>
    <x v="4"/>
    <x v="3"/>
    <x v="8"/>
    <n v="30"/>
    <x v="0"/>
  </r>
  <r>
    <d v="2021-08-30T00:00:00"/>
    <x v="3"/>
    <x v="3"/>
    <x v="0"/>
    <n v="1492398687.53"/>
    <x v="3"/>
    <x v="3"/>
    <x v="0"/>
    <x v="5"/>
    <x v="4"/>
    <x v="3"/>
    <x v="4"/>
    <x v="3"/>
    <x v="8"/>
    <n v="30"/>
    <x v="0"/>
  </r>
  <r>
    <d v="2021-08-30T00:00:00"/>
    <x v="3"/>
    <x v="2"/>
    <x v="0"/>
    <n v="1031174438.25"/>
    <x v="3"/>
    <x v="2"/>
    <x v="0"/>
    <x v="10"/>
    <x v="4"/>
    <x v="3"/>
    <x v="4"/>
    <x v="3"/>
    <x v="8"/>
    <n v="30"/>
    <x v="0"/>
  </r>
  <r>
    <d v="2021-08-30T00:00:00"/>
    <x v="3"/>
    <x v="2"/>
    <x v="1"/>
    <n v="17179891999.740002"/>
    <x v="3"/>
    <x v="2"/>
    <x v="1"/>
    <x v="11"/>
    <x v="4"/>
    <x v="3"/>
    <x v="4"/>
    <x v="3"/>
    <x v="8"/>
    <n v="30"/>
    <x v="0"/>
  </r>
  <r>
    <d v="2021-08-30T00:00:00"/>
    <x v="3"/>
    <x v="1"/>
    <x v="0"/>
    <n v="38019099.460000001"/>
    <x v="3"/>
    <x v="1"/>
    <x v="0"/>
    <x v="12"/>
    <x v="4"/>
    <x v="3"/>
    <x v="4"/>
    <x v="3"/>
    <x v="8"/>
    <n v="30"/>
    <x v="0"/>
  </r>
  <r>
    <d v="2021-08-27T00:00:00"/>
    <x v="2"/>
    <x v="1"/>
    <x v="2"/>
    <n v="4495"/>
    <x v="2"/>
    <x v="1"/>
    <x v="2"/>
    <x v="2"/>
    <x v="4"/>
    <x v="3"/>
    <x v="4"/>
    <x v="3"/>
    <x v="8"/>
    <n v="27"/>
    <x v="0"/>
  </r>
  <r>
    <d v="2021-08-27T00:00:00"/>
    <x v="1"/>
    <x v="0"/>
    <x v="2"/>
    <n v="19948.14"/>
    <x v="1"/>
    <x v="0"/>
    <x v="2"/>
    <x v="3"/>
    <x v="4"/>
    <x v="3"/>
    <x v="4"/>
    <x v="3"/>
    <x v="8"/>
    <n v="27"/>
    <x v="0"/>
  </r>
  <r>
    <d v="2021-08-27T00:00:00"/>
    <x v="0"/>
    <x v="1"/>
    <x v="1"/>
    <n v="12688045.130000001"/>
    <x v="0"/>
    <x v="1"/>
    <x v="1"/>
    <x v="4"/>
    <x v="4"/>
    <x v="3"/>
    <x v="4"/>
    <x v="3"/>
    <x v="8"/>
    <n v="27"/>
    <x v="0"/>
  </r>
  <r>
    <d v="2021-08-27T00:00:00"/>
    <x v="3"/>
    <x v="3"/>
    <x v="0"/>
    <n v="2442357226.4000001"/>
    <x v="3"/>
    <x v="3"/>
    <x v="0"/>
    <x v="8"/>
    <x v="4"/>
    <x v="3"/>
    <x v="4"/>
    <x v="3"/>
    <x v="8"/>
    <n v="27"/>
    <x v="0"/>
  </r>
  <r>
    <d v="2021-08-27T00:00:00"/>
    <x v="3"/>
    <x v="2"/>
    <x v="2"/>
    <n v="351159.06"/>
    <x v="3"/>
    <x v="2"/>
    <x v="2"/>
    <x v="5"/>
    <x v="4"/>
    <x v="3"/>
    <x v="4"/>
    <x v="3"/>
    <x v="8"/>
    <n v="27"/>
    <x v="0"/>
  </r>
  <r>
    <d v="2021-08-27T00:00:00"/>
    <x v="0"/>
    <x v="1"/>
    <x v="0"/>
    <n v="13988854.67"/>
    <x v="0"/>
    <x v="1"/>
    <x v="0"/>
    <x v="1"/>
    <x v="4"/>
    <x v="3"/>
    <x v="4"/>
    <x v="3"/>
    <x v="8"/>
    <n v="27"/>
    <x v="0"/>
  </r>
  <r>
    <d v="2021-08-27T00:00:00"/>
    <x v="0"/>
    <x v="0"/>
    <x v="0"/>
    <n v="762.78"/>
    <x v="0"/>
    <x v="0"/>
    <x v="0"/>
    <x v="0"/>
    <x v="4"/>
    <x v="3"/>
    <x v="4"/>
    <x v="3"/>
    <x v="8"/>
    <n v="27"/>
    <x v="0"/>
  </r>
  <r>
    <d v="2021-08-27T00:00:00"/>
    <x v="2"/>
    <x v="1"/>
    <x v="0"/>
    <n v="89600227.829999998"/>
    <x v="2"/>
    <x v="1"/>
    <x v="0"/>
    <x v="6"/>
    <x v="4"/>
    <x v="3"/>
    <x v="4"/>
    <x v="3"/>
    <x v="8"/>
    <n v="27"/>
    <x v="0"/>
  </r>
  <r>
    <d v="2021-08-27T00:00:00"/>
    <x v="2"/>
    <x v="1"/>
    <x v="1"/>
    <n v="183169478.99000001"/>
    <x v="2"/>
    <x v="1"/>
    <x v="1"/>
    <x v="7"/>
    <x v="4"/>
    <x v="3"/>
    <x v="4"/>
    <x v="3"/>
    <x v="8"/>
    <n v="27"/>
    <x v="0"/>
  </r>
  <r>
    <d v="2021-08-27T00:00:00"/>
    <x v="1"/>
    <x v="0"/>
    <x v="0"/>
    <n v="55314307.369999997"/>
    <x v="1"/>
    <x v="0"/>
    <x v="0"/>
    <x v="9"/>
    <x v="4"/>
    <x v="3"/>
    <x v="4"/>
    <x v="3"/>
    <x v="8"/>
    <n v="27"/>
    <x v="0"/>
  </r>
  <r>
    <d v="2021-08-27T00:00:00"/>
    <x v="1"/>
    <x v="0"/>
    <x v="1"/>
    <n v="125568581.73999999"/>
    <x v="1"/>
    <x v="0"/>
    <x v="1"/>
    <x v="10"/>
    <x v="4"/>
    <x v="3"/>
    <x v="4"/>
    <x v="3"/>
    <x v="8"/>
    <n v="27"/>
    <x v="0"/>
  </r>
  <r>
    <d v="2021-08-27T00:00:00"/>
    <x v="3"/>
    <x v="2"/>
    <x v="0"/>
    <n v="1574400213.26"/>
    <x v="3"/>
    <x v="2"/>
    <x v="0"/>
    <x v="11"/>
    <x v="4"/>
    <x v="3"/>
    <x v="4"/>
    <x v="3"/>
    <x v="8"/>
    <n v="27"/>
    <x v="0"/>
  </r>
  <r>
    <d v="2021-08-27T00:00:00"/>
    <x v="3"/>
    <x v="2"/>
    <x v="1"/>
    <n v="9075899964.6299992"/>
    <x v="3"/>
    <x v="2"/>
    <x v="1"/>
    <x v="12"/>
    <x v="4"/>
    <x v="3"/>
    <x v="4"/>
    <x v="3"/>
    <x v="8"/>
    <n v="27"/>
    <x v="0"/>
  </r>
  <r>
    <d v="2021-08-27T00:00:00"/>
    <x v="3"/>
    <x v="1"/>
    <x v="0"/>
    <n v="12192447.6"/>
    <x v="3"/>
    <x v="1"/>
    <x v="0"/>
    <x v="13"/>
    <x v="4"/>
    <x v="3"/>
    <x v="4"/>
    <x v="3"/>
    <x v="8"/>
    <n v="27"/>
    <x v="0"/>
  </r>
  <r>
    <d v="2021-08-26T00:00:00"/>
    <x v="0"/>
    <x v="1"/>
    <x v="0"/>
    <n v="11813345.49"/>
    <x v="0"/>
    <x v="1"/>
    <x v="0"/>
    <x v="1"/>
    <x v="4"/>
    <x v="3"/>
    <x v="4"/>
    <x v="3"/>
    <x v="8"/>
    <n v="26"/>
    <x v="0"/>
  </r>
  <r>
    <d v="2021-08-26T00:00:00"/>
    <x v="2"/>
    <x v="1"/>
    <x v="2"/>
    <n v="10590"/>
    <x v="2"/>
    <x v="1"/>
    <x v="2"/>
    <x v="3"/>
    <x v="4"/>
    <x v="3"/>
    <x v="4"/>
    <x v="3"/>
    <x v="8"/>
    <n v="26"/>
    <x v="0"/>
  </r>
  <r>
    <d v="2021-08-26T00:00:00"/>
    <x v="3"/>
    <x v="2"/>
    <x v="2"/>
    <n v="142789.99"/>
    <x v="3"/>
    <x v="2"/>
    <x v="2"/>
    <x v="5"/>
    <x v="4"/>
    <x v="3"/>
    <x v="4"/>
    <x v="3"/>
    <x v="8"/>
    <n v="26"/>
    <x v="0"/>
  </r>
  <r>
    <d v="2021-08-26T00:00:00"/>
    <x v="0"/>
    <x v="1"/>
    <x v="1"/>
    <n v="7494864.6200000001"/>
    <x v="0"/>
    <x v="1"/>
    <x v="1"/>
    <x v="4"/>
    <x v="4"/>
    <x v="3"/>
    <x v="4"/>
    <x v="3"/>
    <x v="8"/>
    <n v="26"/>
    <x v="0"/>
  </r>
  <r>
    <d v="2021-08-26T00:00:00"/>
    <x v="1"/>
    <x v="0"/>
    <x v="0"/>
    <n v="62220264.590000004"/>
    <x v="1"/>
    <x v="0"/>
    <x v="0"/>
    <x v="9"/>
    <x v="4"/>
    <x v="3"/>
    <x v="4"/>
    <x v="3"/>
    <x v="8"/>
    <n v="26"/>
    <x v="0"/>
  </r>
  <r>
    <d v="2021-08-26T00:00:00"/>
    <x v="1"/>
    <x v="0"/>
    <x v="1"/>
    <n v="193345674.94999999"/>
    <x v="1"/>
    <x v="0"/>
    <x v="1"/>
    <x v="10"/>
    <x v="4"/>
    <x v="3"/>
    <x v="4"/>
    <x v="3"/>
    <x v="8"/>
    <n v="26"/>
    <x v="0"/>
  </r>
  <r>
    <d v="2021-08-26T00:00:00"/>
    <x v="0"/>
    <x v="0"/>
    <x v="0"/>
    <n v="100"/>
    <x v="0"/>
    <x v="0"/>
    <x v="0"/>
    <x v="0"/>
    <x v="4"/>
    <x v="3"/>
    <x v="4"/>
    <x v="3"/>
    <x v="8"/>
    <n v="26"/>
    <x v="0"/>
  </r>
  <r>
    <d v="2021-08-26T00:00:00"/>
    <x v="2"/>
    <x v="1"/>
    <x v="0"/>
    <n v="113060624.23"/>
    <x v="2"/>
    <x v="1"/>
    <x v="0"/>
    <x v="6"/>
    <x v="4"/>
    <x v="3"/>
    <x v="4"/>
    <x v="3"/>
    <x v="8"/>
    <n v="26"/>
    <x v="0"/>
  </r>
  <r>
    <d v="2021-08-26T00:00:00"/>
    <x v="3"/>
    <x v="3"/>
    <x v="0"/>
    <n v="1797672989.73"/>
    <x v="3"/>
    <x v="3"/>
    <x v="0"/>
    <x v="7"/>
    <x v="4"/>
    <x v="3"/>
    <x v="4"/>
    <x v="3"/>
    <x v="8"/>
    <n v="26"/>
    <x v="0"/>
  </r>
  <r>
    <d v="2021-08-26T00:00:00"/>
    <x v="1"/>
    <x v="0"/>
    <x v="2"/>
    <n v="9904.2900000000009"/>
    <x v="1"/>
    <x v="0"/>
    <x v="2"/>
    <x v="2"/>
    <x v="4"/>
    <x v="3"/>
    <x v="4"/>
    <x v="3"/>
    <x v="8"/>
    <n v="26"/>
    <x v="0"/>
  </r>
  <r>
    <d v="2021-08-26T00:00:00"/>
    <x v="2"/>
    <x v="1"/>
    <x v="1"/>
    <n v="246019716.03"/>
    <x v="2"/>
    <x v="1"/>
    <x v="1"/>
    <x v="8"/>
    <x v="4"/>
    <x v="3"/>
    <x v="4"/>
    <x v="3"/>
    <x v="8"/>
    <n v="26"/>
    <x v="0"/>
  </r>
  <r>
    <d v="2021-08-26T00:00:00"/>
    <x v="3"/>
    <x v="2"/>
    <x v="0"/>
    <n v="1515995445.98"/>
    <x v="3"/>
    <x v="2"/>
    <x v="0"/>
    <x v="11"/>
    <x v="4"/>
    <x v="3"/>
    <x v="4"/>
    <x v="3"/>
    <x v="8"/>
    <n v="26"/>
    <x v="0"/>
  </r>
  <r>
    <d v="2021-08-26T00:00:00"/>
    <x v="3"/>
    <x v="2"/>
    <x v="1"/>
    <n v="4216255651.27"/>
    <x v="3"/>
    <x v="2"/>
    <x v="1"/>
    <x v="12"/>
    <x v="4"/>
    <x v="3"/>
    <x v="4"/>
    <x v="3"/>
    <x v="8"/>
    <n v="26"/>
    <x v="0"/>
  </r>
  <r>
    <d v="2021-08-26T00:00:00"/>
    <x v="3"/>
    <x v="1"/>
    <x v="0"/>
    <n v="11802918.050000001"/>
    <x v="3"/>
    <x v="1"/>
    <x v="0"/>
    <x v="13"/>
    <x v="4"/>
    <x v="3"/>
    <x v="4"/>
    <x v="3"/>
    <x v="8"/>
    <n v="26"/>
    <x v="0"/>
  </r>
  <r>
    <d v="2021-08-25T00:00:00"/>
    <x v="1"/>
    <x v="0"/>
    <x v="2"/>
    <n v="3459.54"/>
    <x v="1"/>
    <x v="0"/>
    <x v="2"/>
    <x v="1"/>
    <x v="4"/>
    <x v="3"/>
    <x v="4"/>
    <x v="3"/>
    <x v="8"/>
    <n v="25"/>
    <x v="0"/>
  </r>
  <r>
    <d v="2021-08-25T00:00:00"/>
    <x v="3"/>
    <x v="2"/>
    <x v="2"/>
    <n v="326047.96999999997"/>
    <x v="3"/>
    <x v="2"/>
    <x v="2"/>
    <x v="3"/>
    <x v="4"/>
    <x v="3"/>
    <x v="4"/>
    <x v="3"/>
    <x v="8"/>
    <n v="25"/>
    <x v="0"/>
  </r>
  <r>
    <d v="2021-08-25T00:00:00"/>
    <x v="2"/>
    <x v="1"/>
    <x v="2"/>
    <n v="1604943.9"/>
    <x v="2"/>
    <x v="1"/>
    <x v="2"/>
    <x v="2"/>
    <x v="4"/>
    <x v="3"/>
    <x v="4"/>
    <x v="3"/>
    <x v="8"/>
    <n v="25"/>
    <x v="0"/>
  </r>
  <r>
    <d v="2021-08-25T00:00:00"/>
    <x v="3"/>
    <x v="3"/>
    <x v="0"/>
    <n v="1369882878.3599999"/>
    <x v="3"/>
    <x v="3"/>
    <x v="0"/>
    <x v="6"/>
    <x v="4"/>
    <x v="3"/>
    <x v="4"/>
    <x v="3"/>
    <x v="8"/>
    <n v="25"/>
    <x v="0"/>
  </r>
  <r>
    <d v="2021-08-25T00:00:00"/>
    <x v="2"/>
    <x v="1"/>
    <x v="1"/>
    <n v="197467747.50999999"/>
    <x v="2"/>
    <x v="1"/>
    <x v="1"/>
    <x v="7"/>
    <x v="4"/>
    <x v="3"/>
    <x v="4"/>
    <x v="3"/>
    <x v="8"/>
    <n v="25"/>
    <x v="0"/>
  </r>
  <r>
    <d v="2021-08-25T00:00:00"/>
    <x v="0"/>
    <x v="1"/>
    <x v="1"/>
    <n v="8479098.9600000009"/>
    <x v="0"/>
    <x v="1"/>
    <x v="1"/>
    <x v="4"/>
    <x v="4"/>
    <x v="3"/>
    <x v="4"/>
    <x v="3"/>
    <x v="8"/>
    <n v="25"/>
    <x v="0"/>
  </r>
  <r>
    <d v="2021-08-25T00:00:00"/>
    <x v="1"/>
    <x v="0"/>
    <x v="1"/>
    <n v="657048708.17999995"/>
    <x v="1"/>
    <x v="0"/>
    <x v="1"/>
    <x v="8"/>
    <x v="4"/>
    <x v="3"/>
    <x v="4"/>
    <x v="3"/>
    <x v="8"/>
    <n v="25"/>
    <x v="0"/>
  </r>
  <r>
    <d v="2021-08-25T00:00:00"/>
    <x v="1"/>
    <x v="0"/>
    <x v="0"/>
    <n v="104118156.25"/>
    <x v="1"/>
    <x v="0"/>
    <x v="0"/>
    <x v="9"/>
    <x v="4"/>
    <x v="3"/>
    <x v="4"/>
    <x v="3"/>
    <x v="8"/>
    <n v="25"/>
    <x v="0"/>
  </r>
  <r>
    <d v="2021-08-25T00:00:00"/>
    <x v="0"/>
    <x v="1"/>
    <x v="0"/>
    <n v="16073922.800000001"/>
    <x v="0"/>
    <x v="1"/>
    <x v="0"/>
    <x v="0"/>
    <x v="4"/>
    <x v="3"/>
    <x v="4"/>
    <x v="3"/>
    <x v="8"/>
    <n v="25"/>
    <x v="0"/>
  </r>
  <r>
    <d v="2021-08-25T00:00:00"/>
    <x v="2"/>
    <x v="1"/>
    <x v="0"/>
    <n v="131319305.86"/>
    <x v="2"/>
    <x v="1"/>
    <x v="0"/>
    <x v="5"/>
    <x v="4"/>
    <x v="3"/>
    <x v="4"/>
    <x v="3"/>
    <x v="8"/>
    <n v="25"/>
    <x v="0"/>
  </r>
  <r>
    <d v="2021-08-25T00:00:00"/>
    <x v="3"/>
    <x v="2"/>
    <x v="0"/>
    <n v="563873636.24000001"/>
    <x v="3"/>
    <x v="2"/>
    <x v="0"/>
    <x v="10"/>
    <x v="4"/>
    <x v="3"/>
    <x v="4"/>
    <x v="3"/>
    <x v="8"/>
    <n v="25"/>
    <x v="0"/>
  </r>
  <r>
    <d v="2021-08-25T00:00:00"/>
    <x v="3"/>
    <x v="2"/>
    <x v="1"/>
    <n v="10872749351.09"/>
    <x v="3"/>
    <x v="2"/>
    <x v="1"/>
    <x v="11"/>
    <x v="4"/>
    <x v="3"/>
    <x v="4"/>
    <x v="3"/>
    <x v="8"/>
    <n v="25"/>
    <x v="0"/>
  </r>
  <r>
    <d v="2021-08-25T00:00:00"/>
    <x v="3"/>
    <x v="1"/>
    <x v="0"/>
    <n v="11261034.17"/>
    <x v="3"/>
    <x v="1"/>
    <x v="0"/>
    <x v="12"/>
    <x v="4"/>
    <x v="3"/>
    <x v="4"/>
    <x v="3"/>
    <x v="8"/>
    <n v="25"/>
    <x v="0"/>
  </r>
  <r>
    <d v="2021-08-24T00:00:00"/>
    <x v="2"/>
    <x v="1"/>
    <x v="2"/>
    <n v="3410"/>
    <x v="2"/>
    <x v="1"/>
    <x v="2"/>
    <x v="2"/>
    <x v="4"/>
    <x v="3"/>
    <x v="4"/>
    <x v="3"/>
    <x v="8"/>
    <n v="24"/>
    <x v="0"/>
  </r>
  <r>
    <d v="2021-08-24T00:00:00"/>
    <x v="1"/>
    <x v="0"/>
    <x v="2"/>
    <n v="13184.5"/>
    <x v="1"/>
    <x v="0"/>
    <x v="2"/>
    <x v="3"/>
    <x v="4"/>
    <x v="3"/>
    <x v="4"/>
    <x v="3"/>
    <x v="8"/>
    <n v="24"/>
    <x v="0"/>
  </r>
  <r>
    <d v="2021-08-24T00:00:00"/>
    <x v="2"/>
    <x v="1"/>
    <x v="0"/>
    <n v="83693638.269999996"/>
    <x v="2"/>
    <x v="1"/>
    <x v="0"/>
    <x v="7"/>
    <x v="4"/>
    <x v="3"/>
    <x v="4"/>
    <x v="3"/>
    <x v="8"/>
    <n v="24"/>
    <x v="0"/>
  </r>
  <r>
    <d v="2021-08-24T00:00:00"/>
    <x v="3"/>
    <x v="3"/>
    <x v="0"/>
    <n v="944823371.17999995"/>
    <x v="3"/>
    <x v="3"/>
    <x v="0"/>
    <x v="8"/>
    <x v="4"/>
    <x v="3"/>
    <x v="4"/>
    <x v="3"/>
    <x v="8"/>
    <n v="24"/>
    <x v="0"/>
  </r>
  <r>
    <d v="2021-08-24T00:00:00"/>
    <x v="2"/>
    <x v="1"/>
    <x v="1"/>
    <n v="110420870.14"/>
    <x v="2"/>
    <x v="1"/>
    <x v="1"/>
    <x v="9"/>
    <x v="4"/>
    <x v="3"/>
    <x v="4"/>
    <x v="3"/>
    <x v="8"/>
    <n v="24"/>
    <x v="0"/>
  </r>
  <r>
    <d v="2021-08-24T00:00:00"/>
    <x v="3"/>
    <x v="3"/>
    <x v="1"/>
    <n v="62736.46"/>
    <x v="3"/>
    <x v="3"/>
    <x v="1"/>
    <x v="4"/>
    <x v="4"/>
    <x v="3"/>
    <x v="4"/>
    <x v="3"/>
    <x v="8"/>
    <n v="24"/>
    <x v="0"/>
  </r>
  <r>
    <d v="2021-08-24T00:00:00"/>
    <x v="0"/>
    <x v="1"/>
    <x v="1"/>
    <n v="1363281.34"/>
    <x v="0"/>
    <x v="1"/>
    <x v="1"/>
    <x v="5"/>
    <x v="4"/>
    <x v="3"/>
    <x v="4"/>
    <x v="3"/>
    <x v="8"/>
    <n v="24"/>
    <x v="0"/>
  </r>
  <r>
    <d v="2021-08-24T00:00:00"/>
    <x v="3"/>
    <x v="2"/>
    <x v="2"/>
    <n v="1804888.22"/>
    <x v="3"/>
    <x v="2"/>
    <x v="2"/>
    <x v="6"/>
    <x v="4"/>
    <x v="3"/>
    <x v="4"/>
    <x v="3"/>
    <x v="8"/>
    <n v="24"/>
    <x v="0"/>
  </r>
  <r>
    <d v="2021-08-24T00:00:00"/>
    <x v="1"/>
    <x v="0"/>
    <x v="1"/>
    <n v="271790984.88"/>
    <x v="1"/>
    <x v="0"/>
    <x v="1"/>
    <x v="10"/>
    <x v="4"/>
    <x v="3"/>
    <x v="4"/>
    <x v="3"/>
    <x v="8"/>
    <n v="24"/>
    <x v="0"/>
  </r>
  <r>
    <d v="2021-08-24T00:00:00"/>
    <x v="0"/>
    <x v="1"/>
    <x v="0"/>
    <n v="13047730.85"/>
    <x v="0"/>
    <x v="1"/>
    <x v="0"/>
    <x v="1"/>
    <x v="4"/>
    <x v="3"/>
    <x v="4"/>
    <x v="3"/>
    <x v="8"/>
    <n v="24"/>
    <x v="0"/>
  </r>
  <r>
    <d v="2021-08-24T00:00:00"/>
    <x v="0"/>
    <x v="0"/>
    <x v="0"/>
    <n v="5000"/>
    <x v="0"/>
    <x v="0"/>
    <x v="0"/>
    <x v="0"/>
    <x v="4"/>
    <x v="3"/>
    <x v="4"/>
    <x v="3"/>
    <x v="8"/>
    <n v="24"/>
    <x v="0"/>
  </r>
  <r>
    <d v="2021-08-24T00:00:00"/>
    <x v="1"/>
    <x v="0"/>
    <x v="0"/>
    <n v="80108853.150000006"/>
    <x v="1"/>
    <x v="0"/>
    <x v="0"/>
    <x v="11"/>
    <x v="4"/>
    <x v="3"/>
    <x v="4"/>
    <x v="3"/>
    <x v="8"/>
    <n v="24"/>
    <x v="0"/>
  </r>
  <r>
    <d v="2021-08-24T00:00:00"/>
    <x v="3"/>
    <x v="2"/>
    <x v="0"/>
    <n v="513490640.99000001"/>
    <x v="3"/>
    <x v="2"/>
    <x v="0"/>
    <x v="12"/>
    <x v="4"/>
    <x v="3"/>
    <x v="4"/>
    <x v="3"/>
    <x v="8"/>
    <n v="24"/>
    <x v="0"/>
  </r>
  <r>
    <d v="2021-08-24T00:00:00"/>
    <x v="3"/>
    <x v="1"/>
    <x v="0"/>
    <n v="10187211.970000001"/>
    <x v="3"/>
    <x v="1"/>
    <x v="0"/>
    <x v="13"/>
    <x v="4"/>
    <x v="3"/>
    <x v="4"/>
    <x v="3"/>
    <x v="8"/>
    <n v="24"/>
    <x v="0"/>
  </r>
  <r>
    <d v="2021-08-24T00:00:00"/>
    <x v="3"/>
    <x v="2"/>
    <x v="1"/>
    <n v="3743489593.0799999"/>
    <x v="3"/>
    <x v="2"/>
    <x v="1"/>
    <x v="14"/>
    <x v="4"/>
    <x v="3"/>
    <x v="4"/>
    <x v="3"/>
    <x v="8"/>
    <n v="24"/>
    <x v="0"/>
  </r>
  <r>
    <d v="2021-08-23T00:00:00"/>
    <x v="1"/>
    <x v="0"/>
    <x v="2"/>
    <n v="1903.46"/>
    <x v="1"/>
    <x v="0"/>
    <x v="2"/>
    <x v="1"/>
    <x v="4"/>
    <x v="3"/>
    <x v="4"/>
    <x v="3"/>
    <x v="8"/>
    <n v="23"/>
    <x v="0"/>
  </r>
  <r>
    <d v="2021-08-23T00:00:00"/>
    <x v="2"/>
    <x v="1"/>
    <x v="2"/>
    <n v="4035"/>
    <x v="2"/>
    <x v="1"/>
    <x v="2"/>
    <x v="2"/>
    <x v="4"/>
    <x v="3"/>
    <x v="4"/>
    <x v="3"/>
    <x v="8"/>
    <n v="23"/>
    <x v="0"/>
  </r>
  <r>
    <d v="2021-08-23T00:00:00"/>
    <x v="3"/>
    <x v="2"/>
    <x v="2"/>
    <n v="332116.99"/>
    <x v="3"/>
    <x v="2"/>
    <x v="2"/>
    <x v="3"/>
    <x v="4"/>
    <x v="3"/>
    <x v="4"/>
    <x v="3"/>
    <x v="8"/>
    <n v="23"/>
    <x v="0"/>
  </r>
  <r>
    <d v="2021-08-23T00:00:00"/>
    <x v="0"/>
    <x v="1"/>
    <x v="1"/>
    <n v="12267083.43"/>
    <x v="0"/>
    <x v="1"/>
    <x v="1"/>
    <x v="5"/>
    <x v="4"/>
    <x v="3"/>
    <x v="4"/>
    <x v="3"/>
    <x v="8"/>
    <n v="23"/>
    <x v="0"/>
  </r>
  <r>
    <d v="2021-08-23T00:00:00"/>
    <x v="1"/>
    <x v="0"/>
    <x v="1"/>
    <n v="358587154.58999997"/>
    <x v="1"/>
    <x v="0"/>
    <x v="1"/>
    <x v="9"/>
    <x v="4"/>
    <x v="3"/>
    <x v="4"/>
    <x v="3"/>
    <x v="8"/>
    <n v="23"/>
    <x v="0"/>
  </r>
  <r>
    <d v="2021-08-23T00:00:00"/>
    <x v="1"/>
    <x v="0"/>
    <x v="0"/>
    <n v="70615096.480000004"/>
    <x v="1"/>
    <x v="0"/>
    <x v="0"/>
    <x v="10"/>
    <x v="4"/>
    <x v="3"/>
    <x v="4"/>
    <x v="3"/>
    <x v="8"/>
    <n v="23"/>
    <x v="0"/>
  </r>
  <r>
    <d v="2021-08-23T00:00:00"/>
    <x v="0"/>
    <x v="1"/>
    <x v="0"/>
    <n v="22171191.559999999"/>
    <x v="0"/>
    <x v="1"/>
    <x v="0"/>
    <x v="0"/>
    <x v="4"/>
    <x v="3"/>
    <x v="4"/>
    <x v="3"/>
    <x v="8"/>
    <n v="23"/>
    <x v="0"/>
  </r>
  <r>
    <d v="2021-08-23T00:00:00"/>
    <x v="2"/>
    <x v="1"/>
    <x v="1"/>
    <n v="174056318.77000001"/>
    <x v="2"/>
    <x v="1"/>
    <x v="1"/>
    <x v="8"/>
    <x v="4"/>
    <x v="3"/>
    <x v="4"/>
    <x v="3"/>
    <x v="8"/>
    <n v="23"/>
    <x v="0"/>
  </r>
  <r>
    <d v="2021-08-23T00:00:00"/>
    <x v="3"/>
    <x v="3"/>
    <x v="1"/>
    <n v="30748.94"/>
    <x v="3"/>
    <x v="3"/>
    <x v="1"/>
    <x v="4"/>
    <x v="4"/>
    <x v="3"/>
    <x v="4"/>
    <x v="3"/>
    <x v="8"/>
    <n v="23"/>
    <x v="0"/>
  </r>
  <r>
    <d v="2021-08-23T00:00:00"/>
    <x v="3"/>
    <x v="3"/>
    <x v="0"/>
    <n v="1627492960.49"/>
    <x v="3"/>
    <x v="3"/>
    <x v="0"/>
    <x v="7"/>
    <x v="4"/>
    <x v="3"/>
    <x v="4"/>
    <x v="3"/>
    <x v="8"/>
    <n v="23"/>
    <x v="0"/>
  </r>
  <r>
    <d v="2021-08-23T00:00:00"/>
    <x v="2"/>
    <x v="1"/>
    <x v="0"/>
    <n v="91386138.209999993"/>
    <x v="2"/>
    <x v="1"/>
    <x v="0"/>
    <x v="6"/>
    <x v="4"/>
    <x v="3"/>
    <x v="4"/>
    <x v="3"/>
    <x v="8"/>
    <n v="23"/>
    <x v="0"/>
  </r>
  <r>
    <d v="2021-08-23T00:00:00"/>
    <x v="3"/>
    <x v="2"/>
    <x v="0"/>
    <n v="6196189619.4099998"/>
    <x v="3"/>
    <x v="2"/>
    <x v="0"/>
    <x v="11"/>
    <x v="4"/>
    <x v="3"/>
    <x v="4"/>
    <x v="3"/>
    <x v="8"/>
    <n v="23"/>
    <x v="0"/>
  </r>
  <r>
    <d v="2021-08-23T00:00:00"/>
    <x v="3"/>
    <x v="2"/>
    <x v="1"/>
    <n v="22151979720.18"/>
    <x v="3"/>
    <x v="2"/>
    <x v="1"/>
    <x v="12"/>
    <x v="4"/>
    <x v="3"/>
    <x v="4"/>
    <x v="3"/>
    <x v="8"/>
    <n v="23"/>
    <x v="0"/>
  </r>
  <r>
    <d v="2021-08-23T00:00:00"/>
    <x v="3"/>
    <x v="1"/>
    <x v="0"/>
    <n v="39411144.409999996"/>
    <x v="3"/>
    <x v="1"/>
    <x v="0"/>
    <x v="13"/>
    <x v="4"/>
    <x v="3"/>
    <x v="4"/>
    <x v="3"/>
    <x v="8"/>
    <n v="23"/>
    <x v="0"/>
  </r>
  <r>
    <d v="2021-08-20T00:00:00"/>
    <x v="1"/>
    <x v="0"/>
    <x v="2"/>
    <n v="1183.53"/>
    <x v="1"/>
    <x v="0"/>
    <x v="2"/>
    <x v="2"/>
    <x v="4"/>
    <x v="3"/>
    <x v="4"/>
    <x v="3"/>
    <x v="8"/>
    <n v="20"/>
    <x v="0"/>
  </r>
  <r>
    <d v="2021-08-20T00:00:00"/>
    <x v="3"/>
    <x v="2"/>
    <x v="2"/>
    <n v="315507.44"/>
    <x v="3"/>
    <x v="2"/>
    <x v="2"/>
    <x v="3"/>
    <x v="4"/>
    <x v="3"/>
    <x v="4"/>
    <x v="3"/>
    <x v="8"/>
    <n v="20"/>
    <x v="0"/>
  </r>
  <r>
    <d v="2021-08-20T00:00:00"/>
    <x v="2"/>
    <x v="1"/>
    <x v="2"/>
    <n v="3810"/>
    <x v="2"/>
    <x v="1"/>
    <x v="2"/>
    <x v="6"/>
    <x v="4"/>
    <x v="3"/>
    <x v="4"/>
    <x v="3"/>
    <x v="8"/>
    <n v="20"/>
    <x v="0"/>
  </r>
  <r>
    <d v="2021-08-20T00:00:00"/>
    <x v="2"/>
    <x v="1"/>
    <x v="1"/>
    <n v="173842821.69999999"/>
    <x v="2"/>
    <x v="1"/>
    <x v="1"/>
    <x v="9"/>
    <x v="4"/>
    <x v="3"/>
    <x v="4"/>
    <x v="3"/>
    <x v="8"/>
    <n v="20"/>
    <x v="0"/>
  </r>
  <r>
    <d v="2021-08-20T00:00:00"/>
    <x v="3"/>
    <x v="3"/>
    <x v="1"/>
    <n v="24703.17"/>
    <x v="3"/>
    <x v="3"/>
    <x v="1"/>
    <x v="4"/>
    <x v="4"/>
    <x v="3"/>
    <x v="4"/>
    <x v="3"/>
    <x v="8"/>
    <n v="20"/>
    <x v="0"/>
  </r>
  <r>
    <d v="2021-08-20T00:00:00"/>
    <x v="0"/>
    <x v="1"/>
    <x v="1"/>
    <n v="3668368.32"/>
    <x v="0"/>
    <x v="1"/>
    <x v="1"/>
    <x v="5"/>
    <x v="4"/>
    <x v="3"/>
    <x v="4"/>
    <x v="3"/>
    <x v="8"/>
    <n v="20"/>
    <x v="0"/>
  </r>
  <r>
    <d v="2021-08-20T00:00:00"/>
    <x v="1"/>
    <x v="0"/>
    <x v="0"/>
    <n v="75002453.140000001"/>
    <x v="1"/>
    <x v="0"/>
    <x v="0"/>
    <x v="10"/>
    <x v="4"/>
    <x v="3"/>
    <x v="4"/>
    <x v="3"/>
    <x v="8"/>
    <n v="20"/>
    <x v="0"/>
  </r>
  <r>
    <d v="2021-08-20T00:00:00"/>
    <x v="0"/>
    <x v="1"/>
    <x v="0"/>
    <n v="23091834.359999999"/>
    <x v="0"/>
    <x v="1"/>
    <x v="0"/>
    <x v="1"/>
    <x v="4"/>
    <x v="3"/>
    <x v="4"/>
    <x v="3"/>
    <x v="8"/>
    <n v="20"/>
    <x v="0"/>
  </r>
  <r>
    <d v="2021-08-20T00:00:00"/>
    <x v="2"/>
    <x v="1"/>
    <x v="0"/>
    <n v="100541370.97"/>
    <x v="2"/>
    <x v="1"/>
    <x v="0"/>
    <x v="8"/>
    <x v="4"/>
    <x v="3"/>
    <x v="4"/>
    <x v="3"/>
    <x v="8"/>
    <n v="20"/>
    <x v="0"/>
  </r>
  <r>
    <d v="2021-08-20T00:00:00"/>
    <x v="0"/>
    <x v="0"/>
    <x v="0"/>
    <n v="-4698.78"/>
    <x v="0"/>
    <x v="0"/>
    <x v="0"/>
    <x v="0"/>
    <x v="4"/>
    <x v="3"/>
    <x v="4"/>
    <x v="3"/>
    <x v="8"/>
    <n v="20"/>
    <x v="1"/>
  </r>
  <r>
    <d v="2021-08-20T00:00:00"/>
    <x v="3"/>
    <x v="3"/>
    <x v="0"/>
    <n v="2390804688.25"/>
    <x v="3"/>
    <x v="3"/>
    <x v="0"/>
    <x v="7"/>
    <x v="4"/>
    <x v="3"/>
    <x v="4"/>
    <x v="3"/>
    <x v="8"/>
    <n v="20"/>
    <x v="0"/>
  </r>
  <r>
    <d v="2021-08-20T00:00:00"/>
    <x v="1"/>
    <x v="0"/>
    <x v="1"/>
    <n v="79452032.159999996"/>
    <x v="1"/>
    <x v="0"/>
    <x v="1"/>
    <x v="11"/>
    <x v="4"/>
    <x v="3"/>
    <x v="4"/>
    <x v="3"/>
    <x v="8"/>
    <n v="20"/>
    <x v="0"/>
  </r>
  <r>
    <d v="2021-08-20T00:00:00"/>
    <x v="3"/>
    <x v="2"/>
    <x v="0"/>
    <n v="566211708.96000004"/>
    <x v="3"/>
    <x v="2"/>
    <x v="0"/>
    <x v="12"/>
    <x v="4"/>
    <x v="3"/>
    <x v="4"/>
    <x v="3"/>
    <x v="8"/>
    <n v="20"/>
    <x v="0"/>
  </r>
  <r>
    <d v="2021-08-20T00:00:00"/>
    <x v="3"/>
    <x v="2"/>
    <x v="1"/>
    <n v="8646077807.7199993"/>
    <x v="3"/>
    <x v="2"/>
    <x v="1"/>
    <x v="13"/>
    <x v="4"/>
    <x v="3"/>
    <x v="4"/>
    <x v="3"/>
    <x v="8"/>
    <n v="20"/>
    <x v="0"/>
  </r>
  <r>
    <d v="2021-08-20T00:00:00"/>
    <x v="3"/>
    <x v="1"/>
    <x v="0"/>
    <n v="12506300.050000001"/>
    <x v="3"/>
    <x v="1"/>
    <x v="0"/>
    <x v="14"/>
    <x v="4"/>
    <x v="3"/>
    <x v="4"/>
    <x v="3"/>
    <x v="8"/>
    <n v="20"/>
    <x v="0"/>
  </r>
  <r>
    <d v="2021-08-19T00:00:00"/>
    <x v="2"/>
    <x v="1"/>
    <x v="1"/>
    <n v="176129369.80000001"/>
    <x v="2"/>
    <x v="1"/>
    <x v="1"/>
    <x v="7"/>
    <x v="4"/>
    <x v="3"/>
    <x v="4"/>
    <x v="3"/>
    <x v="8"/>
    <n v="19"/>
    <x v="0"/>
  </r>
  <r>
    <d v="2021-08-19T00:00:00"/>
    <x v="0"/>
    <x v="1"/>
    <x v="1"/>
    <n v="3739792.2"/>
    <x v="0"/>
    <x v="1"/>
    <x v="1"/>
    <x v="5"/>
    <x v="4"/>
    <x v="3"/>
    <x v="4"/>
    <x v="3"/>
    <x v="8"/>
    <n v="19"/>
    <x v="0"/>
  </r>
  <r>
    <d v="2021-08-19T00:00:00"/>
    <x v="3"/>
    <x v="3"/>
    <x v="0"/>
    <n v="697654667.09000003"/>
    <x v="3"/>
    <x v="3"/>
    <x v="0"/>
    <x v="8"/>
    <x v="4"/>
    <x v="3"/>
    <x v="4"/>
    <x v="3"/>
    <x v="8"/>
    <n v="19"/>
    <x v="0"/>
  </r>
  <r>
    <d v="2021-08-19T00:00:00"/>
    <x v="1"/>
    <x v="0"/>
    <x v="0"/>
    <n v="85274331.349999994"/>
    <x v="1"/>
    <x v="0"/>
    <x v="0"/>
    <x v="9"/>
    <x v="4"/>
    <x v="3"/>
    <x v="4"/>
    <x v="3"/>
    <x v="8"/>
    <n v="19"/>
    <x v="0"/>
  </r>
  <r>
    <d v="2021-08-19T00:00:00"/>
    <x v="3"/>
    <x v="2"/>
    <x v="2"/>
    <n v="146700"/>
    <x v="3"/>
    <x v="2"/>
    <x v="2"/>
    <x v="4"/>
    <x v="4"/>
    <x v="3"/>
    <x v="4"/>
    <x v="3"/>
    <x v="8"/>
    <n v="19"/>
    <x v="0"/>
  </r>
  <r>
    <d v="2021-08-19T00:00:00"/>
    <x v="0"/>
    <x v="0"/>
    <x v="0"/>
    <n v="15.96"/>
    <x v="0"/>
    <x v="0"/>
    <x v="0"/>
    <x v="0"/>
    <x v="4"/>
    <x v="3"/>
    <x v="4"/>
    <x v="3"/>
    <x v="8"/>
    <n v="19"/>
    <x v="0"/>
  </r>
  <r>
    <d v="2021-08-19T00:00:00"/>
    <x v="0"/>
    <x v="1"/>
    <x v="0"/>
    <n v="15570055.57"/>
    <x v="0"/>
    <x v="1"/>
    <x v="0"/>
    <x v="1"/>
    <x v="4"/>
    <x v="3"/>
    <x v="4"/>
    <x v="3"/>
    <x v="8"/>
    <n v="19"/>
    <x v="0"/>
  </r>
  <r>
    <d v="2021-08-19T00:00:00"/>
    <x v="2"/>
    <x v="1"/>
    <x v="0"/>
    <n v="112930942.16"/>
    <x v="2"/>
    <x v="1"/>
    <x v="0"/>
    <x v="6"/>
    <x v="4"/>
    <x v="3"/>
    <x v="4"/>
    <x v="3"/>
    <x v="8"/>
    <n v="19"/>
    <x v="0"/>
  </r>
  <r>
    <d v="2021-08-19T00:00:00"/>
    <x v="2"/>
    <x v="1"/>
    <x v="2"/>
    <n v="3310"/>
    <x v="2"/>
    <x v="1"/>
    <x v="2"/>
    <x v="3"/>
    <x v="4"/>
    <x v="3"/>
    <x v="4"/>
    <x v="3"/>
    <x v="8"/>
    <n v="19"/>
    <x v="0"/>
  </r>
  <r>
    <d v="2021-08-19T00:00:00"/>
    <x v="1"/>
    <x v="0"/>
    <x v="2"/>
    <n v="320.7"/>
    <x v="1"/>
    <x v="0"/>
    <x v="2"/>
    <x v="2"/>
    <x v="4"/>
    <x v="3"/>
    <x v="4"/>
    <x v="3"/>
    <x v="8"/>
    <n v="19"/>
    <x v="0"/>
  </r>
  <r>
    <d v="2021-08-19T00:00:00"/>
    <x v="1"/>
    <x v="0"/>
    <x v="1"/>
    <n v="165416833.78"/>
    <x v="1"/>
    <x v="0"/>
    <x v="1"/>
    <x v="10"/>
    <x v="4"/>
    <x v="3"/>
    <x v="4"/>
    <x v="3"/>
    <x v="8"/>
    <n v="19"/>
    <x v="0"/>
  </r>
  <r>
    <d v="2021-08-19T00:00:00"/>
    <x v="3"/>
    <x v="2"/>
    <x v="0"/>
    <n v="301406275.35000002"/>
    <x v="3"/>
    <x v="2"/>
    <x v="0"/>
    <x v="11"/>
    <x v="4"/>
    <x v="3"/>
    <x v="4"/>
    <x v="3"/>
    <x v="8"/>
    <n v="19"/>
    <x v="0"/>
  </r>
  <r>
    <d v="2021-08-19T00:00:00"/>
    <x v="3"/>
    <x v="2"/>
    <x v="1"/>
    <n v="2578238751.2199998"/>
    <x v="3"/>
    <x v="2"/>
    <x v="1"/>
    <x v="12"/>
    <x v="4"/>
    <x v="3"/>
    <x v="4"/>
    <x v="3"/>
    <x v="8"/>
    <n v="19"/>
    <x v="0"/>
  </r>
  <r>
    <d v="2021-08-19T00:00:00"/>
    <x v="3"/>
    <x v="1"/>
    <x v="0"/>
    <n v="12196898.73"/>
    <x v="3"/>
    <x v="1"/>
    <x v="0"/>
    <x v="13"/>
    <x v="4"/>
    <x v="3"/>
    <x v="4"/>
    <x v="3"/>
    <x v="8"/>
    <n v="19"/>
    <x v="0"/>
  </r>
  <r>
    <d v="2021-08-18T00:00:00"/>
    <x v="1"/>
    <x v="0"/>
    <x v="2"/>
    <n v="810.77"/>
    <x v="1"/>
    <x v="0"/>
    <x v="2"/>
    <x v="2"/>
    <x v="4"/>
    <x v="3"/>
    <x v="4"/>
    <x v="3"/>
    <x v="8"/>
    <n v="18"/>
    <x v="0"/>
  </r>
  <r>
    <d v="2021-08-18T00:00:00"/>
    <x v="3"/>
    <x v="2"/>
    <x v="2"/>
    <n v="214622.99"/>
    <x v="3"/>
    <x v="2"/>
    <x v="2"/>
    <x v="4"/>
    <x v="4"/>
    <x v="3"/>
    <x v="4"/>
    <x v="3"/>
    <x v="8"/>
    <n v="18"/>
    <x v="0"/>
  </r>
  <r>
    <d v="2021-08-18T00:00:00"/>
    <x v="2"/>
    <x v="1"/>
    <x v="2"/>
    <n v="34849.660000000003"/>
    <x v="2"/>
    <x v="1"/>
    <x v="2"/>
    <x v="3"/>
    <x v="4"/>
    <x v="3"/>
    <x v="4"/>
    <x v="3"/>
    <x v="8"/>
    <n v="18"/>
    <x v="0"/>
  </r>
  <r>
    <d v="2021-08-18T00:00:00"/>
    <x v="2"/>
    <x v="1"/>
    <x v="1"/>
    <n v="287252753.89999998"/>
    <x v="2"/>
    <x v="1"/>
    <x v="1"/>
    <x v="8"/>
    <x v="4"/>
    <x v="3"/>
    <x v="4"/>
    <x v="3"/>
    <x v="8"/>
    <n v="18"/>
    <x v="0"/>
  </r>
  <r>
    <d v="2021-08-18T00:00:00"/>
    <x v="0"/>
    <x v="1"/>
    <x v="1"/>
    <n v="10778252.369999999"/>
    <x v="0"/>
    <x v="1"/>
    <x v="1"/>
    <x v="5"/>
    <x v="4"/>
    <x v="3"/>
    <x v="4"/>
    <x v="3"/>
    <x v="8"/>
    <n v="18"/>
    <x v="0"/>
  </r>
  <r>
    <d v="2021-08-18T00:00:00"/>
    <x v="1"/>
    <x v="0"/>
    <x v="0"/>
    <n v="112618052.61"/>
    <x v="1"/>
    <x v="0"/>
    <x v="0"/>
    <x v="9"/>
    <x v="4"/>
    <x v="3"/>
    <x v="4"/>
    <x v="3"/>
    <x v="8"/>
    <n v="18"/>
    <x v="0"/>
  </r>
  <r>
    <d v="2021-08-18T00:00:00"/>
    <x v="1"/>
    <x v="0"/>
    <x v="1"/>
    <n v="673027846.99000001"/>
    <x v="1"/>
    <x v="0"/>
    <x v="1"/>
    <x v="10"/>
    <x v="4"/>
    <x v="3"/>
    <x v="4"/>
    <x v="3"/>
    <x v="8"/>
    <n v="18"/>
    <x v="0"/>
  </r>
  <r>
    <d v="2021-08-18T00:00:00"/>
    <x v="0"/>
    <x v="0"/>
    <x v="0"/>
    <n v="10698.78"/>
    <x v="0"/>
    <x v="0"/>
    <x v="0"/>
    <x v="0"/>
    <x v="4"/>
    <x v="3"/>
    <x v="4"/>
    <x v="3"/>
    <x v="8"/>
    <n v="18"/>
    <x v="0"/>
  </r>
  <r>
    <d v="2021-08-18T00:00:00"/>
    <x v="2"/>
    <x v="1"/>
    <x v="0"/>
    <n v="81086953.480000004"/>
    <x v="2"/>
    <x v="1"/>
    <x v="0"/>
    <x v="6"/>
    <x v="4"/>
    <x v="3"/>
    <x v="4"/>
    <x v="3"/>
    <x v="8"/>
    <n v="18"/>
    <x v="0"/>
  </r>
  <r>
    <d v="2021-08-18T00:00:00"/>
    <x v="0"/>
    <x v="1"/>
    <x v="0"/>
    <n v="16528734.24"/>
    <x v="0"/>
    <x v="1"/>
    <x v="0"/>
    <x v="1"/>
    <x v="4"/>
    <x v="3"/>
    <x v="4"/>
    <x v="3"/>
    <x v="8"/>
    <n v="18"/>
    <x v="0"/>
  </r>
  <r>
    <d v="2021-08-18T00:00:00"/>
    <x v="3"/>
    <x v="3"/>
    <x v="0"/>
    <n v="1129120590.4300001"/>
    <x v="3"/>
    <x v="3"/>
    <x v="0"/>
    <x v="7"/>
    <x v="4"/>
    <x v="3"/>
    <x v="4"/>
    <x v="3"/>
    <x v="8"/>
    <n v="18"/>
    <x v="0"/>
  </r>
  <r>
    <d v="2021-08-18T00:00:00"/>
    <x v="3"/>
    <x v="2"/>
    <x v="0"/>
    <n v="467100053.80000001"/>
    <x v="3"/>
    <x v="2"/>
    <x v="0"/>
    <x v="11"/>
    <x v="4"/>
    <x v="3"/>
    <x v="4"/>
    <x v="3"/>
    <x v="8"/>
    <n v="18"/>
    <x v="0"/>
  </r>
  <r>
    <d v="2021-08-18T00:00:00"/>
    <x v="3"/>
    <x v="1"/>
    <x v="0"/>
    <n v="12191266.189999999"/>
    <x v="3"/>
    <x v="1"/>
    <x v="0"/>
    <x v="12"/>
    <x v="4"/>
    <x v="3"/>
    <x v="4"/>
    <x v="3"/>
    <x v="8"/>
    <n v="18"/>
    <x v="0"/>
  </r>
  <r>
    <d v="2021-08-18T00:00:00"/>
    <x v="3"/>
    <x v="2"/>
    <x v="1"/>
    <n v="12367389187.6"/>
    <x v="3"/>
    <x v="2"/>
    <x v="1"/>
    <x v="13"/>
    <x v="4"/>
    <x v="3"/>
    <x v="4"/>
    <x v="3"/>
    <x v="8"/>
    <n v="18"/>
    <x v="0"/>
  </r>
  <r>
    <d v="2021-08-17T00:00:00"/>
    <x v="2"/>
    <x v="1"/>
    <x v="2"/>
    <n v="6430"/>
    <x v="2"/>
    <x v="1"/>
    <x v="2"/>
    <x v="3"/>
    <x v="4"/>
    <x v="3"/>
    <x v="4"/>
    <x v="3"/>
    <x v="8"/>
    <n v="17"/>
    <x v="0"/>
  </r>
  <r>
    <d v="2021-08-17T00:00:00"/>
    <x v="0"/>
    <x v="1"/>
    <x v="1"/>
    <n v="12304559.529999999"/>
    <x v="0"/>
    <x v="1"/>
    <x v="1"/>
    <x v="4"/>
    <x v="4"/>
    <x v="3"/>
    <x v="4"/>
    <x v="3"/>
    <x v="8"/>
    <n v="17"/>
    <x v="0"/>
  </r>
  <r>
    <d v="2021-08-17T00:00:00"/>
    <x v="1"/>
    <x v="0"/>
    <x v="0"/>
    <n v="90356651.260000005"/>
    <x v="1"/>
    <x v="0"/>
    <x v="0"/>
    <x v="9"/>
    <x v="4"/>
    <x v="3"/>
    <x v="4"/>
    <x v="3"/>
    <x v="8"/>
    <n v="17"/>
    <x v="0"/>
  </r>
  <r>
    <d v="2021-08-17T00:00:00"/>
    <x v="1"/>
    <x v="0"/>
    <x v="1"/>
    <n v="238572617.66"/>
    <x v="1"/>
    <x v="0"/>
    <x v="1"/>
    <x v="10"/>
    <x v="4"/>
    <x v="3"/>
    <x v="4"/>
    <x v="3"/>
    <x v="8"/>
    <n v="17"/>
    <x v="0"/>
  </r>
  <r>
    <d v="2021-08-17T00:00:00"/>
    <x v="3"/>
    <x v="2"/>
    <x v="2"/>
    <n v="101973.99"/>
    <x v="3"/>
    <x v="2"/>
    <x v="2"/>
    <x v="5"/>
    <x v="4"/>
    <x v="3"/>
    <x v="4"/>
    <x v="3"/>
    <x v="8"/>
    <n v="17"/>
    <x v="0"/>
  </r>
  <r>
    <d v="2021-08-17T00:00:00"/>
    <x v="0"/>
    <x v="1"/>
    <x v="0"/>
    <n v="20531044.079999998"/>
    <x v="0"/>
    <x v="1"/>
    <x v="0"/>
    <x v="1"/>
    <x v="4"/>
    <x v="3"/>
    <x v="4"/>
    <x v="3"/>
    <x v="8"/>
    <n v="17"/>
    <x v="0"/>
  </r>
  <r>
    <d v="2021-08-17T00:00:00"/>
    <x v="2"/>
    <x v="1"/>
    <x v="0"/>
    <n v="66894247.859999999"/>
    <x v="2"/>
    <x v="1"/>
    <x v="0"/>
    <x v="6"/>
    <x v="4"/>
    <x v="3"/>
    <x v="4"/>
    <x v="3"/>
    <x v="8"/>
    <n v="17"/>
    <x v="0"/>
  </r>
  <r>
    <d v="2021-08-17T00:00:00"/>
    <x v="3"/>
    <x v="3"/>
    <x v="0"/>
    <n v="1405927040.1800001"/>
    <x v="3"/>
    <x v="3"/>
    <x v="0"/>
    <x v="7"/>
    <x v="4"/>
    <x v="3"/>
    <x v="4"/>
    <x v="3"/>
    <x v="8"/>
    <n v="17"/>
    <x v="0"/>
  </r>
  <r>
    <d v="2021-08-17T00:00:00"/>
    <x v="0"/>
    <x v="0"/>
    <x v="0"/>
    <n v="60"/>
    <x v="0"/>
    <x v="0"/>
    <x v="0"/>
    <x v="0"/>
    <x v="4"/>
    <x v="3"/>
    <x v="4"/>
    <x v="3"/>
    <x v="8"/>
    <n v="17"/>
    <x v="0"/>
  </r>
  <r>
    <d v="2021-08-17T00:00:00"/>
    <x v="1"/>
    <x v="0"/>
    <x v="2"/>
    <n v="3242.85"/>
    <x v="1"/>
    <x v="0"/>
    <x v="2"/>
    <x v="2"/>
    <x v="4"/>
    <x v="3"/>
    <x v="4"/>
    <x v="3"/>
    <x v="8"/>
    <n v="17"/>
    <x v="0"/>
  </r>
  <r>
    <d v="2021-08-17T00:00:00"/>
    <x v="2"/>
    <x v="1"/>
    <x v="1"/>
    <n v="188933373.63"/>
    <x v="2"/>
    <x v="1"/>
    <x v="1"/>
    <x v="8"/>
    <x v="4"/>
    <x v="3"/>
    <x v="4"/>
    <x v="3"/>
    <x v="8"/>
    <n v="17"/>
    <x v="0"/>
  </r>
  <r>
    <d v="2021-08-17T00:00:00"/>
    <x v="3"/>
    <x v="2"/>
    <x v="0"/>
    <n v="414399043.06"/>
    <x v="3"/>
    <x v="2"/>
    <x v="0"/>
    <x v="11"/>
    <x v="4"/>
    <x v="3"/>
    <x v="4"/>
    <x v="3"/>
    <x v="8"/>
    <n v="17"/>
    <x v="0"/>
  </r>
  <r>
    <d v="2021-08-17T00:00:00"/>
    <x v="3"/>
    <x v="1"/>
    <x v="0"/>
    <n v="10856436.84"/>
    <x v="3"/>
    <x v="1"/>
    <x v="0"/>
    <x v="12"/>
    <x v="4"/>
    <x v="3"/>
    <x v="4"/>
    <x v="3"/>
    <x v="8"/>
    <n v="17"/>
    <x v="0"/>
  </r>
  <r>
    <d v="2021-08-17T00:00:00"/>
    <x v="3"/>
    <x v="2"/>
    <x v="1"/>
    <n v="3898764312.7600002"/>
    <x v="3"/>
    <x v="2"/>
    <x v="1"/>
    <x v="13"/>
    <x v="4"/>
    <x v="3"/>
    <x v="4"/>
    <x v="3"/>
    <x v="8"/>
    <n v="17"/>
    <x v="0"/>
  </r>
  <r>
    <d v="2021-08-16T00:00:00"/>
    <x v="1"/>
    <x v="0"/>
    <x v="2"/>
    <n v="2031"/>
    <x v="1"/>
    <x v="0"/>
    <x v="2"/>
    <x v="2"/>
    <x v="4"/>
    <x v="3"/>
    <x v="4"/>
    <x v="3"/>
    <x v="8"/>
    <n v="16"/>
    <x v="0"/>
  </r>
  <r>
    <d v="2021-08-16T00:00:00"/>
    <x v="2"/>
    <x v="1"/>
    <x v="2"/>
    <n v="515260.84"/>
    <x v="2"/>
    <x v="1"/>
    <x v="2"/>
    <x v="3"/>
    <x v="4"/>
    <x v="3"/>
    <x v="4"/>
    <x v="3"/>
    <x v="8"/>
    <n v="16"/>
    <x v="0"/>
  </r>
  <r>
    <d v="2021-08-16T00:00:00"/>
    <x v="2"/>
    <x v="1"/>
    <x v="0"/>
    <n v="72235100.370000005"/>
    <x v="2"/>
    <x v="1"/>
    <x v="0"/>
    <x v="6"/>
    <x v="4"/>
    <x v="3"/>
    <x v="4"/>
    <x v="3"/>
    <x v="8"/>
    <n v="16"/>
    <x v="0"/>
  </r>
  <r>
    <d v="2021-08-16T00:00:00"/>
    <x v="2"/>
    <x v="1"/>
    <x v="1"/>
    <n v="166339018.03"/>
    <x v="2"/>
    <x v="1"/>
    <x v="1"/>
    <x v="8"/>
    <x v="4"/>
    <x v="3"/>
    <x v="4"/>
    <x v="3"/>
    <x v="8"/>
    <n v="16"/>
    <x v="0"/>
  </r>
  <r>
    <d v="2021-08-16T00:00:00"/>
    <x v="0"/>
    <x v="1"/>
    <x v="1"/>
    <n v="22097467.309999999"/>
    <x v="0"/>
    <x v="1"/>
    <x v="1"/>
    <x v="4"/>
    <x v="4"/>
    <x v="3"/>
    <x v="4"/>
    <x v="3"/>
    <x v="8"/>
    <n v="16"/>
    <x v="0"/>
  </r>
  <r>
    <d v="2021-08-16T00:00:00"/>
    <x v="1"/>
    <x v="0"/>
    <x v="1"/>
    <n v="216631677.72999999"/>
    <x v="1"/>
    <x v="0"/>
    <x v="1"/>
    <x v="9"/>
    <x v="4"/>
    <x v="3"/>
    <x v="4"/>
    <x v="3"/>
    <x v="8"/>
    <n v="16"/>
    <x v="0"/>
  </r>
  <r>
    <d v="2021-08-16T00:00:00"/>
    <x v="1"/>
    <x v="0"/>
    <x v="0"/>
    <n v="86182206.329999998"/>
    <x v="1"/>
    <x v="0"/>
    <x v="0"/>
    <x v="10"/>
    <x v="4"/>
    <x v="3"/>
    <x v="4"/>
    <x v="3"/>
    <x v="8"/>
    <n v="16"/>
    <x v="0"/>
  </r>
  <r>
    <d v="2021-08-16T00:00:00"/>
    <x v="3"/>
    <x v="2"/>
    <x v="2"/>
    <n v="92049.77"/>
    <x v="3"/>
    <x v="2"/>
    <x v="2"/>
    <x v="5"/>
    <x v="4"/>
    <x v="3"/>
    <x v="4"/>
    <x v="3"/>
    <x v="8"/>
    <n v="16"/>
    <x v="0"/>
  </r>
  <r>
    <d v="2021-08-16T00:00:00"/>
    <x v="0"/>
    <x v="0"/>
    <x v="0"/>
    <n v="582.29"/>
    <x v="0"/>
    <x v="0"/>
    <x v="0"/>
    <x v="0"/>
    <x v="4"/>
    <x v="3"/>
    <x v="4"/>
    <x v="3"/>
    <x v="8"/>
    <n v="16"/>
    <x v="0"/>
  </r>
  <r>
    <d v="2021-08-16T00:00:00"/>
    <x v="0"/>
    <x v="1"/>
    <x v="0"/>
    <n v="12203353.68"/>
    <x v="0"/>
    <x v="1"/>
    <x v="0"/>
    <x v="1"/>
    <x v="4"/>
    <x v="3"/>
    <x v="4"/>
    <x v="3"/>
    <x v="8"/>
    <n v="16"/>
    <x v="0"/>
  </r>
  <r>
    <d v="2021-08-16T00:00:00"/>
    <x v="3"/>
    <x v="3"/>
    <x v="0"/>
    <n v="1179576784.46"/>
    <x v="3"/>
    <x v="3"/>
    <x v="0"/>
    <x v="7"/>
    <x v="4"/>
    <x v="3"/>
    <x v="4"/>
    <x v="3"/>
    <x v="8"/>
    <n v="16"/>
    <x v="0"/>
  </r>
  <r>
    <d v="2021-08-16T00:00:00"/>
    <x v="3"/>
    <x v="2"/>
    <x v="0"/>
    <n v="443204369.63999999"/>
    <x v="3"/>
    <x v="2"/>
    <x v="0"/>
    <x v="11"/>
    <x v="4"/>
    <x v="3"/>
    <x v="4"/>
    <x v="3"/>
    <x v="8"/>
    <n v="16"/>
    <x v="0"/>
  </r>
  <r>
    <d v="2021-08-16T00:00:00"/>
    <x v="3"/>
    <x v="2"/>
    <x v="1"/>
    <n v="30872427215.240002"/>
    <x v="3"/>
    <x v="2"/>
    <x v="1"/>
    <x v="12"/>
    <x v="4"/>
    <x v="3"/>
    <x v="4"/>
    <x v="3"/>
    <x v="8"/>
    <n v="16"/>
    <x v="0"/>
  </r>
  <r>
    <d v="2021-08-16T00:00:00"/>
    <x v="3"/>
    <x v="1"/>
    <x v="0"/>
    <n v="41720751.740000002"/>
    <x v="3"/>
    <x v="1"/>
    <x v="0"/>
    <x v="13"/>
    <x v="4"/>
    <x v="3"/>
    <x v="4"/>
    <x v="3"/>
    <x v="8"/>
    <n v="16"/>
    <x v="0"/>
  </r>
  <r>
    <d v="2021-08-13T00:00:00"/>
    <x v="1"/>
    <x v="0"/>
    <x v="2"/>
    <n v="3328.76"/>
    <x v="1"/>
    <x v="0"/>
    <x v="2"/>
    <x v="3"/>
    <x v="4"/>
    <x v="3"/>
    <x v="4"/>
    <x v="3"/>
    <x v="8"/>
    <n v="13"/>
    <x v="0"/>
  </r>
  <r>
    <d v="2021-08-13T00:00:00"/>
    <x v="2"/>
    <x v="1"/>
    <x v="2"/>
    <n v="1545"/>
    <x v="2"/>
    <x v="1"/>
    <x v="2"/>
    <x v="4"/>
    <x v="4"/>
    <x v="3"/>
    <x v="4"/>
    <x v="3"/>
    <x v="8"/>
    <n v="13"/>
    <x v="0"/>
  </r>
  <r>
    <d v="2021-08-13T00:00:00"/>
    <x v="2"/>
    <x v="1"/>
    <x v="0"/>
    <n v="72932946.090000004"/>
    <x v="2"/>
    <x v="1"/>
    <x v="0"/>
    <x v="7"/>
    <x v="4"/>
    <x v="3"/>
    <x v="4"/>
    <x v="3"/>
    <x v="8"/>
    <n v="13"/>
    <x v="0"/>
  </r>
  <r>
    <d v="2021-08-13T00:00:00"/>
    <x v="2"/>
    <x v="1"/>
    <x v="1"/>
    <n v="309807908.02999997"/>
    <x v="2"/>
    <x v="1"/>
    <x v="1"/>
    <x v="8"/>
    <x v="4"/>
    <x v="3"/>
    <x v="4"/>
    <x v="3"/>
    <x v="8"/>
    <n v="13"/>
    <x v="0"/>
  </r>
  <r>
    <d v="2021-08-13T00:00:00"/>
    <x v="0"/>
    <x v="1"/>
    <x v="1"/>
    <n v="7644302.8499999996"/>
    <x v="0"/>
    <x v="1"/>
    <x v="1"/>
    <x v="5"/>
    <x v="4"/>
    <x v="3"/>
    <x v="4"/>
    <x v="3"/>
    <x v="8"/>
    <n v="13"/>
    <x v="0"/>
  </r>
  <r>
    <d v="2021-08-13T00:00:00"/>
    <x v="3"/>
    <x v="3"/>
    <x v="0"/>
    <n v="1930921317.6400001"/>
    <x v="3"/>
    <x v="3"/>
    <x v="0"/>
    <x v="9"/>
    <x v="4"/>
    <x v="3"/>
    <x v="4"/>
    <x v="3"/>
    <x v="8"/>
    <n v="13"/>
    <x v="0"/>
  </r>
  <r>
    <d v="2021-08-13T00:00:00"/>
    <x v="1"/>
    <x v="0"/>
    <x v="0"/>
    <n v="77329041.989999995"/>
    <x v="1"/>
    <x v="0"/>
    <x v="0"/>
    <x v="10"/>
    <x v="4"/>
    <x v="3"/>
    <x v="4"/>
    <x v="3"/>
    <x v="8"/>
    <n v="13"/>
    <x v="0"/>
  </r>
  <r>
    <d v="2021-08-13T00:00:00"/>
    <x v="1"/>
    <x v="0"/>
    <x v="1"/>
    <n v="73158119.400000006"/>
    <x v="1"/>
    <x v="0"/>
    <x v="1"/>
    <x v="11"/>
    <x v="4"/>
    <x v="3"/>
    <x v="4"/>
    <x v="3"/>
    <x v="8"/>
    <n v="13"/>
    <x v="0"/>
  </r>
  <r>
    <d v="2021-08-13T00:00:00"/>
    <x v="3"/>
    <x v="2"/>
    <x v="2"/>
    <n v="341522.99"/>
    <x v="3"/>
    <x v="2"/>
    <x v="2"/>
    <x v="6"/>
    <x v="4"/>
    <x v="3"/>
    <x v="4"/>
    <x v="3"/>
    <x v="8"/>
    <n v="13"/>
    <x v="0"/>
  </r>
  <r>
    <d v="2021-08-13T00:00:00"/>
    <x v="0"/>
    <x v="1"/>
    <x v="0"/>
    <n v="30497015.620000001"/>
    <x v="0"/>
    <x v="1"/>
    <x v="0"/>
    <x v="1"/>
    <x v="4"/>
    <x v="3"/>
    <x v="4"/>
    <x v="3"/>
    <x v="8"/>
    <n v="13"/>
    <x v="0"/>
  </r>
  <r>
    <d v="2021-08-13T00:00:00"/>
    <x v="0"/>
    <x v="0"/>
    <x v="0"/>
    <n v="350"/>
    <x v="0"/>
    <x v="0"/>
    <x v="0"/>
    <x v="0"/>
    <x v="4"/>
    <x v="3"/>
    <x v="4"/>
    <x v="3"/>
    <x v="8"/>
    <n v="13"/>
    <x v="0"/>
  </r>
  <r>
    <d v="2021-08-13T00:00:00"/>
    <x v="3"/>
    <x v="3"/>
    <x v="2"/>
    <n v="188071.46"/>
    <x v="3"/>
    <x v="3"/>
    <x v="2"/>
    <x v="2"/>
    <x v="4"/>
    <x v="3"/>
    <x v="4"/>
    <x v="3"/>
    <x v="8"/>
    <n v="13"/>
    <x v="0"/>
  </r>
  <r>
    <d v="2021-08-13T00:00:00"/>
    <x v="3"/>
    <x v="2"/>
    <x v="0"/>
    <n v="744353419.53999996"/>
    <x v="3"/>
    <x v="2"/>
    <x v="0"/>
    <x v="12"/>
    <x v="4"/>
    <x v="3"/>
    <x v="4"/>
    <x v="3"/>
    <x v="8"/>
    <n v="13"/>
    <x v="0"/>
  </r>
  <r>
    <d v="2021-08-13T00:00:00"/>
    <x v="3"/>
    <x v="2"/>
    <x v="1"/>
    <n v="10773996761.700001"/>
    <x v="3"/>
    <x v="2"/>
    <x v="1"/>
    <x v="13"/>
    <x v="4"/>
    <x v="3"/>
    <x v="4"/>
    <x v="3"/>
    <x v="8"/>
    <n v="13"/>
    <x v="0"/>
  </r>
  <r>
    <d v="2021-08-13T00:00:00"/>
    <x v="3"/>
    <x v="1"/>
    <x v="0"/>
    <n v="13318322.76"/>
    <x v="3"/>
    <x v="1"/>
    <x v="0"/>
    <x v="14"/>
    <x v="4"/>
    <x v="3"/>
    <x v="4"/>
    <x v="3"/>
    <x v="8"/>
    <n v="13"/>
    <x v="0"/>
  </r>
  <r>
    <d v="2021-08-12T00:00:00"/>
    <x v="2"/>
    <x v="1"/>
    <x v="2"/>
    <n v="8635"/>
    <x v="2"/>
    <x v="1"/>
    <x v="2"/>
    <x v="2"/>
    <x v="4"/>
    <x v="3"/>
    <x v="4"/>
    <x v="3"/>
    <x v="8"/>
    <n v="12"/>
    <x v="0"/>
  </r>
  <r>
    <d v="2021-08-12T00:00:00"/>
    <x v="1"/>
    <x v="0"/>
    <x v="2"/>
    <n v="11684.75"/>
    <x v="1"/>
    <x v="0"/>
    <x v="2"/>
    <x v="3"/>
    <x v="4"/>
    <x v="3"/>
    <x v="4"/>
    <x v="3"/>
    <x v="8"/>
    <n v="12"/>
    <x v="0"/>
  </r>
  <r>
    <d v="2021-08-12T00:00:00"/>
    <x v="3"/>
    <x v="3"/>
    <x v="0"/>
    <n v="1039229956.41"/>
    <x v="3"/>
    <x v="3"/>
    <x v="0"/>
    <x v="6"/>
    <x v="4"/>
    <x v="3"/>
    <x v="4"/>
    <x v="3"/>
    <x v="8"/>
    <n v="12"/>
    <x v="0"/>
  </r>
  <r>
    <d v="2021-08-12T00:00:00"/>
    <x v="2"/>
    <x v="1"/>
    <x v="0"/>
    <n v="77969491.140000001"/>
    <x v="2"/>
    <x v="1"/>
    <x v="0"/>
    <x v="7"/>
    <x v="4"/>
    <x v="3"/>
    <x v="4"/>
    <x v="3"/>
    <x v="8"/>
    <n v="12"/>
    <x v="0"/>
  </r>
  <r>
    <d v="2021-08-12T00:00:00"/>
    <x v="2"/>
    <x v="1"/>
    <x v="1"/>
    <n v="141248961.56"/>
    <x v="2"/>
    <x v="1"/>
    <x v="1"/>
    <x v="8"/>
    <x v="4"/>
    <x v="3"/>
    <x v="4"/>
    <x v="3"/>
    <x v="8"/>
    <n v="12"/>
    <x v="0"/>
  </r>
  <r>
    <d v="2021-08-12T00:00:00"/>
    <x v="0"/>
    <x v="1"/>
    <x v="1"/>
    <n v="3509089.19"/>
    <x v="0"/>
    <x v="1"/>
    <x v="1"/>
    <x v="4"/>
    <x v="4"/>
    <x v="3"/>
    <x v="4"/>
    <x v="3"/>
    <x v="8"/>
    <n v="12"/>
    <x v="0"/>
  </r>
  <r>
    <d v="2021-08-12T00:00:00"/>
    <x v="1"/>
    <x v="0"/>
    <x v="0"/>
    <n v="82199764.909999996"/>
    <x v="1"/>
    <x v="0"/>
    <x v="0"/>
    <x v="9"/>
    <x v="4"/>
    <x v="3"/>
    <x v="4"/>
    <x v="3"/>
    <x v="8"/>
    <n v="12"/>
    <x v="0"/>
  </r>
  <r>
    <d v="2021-08-12T00:00:00"/>
    <x v="3"/>
    <x v="2"/>
    <x v="2"/>
    <n v="224368.09"/>
    <x v="3"/>
    <x v="2"/>
    <x v="2"/>
    <x v="5"/>
    <x v="4"/>
    <x v="3"/>
    <x v="4"/>
    <x v="3"/>
    <x v="8"/>
    <n v="12"/>
    <x v="0"/>
  </r>
  <r>
    <d v="2021-08-12T00:00:00"/>
    <x v="1"/>
    <x v="0"/>
    <x v="1"/>
    <n v="180792869.22"/>
    <x v="1"/>
    <x v="0"/>
    <x v="1"/>
    <x v="10"/>
    <x v="4"/>
    <x v="3"/>
    <x v="4"/>
    <x v="3"/>
    <x v="8"/>
    <n v="12"/>
    <x v="0"/>
  </r>
  <r>
    <d v="2021-08-12T00:00:00"/>
    <x v="0"/>
    <x v="1"/>
    <x v="0"/>
    <n v="13018258.92"/>
    <x v="0"/>
    <x v="1"/>
    <x v="0"/>
    <x v="1"/>
    <x v="4"/>
    <x v="3"/>
    <x v="4"/>
    <x v="3"/>
    <x v="8"/>
    <n v="12"/>
    <x v="0"/>
  </r>
  <r>
    <d v="2021-08-12T00:00:00"/>
    <x v="0"/>
    <x v="0"/>
    <x v="0"/>
    <n v="-560.77"/>
    <x v="0"/>
    <x v="0"/>
    <x v="0"/>
    <x v="0"/>
    <x v="4"/>
    <x v="3"/>
    <x v="4"/>
    <x v="3"/>
    <x v="8"/>
    <n v="12"/>
    <x v="1"/>
  </r>
  <r>
    <d v="2021-08-12T00:00:00"/>
    <x v="3"/>
    <x v="2"/>
    <x v="0"/>
    <n v="374696110.45999998"/>
    <x v="3"/>
    <x v="2"/>
    <x v="0"/>
    <x v="11"/>
    <x v="4"/>
    <x v="3"/>
    <x v="4"/>
    <x v="3"/>
    <x v="8"/>
    <n v="12"/>
    <x v="0"/>
  </r>
  <r>
    <d v="2021-08-12T00:00:00"/>
    <x v="3"/>
    <x v="2"/>
    <x v="1"/>
    <n v="3614976990.3499999"/>
    <x v="3"/>
    <x v="2"/>
    <x v="1"/>
    <x v="12"/>
    <x v="4"/>
    <x v="3"/>
    <x v="4"/>
    <x v="3"/>
    <x v="8"/>
    <n v="12"/>
    <x v="0"/>
  </r>
  <r>
    <d v="2021-08-12T00:00:00"/>
    <x v="3"/>
    <x v="1"/>
    <x v="0"/>
    <n v="12396133.52"/>
    <x v="3"/>
    <x v="1"/>
    <x v="0"/>
    <x v="13"/>
    <x v="4"/>
    <x v="3"/>
    <x v="4"/>
    <x v="3"/>
    <x v="8"/>
    <n v="12"/>
    <x v="0"/>
  </r>
  <r>
    <d v="2021-08-11T00:00:00"/>
    <x v="1"/>
    <x v="0"/>
    <x v="2"/>
    <n v="1727.42"/>
    <x v="1"/>
    <x v="0"/>
    <x v="2"/>
    <x v="2"/>
    <x v="4"/>
    <x v="3"/>
    <x v="4"/>
    <x v="3"/>
    <x v="8"/>
    <n v="11"/>
    <x v="0"/>
  </r>
  <r>
    <d v="2021-08-11T00:00:00"/>
    <x v="2"/>
    <x v="1"/>
    <x v="2"/>
    <n v="180275.6"/>
    <x v="2"/>
    <x v="1"/>
    <x v="2"/>
    <x v="3"/>
    <x v="4"/>
    <x v="3"/>
    <x v="4"/>
    <x v="3"/>
    <x v="8"/>
    <n v="11"/>
    <x v="0"/>
  </r>
  <r>
    <d v="2021-08-11T00:00:00"/>
    <x v="2"/>
    <x v="1"/>
    <x v="0"/>
    <n v="105926553.31999999"/>
    <x v="2"/>
    <x v="1"/>
    <x v="0"/>
    <x v="7"/>
    <x v="4"/>
    <x v="3"/>
    <x v="4"/>
    <x v="3"/>
    <x v="8"/>
    <n v="11"/>
    <x v="0"/>
  </r>
  <r>
    <d v="2021-08-11T00:00:00"/>
    <x v="3"/>
    <x v="3"/>
    <x v="0"/>
    <n v="1025862635.37"/>
    <x v="3"/>
    <x v="3"/>
    <x v="0"/>
    <x v="8"/>
    <x v="4"/>
    <x v="3"/>
    <x v="4"/>
    <x v="3"/>
    <x v="8"/>
    <n v="11"/>
    <x v="0"/>
  </r>
  <r>
    <d v="2021-08-11T00:00:00"/>
    <x v="0"/>
    <x v="1"/>
    <x v="1"/>
    <n v="2405002.85"/>
    <x v="0"/>
    <x v="1"/>
    <x v="1"/>
    <x v="5"/>
    <x v="4"/>
    <x v="3"/>
    <x v="4"/>
    <x v="3"/>
    <x v="8"/>
    <n v="11"/>
    <x v="0"/>
  </r>
  <r>
    <d v="2021-08-11T00:00:00"/>
    <x v="3"/>
    <x v="2"/>
    <x v="2"/>
    <n v="127440.11"/>
    <x v="3"/>
    <x v="2"/>
    <x v="2"/>
    <x v="6"/>
    <x v="4"/>
    <x v="3"/>
    <x v="4"/>
    <x v="3"/>
    <x v="8"/>
    <n v="11"/>
    <x v="0"/>
  </r>
  <r>
    <d v="2021-08-11T00:00:00"/>
    <x v="1"/>
    <x v="0"/>
    <x v="0"/>
    <n v="96886933.689999998"/>
    <x v="1"/>
    <x v="0"/>
    <x v="0"/>
    <x v="10"/>
    <x v="4"/>
    <x v="3"/>
    <x v="4"/>
    <x v="3"/>
    <x v="8"/>
    <n v="11"/>
    <x v="0"/>
  </r>
  <r>
    <d v="2021-08-11T00:00:00"/>
    <x v="1"/>
    <x v="0"/>
    <x v="1"/>
    <n v="696638176.63999999"/>
    <x v="1"/>
    <x v="0"/>
    <x v="1"/>
    <x v="11"/>
    <x v="4"/>
    <x v="3"/>
    <x v="4"/>
    <x v="3"/>
    <x v="8"/>
    <n v="11"/>
    <x v="0"/>
  </r>
  <r>
    <d v="2021-08-11T00:00:00"/>
    <x v="0"/>
    <x v="1"/>
    <x v="0"/>
    <n v="11083250.439999999"/>
    <x v="0"/>
    <x v="1"/>
    <x v="0"/>
    <x v="1"/>
    <x v="4"/>
    <x v="3"/>
    <x v="4"/>
    <x v="3"/>
    <x v="8"/>
    <n v="11"/>
    <x v="0"/>
  </r>
  <r>
    <d v="2021-08-11T00:00:00"/>
    <x v="0"/>
    <x v="0"/>
    <x v="0"/>
    <n v="20"/>
    <x v="0"/>
    <x v="0"/>
    <x v="0"/>
    <x v="0"/>
    <x v="4"/>
    <x v="3"/>
    <x v="4"/>
    <x v="3"/>
    <x v="8"/>
    <n v="11"/>
    <x v="0"/>
  </r>
  <r>
    <d v="2021-08-11T00:00:00"/>
    <x v="2"/>
    <x v="1"/>
    <x v="1"/>
    <n v="173809143.40000001"/>
    <x v="2"/>
    <x v="1"/>
    <x v="1"/>
    <x v="9"/>
    <x v="4"/>
    <x v="3"/>
    <x v="4"/>
    <x v="3"/>
    <x v="8"/>
    <n v="11"/>
    <x v="0"/>
  </r>
  <r>
    <d v="2021-08-11T00:00:00"/>
    <x v="3"/>
    <x v="3"/>
    <x v="1"/>
    <n v="3125.91"/>
    <x v="3"/>
    <x v="3"/>
    <x v="1"/>
    <x v="4"/>
    <x v="4"/>
    <x v="3"/>
    <x v="4"/>
    <x v="3"/>
    <x v="8"/>
    <n v="11"/>
    <x v="0"/>
  </r>
  <r>
    <d v="2021-08-11T00:00:00"/>
    <x v="3"/>
    <x v="2"/>
    <x v="0"/>
    <n v="345890720.42000002"/>
    <x v="3"/>
    <x v="2"/>
    <x v="0"/>
    <x v="12"/>
    <x v="4"/>
    <x v="3"/>
    <x v="4"/>
    <x v="3"/>
    <x v="8"/>
    <n v="11"/>
    <x v="0"/>
  </r>
  <r>
    <d v="2021-08-11T00:00:00"/>
    <x v="3"/>
    <x v="2"/>
    <x v="1"/>
    <n v="10834421173.82"/>
    <x v="3"/>
    <x v="2"/>
    <x v="1"/>
    <x v="13"/>
    <x v="4"/>
    <x v="3"/>
    <x v="4"/>
    <x v="3"/>
    <x v="8"/>
    <n v="11"/>
    <x v="0"/>
  </r>
  <r>
    <d v="2021-08-11T00:00:00"/>
    <x v="3"/>
    <x v="1"/>
    <x v="0"/>
    <n v="14087779.779999999"/>
    <x v="3"/>
    <x v="1"/>
    <x v="0"/>
    <x v="14"/>
    <x v="4"/>
    <x v="3"/>
    <x v="4"/>
    <x v="3"/>
    <x v="8"/>
    <n v="11"/>
    <x v="0"/>
  </r>
  <r>
    <d v="2021-08-10T00:00:00"/>
    <x v="1"/>
    <x v="0"/>
    <x v="2"/>
    <n v="19533.77"/>
    <x v="1"/>
    <x v="0"/>
    <x v="2"/>
    <x v="3"/>
    <x v="4"/>
    <x v="3"/>
    <x v="4"/>
    <x v="3"/>
    <x v="8"/>
    <n v="10"/>
    <x v="0"/>
  </r>
  <r>
    <d v="2021-08-10T00:00:00"/>
    <x v="2"/>
    <x v="1"/>
    <x v="2"/>
    <n v="4730"/>
    <x v="2"/>
    <x v="1"/>
    <x v="2"/>
    <x v="2"/>
    <x v="4"/>
    <x v="3"/>
    <x v="4"/>
    <x v="3"/>
    <x v="8"/>
    <n v="10"/>
    <x v="0"/>
  </r>
  <r>
    <d v="2021-08-10T00:00:00"/>
    <x v="0"/>
    <x v="1"/>
    <x v="1"/>
    <n v="8810871.4700000007"/>
    <x v="0"/>
    <x v="1"/>
    <x v="1"/>
    <x v="5"/>
    <x v="4"/>
    <x v="3"/>
    <x v="4"/>
    <x v="3"/>
    <x v="8"/>
    <n v="10"/>
    <x v="0"/>
  </r>
  <r>
    <d v="2021-08-10T00:00:00"/>
    <x v="1"/>
    <x v="0"/>
    <x v="0"/>
    <n v="70454440.519999996"/>
    <x v="1"/>
    <x v="0"/>
    <x v="0"/>
    <x v="9"/>
    <x v="4"/>
    <x v="3"/>
    <x v="4"/>
    <x v="3"/>
    <x v="8"/>
    <n v="10"/>
    <x v="0"/>
  </r>
  <r>
    <d v="2021-08-10T00:00:00"/>
    <x v="1"/>
    <x v="0"/>
    <x v="1"/>
    <n v="282538729.19"/>
    <x v="1"/>
    <x v="0"/>
    <x v="1"/>
    <x v="10"/>
    <x v="4"/>
    <x v="3"/>
    <x v="4"/>
    <x v="3"/>
    <x v="8"/>
    <n v="10"/>
    <x v="0"/>
  </r>
  <r>
    <d v="2021-08-10T00:00:00"/>
    <x v="3"/>
    <x v="2"/>
    <x v="2"/>
    <n v="300706.82"/>
    <x v="3"/>
    <x v="2"/>
    <x v="2"/>
    <x v="4"/>
    <x v="4"/>
    <x v="3"/>
    <x v="4"/>
    <x v="3"/>
    <x v="8"/>
    <n v="10"/>
    <x v="0"/>
  </r>
  <r>
    <d v="2021-08-10T00:00:00"/>
    <x v="0"/>
    <x v="0"/>
    <x v="0"/>
    <n v="1916.59"/>
    <x v="0"/>
    <x v="0"/>
    <x v="0"/>
    <x v="0"/>
    <x v="4"/>
    <x v="3"/>
    <x v="4"/>
    <x v="3"/>
    <x v="8"/>
    <n v="10"/>
    <x v="0"/>
  </r>
  <r>
    <d v="2021-08-10T00:00:00"/>
    <x v="0"/>
    <x v="1"/>
    <x v="0"/>
    <n v="18147358.32"/>
    <x v="0"/>
    <x v="1"/>
    <x v="0"/>
    <x v="1"/>
    <x v="4"/>
    <x v="3"/>
    <x v="4"/>
    <x v="3"/>
    <x v="8"/>
    <n v="10"/>
    <x v="0"/>
  </r>
  <r>
    <d v="2021-08-10T00:00:00"/>
    <x v="3"/>
    <x v="3"/>
    <x v="0"/>
    <n v="933600541.83000004"/>
    <x v="3"/>
    <x v="3"/>
    <x v="0"/>
    <x v="6"/>
    <x v="4"/>
    <x v="3"/>
    <x v="4"/>
    <x v="3"/>
    <x v="8"/>
    <n v="10"/>
    <x v="0"/>
  </r>
  <r>
    <d v="2021-08-10T00:00:00"/>
    <x v="2"/>
    <x v="1"/>
    <x v="0"/>
    <n v="89825719.040000007"/>
    <x v="2"/>
    <x v="1"/>
    <x v="0"/>
    <x v="7"/>
    <x v="4"/>
    <x v="3"/>
    <x v="4"/>
    <x v="3"/>
    <x v="8"/>
    <n v="10"/>
    <x v="0"/>
  </r>
  <r>
    <d v="2021-08-10T00:00:00"/>
    <x v="2"/>
    <x v="1"/>
    <x v="1"/>
    <n v="151450714.59"/>
    <x v="2"/>
    <x v="1"/>
    <x v="1"/>
    <x v="8"/>
    <x v="4"/>
    <x v="3"/>
    <x v="4"/>
    <x v="3"/>
    <x v="8"/>
    <n v="10"/>
    <x v="0"/>
  </r>
  <r>
    <d v="2021-08-10T00:00:00"/>
    <x v="3"/>
    <x v="2"/>
    <x v="0"/>
    <n v="459935477.63999999"/>
    <x v="3"/>
    <x v="2"/>
    <x v="0"/>
    <x v="11"/>
    <x v="4"/>
    <x v="3"/>
    <x v="4"/>
    <x v="3"/>
    <x v="8"/>
    <n v="10"/>
    <x v="0"/>
  </r>
  <r>
    <d v="2021-08-10T00:00:00"/>
    <x v="3"/>
    <x v="2"/>
    <x v="1"/>
    <n v="2966131044.1100001"/>
    <x v="3"/>
    <x v="2"/>
    <x v="1"/>
    <x v="12"/>
    <x v="4"/>
    <x v="3"/>
    <x v="4"/>
    <x v="3"/>
    <x v="8"/>
    <n v="10"/>
    <x v="0"/>
  </r>
  <r>
    <d v="2021-08-10T00:00:00"/>
    <x v="3"/>
    <x v="1"/>
    <x v="0"/>
    <n v="10090238.609999999"/>
    <x v="3"/>
    <x v="1"/>
    <x v="0"/>
    <x v="13"/>
    <x v="4"/>
    <x v="3"/>
    <x v="4"/>
    <x v="3"/>
    <x v="8"/>
    <n v="10"/>
    <x v="0"/>
  </r>
  <r>
    <d v="2021-08-09T00:00:00"/>
    <x v="1"/>
    <x v="0"/>
    <x v="2"/>
    <n v="13814.42"/>
    <x v="1"/>
    <x v="0"/>
    <x v="2"/>
    <x v="1"/>
    <x v="4"/>
    <x v="3"/>
    <x v="4"/>
    <x v="3"/>
    <x v="8"/>
    <n v="9"/>
    <x v="0"/>
  </r>
  <r>
    <d v="2021-08-09T00:00:00"/>
    <x v="2"/>
    <x v="1"/>
    <x v="2"/>
    <n v="50220.18"/>
    <x v="2"/>
    <x v="1"/>
    <x v="2"/>
    <x v="2"/>
    <x v="4"/>
    <x v="3"/>
    <x v="4"/>
    <x v="3"/>
    <x v="8"/>
    <n v="9"/>
    <x v="0"/>
  </r>
  <r>
    <d v="2021-08-09T00:00:00"/>
    <x v="2"/>
    <x v="1"/>
    <x v="1"/>
    <n v="190036756.88"/>
    <x v="2"/>
    <x v="1"/>
    <x v="1"/>
    <x v="8"/>
    <x v="4"/>
    <x v="3"/>
    <x v="4"/>
    <x v="3"/>
    <x v="8"/>
    <n v="9"/>
    <x v="0"/>
  </r>
  <r>
    <d v="2021-08-09T00:00:00"/>
    <x v="3"/>
    <x v="3"/>
    <x v="1"/>
    <n v="3924147.6"/>
    <x v="3"/>
    <x v="3"/>
    <x v="1"/>
    <x v="3"/>
    <x v="4"/>
    <x v="3"/>
    <x v="4"/>
    <x v="3"/>
    <x v="8"/>
    <n v="9"/>
    <x v="0"/>
  </r>
  <r>
    <d v="2021-08-09T00:00:00"/>
    <x v="0"/>
    <x v="1"/>
    <x v="1"/>
    <n v="2364612.38"/>
    <x v="0"/>
    <x v="1"/>
    <x v="1"/>
    <x v="4"/>
    <x v="4"/>
    <x v="3"/>
    <x v="4"/>
    <x v="3"/>
    <x v="8"/>
    <n v="9"/>
    <x v="0"/>
  </r>
  <r>
    <d v="2021-08-09T00:00:00"/>
    <x v="1"/>
    <x v="0"/>
    <x v="0"/>
    <n v="77232334.129999995"/>
    <x v="1"/>
    <x v="0"/>
    <x v="0"/>
    <x v="9"/>
    <x v="4"/>
    <x v="3"/>
    <x v="4"/>
    <x v="3"/>
    <x v="8"/>
    <n v="9"/>
    <x v="0"/>
  </r>
  <r>
    <d v="2021-08-09T00:00:00"/>
    <x v="3"/>
    <x v="2"/>
    <x v="2"/>
    <n v="31741.51"/>
    <x v="3"/>
    <x v="2"/>
    <x v="2"/>
    <x v="5"/>
    <x v="4"/>
    <x v="3"/>
    <x v="4"/>
    <x v="3"/>
    <x v="8"/>
    <n v="9"/>
    <x v="0"/>
  </r>
  <r>
    <d v="2021-08-09T00:00:00"/>
    <x v="0"/>
    <x v="1"/>
    <x v="0"/>
    <n v="19408336.640000001"/>
    <x v="0"/>
    <x v="1"/>
    <x v="0"/>
    <x v="0"/>
    <x v="4"/>
    <x v="3"/>
    <x v="4"/>
    <x v="3"/>
    <x v="8"/>
    <n v="9"/>
    <x v="0"/>
  </r>
  <r>
    <d v="2021-08-09T00:00:00"/>
    <x v="3"/>
    <x v="3"/>
    <x v="0"/>
    <n v="1383662749.3199999"/>
    <x v="3"/>
    <x v="3"/>
    <x v="0"/>
    <x v="7"/>
    <x v="4"/>
    <x v="3"/>
    <x v="4"/>
    <x v="3"/>
    <x v="8"/>
    <n v="9"/>
    <x v="0"/>
  </r>
  <r>
    <d v="2021-08-09T00:00:00"/>
    <x v="2"/>
    <x v="1"/>
    <x v="0"/>
    <n v="92268631.640000001"/>
    <x v="2"/>
    <x v="1"/>
    <x v="0"/>
    <x v="6"/>
    <x v="4"/>
    <x v="3"/>
    <x v="4"/>
    <x v="3"/>
    <x v="8"/>
    <n v="9"/>
    <x v="0"/>
  </r>
  <r>
    <d v="2021-08-09T00:00:00"/>
    <x v="1"/>
    <x v="0"/>
    <x v="1"/>
    <n v="329291668.92000002"/>
    <x v="1"/>
    <x v="0"/>
    <x v="1"/>
    <x v="10"/>
    <x v="4"/>
    <x v="3"/>
    <x v="4"/>
    <x v="3"/>
    <x v="8"/>
    <n v="9"/>
    <x v="0"/>
  </r>
  <r>
    <d v="2021-08-09T00:00:00"/>
    <x v="3"/>
    <x v="2"/>
    <x v="0"/>
    <n v="600219383.96000004"/>
    <x v="3"/>
    <x v="2"/>
    <x v="0"/>
    <x v="11"/>
    <x v="4"/>
    <x v="3"/>
    <x v="4"/>
    <x v="3"/>
    <x v="8"/>
    <n v="9"/>
    <x v="0"/>
  </r>
  <r>
    <d v="2021-08-09T00:00:00"/>
    <x v="3"/>
    <x v="2"/>
    <x v="1"/>
    <n v="20021931700.630001"/>
    <x v="3"/>
    <x v="2"/>
    <x v="1"/>
    <x v="12"/>
    <x v="4"/>
    <x v="3"/>
    <x v="4"/>
    <x v="3"/>
    <x v="8"/>
    <n v="9"/>
    <x v="0"/>
  </r>
  <r>
    <d v="2021-08-09T00:00:00"/>
    <x v="3"/>
    <x v="1"/>
    <x v="0"/>
    <n v="40427291.640000001"/>
    <x v="3"/>
    <x v="1"/>
    <x v="0"/>
    <x v="13"/>
    <x v="4"/>
    <x v="3"/>
    <x v="4"/>
    <x v="3"/>
    <x v="8"/>
    <n v="9"/>
    <x v="0"/>
  </r>
  <r>
    <d v="2021-08-06T00:00:00"/>
    <x v="2"/>
    <x v="1"/>
    <x v="0"/>
    <n v="79307761.069999993"/>
    <x v="2"/>
    <x v="1"/>
    <x v="0"/>
    <x v="5"/>
    <x v="4"/>
    <x v="3"/>
    <x v="4"/>
    <x v="3"/>
    <x v="8"/>
    <n v="6"/>
    <x v="0"/>
  </r>
  <r>
    <d v="2021-08-06T00:00:00"/>
    <x v="2"/>
    <x v="1"/>
    <x v="2"/>
    <n v="6205"/>
    <x v="2"/>
    <x v="1"/>
    <x v="2"/>
    <x v="1"/>
    <x v="4"/>
    <x v="3"/>
    <x v="4"/>
    <x v="3"/>
    <x v="8"/>
    <n v="6"/>
    <x v="0"/>
  </r>
  <r>
    <d v="2021-08-06T00:00:00"/>
    <x v="3"/>
    <x v="2"/>
    <x v="2"/>
    <n v="162357"/>
    <x v="3"/>
    <x v="2"/>
    <x v="2"/>
    <x v="4"/>
    <x v="4"/>
    <x v="3"/>
    <x v="4"/>
    <x v="3"/>
    <x v="8"/>
    <n v="6"/>
    <x v="0"/>
  </r>
  <r>
    <d v="2021-08-06T00:00:00"/>
    <x v="0"/>
    <x v="1"/>
    <x v="1"/>
    <n v="6683412.9400000004"/>
    <x v="0"/>
    <x v="1"/>
    <x v="1"/>
    <x v="3"/>
    <x v="4"/>
    <x v="3"/>
    <x v="4"/>
    <x v="3"/>
    <x v="8"/>
    <n v="6"/>
    <x v="0"/>
  </r>
  <r>
    <d v="2021-08-06T00:00:00"/>
    <x v="1"/>
    <x v="0"/>
    <x v="0"/>
    <n v="64739983.369999997"/>
    <x v="1"/>
    <x v="0"/>
    <x v="0"/>
    <x v="8"/>
    <x v="4"/>
    <x v="3"/>
    <x v="4"/>
    <x v="3"/>
    <x v="8"/>
    <n v="6"/>
    <x v="0"/>
  </r>
  <r>
    <d v="2021-08-06T00:00:00"/>
    <x v="0"/>
    <x v="1"/>
    <x v="0"/>
    <n v="15364818.880000001"/>
    <x v="0"/>
    <x v="1"/>
    <x v="0"/>
    <x v="0"/>
    <x v="4"/>
    <x v="3"/>
    <x v="4"/>
    <x v="3"/>
    <x v="8"/>
    <n v="6"/>
    <x v="0"/>
  </r>
  <r>
    <d v="2021-08-06T00:00:00"/>
    <x v="1"/>
    <x v="0"/>
    <x v="2"/>
    <n v="21541.97"/>
    <x v="1"/>
    <x v="0"/>
    <x v="2"/>
    <x v="2"/>
    <x v="4"/>
    <x v="3"/>
    <x v="4"/>
    <x v="3"/>
    <x v="8"/>
    <n v="6"/>
    <x v="0"/>
  </r>
  <r>
    <d v="2021-08-06T00:00:00"/>
    <x v="3"/>
    <x v="3"/>
    <x v="0"/>
    <n v="1346775816.1099999"/>
    <x v="3"/>
    <x v="3"/>
    <x v="0"/>
    <x v="7"/>
    <x v="4"/>
    <x v="3"/>
    <x v="4"/>
    <x v="3"/>
    <x v="8"/>
    <n v="6"/>
    <x v="0"/>
  </r>
  <r>
    <d v="2021-08-06T00:00:00"/>
    <x v="2"/>
    <x v="1"/>
    <x v="1"/>
    <n v="122876639.55"/>
    <x v="2"/>
    <x v="1"/>
    <x v="1"/>
    <x v="6"/>
    <x v="4"/>
    <x v="3"/>
    <x v="4"/>
    <x v="3"/>
    <x v="8"/>
    <n v="6"/>
    <x v="0"/>
  </r>
  <r>
    <d v="2021-08-06T00:00:00"/>
    <x v="1"/>
    <x v="0"/>
    <x v="1"/>
    <n v="138376534.30000001"/>
    <x v="1"/>
    <x v="0"/>
    <x v="1"/>
    <x v="9"/>
    <x v="4"/>
    <x v="3"/>
    <x v="4"/>
    <x v="3"/>
    <x v="8"/>
    <n v="6"/>
    <x v="0"/>
  </r>
  <r>
    <d v="2021-08-06T00:00:00"/>
    <x v="3"/>
    <x v="2"/>
    <x v="0"/>
    <n v="561625939.48000002"/>
    <x v="3"/>
    <x v="2"/>
    <x v="0"/>
    <x v="10"/>
    <x v="4"/>
    <x v="3"/>
    <x v="4"/>
    <x v="3"/>
    <x v="8"/>
    <n v="6"/>
    <x v="0"/>
  </r>
  <r>
    <d v="2021-08-06T00:00:00"/>
    <x v="3"/>
    <x v="2"/>
    <x v="1"/>
    <n v="9258073198.4699993"/>
    <x v="3"/>
    <x v="2"/>
    <x v="1"/>
    <x v="11"/>
    <x v="4"/>
    <x v="3"/>
    <x v="4"/>
    <x v="3"/>
    <x v="8"/>
    <n v="6"/>
    <x v="0"/>
  </r>
  <r>
    <d v="2021-08-06T00:00:00"/>
    <x v="3"/>
    <x v="1"/>
    <x v="0"/>
    <n v="13196708.779999999"/>
    <x v="3"/>
    <x v="1"/>
    <x v="0"/>
    <x v="12"/>
    <x v="4"/>
    <x v="3"/>
    <x v="4"/>
    <x v="3"/>
    <x v="8"/>
    <n v="6"/>
    <x v="0"/>
  </r>
  <r>
    <d v="2021-08-05T00:00:00"/>
    <x v="1"/>
    <x v="0"/>
    <x v="2"/>
    <n v="5694.47"/>
    <x v="1"/>
    <x v="0"/>
    <x v="2"/>
    <x v="1"/>
    <x v="4"/>
    <x v="3"/>
    <x v="4"/>
    <x v="3"/>
    <x v="8"/>
    <n v="5"/>
    <x v="0"/>
  </r>
  <r>
    <d v="2021-08-05T00:00:00"/>
    <x v="2"/>
    <x v="1"/>
    <x v="2"/>
    <n v="5170"/>
    <x v="2"/>
    <x v="1"/>
    <x v="2"/>
    <x v="2"/>
    <x v="4"/>
    <x v="3"/>
    <x v="4"/>
    <x v="3"/>
    <x v="8"/>
    <n v="5"/>
    <x v="0"/>
  </r>
  <r>
    <d v="2021-08-05T00:00:00"/>
    <x v="3"/>
    <x v="3"/>
    <x v="0"/>
    <n v="1748473282.3399999"/>
    <x v="3"/>
    <x v="3"/>
    <x v="0"/>
    <x v="5"/>
    <x v="4"/>
    <x v="3"/>
    <x v="4"/>
    <x v="3"/>
    <x v="8"/>
    <n v="5"/>
    <x v="0"/>
  </r>
  <r>
    <d v="2021-08-05T00:00:00"/>
    <x v="2"/>
    <x v="1"/>
    <x v="0"/>
    <n v="71089495.5"/>
    <x v="2"/>
    <x v="1"/>
    <x v="0"/>
    <x v="6"/>
    <x v="4"/>
    <x v="3"/>
    <x v="4"/>
    <x v="3"/>
    <x v="8"/>
    <n v="5"/>
    <x v="0"/>
  </r>
  <r>
    <d v="2021-08-05T00:00:00"/>
    <x v="2"/>
    <x v="1"/>
    <x v="1"/>
    <n v="166440576.06999999"/>
    <x v="2"/>
    <x v="1"/>
    <x v="1"/>
    <x v="7"/>
    <x v="4"/>
    <x v="3"/>
    <x v="4"/>
    <x v="3"/>
    <x v="8"/>
    <n v="5"/>
    <x v="0"/>
  </r>
  <r>
    <d v="2021-08-05T00:00:00"/>
    <x v="3"/>
    <x v="2"/>
    <x v="2"/>
    <n v="81972.350000000006"/>
    <x v="3"/>
    <x v="2"/>
    <x v="2"/>
    <x v="4"/>
    <x v="4"/>
    <x v="3"/>
    <x v="4"/>
    <x v="3"/>
    <x v="8"/>
    <n v="5"/>
    <x v="0"/>
  </r>
  <r>
    <d v="2021-08-05T00:00:00"/>
    <x v="0"/>
    <x v="1"/>
    <x v="1"/>
    <n v="7188224.9400000004"/>
    <x v="0"/>
    <x v="1"/>
    <x v="1"/>
    <x v="3"/>
    <x v="4"/>
    <x v="3"/>
    <x v="4"/>
    <x v="3"/>
    <x v="8"/>
    <n v="5"/>
    <x v="0"/>
  </r>
  <r>
    <d v="2021-08-05T00:00:00"/>
    <x v="0"/>
    <x v="1"/>
    <x v="0"/>
    <n v="10329819.49"/>
    <x v="0"/>
    <x v="1"/>
    <x v="0"/>
    <x v="0"/>
    <x v="4"/>
    <x v="3"/>
    <x v="4"/>
    <x v="3"/>
    <x v="8"/>
    <n v="5"/>
    <x v="0"/>
  </r>
  <r>
    <d v="2021-08-05T00:00:00"/>
    <x v="1"/>
    <x v="0"/>
    <x v="0"/>
    <n v="91365764.640000001"/>
    <x v="1"/>
    <x v="0"/>
    <x v="0"/>
    <x v="8"/>
    <x v="4"/>
    <x v="3"/>
    <x v="4"/>
    <x v="3"/>
    <x v="8"/>
    <n v="5"/>
    <x v="0"/>
  </r>
  <r>
    <d v="2021-08-05T00:00:00"/>
    <x v="1"/>
    <x v="0"/>
    <x v="1"/>
    <n v="164742458.55000001"/>
    <x v="1"/>
    <x v="0"/>
    <x v="1"/>
    <x v="9"/>
    <x v="4"/>
    <x v="3"/>
    <x v="4"/>
    <x v="3"/>
    <x v="8"/>
    <n v="5"/>
    <x v="0"/>
  </r>
  <r>
    <d v="2021-08-05T00:00:00"/>
    <x v="3"/>
    <x v="2"/>
    <x v="0"/>
    <n v="462301901.56"/>
    <x v="3"/>
    <x v="2"/>
    <x v="0"/>
    <x v="10"/>
    <x v="4"/>
    <x v="3"/>
    <x v="4"/>
    <x v="3"/>
    <x v="8"/>
    <n v="5"/>
    <x v="0"/>
  </r>
  <r>
    <d v="2021-08-05T00:00:00"/>
    <x v="3"/>
    <x v="2"/>
    <x v="1"/>
    <n v="3016906457.71"/>
    <x v="3"/>
    <x v="2"/>
    <x v="1"/>
    <x v="11"/>
    <x v="4"/>
    <x v="3"/>
    <x v="4"/>
    <x v="3"/>
    <x v="8"/>
    <n v="5"/>
    <x v="0"/>
  </r>
  <r>
    <d v="2021-08-05T00:00:00"/>
    <x v="3"/>
    <x v="1"/>
    <x v="0"/>
    <n v="13907507"/>
    <x v="3"/>
    <x v="1"/>
    <x v="0"/>
    <x v="12"/>
    <x v="4"/>
    <x v="3"/>
    <x v="4"/>
    <x v="3"/>
    <x v="8"/>
    <n v="5"/>
    <x v="0"/>
  </r>
  <r>
    <d v="2021-08-04T00:00:00"/>
    <x v="1"/>
    <x v="0"/>
    <x v="2"/>
    <n v="6655.93"/>
    <x v="1"/>
    <x v="0"/>
    <x v="2"/>
    <x v="1"/>
    <x v="4"/>
    <x v="3"/>
    <x v="4"/>
    <x v="3"/>
    <x v="8"/>
    <n v="4"/>
    <x v="0"/>
  </r>
  <r>
    <d v="2021-08-04T00:00:00"/>
    <x v="0"/>
    <x v="1"/>
    <x v="1"/>
    <n v="11749478.08"/>
    <x v="0"/>
    <x v="1"/>
    <x v="1"/>
    <x v="4"/>
    <x v="4"/>
    <x v="3"/>
    <x v="4"/>
    <x v="3"/>
    <x v="8"/>
    <n v="4"/>
    <x v="0"/>
  </r>
  <r>
    <d v="2021-08-04T00:00:00"/>
    <x v="2"/>
    <x v="1"/>
    <x v="1"/>
    <n v="151996625.41999999"/>
    <x v="2"/>
    <x v="1"/>
    <x v="1"/>
    <x v="8"/>
    <x v="4"/>
    <x v="3"/>
    <x v="4"/>
    <x v="3"/>
    <x v="8"/>
    <n v="4"/>
    <x v="0"/>
  </r>
  <r>
    <d v="2021-08-04T00:00:00"/>
    <x v="3"/>
    <x v="3"/>
    <x v="1"/>
    <n v="189562.92"/>
    <x v="3"/>
    <x v="3"/>
    <x v="1"/>
    <x v="3"/>
    <x v="4"/>
    <x v="3"/>
    <x v="4"/>
    <x v="3"/>
    <x v="8"/>
    <n v="4"/>
    <x v="0"/>
  </r>
  <r>
    <d v="2021-08-04T00:00:00"/>
    <x v="3"/>
    <x v="2"/>
    <x v="2"/>
    <n v="213767"/>
    <x v="3"/>
    <x v="2"/>
    <x v="2"/>
    <x v="5"/>
    <x v="4"/>
    <x v="3"/>
    <x v="4"/>
    <x v="3"/>
    <x v="8"/>
    <n v="4"/>
    <x v="0"/>
  </r>
  <r>
    <d v="2021-08-04T00:00:00"/>
    <x v="0"/>
    <x v="1"/>
    <x v="0"/>
    <n v="10318721.140000001"/>
    <x v="0"/>
    <x v="1"/>
    <x v="0"/>
    <x v="0"/>
    <x v="4"/>
    <x v="3"/>
    <x v="4"/>
    <x v="3"/>
    <x v="8"/>
    <n v="4"/>
    <x v="0"/>
  </r>
  <r>
    <d v="2021-08-04T00:00:00"/>
    <x v="2"/>
    <x v="1"/>
    <x v="0"/>
    <n v="133730376.63"/>
    <x v="2"/>
    <x v="1"/>
    <x v="0"/>
    <x v="6"/>
    <x v="4"/>
    <x v="3"/>
    <x v="4"/>
    <x v="3"/>
    <x v="8"/>
    <n v="4"/>
    <x v="0"/>
  </r>
  <r>
    <d v="2021-08-04T00:00:00"/>
    <x v="3"/>
    <x v="3"/>
    <x v="0"/>
    <n v="2470292730.9099998"/>
    <x v="3"/>
    <x v="3"/>
    <x v="0"/>
    <x v="7"/>
    <x v="4"/>
    <x v="3"/>
    <x v="4"/>
    <x v="3"/>
    <x v="8"/>
    <n v="4"/>
    <x v="0"/>
  </r>
  <r>
    <d v="2021-08-04T00:00:00"/>
    <x v="2"/>
    <x v="1"/>
    <x v="2"/>
    <n v="228988.97"/>
    <x v="2"/>
    <x v="1"/>
    <x v="2"/>
    <x v="2"/>
    <x v="4"/>
    <x v="3"/>
    <x v="4"/>
    <x v="3"/>
    <x v="8"/>
    <n v="4"/>
    <x v="0"/>
  </r>
  <r>
    <d v="2021-08-04T00:00:00"/>
    <x v="1"/>
    <x v="0"/>
    <x v="0"/>
    <n v="133230035.34999999"/>
    <x v="1"/>
    <x v="0"/>
    <x v="0"/>
    <x v="9"/>
    <x v="4"/>
    <x v="3"/>
    <x v="4"/>
    <x v="3"/>
    <x v="8"/>
    <n v="4"/>
    <x v="0"/>
  </r>
  <r>
    <d v="2021-08-04T00:00:00"/>
    <x v="1"/>
    <x v="0"/>
    <x v="1"/>
    <n v="708835946.85000002"/>
    <x v="1"/>
    <x v="0"/>
    <x v="1"/>
    <x v="10"/>
    <x v="4"/>
    <x v="3"/>
    <x v="4"/>
    <x v="3"/>
    <x v="8"/>
    <n v="4"/>
    <x v="0"/>
  </r>
  <r>
    <d v="2021-08-04T00:00:00"/>
    <x v="3"/>
    <x v="2"/>
    <x v="0"/>
    <n v="373509566.05000001"/>
    <x v="3"/>
    <x v="2"/>
    <x v="0"/>
    <x v="11"/>
    <x v="4"/>
    <x v="3"/>
    <x v="4"/>
    <x v="3"/>
    <x v="8"/>
    <n v="4"/>
    <x v="0"/>
  </r>
  <r>
    <d v="2021-08-04T00:00:00"/>
    <x v="3"/>
    <x v="1"/>
    <x v="0"/>
    <n v="12795958.630000001"/>
    <x v="3"/>
    <x v="1"/>
    <x v="0"/>
    <x v="12"/>
    <x v="4"/>
    <x v="3"/>
    <x v="4"/>
    <x v="3"/>
    <x v="8"/>
    <n v="4"/>
    <x v="0"/>
  </r>
  <r>
    <d v="2021-08-04T00:00:00"/>
    <x v="3"/>
    <x v="2"/>
    <x v="1"/>
    <n v="11619310242.219999"/>
    <x v="3"/>
    <x v="2"/>
    <x v="1"/>
    <x v="13"/>
    <x v="4"/>
    <x v="3"/>
    <x v="4"/>
    <x v="3"/>
    <x v="8"/>
    <n v="4"/>
    <x v="0"/>
  </r>
  <r>
    <d v="2021-08-03T00:00:00"/>
    <x v="2"/>
    <x v="1"/>
    <x v="2"/>
    <n v="10075"/>
    <x v="2"/>
    <x v="1"/>
    <x v="2"/>
    <x v="2"/>
    <x v="4"/>
    <x v="3"/>
    <x v="4"/>
    <x v="3"/>
    <x v="8"/>
    <n v="3"/>
    <x v="0"/>
  </r>
  <r>
    <d v="2021-08-03T00:00:00"/>
    <x v="3"/>
    <x v="2"/>
    <x v="2"/>
    <n v="264727.15999999997"/>
    <x v="3"/>
    <x v="2"/>
    <x v="2"/>
    <x v="4"/>
    <x v="4"/>
    <x v="3"/>
    <x v="4"/>
    <x v="3"/>
    <x v="8"/>
    <n v="3"/>
    <x v="0"/>
  </r>
  <r>
    <d v="2021-08-03T00:00:00"/>
    <x v="2"/>
    <x v="1"/>
    <x v="1"/>
    <n v="96047001.569999993"/>
    <x v="2"/>
    <x v="1"/>
    <x v="1"/>
    <x v="8"/>
    <x v="4"/>
    <x v="3"/>
    <x v="4"/>
    <x v="3"/>
    <x v="8"/>
    <n v="3"/>
    <x v="0"/>
  </r>
  <r>
    <d v="2021-08-03T00:00:00"/>
    <x v="0"/>
    <x v="1"/>
    <x v="0"/>
    <n v="18034255"/>
    <x v="0"/>
    <x v="1"/>
    <x v="0"/>
    <x v="1"/>
    <x v="4"/>
    <x v="3"/>
    <x v="4"/>
    <x v="3"/>
    <x v="8"/>
    <n v="3"/>
    <x v="0"/>
  </r>
  <r>
    <d v="2021-08-03T00:00:00"/>
    <x v="0"/>
    <x v="1"/>
    <x v="1"/>
    <n v="20160366.559999999"/>
    <x v="0"/>
    <x v="1"/>
    <x v="1"/>
    <x v="5"/>
    <x v="4"/>
    <x v="3"/>
    <x v="4"/>
    <x v="3"/>
    <x v="8"/>
    <n v="3"/>
    <x v="0"/>
  </r>
  <r>
    <d v="2021-08-03T00:00:00"/>
    <x v="1"/>
    <x v="0"/>
    <x v="1"/>
    <n v="280918028.51999998"/>
    <x v="1"/>
    <x v="0"/>
    <x v="1"/>
    <x v="9"/>
    <x v="4"/>
    <x v="3"/>
    <x v="4"/>
    <x v="3"/>
    <x v="8"/>
    <n v="3"/>
    <x v="0"/>
  </r>
  <r>
    <d v="2021-08-03T00:00:00"/>
    <x v="1"/>
    <x v="0"/>
    <x v="0"/>
    <n v="62535832.590000004"/>
    <x v="1"/>
    <x v="0"/>
    <x v="0"/>
    <x v="10"/>
    <x v="4"/>
    <x v="3"/>
    <x v="4"/>
    <x v="3"/>
    <x v="8"/>
    <n v="3"/>
    <x v="0"/>
  </r>
  <r>
    <d v="2021-08-03T00:00:00"/>
    <x v="3"/>
    <x v="3"/>
    <x v="0"/>
    <n v="2171640887.6599998"/>
    <x v="3"/>
    <x v="3"/>
    <x v="0"/>
    <x v="6"/>
    <x v="4"/>
    <x v="3"/>
    <x v="4"/>
    <x v="3"/>
    <x v="8"/>
    <n v="3"/>
    <x v="0"/>
  </r>
  <r>
    <d v="2021-08-03T00:00:00"/>
    <x v="0"/>
    <x v="0"/>
    <x v="0"/>
    <n v="94"/>
    <x v="0"/>
    <x v="0"/>
    <x v="0"/>
    <x v="0"/>
    <x v="4"/>
    <x v="3"/>
    <x v="4"/>
    <x v="3"/>
    <x v="8"/>
    <n v="3"/>
    <x v="0"/>
  </r>
  <r>
    <d v="2021-08-03T00:00:00"/>
    <x v="1"/>
    <x v="0"/>
    <x v="2"/>
    <n v="45300.14"/>
    <x v="1"/>
    <x v="0"/>
    <x v="2"/>
    <x v="3"/>
    <x v="4"/>
    <x v="3"/>
    <x v="4"/>
    <x v="3"/>
    <x v="8"/>
    <n v="3"/>
    <x v="0"/>
  </r>
  <r>
    <d v="2021-08-03T00:00:00"/>
    <x v="2"/>
    <x v="1"/>
    <x v="0"/>
    <n v="82003422.939999998"/>
    <x v="2"/>
    <x v="1"/>
    <x v="0"/>
    <x v="7"/>
    <x v="4"/>
    <x v="3"/>
    <x v="4"/>
    <x v="3"/>
    <x v="8"/>
    <n v="3"/>
    <x v="0"/>
  </r>
  <r>
    <d v="2021-08-03T00:00:00"/>
    <x v="3"/>
    <x v="2"/>
    <x v="0"/>
    <n v="533725083.26999998"/>
    <x v="3"/>
    <x v="2"/>
    <x v="0"/>
    <x v="11"/>
    <x v="4"/>
    <x v="3"/>
    <x v="4"/>
    <x v="3"/>
    <x v="8"/>
    <n v="3"/>
    <x v="0"/>
  </r>
  <r>
    <d v="2021-08-03T00:00:00"/>
    <x v="3"/>
    <x v="1"/>
    <x v="0"/>
    <n v="11945391.880000001"/>
    <x v="3"/>
    <x v="1"/>
    <x v="0"/>
    <x v="12"/>
    <x v="4"/>
    <x v="3"/>
    <x v="4"/>
    <x v="3"/>
    <x v="8"/>
    <n v="3"/>
    <x v="0"/>
  </r>
  <r>
    <d v="2021-08-03T00:00:00"/>
    <x v="3"/>
    <x v="2"/>
    <x v="1"/>
    <n v="6021273200.8999996"/>
    <x v="3"/>
    <x v="2"/>
    <x v="1"/>
    <x v="13"/>
    <x v="4"/>
    <x v="3"/>
    <x v="4"/>
    <x v="3"/>
    <x v="8"/>
    <n v="3"/>
    <x v="0"/>
  </r>
  <r>
    <d v="2021-08-02T00:00:00"/>
    <x v="1"/>
    <x v="0"/>
    <x v="2"/>
    <n v="13385.14"/>
    <x v="1"/>
    <x v="0"/>
    <x v="2"/>
    <x v="2"/>
    <x v="4"/>
    <x v="3"/>
    <x v="4"/>
    <x v="3"/>
    <x v="8"/>
    <n v="2"/>
    <x v="0"/>
  </r>
  <r>
    <d v="2021-08-02T00:00:00"/>
    <x v="2"/>
    <x v="1"/>
    <x v="0"/>
    <n v="102000175.53"/>
    <x v="2"/>
    <x v="1"/>
    <x v="0"/>
    <x v="6"/>
    <x v="4"/>
    <x v="3"/>
    <x v="4"/>
    <x v="3"/>
    <x v="8"/>
    <n v="2"/>
    <x v="0"/>
  </r>
  <r>
    <d v="2021-08-02T00:00:00"/>
    <x v="2"/>
    <x v="1"/>
    <x v="2"/>
    <n v="9219.69"/>
    <x v="2"/>
    <x v="1"/>
    <x v="2"/>
    <x v="3"/>
    <x v="4"/>
    <x v="3"/>
    <x v="4"/>
    <x v="3"/>
    <x v="8"/>
    <n v="2"/>
    <x v="0"/>
  </r>
  <r>
    <d v="2021-08-02T00:00:00"/>
    <x v="0"/>
    <x v="1"/>
    <x v="0"/>
    <n v="11304545.27"/>
    <x v="0"/>
    <x v="1"/>
    <x v="0"/>
    <x v="1"/>
    <x v="4"/>
    <x v="3"/>
    <x v="4"/>
    <x v="3"/>
    <x v="8"/>
    <n v="2"/>
    <x v="0"/>
  </r>
  <r>
    <d v="2021-08-02T00:00:00"/>
    <x v="3"/>
    <x v="3"/>
    <x v="0"/>
    <n v="4751032393.29"/>
    <x v="3"/>
    <x v="3"/>
    <x v="0"/>
    <x v="7"/>
    <x v="4"/>
    <x v="3"/>
    <x v="4"/>
    <x v="3"/>
    <x v="8"/>
    <n v="2"/>
    <x v="0"/>
  </r>
  <r>
    <d v="2021-08-02T00:00:00"/>
    <x v="2"/>
    <x v="1"/>
    <x v="1"/>
    <n v="114998248.78"/>
    <x v="2"/>
    <x v="1"/>
    <x v="1"/>
    <x v="8"/>
    <x v="4"/>
    <x v="3"/>
    <x v="4"/>
    <x v="3"/>
    <x v="8"/>
    <n v="2"/>
    <x v="0"/>
  </r>
  <r>
    <d v="2021-08-02T00:00:00"/>
    <x v="0"/>
    <x v="1"/>
    <x v="1"/>
    <n v="15322637.710000001"/>
    <x v="0"/>
    <x v="1"/>
    <x v="1"/>
    <x v="4"/>
    <x v="4"/>
    <x v="3"/>
    <x v="4"/>
    <x v="3"/>
    <x v="8"/>
    <n v="2"/>
    <x v="0"/>
  </r>
  <r>
    <d v="2021-08-02T00:00:00"/>
    <x v="3"/>
    <x v="2"/>
    <x v="2"/>
    <n v="1504731.6"/>
    <x v="3"/>
    <x v="2"/>
    <x v="2"/>
    <x v="5"/>
    <x v="4"/>
    <x v="3"/>
    <x v="4"/>
    <x v="3"/>
    <x v="8"/>
    <n v="2"/>
    <x v="0"/>
  </r>
  <r>
    <d v="2021-08-02T00:00:00"/>
    <x v="0"/>
    <x v="0"/>
    <x v="0"/>
    <n v="500"/>
    <x v="0"/>
    <x v="0"/>
    <x v="0"/>
    <x v="0"/>
    <x v="4"/>
    <x v="3"/>
    <x v="4"/>
    <x v="3"/>
    <x v="8"/>
    <n v="2"/>
    <x v="0"/>
  </r>
  <r>
    <d v="2021-08-02T00:00:00"/>
    <x v="1"/>
    <x v="0"/>
    <x v="0"/>
    <n v="82769248.959999993"/>
    <x v="1"/>
    <x v="0"/>
    <x v="0"/>
    <x v="9"/>
    <x v="4"/>
    <x v="3"/>
    <x v="4"/>
    <x v="3"/>
    <x v="8"/>
    <n v="2"/>
    <x v="0"/>
  </r>
  <r>
    <d v="2021-08-02T00:00:00"/>
    <x v="1"/>
    <x v="0"/>
    <x v="1"/>
    <n v="169333030.18000001"/>
    <x v="1"/>
    <x v="0"/>
    <x v="1"/>
    <x v="10"/>
    <x v="4"/>
    <x v="3"/>
    <x v="4"/>
    <x v="3"/>
    <x v="8"/>
    <n v="2"/>
    <x v="0"/>
  </r>
  <r>
    <d v="2021-08-02T00:00:00"/>
    <x v="3"/>
    <x v="2"/>
    <x v="0"/>
    <n v="987190007.51999998"/>
    <x v="3"/>
    <x v="2"/>
    <x v="0"/>
    <x v="11"/>
    <x v="4"/>
    <x v="3"/>
    <x v="4"/>
    <x v="3"/>
    <x v="8"/>
    <n v="2"/>
    <x v="0"/>
  </r>
  <r>
    <d v="2021-08-02T00:00:00"/>
    <x v="3"/>
    <x v="2"/>
    <x v="1"/>
    <n v="37151100915.57"/>
    <x v="3"/>
    <x v="2"/>
    <x v="1"/>
    <x v="12"/>
    <x v="4"/>
    <x v="3"/>
    <x v="4"/>
    <x v="3"/>
    <x v="8"/>
    <n v="2"/>
    <x v="0"/>
  </r>
  <r>
    <d v="2021-08-02T00:00:00"/>
    <x v="3"/>
    <x v="1"/>
    <x v="0"/>
    <n v="43244833.009999998"/>
    <x v="3"/>
    <x v="1"/>
    <x v="0"/>
    <x v="13"/>
    <x v="4"/>
    <x v="3"/>
    <x v="4"/>
    <x v="3"/>
    <x v="8"/>
    <n v="2"/>
    <x v="0"/>
  </r>
  <r>
    <d v="2021-07-30T00:00:00"/>
    <x v="0"/>
    <x v="1"/>
    <x v="1"/>
    <n v="606071.71"/>
    <x v="0"/>
    <x v="1"/>
    <x v="1"/>
    <x v="3"/>
    <x v="4"/>
    <x v="3"/>
    <x v="4"/>
    <x v="3"/>
    <x v="9"/>
    <n v="30"/>
    <x v="0"/>
  </r>
  <r>
    <d v="2021-07-30T00:00:00"/>
    <x v="2"/>
    <x v="1"/>
    <x v="0"/>
    <n v="97047136.200000003"/>
    <x v="2"/>
    <x v="1"/>
    <x v="0"/>
    <x v="6"/>
    <x v="4"/>
    <x v="3"/>
    <x v="4"/>
    <x v="3"/>
    <x v="9"/>
    <n v="30"/>
    <x v="0"/>
  </r>
  <r>
    <d v="2021-07-30T00:00:00"/>
    <x v="2"/>
    <x v="1"/>
    <x v="2"/>
    <n v="5355"/>
    <x v="2"/>
    <x v="1"/>
    <x v="2"/>
    <x v="4"/>
    <x v="4"/>
    <x v="3"/>
    <x v="4"/>
    <x v="3"/>
    <x v="9"/>
    <n v="30"/>
    <x v="0"/>
  </r>
  <r>
    <d v="2021-07-30T00:00:00"/>
    <x v="3"/>
    <x v="2"/>
    <x v="2"/>
    <n v="367789.99"/>
    <x v="3"/>
    <x v="2"/>
    <x v="2"/>
    <x v="5"/>
    <x v="4"/>
    <x v="3"/>
    <x v="4"/>
    <x v="3"/>
    <x v="9"/>
    <n v="30"/>
    <x v="0"/>
  </r>
  <r>
    <d v="2021-07-30T00:00:00"/>
    <x v="0"/>
    <x v="1"/>
    <x v="0"/>
    <n v="12124469.26"/>
    <x v="0"/>
    <x v="1"/>
    <x v="0"/>
    <x v="1"/>
    <x v="4"/>
    <x v="3"/>
    <x v="4"/>
    <x v="3"/>
    <x v="9"/>
    <n v="30"/>
    <x v="0"/>
  </r>
  <r>
    <d v="2021-07-30T00:00:00"/>
    <x v="2"/>
    <x v="1"/>
    <x v="1"/>
    <n v="139932193.09"/>
    <x v="2"/>
    <x v="1"/>
    <x v="1"/>
    <x v="8"/>
    <x v="4"/>
    <x v="3"/>
    <x v="4"/>
    <x v="3"/>
    <x v="9"/>
    <n v="30"/>
    <x v="0"/>
  </r>
  <r>
    <d v="2021-07-30T00:00:00"/>
    <x v="1"/>
    <x v="0"/>
    <x v="0"/>
    <n v="96508189.239999995"/>
    <x v="1"/>
    <x v="0"/>
    <x v="0"/>
    <x v="9"/>
    <x v="4"/>
    <x v="3"/>
    <x v="4"/>
    <x v="3"/>
    <x v="9"/>
    <n v="30"/>
    <x v="0"/>
  </r>
  <r>
    <d v="2021-07-30T00:00:00"/>
    <x v="0"/>
    <x v="0"/>
    <x v="0"/>
    <n v="854.38"/>
    <x v="0"/>
    <x v="0"/>
    <x v="0"/>
    <x v="0"/>
    <x v="4"/>
    <x v="3"/>
    <x v="4"/>
    <x v="3"/>
    <x v="9"/>
    <n v="30"/>
    <x v="0"/>
  </r>
  <r>
    <d v="2021-07-30T00:00:00"/>
    <x v="3"/>
    <x v="3"/>
    <x v="0"/>
    <n v="3288744234.6900001"/>
    <x v="3"/>
    <x v="3"/>
    <x v="0"/>
    <x v="7"/>
    <x v="4"/>
    <x v="3"/>
    <x v="4"/>
    <x v="3"/>
    <x v="9"/>
    <n v="30"/>
    <x v="0"/>
  </r>
  <r>
    <d v="2021-07-30T00:00:00"/>
    <x v="1"/>
    <x v="0"/>
    <x v="2"/>
    <n v="26783.25"/>
    <x v="1"/>
    <x v="0"/>
    <x v="2"/>
    <x v="2"/>
    <x v="4"/>
    <x v="3"/>
    <x v="4"/>
    <x v="3"/>
    <x v="9"/>
    <n v="30"/>
    <x v="0"/>
  </r>
  <r>
    <d v="2021-07-30T00:00:00"/>
    <x v="1"/>
    <x v="0"/>
    <x v="1"/>
    <n v="84681440.469999999"/>
    <x v="1"/>
    <x v="0"/>
    <x v="1"/>
    <x v="10"/>
    <x v="4"/>
    <x v="3"/>
    <x v="4"/>
    <x v="3"/>
    <x v="9"/>
    <n v="30"/>
    <x v="0"/>
  </r>
  <r>
    <d v="2021-07-30T00:00:00"/>
    <x v="3"/>
    <x v="2"/>
    <x v="0"/>
    <n v="824766300.14999998"/>
    <x v="3"/>
    <x v="2"/>
    <x v="0"/>
    <x v="11"/>
    <x v="4"/>
    <x v="3"/>
    <x v="4"/>
    <x v="3"/>
    <x v="9"/>
    <n v="30"/>
    <x v="0"/>
  </r>
  <r>
    <d v="2021-07-30T00:00:00"/>
    <x v="3"/>
    <x v="1"/>
    <x v="0"/>
    <n v="15220329.52"/>
    <x v="3"/>
    <x v="1"/>
    <x v="0"/>
    <x v="12"/>
    <x v="4"/>
    <x v="3"/>
    <x v="4"/>
    <x v="3"/>
    <x v="9"/>
    <n v="30"/>
    <x v="0"/>
  </r>
  <r>
    <d v="2021-07-30T00:00:00"/>
    <x v="3"/>
    <x v="2"/>
    <x v="1"/>
    <n v="11592654732.42"/>
    <x v="3"/>
    <x v="2"/>
    <x v="1"/>
    <x v="13"/>
    <x v="4"/>
    <x v="3"/>
    <x v="4"/>
    <x v="3"/>
    <x v="9"/>
    <n v="30"/>
    <x v="0"/>
  </r>
  <r>
    <d v="2021-07-29T00:00:00"/>
    <x v="1"/>
    <x v="0"/>
    <x v="2"/>
    <n v="9412.73"/>
    <x v="1"/>
    <x v="0"/>
    <x v="2"/>
    <x v="1"/>
    <x v="4"/>
    <x v="3"/>
    <x v="4"/>
    <x v="3"/>
    <x v="9"/>
    <n v="29"/>
    <x v="0"/>
  </r>
  <r>
    <d v="2021-07-29T00:00:00"/>
    <x v="2"/>
    <x v="1"/>
    <x v="2"/>
    <n v="11418"/>
    <x v="2"/>
    <x v="1"/>
    <x v="2"/>
    <x v="4"/>
    <x v="4"/>
    <x v="3"/>
    <x v="4"/>
    <x v="3"/>
    <x v="9"/>
    <n v="29"/>
    <x v="0"/>
  </r>
  <r>
    <d v="2021-07-29T00:00:00"/>
    <x v="0"/>
    <x v="1"/>
    <x v="0"/>
    <n v="12281667.92"/>
    <x v="0"/>
    <x v="1"/>
    <x v="0"/>
    <x v="0"/>
    <x v="4"/>
    <x v="3"/>
    <x v="4"/>
    <x v="3"/>
    <x v="9"/>
    <n v="29"/>
    <x v="0"/>
  </r>
  <r>
    <d v="2021-07-29T00:00:00"/>
    <x v="2"/>
    <x v="1"/>
    <x v="1"/>
    <n v="237537474.50999999"/>
    <x v="2"/>
    <x v="1"/>
    <x v="1"/>
    <x v="7"/>
    <x v="4"/>
    <x v="3"/>
    <x v="4"/>
    <x v="3"/>
    <x v="9"/>
    <n v="29"/>
    <x v="0"/>
  </r>
  <r>
    <d v="2021-07-29T00:00:00"/>
    <x v="0"/>
    <x v="1"/>
    <x v="1"/>
    <n v="14537521.91"/>
    <x v="0"/>
    <x v="1"/>
    <x v="1"/>
    <x v="3"/>
    <x v="4"/>
    <x v="3"/>
    <x v="4"/>
    <x v="3"/>
    <x v="9"/>
    <n v="29"/>
    <x v="0"/>
  </r>
  <r>
    <d v="2021-07-29T00:00:00"/>
    <x v="1"/>
    <x v="0"/>
    <x v="0"/>
    <n v="88518647.370000005"/>
    <x v="1"/>
    <x v="0"/>
    <x v="0"/>
    <x v="8"/>
    <x v="4"/>
    <x v="3"/>
    <x v="4"/>
    <x v="3"/>
    <x v="9"/>
    <n v="29"/>
    <x v="0"/>
  </r>
  <r>
    <d v="2021-07-29T00:00:00"/>
    <x v="3"/>
    <x v="3"/>
    <x v="1"/>
    <n v="293559.83"/>
    <x v="3"/>
    <x v="3"/>
    <x v="1"/>
    <x v="2"/>
    <x v="4"/>
    <x v="3"/>
    <x v="4"/>
    <x v="3"/>
    <x v="9"/>
    <n v="29"/>
    <x v="0"/>
  </r>
  <r>
    <d v="2021-07-29T00:00:00"/>
    <x v="3"/>
    <x v="2"/>
    <x v="2"/>
    <n v="183763.54"/>
    <x v="3"/>
    <x v="2"/>
    <x v="2"/>
    <x v="5"/>
    <x v="4"/>
    <x v="3"/>
    <x v="4"/>
    <x v="3"/>
    <x v="9"/>
    <n v="29"/>
    <x v="0"/>
  </r>
  <r>
    <d v="2021-07-29T00:00:00"/>
    <x v="2"/>
    <x v="1"/>
    <x v="0"/>
    <n v="96713671.340000004"/>
    <x v="2"/>
    <x v="1"/>
    <x v="0"/>
    <x v="6"/>
    <x v="4"/>
    <x v="3"/>
    <x v="4"/>
    <x v="3"/>
    <x v="9"/>
    <n v="29"/>
    <x v="0"/>
  </r>
  <r>
    <d v="2021-07-29T00:00:00"/>
    <x v="3"/>
    <x v="3"/>
    <x v="0"/>
    <n v="2408774060.8699999"/>
    <x v="3"/>
    <x v="3"/>
    <x v="0"/>
    <x v="9"/>
    <x v="4"/>
    <x v="3"/>
    <x v="4"/>
    <x v="3"/>
    <x v="9"/>
    <n v="29"/>
    <x v="0"/>
  </r>
  <r>
    <d v="2021-07-29T00:00:00"/>
    <x v="1"/>
    <x v="0"/>
    <x v="1"/>
    <n v="168946953.71000001"/>
    <x v="1"/>
    <x v="0"/>
    <x v="1"/>
    <x v="10"/>
    <x v="4"/>
    <x v="3"/>
    <x v="4"/>
    <x v="3"/>
    <x v="9"/>
    <n v="29"/>
    <x v="0"/>
  </r>
  <r>
    <d v="2021-07-29T00:00:00"/>
    <x v="3"/>
    <x v="2"/>
    <x v="0"/>
    <n v="715500675.07000005"/>
    <x v="3"/>
    <x v="2"/>
    <x v="0"/>
    <x v="11"/>
    <x v="4"/>
    <x v="3"/>
    <x v="4"/>
    <x v="3"/>
    <x v="9"/>
    <n v="29"/>
    <x v="0"/>
  </r>
  <r>
    <d v="2021-07-29T00:00:00"/>
    <x v="3"/>
    <x v="1"/>
    <x v="0"/>
    <n v="13080707.91"/>
    <x v="3"/>
    <x v="1"/>
    <x v="0"/>
    <x v="12"/>
    <x v="4"/>
    <x v="3"/>
    <x v="4"/>
    <x v="3"/>
    <x v="9"/>
    <n v="29"/>
    <x v="0"/>
  </r>
  <r>
    <d v="2021-07-29T00:00:00"/>
    <x v="3"/>
    <x v="2"/>
    <x v="1"/>
    <n v="4490763920.1899996"/>
    <x v="3"/>
    <x v="2"/>
    <x v="1"/>
    <x v="13"/>
    <x v="4"/>
    <x v="3"/>
    <x v="4"/>
    <x v="3"/>
    <x v="9"/>
    <n v="29"/>
    <x v="0"/>
  </r>
  <r>
    <d v="2021-07-28T00:00:00"/>
    <x v="2"/>
    <x v="1"/>
    <x v="0"/>
    <n v="98373445.920000002"/>
    <x v="2"/>
    <x v="1"/>
    <x v="0"/>
    <x v="5"/>
    <x v="4"/>
    <x v="3"/>
    <x v="4"/>
    <x v="3"/>
    <x v="9"/>
    <n v="28"/>
    <x v="0"/>
  </r>
  <r>
    <d v="2021-07-28T00:00:00"/>
    <x v="1"/>
    <x v="0"/>
    <x v="2"/>
    <n v="13117.27"/>
    <x v="1"/>
    <x v="0"/>
    <x v="2"/>
    <x v="1"/>
    <x v="4"/>
    <x v="3"/>
    <x v="4"/>
    <x v="3"/>
    <x v="9"/>
    <n v="28"/>
    <x v="0"/>
  </r>
  <r>
    <d v="2021-07-28T00:00:00"/>
    <x v="2"/>
    <x v="1"/>
    <x v="2"/>
    <n v="96711.16"/>
    <x v="2"/>
    <x v="1"/>
    <x v="2"/>
    <x v="3"/>
    <x v="4"/>
    <x v="3"/>
    <x v="4"/>
    <x v="3"/>
    <x v="9"/>
    <n v="28"/>
    <x v="0"/>
  </r>
  <r>
    <d v="2021-07-28T00:00:00"/>
    <x v="0"/>
    <x v="1"/>
    <x v="0"/>
    <n v="10309482.300000001"/>
    <x v="0"/>
    <x v="1"/>
    <x v="0"/>
    <x v="0"/>
    <x v="4"/>
    <x v="3"/>
    <x v="4"/>
    <x v="3"/>
    <x v="9"/>
    <n v="28"/>
    <x v="0"/>
  </r>
  <r>
    <d v="2021-07-28T00:00:00"/>
    <x v="2"/>
    <x v="1"/>
    <x v="1"/>
    <n v="244211267.74000001"/>
    <x v="2"/>
    <x v="1"/>
    <x v="1"/>
    <x v="7"/>
    <x v="4"/>
    <x v="3"/>
    <x v="4"/>
    <x v="3"/>
    <x v="9"/>
    <n v="28"/>
    <x v="0"/>
  </r>
  <r>
    <d v="2021-07-28T00:00:00"/>
    <x v="0"/>
    <x v="1"/>
    <x v="1"/>
    <n v="3669201.52"/>
    <x v="0"/>
    <x v="1"/>
    <x v="1"/>
    <x v="2"/>
    <x v="4"/>
    <x v="3"/>
    <x v="4"/>
    <x v="3"/>
    <x v="9"/>
    <n v="28"/>
    <x v="0"/>
  </r>
  <r>
    <d v="2021-07-28T00:00:00"/>
    <x v="3"/>
    <x v="2"/>
    <x v="2"/>
    <n v="164578.79999999999"/>
    <x v="3"/>
    <x v="2"/>
    <x v="2"/>
    <x v="4"/>
    <x v="4"/>
    <x v="3"/>
    <x v="4"/>
    <x v="3"/>
    <x v="9"/>
    <n v="28"/>
    <x v="0"/>
  </r>
  <r>
    <d v="2021-07-28T00:00:00"/>
    <x v="1"/>
    <x v="0"/>
    <x v="0"/>
    <n v="94634988.969999999"/>
    <x v="1"/>
    <x v="0"/>
    <x v="0"/>
    <x v="8"/>
    <x v="4"/>
    <x v="3"/>
    <x v="4"/>
    <x v="3"/>
    <x v="9"/>
    <n v="28"/>
    <x v="0"/>
  </r>
  <r>
    <d v="2021-07-28T00:00:00"/>
    <x v="1"/>
    <x v="0"/>
    <x v="1"/>
    <n v="629666273.04999995"/>
    <x v="1"/>
    <x v="0"/>
    <x v="1"/>
    <x v="9"/>
    <x v="4"/>
    <x v="3"/>
    <x v="4"/>
    <x v="3"/>
    <x v="9"/>
    <n v="28"/>
    <x v="0"/>
  </r>
  <r>
    <d v="2021-07-28T00:00:00"/>
    <x v="3"/>
    <x v="3"/>
    <x v="0"/>
    <n v="1640207137.46"/>
    <x v="3"/>
    <x v="3"/>
    <x v="0"/>
    <x v="6"/>
    <x v="4"/>
    <x v="3"/>
    <x v="4"/>
    <x v="3"/>
    <x v="9"/>
    <n v="28"/>
    <x v="0"/>
  </r>
  <r>
    <d v="2021-07-28T00:00:00"/>
    <x v="3"/>
    <x v="2"/>
    <x v="0"/>
    <n v="471292994.12"/>
    <x v="3"/>
    <x v="2"/>
    <x v="0"/>
    <x v="10"/>
    <x v="4"/>
    <x v="3"/>
    <x v="4"/>
    <x v="3"/>
    <x v="9"/>
    <n v="28"/>
    <x v="0"/>
  </r>
  <r>
    <d v="2021-07-28T00:00:00"/>
    <x v="3"/>
    <x v="1"/>
    <x v="0"/>
    <n v="12479353.92"/>
    <x v="3"/>
    <x v="1"/>
    <x v="0"/>
    <x v="11"/>
    <x v="4"/>
    <x v="3"/>
    <x v="4"/>
    <x v="3"/>
    <x v="9"/>
    <n v="28"/>
    <x v="0"/>
  </r>
  <r>
    <d v="2021-07-28T00:00:00"/>
    <x v="3"/>
    <x v="2"/>
    <x v="1"/>
    <n v="9876955326.7099991"/>
    <x v="3"/>
    <x v="2"/>
    <x v="1"/>
    <x v="12"/>
    <x v="4"/>
    <x v="3"/>
    <x v="4"/>
    <x v="3"/>
    <x v="9"/>
    <n v="28"/>
    <x v="0"/>
  </r>
  <r>
    <d v="2021-07-27T00:00:00"/>
    <x v="1"/>
    <x v="0"/>
    <x v="2"/>
    <n v="36071.11"/>
    <x v="1"/>
    <x v="0"/>
    <x v="2"/>
    <x v="2"/>
    <x v="4"/>
    <x v="3"/>
    <x v="4"/>
    <x v="3"/>
    <x v="9"/>
    <n v="27"/>
    <x v="0"/>
  </r>
  <r>
    <d v="2021-07-27T00:00:00"/>
    <x v="2"/>
    <x v="1"/>
    <x v="0"/>
    <n v="111231784.5"/>
    <x v="2"/>
    <x v="1"/>
    <x v="0"/>
    <x v="7"/>
    <x v="4"/>
    <x v="3"/>
    <x v="4"/>
    <x v="3"/>
    <x v="9"/>
    <n v="27"/>
    <x v="0"/>
  </r>
  <r>
    <d v="2021-07-27T00:00:00"/>
    <x v="3"/>
    <x v="2"/>
    <x v="2"/>
    <n v="206593.02"/>
    <x v="3"/>
    <x v="2"/>
    <x v="2"/>
    <x v="5"/>
    <x v="4"/>
    <x v="3"/>
    <x v="4"/>
    <x v="3"/>
    <x v="9"/>
    <n v="27"/>
    <x v="0"/>
  </r>
  <r>
    <d v="2021-07-27T00:00:00"/>
    <x v="2"/>
    <x v="1"/>
    <x v="2"/>
    <n v="5525"/>
    <x v="2"/>
    <x v="1"/>
    <x v="2"/>
    <x v="4"/>
    <x v="4"/>
    <x v="3"/>
    <x v="4"/>
    <x v="3"/>
    <x v="9"/>
    <n v="27"/>
    <x v="0"/>
  </r>
  <r>
    <d v="2021-07-27T00:00:00"/>
    <x v="0"/>
    <x v="1"/>
    <x v="0"/>
    <n v="17198227.760000002"/>
    <x v="0"/>
    <x v="1"/>
    <x v="0"/>
    <x v="1"/>
    <x v="4"/>
    <x v="3"/>
    <x v="4"/>
    <x v="3"/>
    <x v="9"/>
    <n v="27"/>
    <x v="0"/>
  </r>
  <r>
    <d v="2021-07-27T00:00:00"/>
    <x v="0"/>
    <x v="1"/>
    <x v="1"/>
    <n v="19427812.609999999"/>
    <x v="0"/>
    <x v="1"/>
    <x v="1"/>
    <x v="3"/>
    <x v="4"/>
    <x v="3"/>
    <x v="4"/>
    <x v="3"/>
    <x v="9"/>
    <n v="27"/>
    <x v="0"/>
  </r>
  <r>
    <d v="2021-07-27T00:00:00"/>
    <x v="1"/>
    <x v="0"/>
    <x v="0"/>
    <n v="79995276.049999997"/>
    <x v="1"/>
    <x v="0"/>
    <x v="0"/>
    <x v="9"/>
    <x v="4"/>
    <x v="3"/>
    <x v="4"/>
    <x v="3"/>
    <x v="9"/>
    <n v="27"/>
    <x v="0"/>
  </r>
  <r>
    <d v="2021-07-27T00:00:00"/>
    <x v="1"/>
    <x v="0"/>
    <x v="1"/>
    <n v="285227605.62"/>
    <x v="1"/>
    <x v="0"/>
    <x v="1"/>
    <x v="10"/>
    <x v="4"/>
    <x v="3"/>
    <x v="4"/>
    <x v="3"/>
    <x v="9"/>
    <n v="27"/>
    <x v="0"/>
  </r>
  <r>
    <d v="2021-07-27T00:00:00"/>
    <x v="0"/>
    <x v="0"/>
    <x v="0"/>
    <n v="502.78"/>
    <x v="0"/>
    <x v="0"/>
    <x v="0"/>
    <x v="0"/>
    <x v="4"/>
    <x v="3"/>
    <x v="4"/>
    <x v="3"/>
    <x v="9"/>
    <n v="27"/>
    <x v="0"/>
  </r>
  <r>
    <d v="2021-07-27T00:00:00"/>
    <x v="3"/>
    <x v="3"/>
    <x v="0"/>
    <n v="1413259116.5799999"/>
    <x v="3"/>
    <x v="3"/>
    <x v="0"/>
    <x v="6"/>
    <x v="4"/>
    <x v="3"/>
    <x v="4"/>
    <x v="3"/>
    <x v="9"/>
    <n v="27"/>
    <x v="0"/>
  </r>
  <r>
    <d v="2021-07-27T00:00:00"/>
    <x v="2"/>
    <x v="1"/>
    <x v="1"/>
    <n v="178952619.46000001"/>
    <x v="2"/>
    <x v="1"/>
    <x v="1"/>
    <x v="8"/>
    <x v="4"/>
    <x v="3"/>
    <x v="4"/>
    <x v="3"/>
    <x v="9"/>
    <n v="27"/>
    <x v="0"/>
  </r>
  <r>
    <d v="2021-07-27T00:00:00"/>
    <x v="3"/>
    <x v="2"/>
    <x v="0"/>
    <n v="556309854.44000006"/>
    <x v="3"/>
    <x v="2"/>
    <x v="0"/>
    <x v="11"/>
    <x v="4"/>
    <x v="3"/>
    <x v="4"/>
    <x v="3"/>
    <x v="9"/>
    <n v="27"/>
    <x v="0"/>
  </r>
  <r>
    <d v="2021-07-27T00:00:00"/>
    <x v="3"/>
    <x v="1"/>
    <x v="0"/>
    <n v="11379599.65"/>
    <x v="3"/>
    <x v="1"/>
    <x v="0"/>
    <x v="12"/>
    <x v="4"/>
    <x v="3"/>
    <x v="4"/>
    <x v="3"/>
    <x v="9"/>
    <n v="27"/>
    <x v="0"/>
  </r>
  <r>
    <d v="2021-07-27T00:00:00"/>
    <x v="3"/>
    <x v="2"/>
    <x v="1"/>
    <n v="3160393666.7399998"/>
    <x v="3"/>
    <x v="2"/>
    <x v="1"/>
    <x v="13"/>
    <x v="4"/>
    <x v="3"/>
    <x v="4"/>
    <x v="3"/>
    <x v="9"/>
    <n v="27"/>
    <x v="0"/>
  </r>
  <r>
    <d v="2021-07-26T00:00:00"/>
    <x v="1"/>
    <x v="0"/>
    <x v="2"/>
    <n v="8077.11"/>
    <x v="1"/>
    <x v="0"/>
    <x v="2"/>
    <x v="1"/>
    <x v="4"/>
    <x v="3"/>
    <x v="4"/>
    <x v="3"/>
    <x v="9"/>
    <n v="26"/>
    <x v="0"/>
  </r>
  <r>
    <d v="2021-07-26T00:00:00"/>
    <x v="2"/>
    <x v="1"/>
    <x v="2"/>
    <n v="16761.63"/>
    <x v="2"/>
    <x v="1"/>
    <x v="2"/>
    <x v="2"/>
    <x v="4"/>
    <x v="3"/>
    <x v="4"/>
    <x v="3"/>
    <x v="9"/>
    <n v="26"/>
    <x v="0"/>
  </r>
  <r>
    <d v="2021-07-26T00:00:00"/>
    <x v="3"/>
    <x v="3"/>
    <x v="0"/>
    <n v="1510886431.3"/>
    <x v="3"/>
    <x v="3"/>
    <x v="0"/>
    <x v="5"/>
    <x v="4"/>
    <x v="3"/>
    <x v="4"/>
    <x v="3"/>
    <x v="9"/>
    <n v="26"/>
    <x v="0"/>
  </r>
  <r>
    <d v="2021-07-26T00:00:00"/>
    <x v="2"/>
    <x v="1"/>
    <x v="0"/>
    <n v="88881874.049999997"/>
    <x v="2"/>
    <x v="1"/>
    <x v="0"/>
    <x v="6"/>
    <x v="4"/>
    <x v="3"/>
    <x v="4"/>
    <x v="3"/>
    <x v="9"/>
    <n v="26"/>
    <x v="0"/>
  </r>
  <r>
    <d v="2021-07-26T00:00:00"/>
    <x v="0"/>
    <x v="1"/>
    <x v="0"/>
    <n v="26649161.940000001"/>
    <x v="0"/>
    <x v="1"/>
    <x v="0"/>
    <x v="0"/>
    <x v="4"/>
    <x v="3"/>
    <x v="4"/>
    <x v="3"/>
    <x v="9"/>
    <n v="26"/>
    <x v="0"/>
  </r>
  <r>
    <d v="2021-07-26T00:00:00"/>
    <x v="2"/>
    <x v="1"/>
    <x v="1"/>
    <n v="304466882.29000002"/>
    <x v="2"/>
    <x v="1"/>
    <x v="1"/>
    <x v="7"/>
    <x v="4"/>
    <x v="3"/>
    <x v="4"/>
    <x v="3"/>
    <x v="9"/>
    <n v="26"/>
    <x v="0"/>
  </r>
  <r>
    <d v="2021-07-26T00:00:00"/>
    <x v="3"/>
    <x v="2"/>
    <x v="2"/>
    <n v="2005828.7"/>
    <x v="3"/>
    <x v="2"/>
    <x v="2"/>
    <x v="4"/>
    <x v="4"/>
    <x v="3"/>
    <x v="4"/>
    <x v="3"/>
    <x v="9"/>
    <n v="26"/>
    <x v="0"/>
  </r>
  <r>
    <d v="2021-07-26T00:00:00"/>
    <x v="1"/>
    <x v="0"/>
    <x v="1"/>
    <n v="266126146.63"/>
    <x v="1"/>
    <x v="0"/>
    <x v="1"/>
    <x v="9"/>
    <x v="4"/>
    <x v="3"/>
    <x v="4"/>
    <x v="3"/>
    <x v="9"/>
    <n v="26"/>
    <x v="0"/>
  </r>
  <r>
    <d v="2021-07-26T00:00:00"/>
    <x v="0"/>
    <x v="1"/>
    <x v="1"/>
    <n v="10183450.890000001"/>
    <x v="0"/>
    <x v="1"/>
    <x v="1"/>
    <x v="3"/>
    <x v="4"/>
    <x v="3"/>
    <x v="4"/>
    <x v="3"/>
    <x v="9"/>
    <n v="26"/>
    <x v="0"/>
  </r>
  <r>
    <d v="2021-07-26T00:00:00"/>
    <x v="1"/>
    <x v="0"/>
    <x v="0"/>
    <n v="77344355.560000002"/>
    <x v="1"/>
    <x v="0"/>
    <x v="0"/>
    <x v="8"/>
    <x v="4"/>
    <x v="3"/>
    <x v="4"/>
    <x v="3"/>
    <x v="9"/>
    <n v="26"/>
    <x v="0"/>
  </r>
  <r>
    <d v="2021-07-26T00:00:00"/>
    <x v="3"/>
    <x v="2"/>
    <x v="0"/>
    <n v="382980276.01999998"/>
    <x v="3"/>
    <x v="2"/>
    <x v="0"/>
    <x v="10"/>
    <x v="4"/>
    <x v="3"/>
    <x v="4"/>
    <x v="3"/>
    <x v="9"/>
    <n v="26"/>
    <x v="0"/>
  </r>
  <r>
    <d v="2021-07-26T00:00:00"/>
    <x v="3"/>
    <x v="2"/>
    <x v="1"/>
    <n v="21317324644.799999"/>
    <x v="3"/>
    <x v="2"/>
    <x v="1"/>
    <x v="11"/>
    <x v="4"/>
    <x v="3"/>
    <x v="4"/>
    <x v="3"/>
    <x v="9"/>
    <n v="26"/>
    <x v="0"/>
  </r>
  <r>
    <d v="2021-07-26T00:00:00"/>
    <x v="3"/>
    <x v="1"/>
    <x v="0"/>
    <n v="40532539.200000003"/>
    <x v="3"/>
    <x v="1"/>
    <x v="0"/>
    <x v="12"/>
    <x v="4"/>
    <x v="3"/>
    <x v="4"/>
    <x v="3"/>
    <x v="9"/>
    <n v="26"/>
    <x v="0"/>
  </r>
  <r>
    <d v="2021-07-23T00:00:00"/>
    <x v="2"/>
    <x v="1"/>
    <x v="2"/>
    <n v="6135"/>
    <x v="2"/>
    <x v="1"/>
    <x v="2"/>
    <x v="2"/>
    <x v="4"/>
    <x v="3"/>
    <x v="4"/>
    <x v="3"/>
    <x v="9"/>
    <n v="23"/>
    <x v="0"/>
  </r>
  <r>
    <d v="2021-07-23T00:00:00"/>
    <x v="1"/>
    <x v="0"/>
    <x v="2"/>
    <n v="3234.52"/>
    <x v="1"/>
    <x v="0"/>
    <x v="2"/>
    <x v="1"/>
    <x v="4"/>
    <x v="3"/>
    <x v="4"/>
    <x v="3"/>
    <x v="9"/>
    <n v="23"/>
    <x v="0"/>
  </r>
  <r>
    <d v="2021-07-23T00:00:00"/>
    <x v="2"/>
    <x v="1"/>
    <x v="0"/>
    <n v="70225479.260000005"/>
    <x v="2"/>
    <x v="1"/>
    <x v="0"/>
    <x v="6"/>
    <x v="4"/>
    <x v="3"/>
    <x v="4"/>
    <x v="3"/>
    <x v="9"/>
    <n v="23"/>
    <x v="0"/>
  </r>
  <r>
    <d v="2021-07-23T00:00:00"/>
    <x v="0"/>
    <x v="1"/>
    <x v="0"/>
    <n v="40777788.710000001"/>
    <x v="0"/>
    <x v="1"/>
    <x v="0"/>
    <x v="0"/>
    <x v="4"/>
    <x v="3"/>
    <x v="4"/>
    <x v="3"/>
    <x v="9"/>
    <n v="23"/>
    <x v="0"/>
  </r>
  <r>
    <d v="2021-07-23T00:00:00"/>
    <x v="2"/>
    <x v="1"/>
    <x v="1"/>
    <n v="111329737.83"/>
    <x v="2"/>
    <x v="1"/>
    <x v="1"/>
    <x v="8"/>
    <x v="4"/>
    <x v="3"/>
    <x v="4"/>
    <x v="3"/>
    <x v="9"/>
    <n v="23"/>
    <x v="0"/>
  </r>
  <r>
    <d v="2021-07-23T00:00:00"/>
    <x v="1"/>
    <x v="0"/>
    <x v="0"/>
    <n v="97333329.920000002"/>
    <x v="1"/>
    <x v="0"/>
    <x v="0"/>
    <x v="9"/>
    <x v="4"/>
    <x v="3"/>
    <x v="4"/>
    <x v="3"/>
    <x v="9"/>
    <n v="23"/>
    <x v="0"/>
  </r>
  <r>
    <d v="2021-07-23T00:00:00"/>
    <x v="0"/>
    <x v="1"/>
    <x v="1"/>
    <n v="8025785.1100000003"/>
    <x v="0"/>
    <x v="1"/>
    <x v="1"/>
    <x v="4"/>
    <x v="4"/>
    <x v="3"/>
    <x v="4"/>
    <x v="3"/>
    <x v="9"/>
    <n v="23"/>
    <x v="0"/>
  </r>
  <r>
    <d v="2021-07-23T00:00:00"/>
    <x v="3"/>
    <x v="2"/>
    <x v="2"/>
    <n v="315841.12"/>
    <x v="3"/>
    <x v="2"/>
    <x v="2"/>
    <x v="5"/>
    <x v="4"/>
    <x v="3"/>
    <x v="4"/>
    <x v="3"/>
    <x v="9"/>
    <n v="23"/>
    <x v="0"/>
  </r>
  <r>
    <d v="2021-07-23T00:00:00"/>
    <x v="3"/>
    <x v="3"/>
    <x v="1"/>
    <n v="223105.35"/>
    <x v="3"/>
    <x v="3"/>
    <x v="1"/>
    <x v="3"/>
    <x v="4"/>
    <x v="3"/>
    <x v="4"/>
    <x v="3"/>
    <x v="9"/>
    <n v="23"/>
    <x v="0"/>
  </r>
  <r>
    <d v="2021-07-23T00:00:00"/>
    <x v="3"/>
    <x v="3"/>
    <x v="0"/>
    <n v="1270426793.55"/>
    <x v="3"/>
    <x v="3"/>
    <x v="0"/>
    <x v="7"/>
    <x v="4"/>
    <x v="3"/>
    <x v="4"/>
    <x v="3"/>
    <x v="9"/>
    <n v="23"/>
    <x v="0"/>
  </r>
  <r>
    <d v="2021-07-23T00:00:00"/>
    <x v="1"/>
    <x v="0"/>
    <x v="1"/>
    <n v="98301655.219999999"/>
    <x v="1"/>
    <x v="0"/>
    <x v="1"/>
    <x v="10"/>
    <x v="4"/>
    <x v="3"/>
    <x v="4"/>
    <x v="3"/>
    <x v="9"/>
    <n v="23"/>
    <x v="0"/>
  </r>
  <r>
    <d v="2021-07-23T00:00:00"/>
    <x v="3"/>
    <x v="2"/>
    <x v="0"/>
    <n v="5965810770.1899996"/>
    <x v="3"/>
    <x v="2"/>
    <x v="0"/>
    <x v="11"/>
    <x v="4"/>
    <x v="3"/>
    <x v="4"/>
    <x v="3"/>
    <x v="9"/>
    <n v="23"/>
    <x v="0"/>
  </r>
  <r>
    <d v="2021-07-23T00:00:00"/>
    <x v="3"/>
    <x v="2"/>
    <x v="1"/>
    <n v="9323119053.8999996"/>
    <x v="3"/>
    <x v="2"/>
    <x v="1"/>
    <x v="12"/>
    <x v="4"/>
    <x v="3"/>
    <x v="4"/>
    <x v="3"/>
    <x v="9"/>
    <n v="23"/>
    <x v="0"/>
  </r>
  <r>
    <d v="2021-07-23T00:00:00"/>
    <x v="3"/>
    <x v="1"/>
    <x v="0"/>
    <n v="13296349.84"/>
    <x v="3"/>
    <x v="1"/>
    <x v="0"/>
    <x v="13"/>
    <x v="4"/>
    <x v="3"/>
    <x v="4"/>
    <x v="3"/>
    <x v="9"/>
    <n v="23"/>
    <x v="0"/>
  </r>
  <r>
    <d v="2021-07-22T00:00:00"/>
    <x v="1"/>
    <x v="0"/>
    <x v="2"/>
    <n v="295.23"/>
    <x v="1"/>
    <x v="0"/>
    <x v="2"/>
    <x v="2"/>
    <x v="4"/>
    <x v="3"/>
    <x v="4"/>
    <x v="3"/>
    <x v="9"/>
    <n v="22"/>
    <x v="0"/>
  </r>
  <r>
    <d v="2021-07-22T00:00:00"/>
    <x v="2"/>
    <x v="1"/>
    <x v="0"/>
    <n v="76834145.159999996"/>
    <x v="2"/>
    <x v="1"/>
    <x v="0"/>
    <x v="7"/>
    <x v="4"/>
    <x v="3"/>
    <x v="4"/>
    <x v="3"/>
    <x v="9"/>
    <n v="22"/>
    <x v="0"/>
  </r>
  <r>
    <d v="2021-07-22T00:00:00"/>
    <x v="2"/>
    <x v="1"/>
    <x v="1"/>
    <n v="126583549.75"/>
    <x v="2"/>
    <x v="1"/>
    <x v="1"/>
    <x v="8"/>
    <x v="4"/>
    <x v="3"/>
    <x v="4"/>
    <x v="3"/>
    <x v="9"/>
    <n v="22"/>
    <x v="0"/>
  </r>
  <r>
    <d v="2021-07-22T00:00:00"/>
    <x v="3"/>
    <x v="3"/>
    <x v="1"/>
    <n v="934475.8"/>
    <x v="3"/>
    <x v="3"/>
    <x v="1"/>
    <x v="3"/>
    <x v="4"/>
    <x v="3"/>
    <x v="4"/>
    <x v="3"/>
    <x v="9"/>
    <n v="22"/>
    <x v="0"/>
  </r>
  <r>
    <d v="2021-07-22T00:00:00"/>
    <x v="3"/>
    <x v="3"/>
    <x v="0"/>
    <n v="1852244728.01"/>
    <x v="3"/>
    <x v="3"/>
    <x v="0"/>
    <x v="9"/>
    <x v="4"/>
    <x v="3"/>
    <x v="4"/>
    <x v="3"/>
    <x v="9"/>
    <n v="22"/>
    <x v="0"/>
  </r>
  <r>
    <d v="2021-07-22T00:00:00"/>
    <x v="2"/>
    <x v="1"/>
    <x v="2"/>
    <n v="11085"/>
    <x v="2"/>
    <x v="1"/>
    <x v="2"/>
    <x v="5"/>
    <x v="4"/>
    <x v="3"/>
    <x v="4"/>
    <x v="3"/>
    <x v="9"/>
    <n v="22"/>
    <x v="0"/>
  </r>
  <r>
    <d v="2021-07-22T00:00:00"/>
    <x v="0"/>
    <x v="1"/>
    <x v="1"/>
    <n v="714001.08"/>
    <x v="0"/>
    <x v="1"/>
    <x v="1"/>
    <x v="4"/>
    <x v="4"/>
    <x v="3"/>
    <x v="4"/>
    <x v="3"/>
    <x v="9"/>
    <n v="22"/>
    <x v="0"/>
  </r>
  <r>
    <d v="2021-07-22T00:00:00"/>
    <x v="1"/>
    <x v="0"/>
    <x v="1"/>
    <n v="275394186.16000003"/>
    <x v="1"/>
    <x v="0"/>
    <x v="1"/>
    <x v="11"/>
    <x v="4"/>
    <x v="3"/>
    <x v="4"/>
    <x v="3"/>
    <x v="9"/>
    <n v="22"/>
    <x v="0"/>
  </r>
  <r>
    <d v="2021-07-22T00:00:00"/>
    <x v="0"/>
    <x v="1"/>
    <x v="0"/>
    <n v="9869278.6699999999"/>
    <x v="0"/>
    <x v="1"/>
    <x v="0"/>
    <x v="1"/>
    <x v="4"/>
    <x v="3"/>
    <x v="4"/>
    <x v="3"/>
    <x v="9"/>
    <n v="22"/>
    <x v="0"/>
  </r>
  <r>
    <d v="2021-07-22T00:00:00"/>
    <x v="3"/>
    <x v="2"/>
    <x v="2"/>
    <n v="168792.85"/>
    <x v="3"/>
    <x v="2"/>
    <x v="2"/>
    <x v="6"/>
    <x v="4"/>
    <x v="3"/>
    <x v="4"/>
    <x v="3"/>
    <x v="9"/>
    <n v="22"/>
    <x v="0"/>
  </r>
  <r>
    <d v="2021-07-22T00:00:00"/>
    <x v="0"/>
    <x v="0"/>
    <x v="0"/>
    <n v="12700.14"/>
    <x v="0"/>
    <x v="0"/>
    <x v="0"/>
    <x v="0"/>
    <x v="4"/>
    <x v="3"/>
    <x v="4"/>
    <x v="3"/>
    <x v="9"/>
    <n v="22"/>
    <x v="0"/>
  </r>
  <r>
    <d v="2021-07-22T00:00:00"/>
    <x v="1"/>
    <x v="0"/>
    <x v="0"/>
    <n v="92554933.510000005"/>
    <x v="1"/>
    <x v="0"/>
    <x v="0"/>
    <x v="10"/>
    <x v="4"/>
    <x v="3"/>
    <x v="4"/>
    <x v="3"/>
    <x v="9"/>
    <n v="22"/>
    <x v="0"/>
  </r>
  <r>
    <d v="2021-07-22T00:00:00"/>
    <x v="3"/>
    <x v="2"/>
    <x v="0"/>
    <n v="334597400.64999998"/>
    <x v="3"/>
    <x v="2"/>
    <x v="0"/>
    <x v="12"/>
    <x v="4"/>
    <x v="3"/>
    <x v="4"/>
    <x v="3"/>
    <x v="9"/>
    <n v="22"/>
    <x v="0"/>
  </r>
  <r>
    <d v="2021-07-22T00:00:00"/>
    <x v="3"/>
    <x v="2"/>
    <x v="1"/>
    <n v="2931214494.1599998"/>
    <x v="3"/>
    <x v="2"/>
    <x v="1"/>
    <x v="13"/>
    <x v="4"/>
    <x v="3"/>
    <x v="4"/>
    <x v="3"/>
    <x v="9"/>
    <n v="22"/>
    <x v="0"/>
  </r>
  <r>
    <d v="2021-07-22T00:00:00"/>
    <x v="3"/>
    <x v="1"/>
    <x v="0"/>
    <n v="12694265.65"/>
    <x v="3"/>
    <x v="1"/>
    <x v="0"/>
    <x v="14"/>
    <x v="4"/>
    <x v="3"/>
    <x v="4"/>
    <x v="3"/>
    <x v="9"/>
    <n v="22"/>
    <x v="0"/>
  </r>
  <r>
    <d v="2021-07-21T00:00:00"/>
    <x v="3"/>
    <x v="2"/>
    <x v="2"/>
    <n v="170163.49"/>
    <x v="3"/>
    <x v="2"/>
    <x v="2"/>
    <x v="2"/>
    <x v="4"/>
    <x v="3"/>
    <x v="4"/>
    <x v="3"/>
    <x v="9"/>
    <n v="21"/>
    <x v="0"/>
  </r>
  <r>
    <d v="2021-07-21T00:00:00"/>
    <x v="2"/>
    <x v="1"/>
    <x v="0"/>
    <n v="102336463.75"/>
    <x v="2"/>
    <x v="1"/>
    <x v="0"/>
    <x v="7"/>
    <x v="4"/>
    <x v="3"/>
    <x v="4"/>
    <x v="3"/>
    <x v="9"/>
    <n v="21"/>
    <x v="0"/>
  </r>
  <r>
    <d v="2021-07-21T00:00:00"/>
    <x v="1"/>
    <x v="0"/>
    <x v="0"/>
    <n v="97758116.370000005"/>
    <x v="1"/>
    <x v="0"/>
    <x v="0"/>
    <x v="9"/>
    <x v="4"/>
    <x v="3"/>
    <x v="4"/>
    <x v="3"/>
    <x v="9"/>
    <n v="21"/>
    <x v="0"/>
  </r>
  <r>
    <d v="2021-07-21T00:00:00"/>
    <x v="0"/>
    <x v="1"/>
    <x v="1"/>
    <n v="11298006.41"/>
    <x v="0"/>
    <x v="1"/>
    <x v="1"/>
    <x v="4"/>
    <x v="4"/>
    <x v="3"/>
    <x v="4"/>
    <x v="3"/>
    <x v="9"/>
    <n v="21"/>
    <x v="0"/>
  </r>
  <r>
    <d v="2021-07-21T00:00:00"/>
    <x v="0"/>
    <x v="1"/>
    <x v="0"/>
    <n v="13083077.050000001"/>
    <x v="0"/>
    <x v="1"/>
    <x v="0"/>
    <x v="0"/>
    <x v="4"/>
    <x v="3"/>
    <x v="4"/>
    <x v="3"/>
    <x v="9"/>
    <n v="21"/>
    <x v="0"/>
  </r>
  <r>
    <d v="2021-07-21T00:00:00"/>
    <x v="2"/>
    <x v="1"/>
    <x v="2"/>
    <n v="1892472.39"/>
    <x v="2"/>
    <x v="1"/>
    <x v="2"/>
    <x v="5"/>
    <x v="4"/>
    <x v="3"/>
    <x v="4"/>
    <x v="3"/>
    <x v="9"/>
    <n v="21"/>
    <x v="0"/>
  </r>
  <r>
    <d v="2021-07-21T00:00:00"/>
    <x v="2"/>
    <x v="1"/>
    <x v="1"/>
    <n v="211357835.58000001"/>
    <x v="2"/>
    <x v="1"/>
    <x v="1"/>
    <x v="8"/>
    <x v="4"/>
    <x v="3"/>
    <x v="4"/>
    <x v="3"/>
    <x v="9"/>
    <n v="21"/>
    <x v="0"/>
  </r>
  <r>
    <d v="2021-07-21T00:00:00"/>
    <x v="1"/>
    <x v="0"/>
    <x v="2"/>
    <n v="1324.38"/>
    <x v="1"/>
    <x v="0"/>
    <x v="2"/>
    <x v="1"/>
    <x v="4"/>
    <x v="3"/>
    <x v="4"/>
    <x v="3"/>
    <x v="9"/>
    <n v="21"/>
    <x v="0"/>
  </r>
  <r>
    <d v="2021-07-21T00:00:00"/>
    <x v="3"/>
    <x v="3"/>
    <x v="1"/>
    <n v="2444887.3199999998"/>
    <x v="3"/>
    <x v="3"/>
    <x v="1"/>
    <x v="3"/>
    <x v="4"/>
    <x v="3"/>
    <x v="4"/>
    <x v="3"/>
    <x v="9"/>
    <n v="21"/>
    <x v="0"/>
  </r>
  <r>
    <d v="2021-07-21T00:00:00"/>
    <x v="3"/>
    <x v="3"/>
    <x v="0"/>
    <n v="1515615382.5999999"/>
    <x v="3"/>
    <x v="3"/>
    <x v="0"/>
    <x v="6"/>
    <x v="4"/>
    <x v="3"/>
    <x v="4"/>
    <x v="3"/>
    <x v="9"/>
    <n v="21"/>
    <x v="0"/>
  </r>
  <r>
    <d v="2021-07-21T00:00:00"/>
    <x v="1"/>
    <x v="0"/>
    <x v="1"/>
    <n v="867514736.30999994"/>
    <x v="1"/>
    <x v="0"/>
    <x v="1"/>
    <x v="10"/>
    <x v="4"/>
    <x v="3"/>
    <x v="4"/>
    <x v="3"/>
    <x v="9"/>
    <n v="21"/>
    <x v="0"/>
  </r>
  <r>
    <d v="2021-07-21T00:00:00"/>
    <x v="3"/>
    <x v="2"/>
    <x v="0"/>
    <n v="316119251.81"/>
    <x v="3"/>
    <x v="2"/>
    <x v="0"/>
    <x v="11"/>
    <x v="4"/>
    <x v="3"/>
    <x v="4"/>
    <x v="3"/>
    <x v="9"/>
    <n v="21"/>
    <x v="0"/>
  </r>
  <r>
    <d v="2021-07-21T00:00:00"/>
    <x v="3"/>
    <x v="1"/>
    <x v="0"/>
    <n v="12666474.76"/>
    <x v="3"/>
    <x v="1"/>
    <x v="0"/>
    <x v="12"/>
    <x v="4"/>
    <x v="3"/>
    <x v="4"/>
    <x v="3"/>
    <x v="9"/>
    <n v="21"/>
    <x v="0"/>
  </r>
  <r>
    <d v="2021-07-21T00:00:00"/>
    <x v="3"/>
    <x v="2"/>
    <x v="1"/>
    <n v="11703747995.620001"/>
    <x v="3"/>
    <x v="2"/>
    <x v="1"/>
    <x v="13"/>
    <x v="4"/>
    <x v="3"/>
    <x v="4"/>
    <x v="3"/>
    <x v="9"/>
    <n v="21"/>
    <x v="0"/>
  </r>
  <r>
    <d v="2021-07-20T00:00:00"/>
    <x v="1"/>
    <x v="0"/>
    <x v="2"/>
    <n v="6127.92"/>
    <x v="1"/>
    <x v="0"/>
    <x v="2"/>
    <x v="1"/>
    <x v="4"/>
    <x v="3"/>
    <x v="4"/>
    <x v="3"/>
    <x v="9"/>
    <n v="20"/>
    <x v="0"/>
  </r>
  <r>
    <d v="2021-07-20T00:00:00"/>
    <x v="0"/>
    <x v="1"/>
    <x v="0"/>
    <n v="32665035.149999999"/>
    <x v="0"/>
    <x v="1"/>
    <x v="0"/>
    <x v="0"/>
    <x v="4"/>
    <x v="3"/>
    <x v="4"/>
    <x v="3"/>
    <x v="9"/>
    <n v="20"/>
    <x v="0"/>
  </r>
  <r>
    <d v="2021-07-20T00:00:00"/>
    <x v="2"/>
    <x v="1"/>
    <x v="2"/>
    <n v="4955"/>
    <x v="2"/>
    <x v="1"/>
    <x v="2"/>
    <x v="2"/>
    <x v="4"/>
    <x v="3"/>
    <x v="4"/>
    <x v="3"/>
    <x v="9"/>
    <n v="20"/>
    <x v="0"/>
  </r>
  <r>
    <d v="2021-07-20T00:00:00"/>
    <x v="2"/>
    <x v="1"/>
    <x v="0"/>
    <n v="76888157.659999996"/>
    <x v="2"/>
    <x v="1"/>
    <x v="0"/>
    <x v="5"/>
    <x v="4"/>
    <x v="3"/>
    <x v="4"/>
    <x v="3"/>
    <x v="9"/>
    <n v="20"/>
    <x v="0"/>
  </r>
  <r>
    <d v="2021-07-20T00:00:00"/>
    <x v="3"/>
    <x v="3"/>
    <x v="0"/>
    <n v="2250585890.7600002"/>
    <x v="3"/>
    <x v="3"/>
    <x v="0"/>
    <x v="6"/>
    <x v="4"/>
    <x v="3"/>
    <x v="4"/>
    <x v="3"/>
    <x v="9"/>
    <n v="20"/>
    <x v="0"/>
  </r>
  <r>
    <d v="2021-07-20T00:00:00"/>
    <x v="2"/>
    <x v="1"/>
    <x v="1"/>
    <n v="206265971.56"/>
    <x v="2"/>
    <x v="1"/>
    <x v="1"/>
    <x v="7"/>
    <x v="4"/>
    <x v="3"/>
    <x v="4"/>
    <x v="3"/>
    <x v="9"/>
    <n v="20"/>
    <x v="0"/>
  </r>
  <r>
    <d v="2021-07-20T00:00:00"/>
    <x v="1"/>
    <x v="0"/>
    <x v="0"/>
    <n v="101778456.59"/>
    <x v="1"/>
    <x v="0"/>
    <x v="0"/>
    <x v="8"/>
    <x v="4"/>
    <x v="3"/>
    <x v="4"/>
    <x v="3"/>
    <x v="9"/>
    <n v="20"/>
    <x v="0"/>
  </r>
  <r>
    <d v="2021-07-20T00:00:00"/>
    <x v="0"/>
    <x v="1"/>
    <x v="1"/>
    <n v="23734681.739999998"/>
    <x v="0"/>
    <x v="1"/>
    <x v="1"/>
    <x v="3"/>
    <x v="4"/>
    <x v="3"/>
    <x v="4"/>
    <x v="3"/>
    <x v="9"/>
    <n v="20"/>
    <x v="0"/>
  </r>
  <r>
    <d v="2021-07-20T00:00:00"/>
    <x v="3"/>
    <x v="2"/>
    <x v="2"/>
    <n v="56968.99"/>
    <x v="3"/>
    <x v="2"/>
    <x v="2"/>
    <x v="4"/>
    <x v="4"/>
    <x v="3"/>
    <x v="4"/>
    <x v="3"/>
    <x v="9"/>
    <n v="20"/>
    <x v="0"/>
  </r>
  <r>
    <d v="2021-07-20T00:00:00"/>
    <x v="1"/>
    <x v="0"/>
    <x v="1"/>
    <n v="286876749.89999998"/>
    <x v="1"/>
    <x v="0"/>
    <x v="1"/>
    <x v="9"/>
    <x v="4"/>
    <x v="3"/>
    <x v="4"/>
    <x v="3"/>
    <x v="9"/>
    <n v="20"/>
    <x v="0"/>
  </r>
  <r>
    <d v="2021-07-20T00:00:00"/>
    <x v="3"/>
    <x v="2"/>
    <x v="0"/>
    <n v="622263609.5"/>
    <x v="3"/>
    <x v="2"/>
    <x v="0"/>
    <x v="10"/>
    <x v="4"/>
    <x v="3"/>
    <x v="4"/>
    <x v="3"/>
    <x v="9"/>
    <n v="20"/>
    <x v="0"/>
  </r>
  <r>
    <d v="2021-07-20T00:00:00"/>
    <x v="3"/>
    <x v="1"/>
    <x v="0"/>
    <n v="11543798.470000001"/>
    <x v="3"/>
    <x v="1"/>
    <x v="0"/>
    <x v="11"/>
    <x v="4"/>
    <x v="3"/>
    <x v="4"/>
    <x v="3"/>
    <x v="9"/>
    <n v="20"/>
    <x v="0"/>
  </r>
  <r>
    <d v="2021-07-20T00:00:00"/>
    <x v="3"/>
    <x v="2"/>
    <x v="1"/>
    <n v="2800850918.0300002"/>
    <x v="3"/>
    <x v="2"/>
    <x v="1"/>
    <x v="12"/>
    <x v="4"/>
    <x v="3"/>
    <x v="4"/>
    <x v="3"/>
    <x v="9"/>
    <n v="20"/>
    <x v="0"/>
  </r>
  <r>
    <d v="2021-07-19T00:00:00"/>
    <x v="0"/>
    <x v="1"/>
    <x v="0"/>
    <n v="12415446.93"/>
    <x v="0"/>
    <x v="1"/>
    <x v="0"/>
    <x v="0"/>
    <x v="4"/>
    <x v="3"/>
    <x v="4"/>
    <x v="3"/>
    <x v="9"/>
    <n v="19"/>
    <x v="0"/>
  </r>
  <r>
    <d v="2021-07-19T00:00:00"/>
    <x v="2"/>
    <x v="1"/>
    <x v="2"/>
    <n v="24433.86"/>
    <x v="2"/>
    <x v="1"/>
    <x v="2"/>
    <x v="2"/>
    <x v="4"/>
    <x v="3"/>
    <x v="4"/>
    <x v="3"/>
    <x v="9"/>
    <n v="19"/>
    <x v="0"/>
  </r>
  <r>
    <d v="2021-07-19T00:00:00"/>
    <x v="2"/>
    <x v="1"/>
    <x v="0"/>
    <n v="102372491.02"/>
    <x v="2"/>
    <x v="1"/>
    <x v="0"/>
    <x v="5"/>
    <x v="4"/>
    <x v="3"/>
    <x v="4"/>
    <x v="3"/>
    <x v="9"/>
    <n v="19"/>
    <x v="0"/>
  </r>
  <r>
    <d v="2021-07-19T00:00:00"/>
    <x v="3"/>
    <x v="2"/>
    <x v="2"/>
    <n v="321042.46999999997"/>
    <x v="3"/>
    <x v="2"/>
    <x v="2"/>
    <x v="4"/>
    <x v="4"/>
    <x v="3"/>
    <x v="4"/>
    <x v="3"/>
    <x v="9"/>
    <n v="19"/>
    <x v="0"/>
  </r>
  <r>
    <d v="2021-07-19T00:00:00"/>
    <x v="3"/>
    <x v="3"/>
    <x v="0"/>
    <n v="941916803.71000004"/>
    <x v="3"/>
    <x v="3"/>
    <x v="0"/>
    <x v="7"/>
    <x v="4"/>
    <x v="3"/>
    <x v="4"/>
    <x v="3"/>
    <x v="9"/>
    <n v="19"/>
    <x v="0"/>
  </r>
  <r>
    <d v="2021-07-19T00:00:00"/>
    <x v="1"/>
    <x v="0"/>
    <x v="0"/>
    <n v="73934472.469999999"/>
    <x v="1"/>
    <x v="0"/>
    <x v="0"/>
    <x v="9"/>
    <x v="4"/>
    <x v="3"/>
    <x v="4"/>
    <x v="3"/>
    <x v="9"/>
    <n v="19"/>
    <x v="0"/>
  </r>
  <r>
    <d v="2021-07-19T00:00:00"/>
    <x v="0"/>
    <x v="1"/>
    <x v="1"/>
    <n v="34694815.130000003"/>
    <x v="0"/>
    <x v="1"/>
    <x v="1"/>
    <x v="3"/>
    <x v="4"/>
    <x v="3"/>
    <x v="4"/>
    <x v="3"/>
    <x v="9"/>
    <n v="19"/>
    <x v="0"/>
  </r>
  <r>
    <d v="2021-07-19T00:00:00"/>
    <x v="1"/>
    <x v="0"/>
    <x v="2"/>
    <n v="2738.68"/>
    <x v="1"/>
    <x v="0"/>
    <x v="2"/>
    <x v="1"/>
    <x v="4"/>
    <x v="3"/>
    <x v="4"/>
    <x v="3"/>
    <x v="9"/>
    <n v="19"/>
    <x v="0"/>
  </r>
  <r>
    <d v="2021-07-19T00:00:00"/>
    <x v="2"/>
    <x v="1"/>
    <x v="1"/>
    <n v="169016214.75"/>
    <x v="2"/>
    <x v="1"/>
    <x v="1"/>
    <x v="6"/>
    <x v="4"/>
    <x v="3"/>
    <x v="4"/>
    <x v="3"/>
    <x v="9"/>
    <n v="19"/>
    <x v="0"/>
  </r>
  <r>
    <d v="2021-07-19T00:00:00"/>
    <x v="1"/>
    <x v="0"/>
    <x v="1"/>
    <n v="342333993.10000002"/>
    <x v="1"/>
    <x v="0"/>
    <x v="1"/>
    <x v="8"/>
    <x v="4"/>
    <x v="3"/>
    <x v="4"/>
    <x v="3"/>
    <x v="9"/>
    <n v="19"/>
    <x v="0"/>
  </r>
  <r>
    <d v="2021-07-19T00:00:00"/>
    <x v="3"/>
    <x v="2"/>
    <x v="0"/>
    <n v="460752127.50999999"/>
    <x v="3"/>
    <x v="2"/>
    <x v="0"/>
    <x v="10"/>
    <x v="4"/>
    <x v="3"/>
    <x v="4"/>
    <x v="3"/>
    <x v="9"/>
    <n v="19"/>
    <x v="0"/>
  </r>
  <r>
    <d v="2021-07-19T00:00:00"/>
    <x v="3"/>
    <x v="2"/>
    <x v="1"/>
    <n v="16540862251.639999"/>
    <x v="3"/>
    <x v="2"/>
    <x v="1"/>
    <x v="11"/>
    <x v="4"/>
    <x v="3"/>
    <x v="4"/>
    <x v="3"/>
    <x v="9"/>
    <n v="19"/>
    <x v="0"/>
  </r>
  <r>
    <d v="2021-07-19T00:00:00"/>
    <x v="3"/>
    <x v="1"/>
    <x v="0"/>
    <n v="42709438.329999998"/>
    <x v="3"/>
    <x v="1"/>
    <x v="0"/>
    <x v="12"/>
    <x v="4"/>
    <x v="3"/>
    <x v="4"/>
    <x v="3"/>
    <x v="9"/>
    <n v="19"/>
    <x v="0"/>
  </r>
  <r>
    <d v="2021-07-16T00:00:00"/>
    <x v="1"/>
    <x v="0"/>
    <x v="2"/>
    <n v="1085.02"/>
    <x v="1"/>
    <x v="0"/>
    <x v="2"/>
    <x v="2"/>
    <x v="4"/>
    <x v="3"/>
    <x v="4"/>
    <x v="3"/>
    <x v="9"/>
    <n v="16"/>
    <x v="0"/>
  </r>
  <r>
    <d v="2021-07-16T00:00:00"/>
    <x v="2"/>
    <x v="1"/>
    <x v="2"/>
    <n v="4915"/>
    <x v="2"/>
    <x v="1"/>
    <x v="2"/>
    <x v="3"/>
    <x v="4"/>
    <x v="3"/>
    <x v="4"/>
    <x v="3"/>
    <x v="9"/>
    <n v="16"/>
    <x v="0"/>
  </r>
  <r>
    <d v="2021-07-16T00:00:00"/>
    <x v="3"/>
    <x v="2"/>
    <x v="2"/>
    <n v="225333.45"/>
    <x v="3"/>
    <x v="2"/>
    <x v="2"/>
    <x v="4"/>
    <x v="4"/>
    <x v="3"/>
    <x v="4"/>
    <x v="3"/>
    <x v="9"/>
    <n v="16"/>
    <x v="0"/>
  </r>
  <r>
    <d v="2021-07-16T00:00:00"/>
    <x v="0"/>
    <x v="1"/>
    <x v="0"/>
    <n v="23143401.34"/>
    <x v="0"/>
    <x v="1"/>
    <x v="0"/>
    <x v="1"/>
    <x v="4"/>
    <x v="3"/>
    <x v="4"/>
    <x v="3"/>
    <x v="9"/>
    <n v="16"/>
    <x v="0"/>
  </r>
  <r>
    <d v="2021-07-16T00:00:00"/>
    <x v="2"/>
    <x v="1"/>
    <x v="0"/>
    <n v="86894224.219999999"/>
    <x v="2"/>
    <x v="1"/>
    <x v="0"/>
    <x v="7"/>
    <x v="4"/>
    <x v="3"/>
    <x v="4"/>
    <x v="3"/>
    <x v="9"/>
    <n v="16"/>
    <x v="0"/>
  </r>
  <r>
    <d v="2021-07-16T00:00:00"/>
    <x v="2"/>
    <x v="1"/>
    <x v="1"/>
    <n v="448399773.45999998"/>
    <x v="2"/>
    <x v="1"/>
    <x v="1"/>
    <x v="8"/>
    <x v="4"/>
    <x v="3"/>
    <x v="4"/>
    <x v="3"/>
    <x v="9"/>
    <n v="16"/>
    <x v="0"/>
  </r>
  <r>
    <d v="2021-07-16T00:00:00"/>
    <x v="0"/>
    <x v="1"/>
    <x v="1"/>
    <n v="1804286.4"/>
    <x v="0"/>
    <x v="1"/>
    <x v="1"/>
    <x v="5"/>
    <x v="4"/>
    <x v="3"/>
    <x v="4"/>
    <x v="3"/>
    <x v="9"/>
    <n v="16"/>
    <x v="0"/>
  </r>
  <r>
    <d v="2021-07-16T00:00:00"/>
    <x v="3"/>
    <x v="3"/>
    <x v="0"/>
    <n v="1747513913.47"/>
    <x v="3"/>
    <x v="3"/>
    <x v="0"/>
    <x v="6"/>
    <x v="4"/>
    <x v="3"/>
    <x v="4"/>
    <x v="3"/>
    <x v="9"/>
    <n v="16"/>
    <x v="0"/>
  </r>
  <r>
    <d v="2021-07-16T00:00:00"/>
    <x v="0"/>
    <x v="0"/>
    <x v="0"/>
    <n v="0"/>
    <x v="0"/>
    <x v="0"/>
    <x v="0"/>
    <x v="0"/>
    <x v="4"/>
    <x v="3"/>
    <x v="4"/>
    <x v="3"/>
    <x v="9"/>
    <n v="16"/>
    <x v="0"/>
  </r>
  <r>
    <d v="2021-07-16T00:00:00"/>
    <x v="1"/>
    <x v="0"/>
    <x v="0"/>
    <n v="72398110.650000006"/>
    <x v="1"/>
    <x v="0"/>
    <x v="0"/>
    <x v="9"/>
    <x v="4"/>
    <x v="3"/>
    <x v="4"/>
    <x v="3"/>
    <x v="9"/>
    <n v="16"/>
    <x v="0"/>
  </r>
  <r>
    <d v="2021-07-16T00:00:00"/>
    <x v="1"/>
    <x v="0"/>
    <x v="1"/>
    <n v="302448696.82999998"/>
    <x v="1"/>
    <x v="0"/>
    <x v="1"/>
    <x v="10"/>
    <x v="4"/>
    <x v="3"/>
    <x v="4"/>
    <x v="3"/>
    <x v="9"/>
    <n v="16"/>
    <x v="0"/>
  </r>
  <r>
    <d v="2021-07-16T00:00:00"/>
    <x v="3"/>
    <x v="2"/>
    <x v="0"/>
    <n v="342649267.69999999"/>
    <x v="3"/>
    <x v="2"/>
    <x v="0"/>
    <x v="11"/>
    <x v="4"/>
    <x v="3"/>
    <x v="4"/>
    <x v="3"/>
    <x v="9"/>
    <n v="16"/>
    <x v="0"/>
  </r>
  <r>
    <d v="2021-07-16T00:00:00"/>
    <x v="3"/>
    <x v="1"/>
    <x v="0"/>
    <n v="14696375.890000001"/>
    <x v="3"/>
    <x v="1"/>
    <x v="0"/>
    <x v="12"/>
    <x v="4"/>
    <x v="3"/>
    <x v="4"/>
    <x v="3"/>
    <x v="9"/>
    <n v="16"/>
    <x v="0"/>
  </r>
  <r>
    <d v="2021-07-16T00:00:00"/>
    <x v="3"/>
    <x v="2"/>
    <x v="1"/>
    <n v="18668363738.720001"/>
    <x v="3"/>
    <x v="2"/>
    <x v="1"/>
    <x v="13"/>
    <x v="4"/>
    <x v="3"/>
    <x v="4"/>
    <x v="3"/>
    <x v="9"/>
    <n v="16"/>
    <x v="0"/>
  </r>
  <r>
    <d v="2021-07-15T00:00:00"/>
    <x v="1"/>
    <x v="0"/>
    <x v="2"/>
    <n v="2322.84"/>
    <x v="1"/>
    <x v="0"/>
    <x v="2"/>
    <x v="3"/>
    <x v="4"/>
    <x v="3"/>
    <x v="4"/>
    <x v="3"/>
    <x v="9"/>
    <n v="15"/>
    <x v="0"/>
  </r>
  <r>
    <d v="2021-07-15T00:00:00"/>
    <x v="0"/>
    <x v="1"/>
    <x v="0"/>
    <n v="31159800.149999999"/>
    <x v="0"/>
    <x v="1"/>
    <x v="0"/>
    <x v="1"/>
    <x v="4"/>
    <x v="3"/>
    <x v="4"/>
    <x v="3"/>
    <x v="9"/>
    <n v="15"/>
    <x v="0"/>
  </r>
  <r>
    <d v="2021-07-15T00:00:00"/>
    <x v="3"/>
    <x v="3"/>
    <x v="2"/>
    <n v="149271.16"/>
    <x v="3"/>
    <x v="3"/>
    <x v="2"/>
    <x v="2"/>
    <x v="4"/>
    <x v="3"/>
    <x v="4"/>
    <x v="3"/>
    <x v="9"/>
    <n v="15"/>
    <x v="0"/>
  </r>
  <r>
    <d v="2021-07-15T00:00:00"/>
    <x v="2"/>
    <x v="1"/>
    <x v="2"/>
    <n v="8595"/>
    <x v="2"/>
    <x v="1"/>
    <x v="2"/>
    <x v="4"/>
    <x v="4"/>
    <x v="3"/>
    <x v="4"/>
    <x v="3"/>
    <x v="9"/>
    <n v="15"/>
    <x v="0"/>
  </r>
  <r>
    <d v="2021-07-15T00:00:00"/>
    <x v="2"/>
    <x v="1"/>
    <x v="1"/>
    <n v="317437428.41000003"/>
    <x v="2"/>
    <x v="1"/>
    <x v="1"/>
    <x v="8"/>
    <x v="4"/>
    <x v="3"/>
    <x v="4"/>
    <x v="3"/>
    <x v="9"/>
    <n v="15"/>
    <x v="0"/>
  </r>
  <r>
    <d v="2021-07-15T00:00:00"/>
    <x v="3"/>
    <x v="2"/>
    <x v="2"/>
    <n v="194101.47"/>
    <x v="3"/>
    <x v="2"/>
    <x v="2"/>
    <x v="6"/>
    <x v="4"/>
    <x v="3"/>
    <x v="4"/>
    <x v="3"/>
    <x v="9"/>
    <n v="15"/>
    <x v="0"/>
  </r>
  <r>
    <d v="2021-07-15T00:00:00"/>
    <x v="3"/>
    <x v="3"/>
    <x v="0"/>
    <n v="1429624748.1099999"/>
    <x v="3"/>
    <x v="3"/>
    <x v="0"/>
    <x v="9"/>
    <x v="4"/>
    <x v="3"/>
    <x v="4"/>
    <x v="3"/>
    <x v="9"/>
    <n v="15"/>
    <x v="0"/>
  </r>
  <r>
    <d v="2021-07-15T00:00:00"/>
    <x v="1"/>
    <x v="0"/>
    <x v="0"/>
    <n v="79377209.230000004"/>
    <x v="1"/>
    <x v="0"/>
    <x v="0"/>
    <x v="10"/>
    <x v="4"/>
    <x v="3"/>
    <x v="4"/>
    <x v="3"/>
    <x v="9"/>
    <n v="15"/>
    <x v="0"/>
  </r>
  <r>
    <d v="2021-07-15T00:00:00"/>
    <x v="0"/>
    <x v="1"/>
    <x v="1"/>
    <n v="5172860.41"/>
    <x v="0"/>
    <x v="1"/>
    <x v="1"/>
    <x v="5"/>
    <x v="4"/>
    <x v="3"/>
    <x v="4"/>
    <x v="3"/>
    <x v="9"/>
    <n v="15"/>
    <x v="0"/>
  </r>
  <r>
    <d v="2021-07-15T00:00:00"/>
    <x v="2"/>
    <x v="1"/>
    <x v="0"/>
    <n v="87408202.129999995"/>
    <x v="2"/>
    <x v="1"/>
    <x v="0"/>
    <x v="7"/>
    <x v="4"/>
    <x v="3"/>
    <x v="4"/>
    <x v="3"/>
    <x v="9"/>
    <n v="15"/>
    <x v="0"/>
  </r>
  <r>
    <d v="2021-07-15T00:00:00"/>
    <x v="0"/>
    <x v="0"/>
    <x v="0"/>
    <n v="350"/>
    <x v="0"/>
    <x v="0"/>
    <x v="0"/>
    <x v="0"/>
    <x v="4"/>
    <x v="3"/>
    <x v="4"/>
    <x v="3"/>
    <x v="9"/>
    <n v="15"/>
    <x v="0"/>
  </r>
  <r>
    <d v="2021-07-15T00:00:00"/>
    <x v="1"/>
    <x v="0"/>
    <x v="1"/>
    <n v="202404031.13"/>
    <x v="1"/>
    <x v="0"/>
    <x v="1"/>
    <x v="11"/>
    <x v="4"/>
    <x v="3"/>
    <x v="4"/>
    <x v="3"/>
    <x v="9"/>
    <n v="15"/>
    <x v="0"/>
  </r>
  <r>
    <d v="2021-07-15T00:00:00"/>
    <x v="3"/>
    <x v="2"/>
    <x v="0"/>
    <n v="456646620.38999999"/>
    <x v="3"/>
    <x v="2"/>
    <x v="0"/>
    <x v="12"/>
    <x v="4"/>
    <x v="3"/>
    <x v="4"/>
    <x v="3"/>
    <x v="9"/>
    <n v="15"/>
    <x v="0"/>
  </r>
  <r>
    <d v="2021-07-15T00:00:00"/>
    <x v="3"/>
    <x v="2"/>
    <x v="1"/>
    <n v="15508031169.040001"/>
    <x v="3"/>
    <x v="2"/>
    <x v="1"/>
    <x v="13"/>
    <x v="4"/>
    <x v="3"/>
    <x v="4"/>
    <x v="3"/>
    <x v="9"/>
    <n v="15"/>
    <x v="0"/>
  </r>
  <r>
    <d v="2021-07-15T00:00:00"/>
    <x v="3"/>
    <x v="1"/>
    <x v="0"/>
    <n v="14287849.73"/>
    <x v="3"/>
    <x v="1"/>
    <x v="0"/>
    <x v="14"/>
    <x v="4"/>
    <x v="3"/>
    <x v="4"/>
    <x v="3"/>
    <x v="9"/>
    <n v="15"/>
    <x v="0"/>
  </r>
  <r>
    <d v="2021-07-14T00:00:00"/>
    <x v="1"/>
    <x v="0"/>
    <x v="2"/>
    <n v="760.28"/>
    <x v="1"/>
    <x v="0"/>
    <x v="2"/>
    <x v="1"/>
    <x v="4"/>
    <x v="3"/>
    <x v="4"/>
    <x v="3"/>
    <x v="9"/>
    <n v="14"/>
    <x v="0"/>
  </r>
  <r>
    <d v="2021-07-14T00:00:00"/>
    <x v="3"/>
    <x v="2"/>
    <x v="2"/>
    <n v="242187.99"/>
    <x v="3"/>
    <x v="2"/>
    <x v="2"/>
    <x v="3"/>
    <x v="4"/>
    <x v="3"/>
    <x v="4"/>
    <x v="3"/>
    <x v="9"/>
    <n v="14"/>
    <x v="0"/>
  </r>
  <r>
    <d v="2021-07-14T00:00:00"/>
    <x v="3"/>
    <x v="3"/>
    <x v="0"/>
    <n v="2318587463.23"/>
    <x v="3"/>
    <x v="3"/>
    <x v="0"/>
    <x v="5"/>
    <x v="4"/>
    <x v="3"/>
    <x v="4"/>
    <x v="3"/>
    <x v="9"/>
    <n v="14"/>
    <x v="0"/>
  </r>
  <r>
    <d v="2021-07-14T00:00:00"/>
    <x v="0"/>
    <x v="1"/>
    <x v="0"/>
    <n v="11494669.91"/>
    <x v="0"/>
    <x v="1"/>
    <x v="0"/>
    <x v="0"/>
    <x v="4"/>
    <x v="3"/>
    <x v="4"/>
    <x v="3"/>
    <x v="9"/>
    <n v="14"/>
    <x v="0"/>
  </r>
  <r>
    <d v="2021-07-14T00:00:00"/>
    <x v="2"/>
    <x v="1"/>
    <x v="2"/>
    <n v="1817208.59"/>
    <x v="2"/>
    <x v="1"/>
    <x v="2"/>
    <x v="2"/>
    <x v="4"/>
    <x v="3"/>
    <x v="4"/>
    <x v="3"/>
    <x v="9"/>
    <n v="14"/>
    <x v="0"/>
  </r>
  <r>
    <d v="2021-07-14T00:00:00"/>
    <x v="2"/>
    <x v="1"/>
    <x v="0"/>
    <n v="121938514.09999999"/>
    <x v="2"/>
    <x v="1"/>
    <x v="0"/>
    <x v="6"/>
    <x v="4"/>
    <x v="3"/>
    <x v="4"/>
    <x v="3"/>
    <x v="9"/>
    <n v="14"/>
    <x v="0"/>
  </r>
  <r>
    <d v="2021-07-14T00:00:00"/>
    <x v="1"/>
    <x v="0"/>
    <x v="0"/>
    <n v="97893035.269999996"/>
    <x v="1"/>
    <x v="0"/>
    <x v="0"/>
    <x v="9"/>
    <x v="4"/>
    <x v="3"/>
    <x v="4"/>
    <x v="3"/>
    <x v="9"/>
    <n v="14"/>
    <x v="0"/>
  </r>
  <r>
    <d v="2021-07-14T00:00:00"/>
    <x v="0"/>
    <x v="1"/>
    <x v="1"/>
    <n v="4550692.04"/>
    <x v="0"/>
    <x v="1"/>
    <x v="1"/>
    <x v="4"/>
    <x v="4"/>
    <x v="3"/>
    <x v="4"/>
    <x v="3"/>
    <x v="9"/>
    <n v="14"/>
    <x v="0"/>
  </r>
  <r>
    <d v="2021-07-14T00:00:00"/>
    <x v="2"/>
    <x v="1"/>
    <x v="1"/>
    <n v="290843478.87"/>
    <x v="2"/>
    <x v="1"/>
    <x v="1"/>
    <x v="7"/>
    <x v="4"/>
    <x v="3"/>
    <x v="4"/>
    <x v="3"/>
    <x v="9"/>
    <n v="14"/>
    <x v="0"/>
  </r>
  <r>
    <d v="2021-07-14T00:00:00"/>
    <x v="1"/>
    <x v="0"/>
    <x v="1"/>
    <n v="806742347.45000005"/>
    <x v="1"/>
    <x v="0"/>
    <x v="1"/>
    <x v="8"/>
    <x v="4"/>
    <x v="3"/>
    <x v="4"/>
    <x v="3"/>
    <x v="9"/>
    <n v="14"/>
    <x v="0"/>
  </r>
  <r>
    <d v="2021-07-14T00:00:00"/>
    <x v="3"/>
    <x v="2"/>
    <x v="0"/>
    <n v="611833223.76999998"/>
    <x v="3"/>
    <x v="2"/>
    <x v="0"/>
    <x v="10"/>
    <x v="4"/>
    <x v="3"/>
    <x v="4"/>
    <x v="3"/>
    <x v="9"/>
    <n v="14"/>
    <x v="0"/>
  </r>
  <r>
    <d v="2021-07-14T00:00:00"/>
    <x v="3"/>
    <x v="2"/>
    <x v="1"/>
    <n v="13295525962.85"/>
    <x v="3"/>
    <x v="2"/>
    <x v="1"/>
    <x v="11"/>
    <x v="4"/>
    <x v="3"/>
    <x v="4"/>
    <x v="3"/>
    <x v="9"/>
    <n v="14"/>
    <x v="0"/>
  </r>
  <r>
    <d v="2021-07-14T00:00:00"/>
    <x v="3"/>
    <x v="1"/>
    <x v="0"/>
    <n v="13002324.029999999"/>
    <x v="3"/>
    <x v="1"/>
    <x v="0"/>
    <x v="12"/>
    <x v="4"/>
    <x v="3"/>
    <x v="4"/>
    <x v="3"/>
    <x v="9"/>
    <n v="14"/>
    <x v="0"/>
  </r>
  <r>
    <d v="2021-07-13T00:00:00"/>
    <x v="1"/>
    <x v="0"/>
    <x v="2"/>
    <n v="21825.9"/>
    <x v="1"/>
    <x v="0"/>
    <x v="2"/>
    <x v="1"/>
    <x v="4"/>
    <x v="3"/>
    <x v="4"/>
    <x v="3"/>
    <x v="9"/>
    <n v="13"/>
    <x v="0"/>
  </r>
  <r>
    <d v="2021-07-13T00:00:00"/>
    <x v="0"/>
    <x v="1"/>
    <x v="0"/>
    <n v="25167596.68"/>
    <x v="0"/>
    <x v="1"/>
    <x v="0"/>
    <x v="0"/>
    <x v="4"/>
    <x v="3"/>
    <x v="4"/>
    <x v="3"/>
    <x v="9"/>
    <n v="13"/>
    <x v="0"/>
  </r>
  <r>
    <d v="2021-07-13T00:00:00"/>
    <x v="2"/>
    <x v="1"/>
    <x v="0"/>
    <n v="84316372.609999999"/>
    <x v="2"/>
    <x v="1"/>
    <x v="0"/>
    <x v="6"/>
    <x v="4"/>
    <x v="3"/>
    <x v="4"/>
    <x v="3"/>
    <x v="9"/>
    <n v="13"/>
    <x v="0"/>
  </r>
  <r>
    <d v="2021-07-13T00:00:00"/>
    <x v="1"/>
    <x v="0"/>
    <x v="0"/>
    <n v="74972057.390000001"/>
    <x v="1"/>
    <x v="0"/>
    <x v="0"/>
    <x v="8"/>
    <x v="4"/>
    <x v="3"/>
    <x v="4"/>
    <x v="3"/>
    <x v="9"/>
    <n v="13"/>
    <x v="0"/>
  </r>
  <r>
    <d v="2021-07-13T00:00:00"/>
    <x v="1"/>
    <x v="0"/>
    <x v="1"/>
    <n v="280263599.08999997"/>
    <x v="1"/>
    <x v="0"/>
    <x v="1"/>
    <x v="9"/>
    <x v="4"/>
    <x v="3"/>
    <x v="4"/>
    <x v="3"/>
    <x v="9"/>
    <n v="13"/>
    <x v="0"/>
  </r>
  <r>
    <d v="2021-07-13T00:00:00"/>
    <x v="2"/>
    <x v="1"/>
    <x v="2"/>
    <n v="3866"/>
    <x v="2"/>
    <x v="1"/>
    <x v="2"/>
    <x v="3"/>
    <x v="4"/>
    <x v="3"/>
    <x v="4"/>
    <x v="3"/>
    <x v="9"/>
    <n v="13"/>
    <x v="0"/>
  </r>
  <r>
    <d v="2021-07-13T00:00:00"/>
    <x v="3"/>
    <x v="2"/>
    <x v="2"/>
    <n v="258595.99"/>
    <x v="3"/>
    <x v="2"/>
    <x v="2"/>
    <x v="4"/>
    <x v="4"/>
    <x v="3"/>
    <x v="4"/>
    <x v="3"/>
    <x v="9"/>
    <n v="13"/>
    <x v="0"/>
  </r>
  <r>
    <d v="2021-07-13T00:00:00"/>
    <x v="0"/>
    <x v="1"/>
    <x v="1"/>
    <n v="24793014.710000001"/>
    <x v="0"/>
    <x v="1"/>
    <x v="1"/>
    <x v="2"/>
    <x v="4"/>
    <x v="3"/>
    <x v="4"/>
    <x v="3"/>
    <x v="9"/>
    <n v="13"/>
    <x v="0"/>
  </r>
  <r>
    <d v="2021-07-13T00:00:00"/>
    <x v="3"/>
    <x v="3"/>
    <x v="0"/>
    <n v="1151386814.76"/>
    <x v="3"/>
    <x v="3"/>
    <x v="0"/>
    <x v="5"/>
    <x v="4"/>
    <x v="3"/>
    <x v="4"/>
    <x v="3"/>
    <x v="9"/>
    <n v="13"/>
    <x v="0"/>
  </r>
  <r>
    <d v="2021-07-13T00:00:00"/>
    <x v="2"/>
    <x v="1"/>
    <x v="1"/>
    <n v="187135367.84999999"/>
    <x v="2"/>
    <x v="1"/>
    <x v="1"/>
    <x v="7"/>
    <x v="4"/>
    <x v="3"/>
    <x v="4"/>
    <x v="3"/>
    <x v="9"/>
    <n v="13"/>
    <x v="0"/>
  </r>
  <r>
    <d v="2021-07-13T00:00:00"/>
    <x v="3"/>
    <x v="2"/>
    <x v="0"/>
    <n v="566720477.63"/>
    <x v="3"/>
    <x v="2"/>
    <x v="0"/>
    <x v="10"/>
    <x v="4"/>
    <x v="3"/>
    <x v="4"/>
    <x v="3"/>
    <x v="9"/>
    <n v="13"/>
    <x v="0"/>
  </r>
  <r>
    <d v="2021-07-13T00:00:00"/>
    <x v="3"/>
    <x v="2"/>
    <x v="1"/>
    <n v="3778482862.71"/>
    <x v="3"/>
    <x v="2"/>
    <x v="1"/>
    <x v="11"/>
    <x v="4"/>
    <x v="3"/>
    <x v="4"/>
    <x v="3"/>
    <x v="9"/>
    <n v="13"/>
    <x v="0"/>
  </r>
  <r>
    <d v="2021-07-13T00:00:00"/>
    <x v="3"/>
    <x v="1"/>
    <x v="0"/>
    <n v="10575727.289999999"/>
    <x v="3"/>
    <x v="1"/>
    <x v="0"/>
    <x v="12"/>
    <x v="4"/>
    <x v="3"/>
    <x v="4"/>
    <x v="3"/>
    <x v="9"/>
    <n v="13"/>
    <x v="0"/>
  </r>
  <r>
    <d v="2021-07-12T00:00:00"/>
    <x v="1"/>
    <x v="0"/>
    <x v="2"/>
    <n v="10554.78"/>
    <x v="1"/>
    <x v="0"/>
    <x v="2"/>
    <x v="2"/>
    <x v="4"/>
    <x v="3"/>
    <x v="4"/>
    <x v="3"/>
    <x v="9"/>
    <n v="12"/>
    <x v="0"/>
  </r>
  <r>
    <d v="2021-07-12T00:00:00"/>
    <x v="3"/>
    <x v="2"/>
    <x v="2"/>
    <n v="66026.91"/>
    <x v="3"/>
    <x v="2"/>
    <x v="2"/>
    <x v="4"/>
    <x v="4"/>
    <x v="3"/>
    <x v="4"/>
    <x v="3"/>
    <x v="9"/>
    <n v="12"/>
    <x v="0"/>
  </r>
  <r>
    <d v="2021-07-12T00:00:00"/>
    <x v="0"/>
    <x v="1"/>
    <x v="0"/>
    <n v="8985829.1400000006"/>
    <x v="0"/>
    <x v="1"/>
    <x v="0"/>
    <x v="1"/>
    <x v="4"/>
    <x v="3"/>
    <x v="4"/>
    <x v="3"/>
    <x v="9"/>
    <n v="12"/>
    <x v="0"/>
  </r>
  <r>
    <d v="2021-07-12T00:00:00"/>
    <x v="2"/>
    <x v="1"/>
    <x v="2"/>
    <n v="6869.68"/>
    <x v="2"/>
    <x v="1"/>
    <x v="2"/>
    <x v="3"/>
    <x v="4"/>
    <x v="3"/>
    <x v="4"/>
    <x v="3"/>
    <x v="9"/>
    <n v="12"/>
    <x v="0"/>
  </r>
  <r>
    <d v="2021-07-12T00:00:00"/>
    <x v="3"/>
    <x v="3"/>
    <x v="0"/>
    <n v="1143949048.73"/>
    <x v="3"/>
    <x v="3"/>
    <x v="0"/>
    <x v="7"/>
    <x v="4"/>
    <x v="3"/>
    <x v="4"/>
    <x v="3"/>
    <x v="9"/>
    <n v="12"/>
    <x v="0"/>
  </r>
  <r>
    <d v="2021-07-12T00:00:00"/>
    <x v="0"/>
    <x v="1"/>
    <x v="1"/>
    <n v="18926630.170000002"/>
    <x v="0"/>
    <x v="1"/>
    <x v="1"/>
    <x v="5"/>
    <x v="4"/>
    <x v="3"/>
    <x v="4"/>
    <x v="3"/>
    <x v="9"/>
    <n v="12"/>
    <x v="0"/>
  </r>
  <r>
    <d v="2021-07-12T00:00:00"/>
    <x v="2"/>
    <x v="1"/>
    <x v="0"/>
    <n v="98698926.390000001"/>
    <x v="2"/>
    <x v="1"/>
    <x v="0"/>
    <x v="6"/>
    <x v="4"/>
    <x v="3"/>
    <x v="4"/>
    <x v="3"/>
    <x v="9"/>
    <n v="12"/>
    <x v="0"/>
  </r>
  <r>
    <d v="2021-07-12T00:00:00"/>
    <x v="0"/>
    <x v="0"/>
    <x v="0"/>
    <n v="560.77"/>
    <x v="0"/>
    <x v="0"/>
    <x v="0"/>
    <x v="0"/>
    <x v="4"/>
    <x v="3"/>
    <x v="4"/>
    <x v="3"/>
    <x v="9"/>
    <n v="12"/>
    <x v="0"/>
  </r>
  <r>
    <d v="2021-07-12T00:00:00"/>
    <x v="2"/>
    <x v="1"/>
    <x v="1"/>
    <n v="385373615.58999997"/>
    <x v="2"/>
    <x v="1"/>
    <x v="1"/>
    <x v="8"/>
    <x v="4"/>
    <x v="3"/>
    <x v="4"/>
    <x v="3"/>
    <x v="9"/>
    <n v="12"/>
    <x v="0"/>
  </r>
  <r>
    <d v="2021-07-12T00:00:00"/>
    <x v="1"/>
    <x v="0"/>
    <x v="0"/>
    <n v="88955046.700000003"/>
    <x v="1"/>
    <x v="0"/>
    <x v="0"/>
    <x v="9"/>
    <x v="4"/>
    <x v="3"/>
    <x v="4"/>
    <x v="3"/>
    <x v="9"/>
    <n v="12"/>
    <x v="0"/>
  </r>
  <r>
    <d v="2021-07-12T00:00:00"/>
    <x v="1"/>
    <x v="0"/>
    <x v="1"/>
    <n v="69455294.189999998"/>
    <x v="1"/>
    <x v="0"/>
    <x v="1"/>
    <x v="10"/>
    <x v="4"/>
    <x v="3"/>
    <x v="4"/>
    <x v="3"/>
    <x v="9"/>
    <n v="12"/>
    <x v="0"/>
  </r>
  <r>
    <d v="2021-07-12T00:00:00"/>
    <x v="3"/>
    <x v="2"/>
    <x v="0"/>
    <n v="401813789.52999997"/>
    <x v="3"/>
    <x v="2"/>
    <x v="0"/>
    <x v="11"/>
    <x v="4"/>
    <x v="3"/>
    <x v="4"/>
    <x v="3"/>
    <x v="9"/>
    <n v="12"/>
    <x v="0"/>
  </r>
  <r>
    <d v="2021-07-12T00:00:00"/>
    <x v="3"/>
    <x v="2"/>
    <x v="1"/>
    <n v="20642488922.310001"/>
    <x v="3"/>
    <x v="2"/>
    <x v="1"/>
    <x v="12"/>
    <x v="4"/>
    <x v="3"/>
    <x v="4"/>
    <x v="3"/>
    <x v="9"/>
    <n v="12"/>
    <x v="0"/>
  </r>
  <r>
    <d v="2021-07-12T00:00:00"/>
    <x v="3"/>
    <x v="1"/>
    <x v="0"/>
    <n v="41179285.170000002"/>
    <x v="3"/>
    <x v="1"/>
    <x v="0"/>
    <x v="13"/>
    <x v="4"/>
    <x v="3"/>
    <x v="4"/>
    <x v="3"/>
    <x v="9"/>
    <n v="12"/>
    <x v="0"/>
  </r>
  <r>
    <d v="2021-07-09T00:00:00"/>
    <x v="0"/>
    <x v="1"/>
    <x v="0"/>
    <n v="10576531.98"/>
    <x v="0"/>
    <x v="1"/>
    <x v="0"/>
    <x v="1"/>
    <x v="4"/>
    <x v="3"/>
    <x v="4"/>
    <x v="3"/>
    <x v="9"/>
    <n v="9"/>
    <x v="0"/>
  </r>
  <r>
    <d v="2021-07-09T00:00:00"/>
    <x v="2"/>
    <x v="1"/>
    <x v="2"/>
    <n v="14970"/>
    <x v="2"/>
    <x v="1"/>
    <x v="2"/>
    <x v="3"/>
    <x v="4"/>
    <x v="3"/>
    <x v="4"/>
    <x v="3"/>
    <x v="9"/>
    <n v="9"/>
    <x v="0"/>
  </r>
  <r>
    <d v="2021-07-09T00:00:00"/>
    <x v="2"/>
    <x v="1"/>
    <x v="0"/>
    <n v="85993246.310000002"/>
    <x v="2"/>
    <x v="1"/>
    <x v="0"/>
    <x v="7"/>
    <x v="4"/>
    <x v="3"/>
    <x v="4"/>
    <x v="3"/>
    <x v="9"/>
    <n v="9"/>
    <x v="0"/>
  </r>
  <r>
    <d v="2021-07-09T00:00:00"/>
    <x v="1"/>
    <x v="0"/>
    <x v="0"/>
    <n v="71150830.5"/>
    <x v="1"/>
    <x v="0"/>
    <x v="0"/>
    <x v="9"/>
    <x v="4"/>
    <x v="3"/>
    <x v="4"/>
    <x v="3"/>
    <x v="9"/>
    <n v="9"/>
    <x v="0"/>
  </r>
  <r>
    <d v="2021-07-09T00:00:00"/>
    <x v="0"/>
    <x v="1"/>
    <x v="1"/>
    <n v="10210748.42"/>
    <x v="0"/>
    <x v="1"/>
    <x v="1"/>
    <x v="4"/>
    <x v="4"/>
    <x v="3"/>
    <x v="4"/>
    <x v="3"/>
    <x v="9"/>
    <n v="9"/>
    <x v="0"/>
  </r>
  <r>
    <d v="2021-07-09T00:00:00"/>
    <x v="1"/>
    <x v="0"/>
    <x v="1"/>
    <n v="93176857.870000005"/>
    <x v="1"/>
    <x v="0"/>
    <x v="1"/>
    <x v="10"/>
    <x v="4"/>
    <x v="3"/>
    <x v="4"/>
    <x v="3"/>
    <x v="9"/>
    <n v="9"/>
    <x v="0"/>
  </r>
  <r>
    <d v="2021-07-09T00:00:00"/>
    <x v="3"/>
    <x v="2"/>
    <x v="2"/>
    <n v="131017"/>
    <x v="3"/>
    <x v="2"/>
    <x v="2"/>
    <x v="5"/>
    <x v="4"/>
    <x v="3"/>
    <x v="4"/>
    <x v="3"/>
    <x v="9"/>
    <n v="9"/>
    <x v="0"/>
  </r>
  <r>
    <d v="2021-07-09T00:00:00"/>
    <x v="0"/>
    <x v="0"/>
    <x v="0"/>
    <n v="5373.22"/>
    <x v="0"/>
    <x v="0"/>
    <x v="0"/>
    <x v="0"/>
    <x v="4"/>
    <x v="3"/>
    <x v="4"/>
    <x v="3"/>
    <x v="9"/>
    <n v="9"/>
    <x v="0"/>
  </r>
  <r>
    <d v="2021-07-09T00:00:00"/>
    <x v="3"/>
    <x v="3"/>
    <x v="0"/>
    <n v="1805302628.5799999"/>
    <x v="3"/>
    <x v="3"/>
    <x v="0"/>
    <x v="6"/>
    <x v="4"/>
    <x v="3"/>
    <x v="4"/>
    <x v="3"/>
    <x v="9"/>
    <n v="9"/>
    <x v="0"/>
  </r>
  <r>
    <d v="2021-07-09T00:00:00"/>
    <x v="2"/>
    <x v="1"/>
    <x v="1"/>
    <n v="107653716.36"/>
    <x v="2"/>
    <x v="1"/>
    <x v="1"/>
    <x v="8"/>
    <x v="4"/>
    <x v="3"/>
    <x v="4"/>
    <x v="3"/>
    <x v="9"/>
    <n v="9"/>
    <x v="0"/>
  </r>
  <r>
    <d v="2021-07-09T00:00:00"/>
    <x v="1"/>
    <x v="0"/>
    <x v="2"/>
    <n v="1673.31"/>
    <x v="1"/>
    <x v="0"/>
    <x v="2"/>
    <x v="2"/>
    <x v="4"/>
    <x v="3"/>
    <x v="4"/>
    <x v="3"/>
    <x v="9"/>
    <n v="9"/>
    <x v="0"/>
  </r>
  <r>
    <d v="2021-07-09T00:00:00"/>
    <x v="3"/>
    <x v="2"/>
    <x v="0"/>
    <n v="458338311.49000001"/>
    <x v="3"/>
    <x v="2"/>
    <x v="0"/>
    <x v="11"/>
    <x v="4"/>
    <x v="3"/>
    <x v="4"/>
    <x v="3"/>
    <x v="9"/>
    <n v="9"/>
    <x v="0"/>
  </r>
  <r>
    <d v="2021-07-09T00:00:00"/>
    <x v="3"/>
    <x v="2"/>
    <x v="1"/>
    <n v="8555740724.5200005"/>
    <x v="3"/>
    <x v="2"/>
    <x v="1"/>
    <x v="12"/>
    <x v="4"/>
    <x v="3"/>
    <x v="4"/>
    <x v="3"/>
    <x v="9"/>
    <n v="9"/>
    <x v="0"/>
  </r>
  <r>
    <d v="2021-07-09T00:00:00"/>
    <x v="3"/>
    <x v="1"/>
    <x v="0"/>
    <n v="13580170.02"/>
    <x v="3"/>
    <x v="1"/>
    <x v="0"/>
    <x v="13"/>
    <x v="4"/>
    <x v="3"/>
    <x v="4"/>
    <x v="3"/>
    <x v="9"/>
    <n v="9"/>
    <x v="0"/>
  </r>
  <r>
    <d v="2021-07-08T00:00:00"/>
    <x v="1"/>
    <x v="0"/>
    <x v="2"/>
    <n v="1160.75"/>
    <x v="1"/>
    <x v="0"/>
    <x v="2"/>
    <x v="1"/>
    <x v="4"/>
    <x v="3"/>
    <x v="4"/>
    <x v="3"/>
    <x v="9"/>
    <n v="8"/>
    <x v="0"/>
  </r>
  <r>
    <d v="2021-07-08T00:00:00"/>
    <x v="2"/>
    <x v="1"/>
    <x v="0"/>
    <n v="86692599.560000002"/>
    <x v="2"/>
    <x v="1"/>
    <x v="0"/>
    <x v="5"/>
    <x v="4"/>
    <x v="3"/>
    <x v="4"/>
    <x v="3"/>
    <x v="9"/>
    <n v="8"/>
    <x v="0"/>
  </r>
  <r>
    <d v="2021-07-08T00:00:00"/>
    <x v="0"/>
    <x v="1"/>
    <x v="0"/>
    <n v="20136047.940000001"/>
    <x v="0"/>
    <x v="1"/>
    <x v="0"/>
    <x v="0"/>
    <x v="4"/>
    <x v="3"/>
    <x v="4"/>
    <x v="3"/>
    <x v="9"/>
    <n v="8"/>
    <x v="0"/>
  </r>
  <r>
    <d v="2021-07-08T00:00:00"/>
    <x v="2"/>
    <x v="1"/>
    <x v="1"/>
    <n v="236691907.25"/>
    <x v="2"/>
    <x v="1"/>
    <x v="1"/>
    <x v="6"/>
    <x v="4"/>
    <x v="3"/>
    <x v="4"/>
    <x v="3"/>
    <x v="9"/>
    <n v="8"/>
    <x v="0"/>
  </r>
  <r>
    <d v="2021-07-08T00:00:00"/>
    <x v="0"/>
    <x v="1"/>
    <x v="1"/>
    <n v="5473895.79"/>
    <x v="0"/>
    <x v="1"/>
    <x v="1"/>
    <x v="2"/>
    <x v="4"/>
    <x v="3"/>
    <x v="4"/>
    <x v="3"/>
    <x v="9"/>
    <n v="8"/>
    <x v="0"/>
  </r>
  <r>
    <d v="2021-07-08T00:00:00"/>
    <x v="2"/>
    <x v="1"/>
    <x v="2"/>
    <n v="9422"/>
    <x v="2"/>
    <x v="1"/>
    <x v="2"/>
    <x v="3"/>
    <x v="4"/>
    <x v="3"/>
    <x v="4"/>
    <x v="3"/>
    <x v="9"/>
    <n v="8"/>
    <x v="0"/>
  </r>
  <r>
    <d v="2021-07-08T00:00:00"/>
    <x v="3"/>
    <x v="2"/>
    <x v="2"/>
    <n v="121674.32"/>
    <x v="3"/>
    <x v="2"/>
    <x v="2"/>
    <x v="4"/>
    <x v="4"/>
    <x v="3"/>
    <x v="4"/>
    <x v="3"/>
    <x v="9"/>
    <n v="8"/>
    <x v="0"/>
  </r>
  <r>
    <d v="2021-07-08T00:00:00"/>
    <x v="1"/>
    <x v="0"/>
    <x v="1"/>
    <n v="1096090540.8800001"/>
    <x v="1"/>
    <x v="0"/>
    <x v="1"/>
    <x v="9"/>
    <x v="4"/>
    <x v="3"/>
    <x v="4"/>
    <x v="3"/>
    <x v="9"/>
    <n v="8"/>
    <x v="0"/>
  </r>
  <r>
    <d v="2021-07-08T00:00:00"/>
    <x v="3"/>
    <x v="3"/>
    <x v="0"/>
    <n v="3097506000.5900002"/>
    <x v="3"/>
    <x v="3"/>
    <x v="0"/>
    <x v="7"/>
    <x v="4"/>
    <x v="3"/>
    <x v="4"/>
    <x v="3"/>
    <x v="9"/>
    <n v="8"/>
    <x v="0"/>
  </r>
  <r>
    <d v="2021-07-08T00:00:00"/>
    <x v="1"/>
    <x v="0"/>
    <x v="0"/>
    <n v="81498666.909999996"/>
    <x v="1"/>
    <x v="0"/>
    <x v="0"/>
    <x v="8"/>
    <x v="4"/>
    <x v="3"/>
    <x v="4"/>
    <x v="3"/>
    <x v="9"/>
    <n v="8"/>
    <x v="0"/>
  </r>
  <r>
    <d v="2021-07-08T00:00:00"/>
    <x v="3"/>
    <x v="2"/>
    <x v="0"/>
    <n v="414883047.43000001"/>
    <x v="3"/>
    <x v="2"/>
    <x v="0"/>
    <x v="10"/>
    <x v="4"/>
    <x v="3"/>
    <x v="4"/>
    <x v="3"/>
    <x v="9"/>
    <n v="8"/>
    <x v="0"/>
  </r>
  <r>
    <d v="2021-07-08T00:00:00"/>
    <x v="3"/>
    <x v="2"/>
    <x v="1"/>
    <n v="11358015089.6"/>
    <x v="3"/>
    <x v="2"/>
    <x v="1"/>
    <x v="11"/>
    <x v="4"/>
    <x v="3"/>
    <x v="4"/>
    <x v="3"/>
    <x v="9"/>
    <n v="8"/>
    <x v="0"/>
  </r>
  <r>
    <d v="2021-07-08T00:00:00"/>
    <x v="3"/>
    <x v="1"/>
    <x v="0"/>
    <n v="13346859.220000001"/>
    <x v="3"/>
    <x v="1"/>
    <x v="0"/>
    <x v="12"/>
    <x v="4"/>
    <x v="3"/>
    <x v="4"/>
    <x v="3"/>
    <x v="9"/>
    <n v="8"/>
    <x v="0"/>
  </r>
  <r>
    <d v="2021-07-07T00:00:00"/>
    <x v="1"/>
    <x v="0"/>
    <x v="2"/>
    <n v="64384.71"/>
    <x v="1"/>
    <x v="0"/>
    <x v="2"/>
    <x v="2"/>
    <x v="4"/>
    <x v="3"/>
    <x v="4"/>
    <x v="3"/>
    <x v="9"/>
    <n v="7"/>
    <x v="0"/>
  </r>
  <r>
    <d v="2021-07-07T00:00:00"/>
    <x v="3"/>
    <x v="2"/>
    <x v="2"/>
    <n v="212880"/>
    <x v="3"/>
    <x v="2"/>
    <x v="2"/>
    <x v="3"/>
    <x v="4"/>
    <x v="3"/>
    <x v="4"/>
    <x v="3"/>
    <x v="9"/>
    <n v="7"/>
    <x v="0"/>
  </r>
  <r>
    <d v="2021-07-07T00:00:00"/>
    <x v="2"/>
    <x v="1"/>
    <x v="0"/>
    <n v="100671707.22"/>
    <x v="2"/>
    <x v="1"/>
    <x v="0"/>
    <x v="6"/>
    <x v="4"/>
    <x v="3"/>
    <x v="4"/>
    <x v="3"/>
    <x v="9"/>
    <n v="7"/>
    <x v="0"/>
  </r>
  <r>
    <d v="2021-07-07T00:00:00"/>
    <x v="0"/>
    <x v="1"/>
    <x v="0"/>
    <n v="25002525.98"/>
    <x v="0"/>
    <x v="1"/>
    <x v="0"/>
    <x v="1"/>
    <x v="4"/>
    <x v="3"/>
    <x v="4"/>
    <x v="3"/>
    <x v="9"/>
    <n v="7"/>
    <x v="0"/>
  </r>
  <r>
    <d v="2021-07-07T00:00:00"/>
    <x v="0"/>
    <x v="1"/>
    <x v="1"/>
    <n v="30994476.260000002"/>
    <x v="0"/>
    <x v="1"/>
    <x v="1"/>
    <x v="4"/>
    <x v="4"/>
    <x v="3"/>
    <x v="4"/>
    <x v="3"/>
    <x v="9"/>
    <n v="7"/>
    <x v="0"/>
  </r>
  <r>
    <d v="2021-07-07T00:00:00"/>
    <x v="1"/>
    <x v="0"/>
    <x v="1"/>
    <n v="304817166.57999998"/>
    <x v="1"/>
    <x v="0"/>
    <x v="1"/>
    <x v="9"/>
    <x v="4"/>
    <x v="3"/>
    <x v="4"/>
    <x v="3"/>
    <x v="9"/>
    <n v="7"/>
    <x v="0"/>
  </r>
  <r>
    <d v="2021-07-07T00:00:00"/>
    <x v="1"/>
    <x v="0"/>
    <x v="0"/>
    <n v="82410546.340000004"/>
    <x v="1"/>
    <x v="0"/>
    <x v="0"/>
    <x v="10"/>
    <x v="4"/>
    <x v="3"/>
    <x v="4"/>
    <x v="3"/>
    <x v="9"/>
    <n v="7"/>
    <x v="0"/>
  </r>
  <r>
    <d v="2021-07-07T00:00:00"/>
    <x v="2"/>
    <x v="1"/>
    <x v="2"/>
    <n v="8941.81"/>
    <x v="2"/>
    <x v="1"/>
    <x v="2"/>
    <x v="5"/>
    <x v="4"/>
    <x v="3"/>
    <x v="4"/>
    <x v="3"/>
    <x v="9"/>
    <n v="7"/>
    <x v="0"/>
  </r>
  <r>
    <d v="2021-07-07T00:00:00"/>
    <x v="2"/>
    <x v="1"/>
    <x v="1"/>
    <n v="127906599.68000001"/>
    <x v="2"/>
    <x v="1"/>
    <x v="1"/>
    <x v="7"/>
    <x v="4"/>
    <x v="3"/>
    <x v="4"/>
    <x v="3"/>
    <x v="9"/>
    <n v="7"/>
    <x v="0"/>
  </r>
  <r>
    <d v="2021-07-07T00:00:00"/>
    <x v="0"/>
    <x v="0"/>
    <x v="0"/>
    <n v="100"/>
    <x v="0"/>
    <x v="0"/>
    <x v="0"/>
    <x v="0"/>
    <x v="4"/>
    <x v="3"/>
    <x v="4"/>
    <x v="3"/>
    <x v="9"/>
    <n v="7"/>
    <x v="0"/>
  </r>
  <r>
    <d v="2021-07-07T00:00:00"/>
    <x v="3"/>
    <x v="3"/>
    <x v="0"/>
    <n v="1845165510.5999999"/>
    <x v="3"/>
    <x v="3"/>
    <x v="0"/>
    <x v="8"/>
    <x v="4"/>
    <x v="3"/>
    <x v="4"/>
    <x v="3"/>
    <x v="9"/>
    <n v="7"/>
    <x v="0"/>
  </r>
  <r>
    <d v="2021-07-07T00:00:00"/>
    <x v="3"/>
    <x v="2"/>
    <x v="0"/>
    <n v="835199767.61000001"/>
    <x v="3"/>
    <x v="2"/>
    <x v="0"/>
    <x v="11"/>
    <x v="4"/>
    <x v="3"/>
    <x v="4"/>
    <x v="3"/>
    <x v="9"/>
    <n v="7"/>
    <x v="0"/>
  </r>
  <r>
    <d v="2021-07-07T00:00:00"/>
    <x v="3"/>
    <x v="1"/>
    <x v="0"/>
    <n v="12662664.9"/>
    <x v="3"/>
    <x v="1"/>
    <x v="0"/>
    <x v="12"/>
    <x v="4"/>
    <x v="3"/>
    <x v="4"/>
    <x v="3"/>
    <x v="9"/>
    <n v="7"/>
    <x v="0"/>
  </r>
  <r>
    <d v="2021-07-07T00:00:00"/>
    <x v="3"/>
    <x v="2"/>
    <x v="1"/>
    <n v="5774687682.3199997"/>
    <x v="3"/>
    <x v="2"/>
    <x v="1"/>
    <x v="13"/>
    <x v="4"/>
    <x v="3"/>
    <x v="4"/>
    <x v="3"/>
    <x v="9"/>
    <n v="7"/>
    <x v="0"/>
  </r>
  <r>
    <d v="2021-07-06T00:00:00"/>
    <x v="1"/>
    <x v="0"/>
    <x v="2"/>
    <n v="19034.78"/>
    <x v="1"/>
    <x v="0"/>
    <x v="2"/>
    <x v="1"/>
    <x v="4"/>
    <x v="3"/>
    <x v="4"/>
    <x v="3"/>
    <x v="9"/>
    <n v="6"/>
    <x v="0"/>
  </r>
  <r>
    <d v="2021-07-06T00:00:00"/>
    <x v="0"/>
    <x v="1"/>
    <x v="0"/>
    <n v="11280448.859999999"/>
    <x v="0"/>
    <x v="1"/>
    <x v="0"/>
    <x v="0"/>
    <x v="4"/>
    <x v="3"/>
    <x v="4"/>
    <x v="3"/>
    <x v="9"/>
    <n v="6"/>
    <x v="0"/>
  </r>
  <r>
    <d v="2021-07-06T00:00:00"/>
    <x v="2"/>
    <x v="1"/>
    <x v="2"/>
    <n v="88964.55"/>
    <x v="2"/>
    <x v="1"/>
    <x v="2"/>
    <x v="2"/>
    <x v="4"/>
    <x v="3"/>
    <x v="4"/>
    <x v="3"/>
    <x v="9"/>
    <n v="6"/>
    <x v="0"/>
  </r>
  <r>
    <d v="2021-07-06T00:00:00"/>
    <x v="3"/>
    <x v="2"/>
    <x v="2"/>
    <n v="271823.78000000003"/>
    <x v="3"/>
    <x v="2"/>
    <x v="2"/>
    <x v="4"/>
    <x v="4"/>
    <x v="3"/>
    <x v="4"/>
    <x v="3"/>
    <x v="9"/>
    <n v="6"/>
    <x v="0"/>
  </r>
  <r>
    <d v="2021-07-06T00:00:00"/>
    <x v="2"/>
    <x v="1"/>
    <x v="1"/>
    <n v="96558297.670000002"/>
    <x v="2"/>
    <x v="1"/>
    <x v="1"/>
    <x v="7"/>
    <x v="4"/>
    <x v="3"/>
    <x v="4"/>
    <x v="3"/>
    <x v="9"/>
    <n v="6"/>
    <x v="0"/>
  </r>
  <r>
    <d v="2021-07-06T00:00:00"/>
    <x v="3"/>
    <x v="3"/>
    <x v="0"/>
    <n v="1454041211.5799999"/>
    <x v="3"/>
    <x v="3"/>
    <x v="0"/>
    <x v="5"/>
    <x v="4"/>
    <x v="3"/>
    <x v="4"/>
    <x v="3"/>
    <x v="9"/>
    <n v="6"/>
    <x v="0"/>
  </r>
  <r>
    <d v="2021-07-06T00:00:00"/>
    <x v="2"/>
    <x v="1"/>
    <x v="0"/>
    <n v="133427987.79000001"/>
    <x v="2"/>
    <x v="1"/>
    <x v="0"/>
    <x v="6"/>
    <x v="4"/>
    <x v="3"/>
    <x v="4"/>
    <x v="3"/>
    <x v="9"/>
    <n v="6"/>
    <x v="0"/>
  </r>
  <r>
    <d v="2021-07-06T00:00:00"/>
    <x v="0"/>
    <x v="1"/>
    <x v="1"/>
    <n v="8684887.1600000001"/>
    <x v="0"/>
    <x v="1"/>
    <x v="1"/>
    <x v="3"/>
    <x v="4"/>
    <x v="3"/>
    <x v="4"/>
    <x v="3"/>
    <x v="9"/>
    <n v="6"/>
    <x v="0"/>
  </r>
  <r>
    <d v="2021-07-06T00:00:00"/>
    <x v="1"/>
    <x v="0"/>
    <x v="0"/>
    <n v="52652520.030000001"/>
    <x v="1"/>
    <x v="0"/>
    <x v="0"/>
    <x v="8"/>
    <x v="4"/>
    <x v="3"/>
    <x v="4"/>
    <x v="3"/>
    <x v="9"/>
    <n v="6"/>
    <x v="0"/>
  </r>
  <r>
    <d v="2021-07-06T00:00:00"/>
    <x v="1"/>
    <x v="0"/>
    <x v="1"/>
    <n v="448509274.79000002"/>
    <x v="1"/>
    <x v="0"/>
    <x v="1"/>
    <x v="9"/>
    <x v="4"/>
    <x v="3"/>
    <x v="4"/>
    <x v="3"/>
    <x v="9"/>
    <n v="6"/>
    <x v="0"/>
  </r>
  <r>
    <d v="2021-07-06T00:00:00"/>
    <x v="3"/>
    <x v="2"/>
    <x v="0"/>
    <n v="887432021.76999998"/>
    <x v="3"/>
    <x v="2"/>
    <x v="0"/>
    <x v="10"/>
    <x v="4"/>
    <x v="3"/>
    <x v="4"/>
    <x v="3"/>
    <x v="9"/>
    <n v="6"/>
    <x v="0"/>
  </r>
  <r>
    <d v="2021-07-06T00:00:00"/>
    <x v="3"/>
    <x v="2"/>
    <x v="1"/>
    <n v="17488771917.779999"/>
    <x v="3"/>
    <x v="2"/>
    <x v="1"/>
    <x v="11"/>
    <x v="4"/>
    <x v="3"/>
    <x v="4"/>
    <x v="3"/>
    <x v="9"/>
    <n v="6"/>
    <x v="0"/>
  </r>
  <r>
    <d v="2021-07-06T00:00:00"/>
    <x v="3"/>
    <x v="1"/>
    <x v="0"/>
    <n v="51242168.57"/>
    <x v="3"/>
    <x v="1"/>
    <x v="0"/>
    <x v="12"/>
    <x v="4"/>
    <x v="3"/>
    <x v="4"/>
    <x v="3"/>
    <x v="9"/>
    <n v="6"/>
    <x v="0"/>
  </r>
  <r>
    <d v="2021-07-02T00:00:00"/>
    <x v="1"/>
    <x v="0"/>
    <x v="2"/>
    <n v="13804.68"/>
    <x v="1"/>
    <x v="0"/>
    <x v="2"/>
    <x v="2"/>
    <x v="4"/>
    <x v="3"/>
    <x v="4"/>
    <x v="3"/>
    <x v="9"/>
    <n v="2"/>
    <x v="0"/>
  </r>
  <r>
    <d v="2021-07-02T00:00:00"/>
    <x v="0"/>
    <x v="1"/>
    <x v="0"/>
    <n v="13803926.4"/>
    <x v="0"/>
    <x v="1"/>
    <x v="0"/>
    <x v="1"/>
    <x v="4"/>
    <x v="3"/>
    <x v="4"/>
    <x v="3"/>
    <x v="9"/>
    <n v="2"/>
    <x v="0"/>
  </r>
  <r>
    <d v="2021-07-02T00:00:00"/>
    <x v="2"/>
    <x v="1"/>
    <x v="0"/>
    <n v="113478812.45"/>
    <x v="2"/>
    <x v="1"/>
    <x v="0"/>
    <x v="6"/>
    <x v="4"/>
    <x v="3"/>
    <x v="4"/>
    <x v="3"/>
    <x v="9"/>
    <n v="2"/>
    <x v="0"/>
  </r>
  <r>
    <d v="2021-07-02T00:00:00"/>
    <x v="0"/>
    <x v="1"/>
    <x v="1"/>
    <n v="14150100.869999999"/>
    <x v="0"/>
    <x v="1"/>
    <x v="1"/>
    <x v="3"/>
    <x v="4"/>
    <x v="3"/>
    <x v="4"/>
    <x v="3"/>
    <x v="9"/>
    <n v="2"/>
    <x v="0"/>
  </r>
  <r>
    <d v="2021-07-02T00:00:00"/>
    <x v="3"/>
    <x v="2"/>
    <x v="2"/>
    <n v="1382087.99"/>
    <x v="3"/>
    <x v="2"/>
    <x v="2"/>
    <x v="4"/>
    <x v="4"/>
    <x v="3"/>
    <x v="4"/>
    <x v="3"/>
    <x v="9"/>
    <n v="2"/>
    <x v="0"/>
  </r>
  <r>
    <d v="2021-07-02T00:00:00"/>
    <x v="3"/>
    <x v="3"/>
    <x v="0"/>
    <n v="821258490.49000001"/>
    <x v="3"/>
    <x v="3"/>
    <x v="0"/>
    <x v="5"/>
    <x v="4"/>
    <x v="3"/>
    <x v="4"/>
    <x v="3"/>
    <x v="9"/>
    <n v="2"/>
    <x v="0"/>
  </r>
  <r>
    <d v="2021-07-02T00:00:00"/>
    <x v="0"/>
    <x v="0"/>
    <x v="0"/>
    <n v="350.02"/>
    <x v="0"/>
    <x v="0"/>
    <x v="0"/>
    <x v="0"/>
    <x v="4"/>
    <x v="3"/>
    <x v="4"/>
    <x v="3"/>
    <x v="9"/>
    <n v="2"/>
    <x v="0"/>
  </r>
  <r>
    <d v="2021-07-02T00:00:00"/>
    <x v="2"/>
    <x v="1"/>
    <x v="1"/>
    <n v="98477856.510000005"/>
    <x v="2"/>
    <x v="1"/>
    <x v="1"/>
    <x v="7"/>
    <x v="4"/>
    <x v="3"/>
    <x v="4"/>
    <x v="3"/>
    <x v="9"/>
    <n v="2"/>
    <x v="0"/>
  </r>
  <r>
    <d v="2021-07-02T00:00:00"/>
    <x v="1"/>
    <x v="0"/>
    <x v="0"/>
    <n v="51646311.490000002"/>
    <x v="1"/>
    <x v="0"/>
    <x v="0"/>
    <x v="8"/>
    <x v="4"/>
    <x v="3"/>
    <x v="4"/>
    <x v="3"/>
    <x v="9"/>
    <n v="2"/>
    <x v="0"/>
  </r>
  <r>
    <d v="2021-07-02T00:00:00"/>
    <x v="1"/>
    <x v="0"/>
    <x v="1"/>
    <n v="109603227.7"/>
    <x v="1"/>
    <x v="0"/>
    <x v="1"/>
    <x v="9"/>
    <x v="4"/>
    <x v="3"/>
    <x v="4"/>
    <x v="3"/>
    <x v="9"/>
    <n v="2"/>
    <x v="0"/>
  </r>
  <r>
    <d v="2021-07-02T00:00:00"/>
    <x v="3"/>
    <x v="2"/>
    <x v="0"/>
    <n v="391138580.06999999"/>
    <x v="3"/>
    <x v="2"/>
    <x v="0"/>
    <x v="10"/>
    <x v="4"/>
    <x v="3"/>
    <x v="4"/>
    <x v="3"/>
    <x v="9"/>
    <n v="2"/>
    <x v="0"/>
  </r>
  <r>
    <d v="2021-07-02T00:00:00"/>
    <x v="3"/>
    <x v="2"/>
    <x v="1"/>
    <n v="14135227062.51"/>
    <x v="3"/>
    <x v="2"/>
    <x v="1"/>
    <x v="11"/>
    <x v="4"/>
    <x v="3"/>
    <x v="4"/>
    <x v="3"/>
    <x v="9"/>
    <n v="2"/>
    <x v="0"/>
  </r>
  <r>
    <d v="2021-07-02T00:00:00"/>
    <x v="3"/>
    <x v="1"/>
    <x v="0"/>
    <n v="16487477.82"/>
    <x v="3"/>
    <x v="1"/>
    <x v="0"/>
    <x v="12"/>
    <x v="4"/>
    <x v="3"/>
    <x v="4"/>
    <x v="3"/>
    <x v="9"/>
    <n v="2"/>
    <x v="0"/>
  </r>
  <r>
    <d v="2021-07-01T00:00:00"/>
    <x v="1"/>
    <x v="0"/>
    <x v="2"/>
    <n v="5557.68"/>
    <x v="1"/>
    <x v="0"/>
    <x v="2"/>
    <x v="2"/>
    <x v="4"/>
    <x v="3"/>
    <x v="4"/>
    <x v="3"/>
    <x v="9"/>
    <n v="1"/>
    <x v="0"/>
  </r>
  <r>
    <d v="2021-07-01T00:00:00"/>
    <x v="0"/>
    <x v="1"/>
    <x v="0"/>
    <n v="14758528.220000001"/>
    <x v="0"/>
    <x v="1"/>
    <x v="0"/>
    <x v="1"/>
    <x v="4"/>
    <x v="3"/>
    <x v="4"/>
    <x v="3"/>
    <x v="9"/>
    <n v="1"/>
    <x v="0"/>
  </r>
  <r>
    <d v="2021-07-01T00:00:00"/>
    <x v="2"/>
    <x v="1"/>
    <x v="2"/>
    <n v="14685"/>
    <x v="2"/>
    <x v="1"/>
    <x v="2"/>
    <x v="3"/>
    <x v="4"/>
    <x v="3"/>
    <x v="4"/>
    <x v="3"/>
    <x v="9"/>
    <n v="1"/>
    <x v="0"/>
  </r>
  <r>
    <d v="2021-07-01T00:00:00"/>
    <x v="3"/>
    <x v="3"/>
    <x v="0"/>
    <n v="3685779402.0300002"/>
    <x v="3"/>
    <x v="3"/>
    <x v="0"/>
    <x v="8"/>
    <x v="4"/>
    <x v="3"/>
    <x v="4"/>
    <x v="3"/>
    <x v="9"/>
    <n v="1"/>
    <x v="0"/>
  </r>
  <r>
    <d v="2021-07-01T00:00:00"/>
    <x v="3"/>
    <x v="2"/>
    <x v="2"/>
    <n v="266994.99"/>
    <x v="3"/>
    <x v="2"/>
    <x v="2"/>
    <x v="5"/>
    <x v="4"/>
    <x v="3"/>
    <x v="4"/>
    <x v="3"/>
    <x v="9"/>
    <n v="1"/>
    <x v="0"/>
  </r>
  <r>
    <d v="2021-07-01T00:00:00"/>
    <x v="1"/>
    <x v="0"/>
    <x v="0"/>
    <n v="57597616.579999998"/>
    <x v="1"/>
    <x v="0"/>
    <x v="0"/>
    <x v="9"/>
    <x v="4"/>
    <x v="3"/>
    <x v="4"/>
    <x v="3"/>
    <x v="9"/>
    <n v="1"/>
    <x v="0"/>
  </r>
  <r>
    <d v="2021-07-01T00:00:00"/>
    <x v="0"/>
    <x v="0"/>
    <x v="0"/>
    <n v="1345.07"/>
    <x v="0"/>
    <x v="0"/>
    <x v="0"/>
    <x v="0"/>
    <x v="4"/>
    <x v="3"/>
    <x v="4"/>
    <x v="3"/>
    <x v="9"/>
    <n v="1"/>
    <x v="0"/>
  </r>
  <r>
    <d v="2021-07-01T00:00:00"/>
    <x v="2"/>
    <x v="1"/>
    <x v="0"/>
    <n v="90146284.409999996"/>
    <x v="2"/>
    <x v="1"/>
    <x v="0"/>
    <x v="6"/>
    <x v="4"/>
    <x v="3"/>
    <x v="4"/>
    <x v="3"/>
    <x v="9"/>
    <n v="1"/>
    <x v="0"/>
  </r>
  <r>
    <d v="2021-07-01T00:00:00"/>
    <x v="2"/>
    <x v="1"/>
    <x v="1"/>
    <n v="223382463.16999999"/>
    <x v="2"/>
    <x v="1"/>
    <x v="1"/>
    <x v="7"/>
    <x v="4"/>
    <x v="3"/>
    <x v="4"/>
    <x v="3"/>
    <x v="9"/>
    <n v="1"/>
    <x v="0"/>
  </r>
  <r>
    <d v="2021-07-01T00:00:00"/>
    <x v="0"/>
    <x v="1"/>
    <x v="1"/>
    <n v="33613052.200000003"/>
    <x v="0"/>
    <x v="1"/>
    <x v="1"/>
    <x v="4"/>
    <x v="4"/>
    <x v="3"/>
    <x v="4"/>
    <x v="3"/>
    <x v="9"/>
    <n v="1"/>
    <x v="0"/>
  </r>
  <r>
    <d v="2021-07-01T00:00:00"/>
    <x v="1"/>
    <x v="0"/>
    <x v="1"/>
    <n v="304862745.29000002"/>
    <x v="1"/>
    <x v="0"/>
    <x v="1"/>
    <x v="10"/>
    <x v="4"/>
    <x v="3"/>
    <x v="4"/>
    <x v="3"/>
    <x v="9"/>
    <n v="1"/>
    <x v="0"/>
  </r>
  <r>
    <d v="2021-07-01T00:00:00"/>
    <x v="3"/>
    <x v="2"/>
    <x v="0"/>
    <n v="476352257.81"/>
    <x v="3"/>
    <x v="2"/>
    <x v="0"/>
    <x v="11"/>
    <x v="4"/>
    <x v="3"/>
    <x v="4"/>
    <x v="3"/>
    <x v="9"/>
    <n v="1"/>
    <x v="0"/>
  </r>
  <r>
    <d v="2021-07-01T00:00:00"/>
    <x v="3"/>
    <x v="2"/>
    <x v="1"/>
    <n v="21447485188.369999"/>
    <x v="3"/>
    <x v="2"/>
    <x v="1"/>
    <x v="12"/>
    <x v="4"/>
    <x v="3"/>
    <x v="4"/>
    <x v="3"/>
    <x v="9"/>
    <n v="1"/>
    <x v="0"/>
  </r>
  <r>
    <d v="2021-07-01T00:00:00"/>
    <x v="3"/>
    <x v="1"/>
    <x v="0"/>
    <n v="14805502.24"/>
    <x v="3"/>
    <x v="1"/>
    <x v="0"/>
    <x v="13"/>
    <x v="4"/>
    <x v="3"/>
    <x v="4"/>
    <x v="3"/>
    <x v="9"/>
    <n v="1"/>
    <x v="0"/>
  </r>
  <r>
    <d v="2021-06-30T00:00:00"/>
    <x v="3"/>
    <x v="3"/>
    <x v="0"/>
    <n v="4046234381.7399998"/>
    <x v="3"/>
    <x v="3"/>
    <x v="0"/>
    <x v="6"/>
    <x v="4"/>
    <x v="0"/>
    <x v="4"/>
    <x v="0"/>
    <x v="10"/>
    <n v="30"/>
    <x v="0"/>
  </r>
  <r>
    <d v="2021-06-30T00:00:00"/>
    <x v="1"/>
    <x v="0"/>
    <x v="2"/>
    <n v="15910.21"/>
    <x v="1"/>
    <x v="0"/>
    <x v="2"/>
    <x v="1"/>
    <x v="4"/>
    <x v="0"/>
    <x v="4"/>
    <x v="0"/>
    <x v="10"/>
    <n v="30"/>
    <x v="0"/>
  </r>
  <r>
    <d v="2021-06-30T00:00:00"/>
    <x v="0"/>
    <x v="1"/>
    <x v="2"/>
    <n v="1773"/>
    <x v="0"/>
    <x v="1"/>
    <x v="2"/>
    <x v="2"/>
    <x v="4"/>
    <x v="0"/>
    <x v="4"/>
    <x v="0"/>
    <x v="10"/>
    <n v="30"/>
    <x v="0"/>
  </r>
  <r>
    <d v="2021-06-30T00:00:00"/>
    <x v="0"/>
    <x v="1"/>
    <x v="1"/>
    <n v="3518147.29"/>
    <x v="0"/>
    <x v="1"/>
    <x v="1"/>
    <x v="3"/>
    <x v="4"/>
    <x v="0"/>
    <x v="4"/>
    <x v="0"/>
    <x v="10"/>
    <n v="30"/>
    <x v="0"/>
  </r>
  <r>
    <d v="2021-06-30T00:00:00"/>
    <x v="2"/>
    <x v="1"/>
    <x v="1"/>
    <n v="222219896.02000001"/>
    <x v="2"/>
    <x v="1"/>
    <x v="1"/>
    <x v="8"/>
    <x v="4"/>
    <x v="0"/>
    <x v="4"/>
    <x v="0"/>
    <x v="10"/>
    <n v="30"/>
    <x v="0"/>
  </r>
  <r>
    <d v="2021-06-30T00:00:00"/>
    <x v="2"/>
    <x v="1"/>
    <x v="2"/>
    <n v="56518.43"/>
    <x v="2"/>
    <x v="1"/>
    <x v="2"/>
    <x v="4"/>
    <x v="4"/>
    <x v="0"/>
    <x v="4"/>
    <x v="0"/>
    <x v="10"/>
    <n v="30"/>
    <x v="0"/>
  </r>
  <r>
    <d v="2021-06-30T00:00:00"/>
    <x v="0"/>
    <x v="1"/>
    <x v="0"/>
    <n v="12548404.59"/>
    <x v="0"/>
    <x v="1"/>
    <x v="0"/>
    <x v="0"/>
    <x v="4"/>
    <x v="0"/>
    <x v="4"/>
    <x v="0"/>
    <x v="10"/>
    <n v="30"/>
    <x v="0"/>
  </r>
  <r>
    <d v="2021-06-30T00:00:00"/>
    <x v="3"/>
    <x v="2"/>
    <x v="2"/>
    <n v="1880972.99"/>
    <x v="3"/>
    <x v="2"/>
    <x v="2"/>
    <x v="5"/>
    <x v="4"/>
    <x v="0"/>
    <x v="4"/>
    <x v="0"/>
    <x v="10"/>
    <n v="30"/>
    <x v="0"/>
  </r>
  <r>
    <d v="2021-06-30T00:00:00"/>
    <x v="2"/>
    <x v="1"/>
    <x v="0"/>
    <n v="128737707.81"/>
    <x v="2"/>
    <x v="1"/>
    <x v="0"/>
    <x v="7"/>
    <x v="4"/>
    <x v="0"/>
    <x v="4"/>
    <x v="0"/>
    <x v="10"/>
    <n v="30"/>
    <x v="0"/>
  </r>
  <r>
    <d v="2021-06-30T00:00:00"/>
    <x v="1"/>
    <x v="0"/>
    <x v="0"/>
    <n v="111005743.13"/>
    <x v="1"/>
    <x v="0"/>
    <x v="0"/>
    <x v="9"/>
    <x v="4"/>
    <x v="0"/>
    <x v="4"/>
    <x v="0"/>
    <x v="10"/>
    <n v="30"/>
    <x v="0"/>
  </r>
  <r>
    <d v="2021-06-30T00:00:00"/>
    <x v="1"/>
    <x v="0"/>
    <x v="1"/>
    <n v="1102346542.21"/>
    <x v="1"/>
    <x v="0"/>
    <x v="1"/>
    <x v="10"/>
    <x v="4"/>
    <x v="0"/>
    <x v="4"/>
    <x v="0"/>
    <x v="10"/>
    <n v="30"/>
    <x v="0"/>
  </r>
  <r>
    <d v="2021-06-30T00:00:00"/>
    <x v="3"/>
    <x v="2"/>
    <x v="0"/>
    <n v="805725826.69000006"/>
    <x v="3"/>
    <x v="2"/>
    <x v="0"/>
    <x v="11"/>
    <x v="4"/>
    <x v="0"/>
    <x v="4"/>
    <x v="0"/>
    <x v="10"/>
    <n v="30"/>
    <x v="0"/>
  </r>
  <r>
    <d v="2021-06-30T00:00:00"/>
    <x v="3"/>
    <x v="1"/>
    <x v="0"/>
    <n v="13997242.710000001"/>
    <x v="3"/>
    <x v="1"/>
    <x v="0"/>
    <x v="12"/>
    <x v="4"/>
    <x v="0"/>
    <x v="4"/>
    <x v="0"/>
    <x v="10"/>
    <n v="30"/>
    <x v="0"/>
  </r>
  <r>
    <d v="2021-06-30T00:00:00"/>
    <x v="3"/>
    <x v="2"/>
    <x v="1"/>
    <n v="12899178181.040001"/>
    <x v="3"/>
    <x v="2"/>
    <x v="1"/>
    <x v="13"/>
    <x v="4"/>
    <x v="0"/>
    <x v="4"/>
    <x v="0"/>
    <x v="10"/>
    <n v="30"/>
    <x v="0"/>
  </r>
  <r>
    <d v="2021-06-29T00:00:00"/>
    <x v="0"/>
    <x v="1"/>
    <x v="1"/>
    <n v="8533173.4600000009"/>
    <x v="0"/>
    <x v="1"/>
    <x v="1"/>
    <x v="4"/>
    <x v="4"/>
    <x v="0"/>
    <x v="4"/>
    <x v="0"/>
    <x v="10"/>
    <n v="29"/>
    <x v="0"/>
  </r>
  <r>
    <d v="2021-06-29T00:00:00"/>
    <x v="2"/>
    <x v="1"/>
    <x v="2"/>
    <n v="5515"/>
    <x v="2"/>
    <x v="1"/>
    <x v="2"/>
    <x v="2"/>
    <x v="4"/>
    <x v="0"/>
    <x v="4"/>
    <x v="0"/>
    <x v="10"/>
    <n v="29"/>
    <x v="0"/>
  </r>
  <r>
    <d v="2021-06-29T00:00:00"/>
    <x v="0"/>
    <x v="1"/>
    <x v="0"/>
    <n v="4918624.03"/>
    <x v="0"/>
    <x v="1"/>
    <x v="0"/>
    <x v="1"/>
    <x v="4"/>
    <x v="0"/>
    <x v="4"/>
    <x v="0"/>
    <x v="10"/>
    <n v="29"/>
    <x v="0"/>
  </r>
  <r>
    <d v="2021-06-29T00:00:00"/>
    <x v="3"/>
    <x v="2"/>
    <x v="2"/>
    <n v="344162.25"/>
    <x v="3"/>
    <x v="2"/>
    <x v="2"/>
    <x v="5"/>
    <x v="4"/>
    <x v="0"/>
    <x v="4"/>
    <x v="0"/>
    <x v="10"/>
    <n v="29"/>
    <x v="0"/>
  </r>
  <r>
    <d v="2021-06-29T00:00:00"/>
    <x v="1"/>
    <x v="0"/>
    <x v="2"/>
    <n v="48221.81"/>
    <x v="1"/>
    <x v="0"/>
    <x v="2"/>
    <x v="3"/>
    <x v="4"/>
    <x v="0"/>
    <x v="4"/>
    <x v="0"/>
    <x v="10"/>
    <n v="29"/>
    <x v="0"/>
  </r>
  <r>
    <d v="2021-06-29T00:00:00"/>
    <x v="0"/>
    <x v="0"/>
    <x v="0"/>
    <n v="60.51"/>
    <x v="0"/>
    <x v="0"/>
    <x v="0"/>
    <x v="0"/>
    <x v="4"/>
    <x v="0"/>
    <x v="4"/>
    <x v="0"/>
    <x v="10"/>
    <n v="29"/>
    <x v="0"/>
  </r>
  <r>
    <d v="2021-06-29T00:00:00"/>
    <x v="2"/>
    <x v="1"/>
    <x v="0"/>
    <n v="97511510.700000003"/>
    <x v="2"/>
    <x v="1"/>
    <x v="0"/>
    <x v="6"/>
    <x v="4"/>
    <x v="0"/>
    <x v="4"/>
    <x v="0"/>
    <x v="10"/>
    <n v="29"/>
    <x v="0"/>
  </r>
  <r>
    <d v="2021-06-29T00:00:00"/>
    <x v="2"/>
    <x v="1"/>
    <x v="1"/>
    <n v="341124701.91000003"/>
    <x v="2"/>
    <x v="1"/>
    <x v="1"/>
    <x v="8"/>
    <x v="4"/>
    <x v="0"/>
    <x v="4"/>
    <x v="0"/>
    <x v="10"/>
    <n v="29"/>
    <x v="0"/>
  </r>
  <r>
    <d v="2021-06-29T00:00:00"/>
    <x v="3"/>
    <x v="3"/>
    <x v="0"/>
    <n v="2629311425.6199999"/>
    <x v="3"/>
    <x v="3"/>
    <x v="0"/>
    <x v="7"/>
    <x v="4"/>
    <x v="0"/>
    <x v="4"/>
    <x v="0"/>
    <x v="10"/>
    <n v="29"/>
    <x v="0"/>
  </r>
  <r>
    <d v="2021-06-29T00:00:00"/>
    <x v="1"/>
    <x v="0"/>
    <x v="0"/>
    <n v="101627764.25"/>
    <x v="1"/>
    <x v="0"/>
    <x v="0"/>
    <x v="9"/>
    <x v="4"/>
    <x v="0"/>
    <x v="4"/>
    <x v="0"/>
    <x v="10"/>
    <n v="29"/>
    <x v="0"/>
  </r>
  <r>
    <d v="2021-06-29T00:00:00"/>
    <x v="1"/>
    <x v="0"/>
    <x v="1"/>
    <n v="563450182.88999999"/>
    <x v="1"/>
    <x v="0"/>
    <x v="1"/>
    <x v="10"/>
    <x v="4"/>
    <x v="0"/>
    <x v="4"/>
    <x v="0"/>
    <x v="10"/>
    <n v="29"/>
    <x v="0"/>
  </r>
  <r>
    <d v="2021-06-29T00:00:00"/>
    <x v="3"/>
    <x v="2"/>
    <x v="0"/>
    <n v="667857057.73000002"/>
    <x v="3"/>
    <x v="2"/>
    <x v="0"/>
    <x v="11"/>
    <x v="4"/>
    <x v="0"/>
    <x v="4"/>
    <x v="0"/>
    <x v="10"/>
    <n v="29"/>
    <x v="0"/>
  </r>
  <r>
    <d v="2021-06-29T00:00:00"/>
    <x v="3"/>
    <x v="1"/>
    <x v="0"/>
    <n v="9973249.4600000009"/>
    <x v="3"/>
    <x v="1"/>
    <x v="0"/>
    <x v="12"/>
    <x v="4"/>
    <x v="0"/>
    <x v="4"/>
    <x v="0"/>
    <x v="10"/>
    <n v="29"/>
    <x v="0"/>
  </r>
  <r>
    <d v="2021-06-29T00:00:00"/>
    <x v="3"/>
    <x v="2"/>
    <x v="1"/>
    <n v="5002645996.4899998"/>
    <x v="3"/>
    <x v="2"/>
    <x v="1"/>
    <x v="13"/>
    <x v="4"/>
    <x v="0"/>
    <x v="4"/>
    <x v="0"/>
    <x v="10"/>
    <n v="29"/>
    <x v="0"/>
  </r>
  <r>
    <d v="2021-06-28T00:00:00"/>
    <x v="1"/>
    <x v="0"/>
    <x v="2"/>
    <n v="16573.48"/>
    <x v="1"/>
    <x v="0"/>
    <x v="2"/>
    <x v="1"/>
    <x v="4"/>
    <x v="0"/>
    <x v="4"/>
    <x v="0"/>
    <x v="10"/>
    <n v="28"/>
    <x v="0"/>
  </r>
  <r>
    <d v="2021-06-28T00:00:00"/>
    <x v="2"/>
    <x v="1"/>
    <x v="2"/>
    <n v="12804.91"/>
    <x v="2"/>
    <x v="1"/>
    <x v="2"/>
    <x v="2"/>
    <x v="4"/>
    <x v="0"/>
    <x v="4"/>
    <x v="0"/>
    <x v="10"/>
    <n v="28"/>
    <x v="0"/>
  </r>
  <r>
    <d v="2021-06-28T00:00:00"/>
    <x v="0"/>
    <x v="1"/>
    <x v="0"/>
    <n v="8755161.8200000003"/>
    <x v="0"/>
    <x v="1"/>
    <x v="0"/>
    <x v="0"/>
    <x v="4"/>
    <x v="0"/>
    <x v="4"/>
    <x v="0"/>
    <x v="10"/>
    <n v="28"/>
    <x v="0"/>
  </r>
  <r>
    <d v="2021-06-28T00:00:00"/>
    <x v="2"/>
    <x v="1"/>
    <x v="1"/>
    <n v="216837598.16"/>
    <x v="2"/>
    <x v="1"/>
    <x v="1"/>
    <x v="8"/>
    <x v="4"/>
    <x v="0"/>
    <x v="4"/>
    <x v="0"/>
    <x v="10"/>
    <n v="28"/>
    <x v="0"/>
  </r>
  <r>
    <d v="2021-06-28T00:00:00"/>
    <x v="3"/>
    <x v="2"/>
    <x v="2"/>
    <n v="298976.99"/>
    <x v="3"/>
    <x v="2"/>
    <x v="2"/>
    <x v="5"/>
    <x v="4"/>
    <x v="0"/>
    <x v="4"/>
    <x v="0"/>
    <x v="10"/>
    <n v="28"/>
    <x v="0"/>
  </r>
  <r>
    <d v="2021-06-28T00:00:00"/>
    <x v="1"/>
    <x v="0"/>
    <x v="0"/>
    <n v="56878794.700000003"/>
    <x v="1"/>
    <x v="0"/>
    <x v="0"/>
    <x v="9"/>
    <x v="4"/>
    <x v="0"/>
    <x v="4"/>
    <x v="0"/>
    <x v="10"/>
    <n v="28"/>
    <x v="0"/>
  </r>
  <r>
    <d v="2021-06-28T00:00:00"/>
    <x v="0"/>
    <x v="1"/>
    <x v="1"/>
    <n v="7979089.5599999996"/>
    <x v="0"/>
    <x v="1"/>
    <x v="1"/>
    <x v="4"/>
    <x v="4"/>
    <x v="0"/>
    <x v="4"/>
    <x v="0"/>
    <x v="10"/>
    <n v="28"/>
    <x v="0"/>
  </r>
  <r>
    <d v="2021-06-28T00:00:00"/>
    <x v="2"/>
    <x v="1"/>
    <x v="0"/>
    <n v="93124908.319999993"/>
    <x v="2"/>
    <x v="1"/>
    <x v="0"/>
    <x v="6"/>
    <x v="4"/>
    <x v="0"/>
    <x v="4"/>
    <x v="0"/>
    <x v="10"/>
    <n v="28"/>
    <x v="0"/>
  </r>
  <r>
    <d v="2021-06-28T00:00:00"/>
    <x v="3"/>
    <x v="3"/>
    <x v="1"/>
    <n v="1013805.88"/>
    <x v="3"/>
    <x v="3"/>
    <x v="1"/>
    <x v="3"/>
    <x v="4"/>
    <x v="0"/>
    <x v="4"/>
    <x v="0"/>
    <x v="10"/>
    <n v="28"/>
    <x v="0"/>
  </r>
  <r>
    <d v="2021-06-28T00:00:00"/>
    <x v="3"/>
    <x v="3"/>
    <x v="0"/>
    <n v="1596920416.6400001"/>
    <x v="3"/>
    <x v="3"/>
    <x v="0"/>
    <x v="7"/>
    <x v="4"/>
    <x v="0"/>
    <x v="4"/>
    <x v="0"/>
    <x v="10"/>
    <n v="28"/>
    <x v="0"/>
  </r>
  <r>
    <d v="2021-06-28T00:00:00"/>
    <x v="1"/>
    <x v="0"/>
    <x v="1"/>
    <n v="560457117.77999997"/>
    <x v="1"/>
    <x v="0"/>
    <x v="1"/>
    <x v="10"/>
    <x v="4"/>
    <x v="0"/>
    <x v="4"/>
    <x v="0"/>
    <x v="10"/>
    <n v="28"/>
    <x v="0"/>
  </r>
  <r>
    <d v="2021-06-28T00:00:00"/>
    <x v="3"/>
    <x v="2"/>
    <x v="0"/>
    <n v="543218203.39999998"/>
    <x v="3"/>
    <x v="2"/>
    <x v="0"/>
    <x v="11"/>
    <x v="4"/>
    <x v="0"/>
    <x v="4"/>
    <x v="0"/>
    <x v="10"/>
    <n v="28"/>
    <x v="0"/>
  </r>
  <r>
    <d v="2021-06-28T00:00:00"/>
    <x v="3"/>
    <x v="2"/>
    <x v="1"/>
    <n v="21476451397.5"/>
    <x v="3"/>
    <x v="2"/>
    <x v="1"/>
    <x v="12"/>
    <x v="4"/>
    <x v="0"/>
    <x v="4"/>
    <x v="0"/>
    <x v="10"/>
    <n v="28"/>
    <x v="0"/>
  </r>
  <r>
    <d v="2021-06-28T00:00:00"/>
    <x v="3"/>
    <x v="1"/>
    <x v="0"/>
    <n v="38607868.530000001"/>
    <x v="3"/>
    <x v="1"/>
    <x v="0"/>
    <x v="13"/>
    <x v="4"/>
    <x v="0"/>
    <x v="4"/>
    <x v="0"/>
    <x v="10"/>
    <n v="28"/>
    <x v="0"/>
  </r>
  <r>
    <d v="2021-06-25T00:00:00"/>
    <x v="3"/>
    <x v="2"/>
    <x v="2"/>
    <n v="290317.96000000002"/>
    <x v="3"/>
    <x v="2"/>
    <x v="2"/>
    <x v="6"/>
    <x v="4"/>
    <x v="0"/>
    <x v="4"/>
    <x v="0"/>
    <x v="10"/>
    <n v="25"/>
    <x v="0"/>
  </r>
  <r>
    <d v="2021-06-25T00:00:00"/>
    <x v="0"/>
    <x v="1"/>
    <x v="0"/>
    <n v="21627417.059999999"/>
    <x v="0"/>
    <x v="1"/>
    <x v="0"/>
    <x v="1"/>
    <x v="4"/>
    <x v="0"/>
    <x v="4"/>
    <x v="0"/>
    <x v="10"/>
    <n v="25"/>
    <x v="0"/>
  </r>
  <r>
    <d v="2021-06-25T00:00:00"/>
    <x v="1"/>
    <x v="0"/>
    <x v="2"/>
    <n v="14240.07"/>
    <x v="1"/>
    <x v="0"/>
    <x v="2"/>
    <x v="2"/>
    <x v="4"/>
    <x v="0"/>
    <x v="4"/>
    <x v="0"/>
    <x v="10"/>
    <n v="25"/>
    <x v="0"/>
  </r>
  <r>
    <d v="2021-06-25T00:00:00"/>
    <x v="2"/>
    <x v="1"/>
    <x v="0"/>
    <n v="93982961.870000005"/>
    <x v="2"/>
    <x v="1"/>
    <x v="0"/>
    <x v="7"/>
    <x v="4"/>
    <x v="0"/>
    <x v="4"/>
    <x v="0"/>
    <x v="10"/>
    <n v="25"/>
    <x v="0"/>
  </r>
  <r>
    <d v="2021-06-25T00:00:00"/>
    <x v="3"/>
    <x v="3"/>
    <x v="1"/>
    <n v="51820.55"/>
    <x v="3"/>
    <x v="3"/>
    <x v="1"/>
    <x v="3"/>
    <x v="4"/>
    <x v="0"/>
    <x v="4"/>
    <x v="0"/>
    <x v="10"/>
    <n v="25"/>
    <x v="0"/>
  </r>
  <r>
    <d v="2021-06-25T00:00:00"/>
    <x v="0"/>
    <x v="1"/>
    <x v="1"/>
    <n v="24868091.489999998"/>
    <x v="0"/>
    <x v="1"/>
    <x v="1"/>
    <x v="4"/>
    <x v="4"/>
    <x v="0"/>
    <x v="4"/>
    <x v="0"/>
    <x v="10"/>
    <n v="25"/>
    <x v="0"/>
  </r>
  <r>
    <d v="2021-06-25T00:00:00"/>
    <x v="1"/>
    <x v="0"/>
    <x v="0"/>
    <n v="77664304.640000001"/>
    <x v="1"/>
    <x v="0"/>
    <x v="0"/>
    <x v="9"/>
    <x v="4"/>
    <x v="0"/>
    <x v="4"/>
    <x v="0"/>
    <x v="10"/>
    <n v="25"/>
    <x v="0"/>
  </r>
  <r>
    <d v="2021-06-25T00:00:00"/>
    <x v="2"/>
    <x v="1"/>
    <x v="2"/>
    <n v="3795"/>
    <x v="2"/>
    <x v="1"/>
    <x v="2"/>
    <x v="5"/>
    <x v="4"/>
    <x v="0"/>
    <x v="4"/>
    <x v="0"/>
    <x v="10"/>
    <n v="25"/>
    <x v="0"/>
  </r>
  <r>
    <d v="2021-06-25T00:00:00"/>
    <x v="0"/>
    <x v="0"/>
    <x v="0"/>
    <n v="240"/>
    <x v="0"/>
    <x v="0"/>
    <x v="0"/>
    <x v="0"/>
    <x v="4"/>
    <x v="0"/>
    <x v="4"/>
    <x v="0"/>
    <x v="10"/>
    <n v="25"/>
    <x v="0"/>
  </r>
  <r>
    <d v="2021-06-25T00:00:00"/>
    <x v="2"/>
    <x v="1"/>
    <x v="1"/>
    <n v="514112643.13"/>
    <x v="2"/>
    <x v="1"/>
    <x v="1"/>
    <x v="8"/>
    <x v="4"/>
    <x v="0"/>
    <x v="4"/>
    <x v="0"/>
    <x v="10"/>
    <n v="25"/>
    <x v="0"/>
  </r>
  <r>
    <d v="2021-06-25T00:00:00"/>
    <x v="3"/>
    <x v="3"/>
    <x v="0"/>
    <n v="1428538742.3299999"/>
    <x v="3"/>
    <x v="3"/>
    <x v="0"/>
    <x v="10"/>
    <x v="4"/>
    <x v="0"/>
    <x v="4"/>
    <x v="0"/>
    <x v="10"/>
    <n v="25"/>
    <x v="0"/>
  </r>
  <r>
    <d v="2021-06-25T00:00:00"/>
    <x v="1"/>
    <x v="0"/>
    <x v="1"/>
    <n v="465492487.07999998"/>
    <x v="1"/>
    <x v="0"/>
    <x v="1"/>
    <x v="11"/>
    <x v="4"/>
    <x v="0"/>
    <x v="4"/>
    <x v="0"/>
    <x v="10"/>
    <n v="25"/>
    <x v="0"/>
  </r>
  <r>
    <d v="2021-06-25T00:00:00"/>
    <x v="3"/>
    <x v="2"/>
    <x v="0"/>
    <n v="334755819.45999998"/>
    <x v="3"/>
    <x v="2"/>
    <x v="0"/>
    <x v="12"/>
    <x v="4"/>
    <x v="0"/>
    <x v="4"/>
    <x v="0"/>
    <x v="10"/>
    <n v="25"/>
    <x v="0"/>
  </r>
  <r>
    <d v="2021-06-25T00:00:00"/>
    <x v="3"/>
    <x v="2"/>
    <x v="1"/>
    <n v="9248617753.4300003"/>
    <x v="3"/>
    <x v="2"/>
    <x v="1"/>
    <x v="13"/>
    <x v="4"/>
    <x v="0"/>
    <x v="4"/>
    <x v="0"/>
    <x v="10"/>
    <n v="25"/>
    <x v="0"/>
  </r>
  <r>
    <d v="2021-06-25T00:00:00"/>
    <x v="3"/>
    <x v="1"/>
    <x v="0"/>
    <n v="12208047.15"/>
    <x v="3"/>
    <x v="1"/>
    <x v="0"/>
    <x v="14"/>
    <x v="4"/>
    <x v="0"/>
    <x v="4"/>
    <x v="0"/>
    <x v="10"/>
    <n v="25"/>
    <x v="0"/>
  </r>
  <r>
    <d v="2021-06-24T00:00:00"/>
    <x v="0"/>
    <x v="1"/>
    <x v="0"/>
    <n v="17595345.260000002"/>
    <x v="0"/>
    <x v="1"/>
    <x v="0"/>
    <x v="0"/>
    <x v="4"/>
    <x v="0"/>
    <x v="4"/>
    <x v="0"/>
    <x v="10"/>
    <n v="24"/>
    <x v="0"/>
  </r>
  <r>
    <d v="2021-06-24T00:00:00"/>
    <x v="1"/>
    <x v="0"/>
    <x v="2"/>
    <n v="692.18"/>
    <x v="1"/>
    <x v="0"/>
    <x v="2"/>
    <x v="1"/>
    <x v="4"/>
    <x v="0"/>
    <x v="4"/>
    <x v="0"/>
    <x v="10"/>
    <n v="24"/>
    <x v="0"/>
  </r>
  <r>
    <d v="2021-06-24T00:00:00"/>
    <x v="2"/>
    <x v="1"/>
    <x v="0"/>
    <n v="113586025.89"/>
    <x v="2"/>
    <x v="1"/>
    <x v="0"/>
    <x v="7"/>
    <x v="4"/>
    <x v="0"/>
    <x v="4"/>
    <x v="0"/>
    <x v="10"/>
    <n v="24"/>
    <x v="0"/>
  </r>
  <r>
    <d v="2021-06-24T00:00:00"/>
    <x v="2"/>
    <x v="1"/>
    <x v="1"/>
    <n v="327500597.58999997"/>
    <x v="2"/>
    <x v="1"/>
    <x v="1"/>
    <x v="8"/>
    <x v="4"/>
    <x v="0"/>
    <x v="4"/>
    <x v="0"/>
    <x v="10"/>
    <n v="24"/>
    <x v="0"/>
  </r>
  <r>
    <d v="2021-06-24T00:00:00"/>
    <x v="3"/>
    <x v="3"/>
    <x v="1"/>
    <n v="880373.07"/>
    <x v="3"/>
    <x v="3"/>
    <x v="1"/>
    <x v="2"/>
    <x v="4"/>
    <x v="0"/>
    <x v="4"/>
    <x v="0"/>
    <x v="10"/>
    <n v="24"/>
    <x v="0"/>
  </r>
  <r>
    <d v="2021-06-24T00:00:00"/>
    <x v="0"/>
    <x v="1"/>
    <x v="1"/>
    <n v="22247247.260000002"/>
    <x v="0"/>
    <x v="1"/>
    <x v="1"/>
    <x v="3"/>
    <x v="4"/>
    <x v="0"/>
    <x v="4"/>
    <x v="0"/>
    <x v="10"/>
    <n v="24"/>
    <x v="0"/>
  </r>
  <r>
    <d v="2021-06-24T00:00:00"/>
    <x v="2"/>
    <x v="1"/>
    <x v="2"/>
    <n v="118978.68"/>
    <x v="2"/>
    <x v="1"/>
    <x v="2"/>
    <x v="4"/>
    <x v="4"/>
    <x v="0"/>
    <x v="4"/>
    <x v="0"/>
    <x v="10"/>
    <n v="24"/>
    <x v="0"/>
  </r>
  <r>
    <d v="2021-06-24T00:00:00"/>
    <x v="3"/>
    <x v="2"/>
    <x v="2"/>
    <n v="726280.37"/>
    <x v="3"/>
    <x v="2"/>
    <x v="2"/>
    <x v="5"/>
    <x v="4"/>
    <x v="0"/>
    <x v="4"/>
    <x v="0"/>
    <x v="10"/>
    <n v="24"/>
    <x v="0"/>
  </r>
  <r>
    <d v="2021-06-24T00:00:00"/>
    <x v="3"/>
    <x v="3"/>
    <x v="0"/>
    <n v="972863980.01999998"/>
    <x v="3"/>
    <x v="3"/>
    <x v="0"/>
    <x v="6"/>
    <x v="4"/>
    <x v="0"/>
    <x v="4"/>
    <x v="0"/>
    <x v="10"/>
    <n v="24"/>
    <x v="0"/>
  </r>
  <r>
    <d v="2021-06-24T00:00:00"/>
    <x v="1"/>
    <x v="0"/>
    <x v="0"/>
    <n v="74661371.370000005"/>
    <x v="1"/>
    <x v="0"/>
    <x v="0"/>
    <x v="9"/>
    <x v="4"/>
    <x v="0"/>
    <x v="4"/>
    <x v="0"/>
    <x v="10"/>
    <n v="24"/>
    <x v="0"/>
  </r>
  <r>
    <d v="2021-06-24T00:00:00"/>
    <x v="1"/>
    <x v="0"/>
    <x v="1"/>
    <n v="4419655636.0900002"/>
    <x v="1"/>
    <x v="0"/>
    <x v="1"/>
    <x v="10"/>
    <x v="4"/>
    <x v="0"/>
    <x v="4"/>
    <x v="0"/>
    <x v="10"/>
    <n v="24"/>
    <x v="0"/>
  </r>
  <r>
    <d v="2021-06-24T00:00:00"/>
    <x v="3"/>
    <x v="2"/>
    <x v="0"/>
    <n v="338156571.56"/>
    <x v="3"/>
    <x v="2"/>
    <x v="0"/>
    <x v="11"/>
    <x v="4"/>
    <x v="0"/>
    <x v="4"/>
    <x v="0"/>
    <x v="10"/>
    <n v="24"/>
    <x v="0"/>
  </r>
  <r>
    <d v="2021-06-24T00:00:00"/>
    <x v="3"/>
    <x v="2"/>
    <x v="1"/>
    <n v="6049893349.2399998"/>
    <x v="3"/>
    <x v="2"/>
    <x v="1"/>
    <x v="12"/>
    <x v="4"/>
    <x v="0"/>
    <x v="4"/>
    <x v="0"/>
    <x v="10"/>
    <n v="24"/>
    <x v="0"/>
  </r>
  <r>
    <d v="2021-06-24T00:00:00"/>
    <x v="3"/>
    <x v="1"/>
    <x v="0"/>
    <n v="13955494.75"/>
    <x v="3"/>
    <x v="1"/>
    <x v="0"/>
    <x v="13"/>
    <x v="4"/>
    <x v="0"/>
    <x v="4"/>
    <x v="0"/>
    <x v="10"/>
    <n v="24"/>
    <x v="0"/>
  </r>
  <r>
    <d v="2021-06-23T00:00:00"/>
    <x v="1"/>
    <x v="0"/>
    <x v="2"/>
    <n v="2414.02"/>
    <x v="1"/>
    <x v="0"/>
    <x v="2"/>
    <x v="1"/>
    <x v="4"/>
    <x v="0"/>
    <x v="4"/>
    <x v="0"/>
    <x v="10"/>
    <n v="23"/>
    <x v="0"/>
  </r>
  <r>
    <d v="2021-06-23T00:00:00"/>
    <x v="2"/>
    <x v="1"/>
    <x v="2"/>
    <n v="15914.76"/>
    <x v="2"/>
    <x v="1"/>
    <x v="2"/>
    <x v="2"/>
    <x v="4"/>
    <x v="0"/>
    <x v="4"/>
    <x v="0"/>
    <x v="10"/>
    <n v="23"/>
    <x v="0"/>
  </r>
  <r>
    <d v="2021-06-23T00:00:00"/>
    <x v="2"/>
    <x v="1"/>
    <x v="1"/>
    <n v="423506649.41000003"/>
    <x v="2"/>
    <x v="1"/>
    <x v="1"/>
    <x v="6"/>
    <x v="4"/>
    <x v="0"/>
    <x v="4"/>
    <x v="0"/>
    <x v="10"/>
    <n v="23"/>
    <x v="0"/>
  </r>
  <r>
    <d v="2021-06-23T00:00:00"/>
    <x v="0"/>
    <x v="1"/>
    <x v="1"/>
    <n v="43580110.969999999"/>
    <x v="0"/>
    <x v="1"/>
    <x v="1"/>
    <x v="4"/>
    <x v="4"/>
    <x v="0"/>
    <x v="4"/>
    <x v="0"/>
    <x v="10"/>
    <n v="23"/>
    <x v="0"/>
  </r>
  <r>
    <d v="2021-06-23T00:00:00"/>
    <x v="2"/>
    <x v="1"/>
    <x v="0"/>
    <n v="118350152.56999999"/>
    <x v="2"/>
    <x v="1"/>
    <x v="0"/>
    <x v="5"/>
    <x v="4"/>
    <x v="0"/>
    <x v="4"/>
    <x v="0"/>
    <x v="10"/>
    <n v="23"/>
    <x v="0"/>
  </r>
  <r>
    <d v="2021-06-23T00:00:00"/>
    <x v="3"/>
    <x v="2"/>
    <x v="2"/>
    <n v="176867.21"/>
    <x v="3"/>
    <x v="2"/>
    <x v="2"/>
    <x v="3"/>
    <x v="4"/>
    <x v="0"/>
    <x v="4"/>
    <x v="0"/>
    <x v="10"/>
    <n v="23"/>
    <x v="0"/>
  </r>
  <r>
    <d v="2021-06-23T00:00:00"/>
    <x v="0"/>
    <x v="1"/>
    <x v="0"/>
    <n v="19180436.850000001"/>
    <x v="0"/>
    <x v="1"/>
    <x v="0"/>
    <x v="0"/>
    <x v="4"/>
    <x v="0"/>
    <x v="4"/>
    <x v="0"/>
    <x v="10"/>
    <n v="23"/>
    <x v="0"/>
  </r>
  <r>
    <d v="2021-06-23T00:00:00"/>
    <x v="3"/>
    <x v="3"/>
    <x v="0"/>
    <n v="1660742603.54"/>
    <x v="3"/>
    <x v="3"/>
    <x v="0"/>
    <x v="7"/>
    <x v="4"/>
    <x v="0"/>
    <x v="4"/>
    <x v="0"/>
    <x v="10"/>
    <n v="23"/>
    <x v="0"/>
  </r>
  <r>
    <d v="2021-06-23T00:00:00"/>
    <x v="1"/>
    <x v="0"/>
    <x v="0"/>
    <n v="104323170.12"/>
    <x v="1"/>
    <x v="0"/>
    <x v="0"/>
    <x v="8"/>
    <x v="4"/>
    <x v="0"/>
    <x v="4"/>
    <x v="0"/>
    <x v="10"/>
    <n v="23"/>
    <x v="0"/>
  </r>
  <r>
    <d v="2021-06-23T00:00:00"/>
    <x v="1"/>
    <x v="0"/>
    <x v="1"/>
    <n v="7236083667.8000002"/>
    <x v="1"/>
    <x v="0"/>
    <x v="1"/>
    <x v="9"/>
    <x v="4"/>
    <x v="0"/>
    <x v="4"/>
    <x v="0"/>
    <x v="10"/>
    <n v="23"/>
    <x v="0"/>
  </r>
  <r>
    <d v="2021-06-23T00:00:00"/>
    <x v="3"/>
    <x v="2"/>
    <x v="0"/>
    <n v="6135067109.0799999"/>
    <x v="3"/>
    <x v="2"/>
    <x v="0"/>
    <x v="10"/>
    <x v="4"/>
    <x v="0"/>
    <x v="4"/>
    <x v="0"/>
    <x v="10"/>
    <n v="23"/>
    <x v="0"/>
  </r>
  <r>
    <d v="2021-06-23T00:00:00"/>
    <x v="3"/>
    <x v="2"/>
    <x v="1"/>
    <n v="9482774656.4699993"/>
    <x v="3"/>
    <x v="2"/>
    <x v="1"/>
    <x v="11"/>
    <x v="4"/>
    <x v="0"/>
    <x v="4"/>
    <x v="0"/>
    <x v="10"/>
    <n v="23"/>
    <x v="0"/>
  </r>
  <r>
    <d v="2021-06-23T00:00:00"/>
    <x v="3"/>
    <x v="1"/>
    <x v="0"/>
    <n v="11488827.6"/>
    <x v="3"/>
    <x v="1"/>
    <x v="0"/>
    <x v="12"/>
    <x v="4"/>
    <x v="0"/>
    <x v="4"/>
    <x v="0"/>
    <x v="10"/>
    <n v="23"/>
    <x v="0"/>
  </r>
  <r>
    <d v="2021-06-22T00:00:00"/>
    <x v="1"/>
    <x v="0"/>
    <x v="2"/>
    <n v="9611.14"/>
    <x v="1"/>
    <x v="0"/>
    <x v="2"/>
    <x v="2"/>
    <x v="4"/>
    <x v="0"/>
    <x v="4"/>
    <x v="0"/>
    <x v="10"/>
    <n v="22"/>
    <x v="0"/>
  </r>
  <r>
    <d v="2021-06-22T00:00:00"/>
    <x v="2"/>
    <x v="1"/>
    <x v="2"/>
    <n v="2100"/>
    <x v="2"/>
    <x v="1"/>
    <x v="2"/>
    <x v="1"/>
    <x v="4"/>
    <x v="0"/>
    <x v="4"/>
    <x v="0"/>
    <x v="10"/>
    <n v="22"/>
    <x v="0"/>
  </r>
  <r>
    <d v="2021-06-22T00:00:00"/>
    <x v="3"/>
    <x v="3"/>
    <x v="0"/>
    <n v="980645876.75999999"/>
    <x v="3"/>
    <x v="3"/>
    <x v="0"/>
    <x v="7"/>
    <x v="4"/>
    <x v="0"/>
    <x v="4"/>
    <x v="0"/>
    <x v="10"/>
    <n v="22"/>
    <x v="0"/>
  </r>
  <r>
    <d v="2021-06-22T00:00:00"/>
    <x v="0"/>
    <x v="1"/>
    <x v="1"/>
    <n v="1284341.06"/>
    <x v="0"/>
    <x v="1"/>
    <x v="1"/>
    <x v="3"/>
    <x v="4"/>
    <x v="0"/>
    <x v="4"/>
    <x v="0"/>
    <x v="10"/>
    <n v="22"/>
    <x v="0"/>
  </r>
  <r>
    <d v="2021-06-22T00:00:00"/>
    <x v="0"/>
    <x v="1"/>
    <x v="0"/>
    <n v="15036348.439999999"/>
    <x v="0"/>
    <x v="1"/>
    <x v="0"/>
    <x v="0"/>
    <x v="4"/>
    <x v="0"/>
    <x v="4"/>
    <x v="0"/>
    <x v="10"/>
    <n v="22"/>
    <x v="0"/>
  </r>
  <r>
    <d v="2021-06-22T00:00:00"/>
    <x v="2"/>
    <x v="1"/>
    <x v="1"/>
    <n v="336395960.38999999"/>
    <x v="2"/>
    <x v="1"/>
    <x v="1"/>
    <x v="6"/>
    <x v="4"/>
    <x v="0"/>
    <x v="4"/>
    <x v="0"/>
    <x v="10"/>
    <n v="22"/>
    <x v="0"/>
  </r>
  <r>
    <d v="2021-06-22T00:00:00"/>
    <x v="3"/>
    <x v="2"/>
    <x v="2"/>
    <n v="254503.99"/>
    <x v="3"/>
    <x v="2"/>
    <x v="2"/>
    <x v="4"/>
    <x v="4"/>
    <x v="0"/>
    <x v="4"/>
    <x v="0"/>
    <x v="10"/>
    <n v="22"/>
    <x v="0"/>
  </r>
  <r>
    <d v="2021-06-22T00:00:00"/>
    <x v="2"/>
    <x v="1"/>
    <x v="0"/>
    <n v="87665281.569999993"/>
    <x v="2"/>
    <x v="1"/>
    <x v="0"/>
    <x v="5"/>
    <x v="4"/>
    <x v="0"/>
    <x v="4"/>
    <x v="0"/>
    <x v="10"/>
    <n v="22"/>
    <x v="0"/>
  </r>
  <r>
    <d v="2021-06-22T00:00:00"/>
    <x v="1"/>
    <x v="0"/>
    <x v="0"/>
    <n v="80398688.629999995"/>
    <x v="1"/>
    <x v="0"/>
    <x v="0"/>
    <x v="8"/>
    <x v="4"/>
    <x v="0"/>
    <x v="4"/>
    <x v="0"/>
    <x v="10"/>
    <n v="22"/>
    <x v="0"/>
  </r>
  <r>
    <d v="2021-06-22T00:00:00"/>
    <x v="1"/>
    <x v="0"/>
    <x v="1"/>
    <n v="16162849745.74"/>
    <x v="1"/>
    <x v="0"/>
    <x v="1"/>
    <x v="9"/>
    <x v="4"/>
    <x v="0"/>
    <x v="4"/>
    <x v="0"/>
    <x v="10"/>
    <n v="22"/>
    <x v="0"/>
  </r>
  <r>
    <d v="2021-06-22T00:00:00"/>
    <x v="3"/>
    <x v="2"/>
    <x v="0"/>
    <n v="280754775.42000002"/>
    <x v="3"/>
    <x v="2"/>
    <x v="0"/>
    <x v="10"/>
    <x v="4"/>
    <x v="0"/>
    <x v="4"/>
    <x v="0"/>
    <x v="10"/>
    <n v="22"/>
    <x v="0"/>
  </r>
  <r>
    <d v="2021-06-22T00:00:00"/>
    <x v="3"/>
    <x v="1"/>
    <x v="0"/>
    <n v="9088210.8300000001"/>
    <x v="3"/>
    <x v="1"/>
    <x v="0"/>
    <x v="11"/>
    <x v="4"/>
    <x v="0"/>
    <x v="4"/>
    <x v="0"/>
    <x v="10"/>
    <n v="22"/>
    <x v="0"/>
  </r>
  <r>
    <d v="2021-06-22T00:00:00"/>
    <x v="3"/>
    <x v="2"/>
    <x v="1"/>
    <n v="2895461129.3400002"/>
    <x v="3"/>
    <x v="2"/>
    <x v="1"/>
    <x v="12"/>
    <x v="4"/>
    <x v="0"/>
    <x v="4"/>
    <x v="0"/>
    <x v="10"/>
    <n v="22"/>
    <x v="0"/>
  </r>
  <r>
    <d v="2021-06-21T00:00:00"/>
    <x v="1"/>
    <x v="0"/>
    <x v="2"/>
    <n v="743.79"/>
    <x v="1"/>
    <x v="0"/>
    <x v="2"/>
    <x v="1"/>
    <x v="4"/>
    <x v="0"/>
    <x v="4"/>
    <x v="0"/>
    <x v="10"/>
    <n v="21"/>
    <x v="0"/>
  </r>
  <r>
    <d v="2021-06-21T00:00:00"/>
    <x v="2"/>
    <x v="1"/>
    <x v="0"/>
    <n v="4691100.5"/>
    <x v="2"/>
    <x v="1"/>
    <x v="0"/>
    <x v="4"/>
    <x v="4"/>
    <x v="0"/>
    <x v="4"/>
    <x v="0"/>
    <x v="10"/>
    <n v="21"/>
    <x v="0"/>
  </r>
  <r>
    <d v="2021-06-21T00:00:00"/>
    <x v="1"/>
    <x v="0"/>
    <x v="0"/>
    <n v="64550855.079999998"/>
    <x v="1"/>
    <x v="0"/>
    <x v="0"/>
    <x v="7"/>
    <x v="4"/>
    <x v="0"/>
    <x v="4"/>
    <x v="0"/>
    <x v="10"/>
    <n v="21"/>
    <x v="0"/>
  </r>
  <r>
    <d v="2021-06-21T00:00:00"/>
    <x v="0"/>
    <x v="1"/>
    <x v="1"/>
    <n v="27239499.93"/>
    <x v="0"/>
    <x v="1"/>
    <x v="1"/>
    <x v="2"/>
    <x v="4"/>
    <x v="0"/>
    <x v="4"/>
    <x v="0"/>
    <x v="10"/>
    <n v="21"/>
    <x v="0"/>
  </r>
  <r>
    <d v="2021-06-21T00:00:00"/>
    <x v="3"/>
    <x v="2"/>
    <x v="2"/>
    <n v="106293.97"/>
    <x v="3"/>
    <x v="2"/>
    <x v="2"/>
    <x v="3"/>
    <x v="4"/>
    <x v="0"/>
    <x v="4"/>
    <x v="0"/>
    <x v="10"/>
    <n v="21"/>
    <x v="0"/>
  </r>
  <r>
    <d v="2021-06-21T00:00:00"/>
    <x v="0"/>
    <x v="1"/>
    <x v="0"/>
    <n v="9116225.5800000001"/>
    <x v="0"/>
    <x v="1"/>
    <x v="0"/>
    <x v="0"/>
    <x v="4"/>
    <x v="0"/>
    <x v="4"/>
    <x v="0"/>
    <x v="10"/>
    <n v="21"/>
    <x v="0"/>
  </r>
  <r>
    <d v="2021-06-21T00:00:00"/>
    <x v="3"/>
    <x v="3"/>
    <x v="0"/>
    <n v="3213467355.8699999"/>
    <x v="3"/>
    <x v="3"/>
    <x v="0"/>
    <x v="5"/>
    <x v="4"/>
    <x v="0"/>
    <x v="4"/>
    <x v="0"/>
    <x v="10"/>
    <n v="21"/>
    <x v="0"/>
  </r>
  <r>
    <d v="2021-06-21T00:00:00"/>
    <x v="2"/>
    <x v="1"/>
    <x v="1"/>
    <n v="-1021950.99"/>
    <x v="2"/>
    <x v="1"/>
    <x v="1"/>
    <x v="6"/>
    <x v="4"/>
    <x v="0"/>
    <x v="4"/>
    <x v="0"/>
    <x v="10"/>
    <n v="21"/>
    <x v="1"/>
  </r>
  <r>
    <d v="2021-06-21T00:00:00"/>
    <x v="1"/>
    <x v="0"/>
    <x v="1"/>
    <n v="8617140159.5599995"/>
    <x v="1"/>
    <x v="0"/>
    <x v="1"/>
    <x v="8"/>
    <x v="4"/>
    <x v="0"/>
    <x v="4"/>
    <x v="0"/>
    <x v="10"/>
    <n v="21"/>
    <x v="0"/>
  </r>
  <r>
    <d v="2021-06-21T00:00:00"/>
    <x v="3"/>
    <x v="2"/>
    <x v="0"/>
    <n v="597979924.29999995"/>
    <x v="3"/>
    <x v="2"/>
    <x v="0"/>
    <x v="9"/>
    <x v="4"/>
    <x v="0"/>
    <x v="4"/>
    <x v="0"/>
    <x v="10"/>
    <n v="21"/>
    <x v="0"/>
  </r>
  <r>
    <d v="2021-06-21T00:00:00"/>
    <x v="3"/>
    <x v="2"/>
    <x v="1"/>
    <n v="17480416561.959999"/>
    <x v="3"/>
    <x v="2"/>
    <x v="1"/>
    <x v="10"/>
    <x v="4"/>
    <x v="0"/>
    <x v="4"/>
    <x v="0"/>
    <x v="10"/>
    <n v="21"/>
    <x v="0"/>
  </r>
  <r>
    <d v="2021-06-21T00:00:00"/>
    <x v="3"/>
    <x v="1"/>
    <x v="0"/>
    <n v="37864216.850000001"/>
    <x v="3"/>
    <x v="1"/>
    <x v="0"/>
    <x v="11"/>
    <x v="4"/>
    <x v="0"/>
    <x v="4"/>
    <x v="0"/>
    <x v="10"/>
    <n v="21"/>
    <x v="0"/>
  </r>
  <r>
    <d v="2021-06-18T00:00:00"/>
    <x v="2"/>
    <x v="1"/>
    <x v="2"/>
    <n v="21516.55"/>
    <x v="2"/>
    <x v="1"/>
    <x v="2"/>
    <x v="3"/>
    <x v="4"/>
    <x v="0"/>
    <x v="4"/>
    <x v="0"/>
    <x v="10"/>
    <n v="18"/>
    <x v="0"/>
  </r>
  <r>
    <d v="2021-06-18T00:00:00"/>
    <x v="2"/>
    <x v="1"/>
    <x v="0"/>
    <n v="90737697.489999995"/>
    <x v="2"/>
    <x v="1"/>
    <x v="0"/>
    <x v="6"/>
    <x v="4"/>
    <x v="0"/>
    <x v="4"/>
    <x v="0"/>
    <x v="10"/>
    <n v="18"/>
    <x v="0"/>
  </r>
  <r>
    <d v="2021-06-18T00:00:00"/>
    <x v="1"/>
    <x v="0"/>
    <x v="0"/>
    <n v="83824800.430000007"/>
    <x v="1"/>
    <x v="0"/>
    <x v="0"/>
    <x v="9"/>
    <x v="4"/>
    <x v="0"/>
    <x v="4"/>
    <x v="0"/>
    <x v="10"/>
    <n v="18"/>
    <x v="0"/>
  </r>
  <r>
    <d v="2021-06-18T00:00:00"/>
    <x v="3"/>
    <x v="2"/>
    <x v="2"/>
    <n v="262184.99"/>
    <x v="3"/>
    <x v="2"/>
    <x v="2"/>
    <x v="5"/>
    <x v="4"/>
    <x v="0"/>
    <x v="4"/>
    <x v="0"/>
    <x v="10"/>
    <n v="18"/>
    <x v="0"/>
  </r>
  <r>
    <d v="2021-06-18T00:00:00"/>
    <x v="0"/>
    <x v="0"/>
    <x v="0"/>
    <n v="482.78"/>
    <x v="0"/>
    <x v="0"/>
    <x v="0"/>
    <x v="0"/>
    <x v="4"/>
    <x v="0"/>
    <x v="4"/>
    <x v="0"/>
    <x v="10"/>
    <n v="18"/>
    <x v="0"/>
  </r>
  <r>
    <d v="2021-06-18T00:00:00"/>
    <x v="0"/>
    <x v="1"/>
    <x v="0"/>
    <n v="15510029.84"/>
    <x v="0"/>
    <x v="1"/>
    <x v="0"/>
    <x v="1"/>
    <x v="4"/>
    <x v="0"/>
    <x v="4"/>
    <x v="0"/>
    <x v="10"/>
    <n v="18"/>
    <x v="0"/>
  </r>
  <r>
    <d v="2021-06-18T00:00:00"/>
    <x v="1"/>
    <x v="0"/>
    <x v="2"/>
    <n v="1356.52"/>
    <x v="1"/>
    <x v="0"/>
    <x v="2"/>
    <x v="2"/>
    <x v="4"/>
    <x v="0"/>
    <x v="4"/>
    <x v="0"/>
    <x v="10"/>
    <n v="18"/>
    <x v="0"/>
  </r>
  <r>
    <d v="2021-06-18T00:00:00"/>
    <x v="0"/>
    <x v="1"/>
    <x v="1"/>
    <n v="31674541.23"/>
    <x v="0"/>
    <x v="1"/>
    <x v="1"/>
    <x v="4"/>
    <x v="4"/>
    <x v="0"/>
    <x v="4"/>
    <x v="0"/>
    <x v="10"/>
    <n v="18"/>
    <x v="0"/>
  </r>
  <r>
    <d v="2021-06-18T00:00:00"/>
    <x v="2"/>
    <x v="1"/>
    <x v="1"/>
    <n v="486071604.76999998"/>
    <x v="2"/>
    <x v="1"/>
    <x v="1"/>
    <x v="8"/>
    <x v="4"/>
    <x v="0"/>
    <x v="4"/>
    <x v="0"/>
    <x v="10"/>
    <n v="18"/>
    <x v="0"/>
  </r>
  <r>
    <d v="2021-06-18T00:00:00"/>
    <x v="3"/>
    <x v="3"/>
    <x v="0"/>
    <n v="1334246055.25"/>
    <x v="3"/>
    <x v="3"/>
    <x v="0"/>
    <x v="7"/>
    <x v="4"/>
    <x v="0"/>
    <x v="4"/>
    <x v="0"/>
    <x v="10"/>
    <n v="18"/>
    <x v="0"/>
  </r>
  <r>
    <d v="2021-06-18T00:00:00"/>
    <x v="1"/>
    <x v="0"/>
    <x v="1"/>
    <n v="2610204693.29"/>
    <x v="1"/>
    <x v="0"/>
    <x v="1"/>
    <x v="10"/>
    <x v="4"/>
    <x v="0"/>
    <x v="4"/>
    <x v="0"/>
    <x v="10"/>
    <n v="18"/>
    <x v="0"/>
  </r>
  <r>
    <d v="2021-06-18T00:00:00"/>
    <x v="3"/>
    <x v="2"/>
    <x v="0"/>
    <n v="397593238.25999999"/>
    <x v="3"/>
    <x v="2"/>
    <x v="0"/>
    <x v="11"/>
    <x v="4"/>
    <x v="0"/>
    <x v="4"/>
    <x v="0"/>
    <x v="10"/>
    <n v="18"/>
    <x v="0"/>
  </r>
  <r>
    <d v="2021-06-18T00:00:00"/>
    <x v="3"/>
    <x v="2"/>
    <x v="1"/>
    <n v="10894043381.719999"/>
    <x v="3"/>
    <x v="2"/>
    <x v="1"/>
    <x v="12"/>
    <x v="4"/>
    <x v="0"/>
    <x v="4"/>
    <x v="0"/>
    <x v="10"/>
    <n v="18"/>
    <x v="0"/>
  </r>
  <r>
    <d v="2021-06-18T00:00:00"/>
    <x v="3"/>
    <x v="1"/>
    <x v="0"/>
    <n v="15056226.59"/>
    <x v="3"/>
    <x v="1"/>
    <x v="0"/>
    <x v="13"/>
    <x v="4"/>
    <x v="0"/>
    <x v="4"/>
    <x v="0"/>
    <x v="10"/>
    <n v="18"/>
    <x v="0"/>
  </r>
  <r>
    <d v="2021-06-17T00:00:00"/>
    <x v="1"/>
    <x v="0"/>
    <x v="2"/>
    <n v="667.49"/>
    <x v="1"/>
    <x v="0"/>
    <x v="2"/>
    <x v="2"/>
    <x v="4"/>
    <x v="0"/>
    <x v="4"/>
    <x v="0"/>
    <x v="10"/>
    <n v="17"/>
    <x v="0"/>
  </r>
  <r>
    <d v="2021-06-17T00:00:00"/>
    <x v="3"/>
    <x v="2"/>
    <x v="2"/>
    <n v="248869.99"/>
    <x v="3"/>
    <x v="2"/>
    <x v="2"/>
    <x v="3"/>
    <x v="4"/>
    <x v="0"/>
    <x v="4"/>
    <x v="0"/>
    <x v="10"/>
    <n v="17"/>
    <x v="0"/>
  </r>
  <r>
    <d v="2021-06-17T00:00:00"/>
    <x v="3"/>
    <x v="3"/>
    <x v="0"/>
    <n v="1165000701.3699999"/>
    <x v="3"/>
    <x v="3"/>
    <x v="0"/>
    <x v="7"/>
    <x v="4"/>
    <x v="0"/>
    <x v="4"/>
    <x v="0"/>
    <x v="10"/>
    <n v="17"/>
    <x v="0"/>
  </r>
  <r>
    <d v="2021-06-17T00:00:00"/>
    <x v="0"/>
    <x v="1"/>
    <x v="1"/>
    <n v="12645957.029999999"/>
    <x v="0"/>
    <x v="1"/>
    <x v="1"/>
    <x v="5"/>
    <x v="4"/>
    <x v="0"/>
    <x v="4"/>
    <x v="0"/>
    <x v="10"/>
    <n v="17"/>
    <x v="0"/>
  </r>
  <r>
    <d v="2021-06-17T00:00:00"/>
    <x v="1"/>
    <x v="0"/>
    <x v="0"/>
    <n v="94298577.459999993"/>
    <x v="1"/>
    <x v="0"/>
    <x v="0"/>
    <x v="10"/>
    <x v="4"/>
    <x v="0"/>
    <x v="4"/>
    <x v="0"/>
    <x v="10"/>
    <n v="17"/>
    <x v="0"/>
  </r>
  <r>
    <d v="2021-06-17T00:00:00"/>
    <x v="2"/>
    <x v="1"/>
    <x v="2"/>
    <n v="468443.74"/>
    <x v="2"/>
    <x v="1"/>
    <x v="2"/>
    <x v="6"/>
    <x v="4"/>
    <x v="0"/>
    <x v="4"/>
    <x v="0"/>
    <x v="10"/>
    <n v="17"/>
    <x v="0"/>
  </r>
  <r>
    <d v="2021-06-17T00:00:00"/>
    <x v="0"/>
    <x v="0"/>
    <x v="0"/>
    <n v="201.54"/>
    <x v="0"/>
    <x v="0"/>
    <x v="0"/>
    <x v="0"/>
    <x v="4"/>
    <x v="0"/>
    <x v="4"/>
    <x v="0"/>
    <x v="10"/>
    <n v="17"/>
    <x v="0"/>
  </r>
  <r>
    <d v="2021-06-17T00:00:00"/>
    <x v="0"/>
    <x v="1"/>
    <x v="0"/>
    <n v="10835663.32"/>
    <x v="0"/>
    <x v="1"/>
    <x v="0"/>
    <x v="1"/>
    <x v="4"/>
    <x v="0"/>
    <x v="4"/>
    <x v="0"/>
    <x v="10"/>
    <n v="17"/>
    <x v="0"/>
  </r>
  <r>
    <d v="2021-06-17T00:00:00"/>
    <x v="3"/>
    <x v="3"/>
    <x v="1"/>
    <n v="450.63"/>
    <x v="3"/>
    <x v="3"/>
    <x v="1"/>
    <x v="4"/>
    <x v="4"/>
    <x v="0"/>
    <x v="4"/>
    <x v="0"/>
    <x v="10"/>
    <n v="17"/>
    <x v="0"/>
  </r>
  <r>
    <d v="2021-06-17T00:00:00"/>
    <x v="2"/>
    <x v="1"/>
    <x v="0"/>
    <n v="85214024.209999993"/>
    <x v="2"/>
    <x v="1"/>
    <x v="0"/>
    <x v="9"/>
    <x v="4"/>
    <x v="0"/>
    <x v="4"/>
    <x v="0"/>
    <x v="10"/>
    <n v="17"/>
    <x v="0"/>
  </r>
  <r>
    <d v="2021-06-17T00:00:00"/>
    <x v="2"/>
    <x v="1"/>
    <x v="1"/>
    <n v="472077957.35000002"/>
    <x v="2"/>
    <x v="1"/>
    <x v="1"/>
    <x v="8"/>
    <x v="4"/>
    <x v="0"/>
    <x v="4"/>
    <x v="0"/>
    <x v="10"/>
    <n v="17"/>
    <x v="0"/>
  </r>
  <r>
    <d v="2021-06-17T00:00:00"/>
    <x v="1"/>
    <x v="0"/>
    <x v="1"/>
    <n v="6598812514.7399998"/>
    <x v="1"/>
    <x v="0"/>
    <x v="1"/>
    <x v="11"/>
    <x v="4"/>
    <x v="0"/>
    <x v="4"/>
    <x v="0"/>
    <x v="10"/>
    <n v="17"/>
    <x v="0"/>
  </r>
  <r>
    <d v="2021-06-17T00:00:00"/>
    <x v="3"/>
    <x v="2"/>
    <x v="0"/>
    <n v="304496184.35000002"/>
    <x v="3"/>
    <x v="2"/>
    <x v="0"/>
    <x v="12"/>
    <x v="4"/>
    <x v="0"/>
    <x v="4"/>
    <x v="0"/>
    <x v="10"/>
    <n v="17"/>
    <x v="0"/>
  </r>
  <r>
    <d v="2021-06-17T00:00:00"/>
    <x v="3"/>
    <x v="1"/>
    <x v="0"/>
    <n v="13358349.4"/>
    <x v="3"/>
    <x v="1"/>
    <x v="0"/>
    <x v="13"/>
    <x v="4"/>
    <x v="0"/>
    <x v="4"/>
    <x v="0"/>
    <x v="10"/>
    <n v="17"/>
    <x v="0"/>
  </r>
  <r>
    <d v="2021-06-17T00:00:00"/>
    <x v="3"/>
    <x v="2"/>
    <x v="1"/>
    <n v="5633447726.8000002"/>
    <x v="3"/>
    <x v="2"/>
    <x v="1"/>
    <x v="14"/>
    <x v="4"/>
    <x v="0"/>
    <x v="4"/>
    <x v="0"/>
    <x v="10"/>
    <n v="17"/>
    <x v="0"/>
  </r>
  <r>
    <d v="2021-06-16T00:00:00"/>
    <x v="1"/>
    <x v="0"/>
    <x v="2"/>
    <n v="698.95"/>
    <x v="1"/>
    <x v="0"/>
    <x v="2"/>
    <x v="1"/>
    <x v="4"/>
    <x v="0"/>
    <x v="4"/>
    <x v="0"/>
    <x v="10"/>
    <n v="16"/>
    <x v="0"/>
  </r>
  <r>
    <d v="2021-06-16T00:00:00"/>
    <x v="2"/>
    <x v="1"/>
    <x v="2"/>
    <n v="13435"/>
    <x v="2"/>
    <x v="1"/>
    <x v="2"/>
    <x v="2"/>
    <x v="4"/>
    <x v="0"/>
    <x v="4"/>
    <x v="0"/>
    <x v="10"/>
    <n v="16"/>
    <x v="0"/>
  </r>
  <r>
    <d v="2021-06-16T00:00:00"/>
    <x v="2"/>
    <x v="1"/>
    <x v="0"/>
    <n v="93397326.829999998"/>
    <x v="2"/>
    <x v="1"/>
    <x v="0"/>
    <x v="6"/>
    <x v="4"/>
    <x v="0"/>
    <x v="4"/>
    <x v="0"/>
    <x v="10"/>
    <n v="16"/>
    <x v="0"/>
  </r>
  <r>
    <d v="2021-06-16T00:00:00"/>
    <x v="2"/>
    <x v="1"/>
    <x v="1"/>
    <n v="362265980.08999997"/>
    <x v="2"/>
    <x v="1"/>
    <x v="1"/>
    <x v="8"/>
    <x v="4"/>
    <x v="0"/>
    <x v="4"/>
    <x v="0"/>
    <x v="10"/>
    <n v="16"/>
    <x v="0"/>
  </r>
  <r>
    <d v="2021-06-16T00:00:00"/>
    <x v="0"/>
    <x v="1"/>
    <x v="1"/>
    <n v="10225202.43"/>
    <x v="0"/>
    <x v="1"/>
    <x v="1"/>
    <x v="4"/>
    <x v="4"/>
    <x v="0"/>
    <x v="4"/>
    <x v="0"/>
    <x v="10"/>
    <n v="16"/>
    <x v="0"/>
  </r>
  <r>
    <d v="2021-06-16T00:00:00"/>
    <x v="3"/>
    <x v="2"/>
    <x v="2"/>
    <n v="323064.94"/>
    <x v="3"/>
    <x v="2"/>
    <x v="2"/>
    <x v="5"/>
    <x v="4"/>
    <x v="0"/>
    <x v="4"/>
    <x v="0"/>
    <x v="10"/>
    <n v="16"/>
    <x v="0"/>
  </r>
  <r>
    <d v="2021-06-16T00:00:00"/>
    <x v="0"/>
    <x v="1"/>
    <x v="0"/>
    <n v="18194389.02"/>
    <x v="0"/>
    <x v="1"/>
    <x v="0"/>
    <x v="0"/>
    <x v="4"/>
    <x v="0"/>
    <x v="4"/>
    <x v="0"/>
    <x v="10"/>
    <n v="16"/>
    <x v="0"/>
  </r>
  <r>
    <d v="2021-06-16T00:00:00"/>
    <x v="3"/>
    <x v="3"/>
    <x v="0"/>
    <n v="1215039670.45"/>
    <x v="3"/>
    <x v="3"/>
    <x v="0"/>
    <x v="7"/>
    <x v="4"/>
    <x v="0"/>
    <x v="4"/>
    <x v="0"/>
    <x v="10"/>
    <n v="16"/>
    <x v="0"/>
  </r>
  <r>
    <d v="2021-06-16T00:00:00"/>
    <x v="3"/>
    <x v="3"/>
    <x v="1"/>
    <n v="18200"/>
    <x v="3"/>
    <x v="3"/>
    <x v="1"/>
    <x v="3"/>
    <x v="4"/>
    <x v="0"/>
    <x v="4"/>
    <x v="0"/>
    <x v="10"/>
    <n v="16"/>
    <x v="0"/>
  </r>
  <r>
    <d v="2021-06-16T00:00:00"/>
    <x v="1"/>
    <x v="0"/>
    <x v="0"/>
    <n v="93900388.299999997"/>
    <x v="1"/>
    <x v="0"/>
    <x v="0"/>
    <x v="9"/>
    <x v="4"/>
    <x v="0"/>
    <x v="4"/>
    <x v="0"/>
    <x v="10"/>
    <n v="16"/>
    <x v="0"/>
  </r>
  <r>
    <d v="2021-06-16T00:00:00"/>
    <x v="1"/>
    <x v="0"/>
    <x v="1"/>
    <n v="6744088794.7200003"/>
    <x v="1"/>
    <x v="0"/>
    <x v="1"/>
    <x v="10"/>
    <x v="4"/>
    <x v="0"/>
    <x v="4"/>
    <x v="0"/>
    <x v="10"/>
    <n v="16"/>
    <x v="0"/>
  </r>
  <r>
    <d v="2021-06-16T00:00:00"/>
    <x v="3"/>
    <x v="2"/>
    <x v="0"/>
    <n v="588824726.24000001"/>
    <x v="3"/>
    <x v="2"/>
    <x v="0"/>
    <x v="11"/>
    <x v="4"/>
    <x v="0"/>
    <x v="4"/>
    <x v="0"/>
    <x v="10"/>
    <n v="16"/>
    <x v="0"/>
  </r>
  <r>
    <d v="2021-06-16T00:00:00"/>
    <x v="3"/>
    <x v="1"/>
    <x v="0"/>
    <n v="12397208.91"/>
    <x v="3"/>
    <x v="1"/>
    <x v="0"/>
    <x v="12"/>
    <x v="4"/>
    <x v="0"/>
    <x v="4"/>
    <x v="0"/>
    <x v="10"/>
    <n v="16"/>
    <x v="0"/>
  </r>
  <r>
    <d v="2021-06-16T00:00:00"/>
    <x v="3"/>
    <x v="2"/>
    <x v="1"/>
    <n v="28730775523.459999"/>
    <x v="3"/>
    <x v="2"/>
    <x v="1"/>
    <x v="13"/>
    <x v="4"/>
    <x v="0"/>
    <x v="4"/>
    <x v="0"/>
    <x v="10"/>
    <n v="16"/>
    <x v="0"/>
  </r>
  <r>
    <d v="2021-06-15T00:00:00"/>
    <x v="1"/>
    <x v="0"/>
    <x v="2"/>
    <n v="16555.18"/>
    <x v="1"/>
    <x v="0"/>
    <x v="2"/>
    <x v="1"/>
    <x v="4"/>
    <x v="0"/>
    <x v="4"/>
    <x v="0"/>
    <x v="10"/>
    <n v="15"/>
    <x v="0"/>
  </r>
  <r>
    <d v="2021-06-15T00:00:00"/>
    <x v="2"/>
    <x v="1"/>
    <x v="0"/>
    <n v="85889790.060000002"/>
    <x v="2"/>
    <x v="1"/>
    <x v="0"/>
    <x v="6"/>
    <x v="4"/>
    <x v="0"/>
    <x v="4"/>
    <x v="0"/>
    <x v="10"/>
    <n v="15"/>
    <x v="0"/>
  </r>
  <r>
    <d v="2021-06-15T00:00:00"/>
    <x v="0"/>
    <x v="1"/>
    <x v="1"/>
    <n v="19964218.309999999"/>
    <x v="0"/>
    <x v="1"/>
    <x v="1"/>
    <x v="2"/>
    <x v="4"/>
    <x v="0"/>
    <x v="4"/>
    <x v="0"/>
    <x v="10"/>
    <n v="15"/>
    <x v="0"/>
  </r>
  <r>
    <d v="2021-06-15T00:00:00"/>
    <x v="2"/>
    <x v="1"/>
    <x v="1"/>
    <n v="397587468.93000001"/>
    <x v="2"/>
    <x v="1"/>
    <x v="1"/>
    <x v="7"/>
    <x v="4"/>
    <x v="0"/>
    <x v="4"/>
    <x v="0"/>
    <x v="10"/>
    <n v="15"/>
    <x v="0"/>
  </r>
  <r>
    <d v="2021-06-15T00:00:00"/>
    <x v="1"/>
    <x v="0"/>
    <x v="1"/>
    <n v="2297253335.0999999"/>
    <x v="1"/>
    <x v="0"/>
    <x v="1"/>
    <x v="9"/>
    <x v="4"/>
    <x v="0"/>
    <x v="4"/>
    <x v="0"/>
    <x v="10"/>
    <n v="15"/>
    <x v="0"/>
  </r>
  <r>
    <d v="2021-06-15T00:00:00"/>
    <x v="2"/>
    <x v="1"/>
    <x v="2"/>
    <n v="7710"/>
    <x v="2"/>
    <x v="1"/>
    <x v="2"/>
    <x v="3"/>
    <x v="4"/>
    <x v="0"/>
    <x v="4"/>
    <x v="0"/>
    <x v="10"/>
    <n v="15"/>
    <x v="0"/>
  </r>
  <r>
    <d v="2021-06-15T00:00:00"/>
    <x v="3"/>
    <x v="2"/>
    <x v="2"/>
    <n v="208400.99"/>
    <x v="3"/>
    <x v="2"/>
    <x v="2"/>
    <x v="4"/>
    <x v="4"/>
    <x v="0"/>
    <x v="4"/>
    <x v="0"/>
    <x v="10"/>
    <n v="15"/>
    <x v="0"/>
  </r>
  <r>
    <d v="2021-06-15T00:00:00"/>
    <x v="0"/>
    <x v="1"/>
    <x v="0"/>
    <n v="10819018.92"/>
    <x v="0"/>
    <x v="1"/>
    <x v="0"/>
    <x v="0"/>
    <x v="4"/>
    <x v="0"/>
    <x v="4"/>
    <x v="0"/>
    <x v="10"/>
    <n v="15"/>
    <x v="0"/>
  </r>
  <r>
    <d v="2021-06-15T00:00:00"/>
    <x v="3"/>
    <x v="3"/>
    <x v="0"/>
    <n v="1516102339.1900001"/>
    <x v="3"/>
    <x v="3"/>
    <x v="0"/>
    <x v="5"/>
    <x v="4"/>
    <x v="0"/>
    <x v="4"/>
    <x v="0"/>
    <x v="10"/>
    <n v="15"/>
    <x v="0"/>
  </r>
  <r>
    <d v="2021-06-15T00:00:00"/>
    <x v="1"/>
    <x v="0"/>
    <x v="0"/>
    <n v="79762907.939999998"/>
    <x v="1"/>
    <x v="0"/>
    <x v="0"/>
    <x v="8"/>
    <x v="4"/>
    <x v="0"/>
    <x v="4"/>
    <x v="0"/>
    <x v="10"/>
    <n v="15"/>
    <x v="0"/>
  </r>
  <r>
    <d v="2021-06-15T00:00:00"/>
    <x v="3"/>
    <x v="2"/>
    <x v="0"/>
    <n v="615897820.04999995"/>
    <x v="3"/>
    <x v="2"/>
    <x v="0"/>
    <x v="10"/>
    <x v="4"/>
    <x v="0"/>
    <x v="4"/>
    <x v="0"/>
    <x v="10"/>
    <n v="15"/>
    <x v="0"/>
  </r>
  <r>
    <d v="2021-06-15T00:00:00"/>
    <x v="3"/>
    <x v="1"/>
    <x v="0"/>
    <n v="11375489.859999999"/>
    <x v="3"/>
    <x v="1"/>
    <x v="0"/>
    <x v="11"/>
    <x v="4"/>
    <x v="0"/>
    <x v="4"/>
    <x v="0"/>
    <x v="10"/>
    <n v="15"/>
    <x v="0"/>
  </r>
  <r>
    <d v="2021-06-15T00:00:00"/>
    <x v="3"/>
    <x v="2"/>
    <x v="1"/>
    <n v="70704974602.320007"/>
    <x v="3"/>
    <x v="2"/>
    <x v="1"/>
    <x v="12"/>
    <x v="4"/>
    <x v="0"/>
    <x v="4"/>
    <x v="0"/>
    <x v="10"/>
    <n v="15"/>
    <x v="0"/>
  </r>
  <r>
    <d v="2021-06-14T00:00:00"/>
    <x v="1"/>
    <x v="0"/>
    <x v="2"/>
    <n v="3790.31"/>
    <x v="1"/>
    <x v="0"/>
    <x v="2"/>
    <x v="2"/>
    <x v="4"/>
    <x v="0"/>
    <x v="4"/>
    <x v="0"/>
    <x v="10"/>
    <n v="14"/>
    <x v="0"/>
  </r>
  <r>
    <d v="2021-06-14T00:00:00"/>
    <x v="2"/>
    <x v="1"/>
    <x v="2"/>
    <n v="16138.93"/>
    <x v="2"/>
    <x v="1"/>
    <x v="2"/>
    <x v="3"/>
    <x v="4"/>
    <x v="0"/>
    <x v="4"/>
    <x v="0"/>
    <x v="10"/>
    <n v="14"/>
    <x v="0"/>
  </r>
  <r>
    <d v="2021-06-14T00:00:00"/>
    <x v="0"/>
    <x v="1"/>
    <x v="0"/>
    <n v="16322520.449999999"/>
    <x v="0"/>
    <x v="1"/>
    <x v="0"/>
    <x v="1"/>
    <x v="4"/>
    <x v="0"/>
    <x v="4"/>
    <x v="0"/>
    <x v="10"/>
    <n v="14"/>
    <x v="0"/>
  </r>
  <r>
    <d v="2021-06-14T00:00:00"/>
    <x v="2"/>
    <x v="1"/>
    <x v="0"/>
    <n v="88337830.319999993"/>
    <x v="2"/>
    <x v="1"/>
    <x v="0"/>
    <x v="7"/>
    <x v="4"/>
    <x v="0"/>
    <x v="4"/>
    <x v="0"/>
    <x v="10"/>
    <n v="14"/>
    <x v="0"/>
  </r>
  <r>
    <d v="2021-06-14T00:00:00"/>
    <x v="2"/>
    <x v="1"/>
    <x v="1"/>
    <n v="262084074.84"/>
    <x v="2"/>
    <x v="1"/>
    <x v="1"/>
    <x v="8"/>
    <x v="4"/>
    <x v="0"/>
    <x v="4"/>
    <x v="0"/>
    <x v="10"/>
    <n v="14"/>
    <x v="0"/>
  </r>
  <r>
    <d v="2021-06-14T00:00:00"/>
    <x v="0"/>
    <x v="1"/>
    <x v="1"/>
    <n v="16026013.369999999"/>
    <x v="0"/>
    <x v="1"/>
    <x v="1"/>
    <x v="4"/>
    <x v="4"/>
    <x v="0"/>
    <x v="4"/>
    <x v="0"/>
    <x v="10"/>
    <n v="14"/>
    <x v="0"/>
  </r>
  <r>
    <d v="2021-06-14T00:00:00"/>
    <x v="3"/>
    <x v="2"/>
    <x v="2"/>
    <n v="247403.53"/>
    <x v="3"/>
    <x v="2"/>
    <x v="2"/>
    <x v="5"/>
    <x v="4"/>
    <x v="0"/>
    <x v="4"/>
    <x v="0"/>
    <x v="10"/>
    <n v="14"/>
    <x v="0"/>
  </r>
  <r>
    <d v="2021-06-14T00:00:00"/>
    <x v="0"/>
    <x v="0"/>
    <x v="0"/>
    <n v="5"/>
    <x v="0"/>
    <x v="0"/>
    <x v="0"/>
    <x v="0"/>
    <x v="4"/>
    <x v="0"/>
    <x v="4"/>
    <x v="0"/>
    <x v="10"/>
    <n v="14"/>
    <x v="0"/>
  </r>
  <r>
    <d v="2021-06-14T00:00:00"/>
    <x v="3"/>
    <x v="3"/>
    <x v="0"/>
    <n v="1566957513.79"/>
    <x v="3"/>
    <x v="3"/>
    <x v="0"/>
    <x v="6"/>
    <x v="4"/>
    <x v="0"/>
    <x v="4"/>
    <x v="0"/>
    <x v="10"/>
    <n v="14"/>
    <x v="0"/>
  </r>
  <r>
    <d v="2021-06-14T00:00:00"/>
    <x v="1"/>
    <x v="0"/>
    <x v="0"/>
    <n v="72641283.329999998"/>
    <x v="1"/>
    <x v="0"/>
    <x v="0"/>
    <x v="9"/>
    <x v="4"/>
    <x v="0"/>
    <x v="4"/>
    <x v="0"/>
    <x v="10"/>
    <n v="14"/>
    <x v="0"/>
  </r>
  <r>
    <d v="2021-06-14T00:00:00"/>
    <x v="1"/>
    <x v="0"/>
    <x v="1"/>
    <n v="2017136387.8800001"/>
    <x v="1"/>
    <x v="0"/>
    <x v="1"/>
    <x v="10"/>
    <x v="4"/>
    <x v="0"/>
    <x v="4"/>
    <x v="0"/>
    <x v="10"/>
    <n v="14"/>
    <x v="0"/>
  </r>
  <r>
    <d v="2021-06-14T00:00:00"/>
    <x v="3"/>
    <x v="2"/>
    <x v="0"/>
    <n v="625937887.13999999"/>
    <x v="3"/>
    <x v="2"/>
    <x v="0"/>
    <x v="11"/>
    <x v="4"/>
    <x v="0"/>
    <x v="4"/>
    <x v="0"/>
    <x v="10"/>
    <n v="14"/>
    <x v="0"/>
  </r>
  <r>
    <d v="2021-06-14T00:00:00"/>
    <x v="3"/>
    <x v="2"/>
    <x v="1"/>
    <n v="43288056904.529999"/>
    <x v="3"/>
    <x v="2"/>
    <x v="1"/>
    <x v="12"/>
    <x v="4"/>
    <x v="0"/>
    <x v="4"/>
    <x v="0"/>
    <x v="10"/>
    <n v="14"/>
    <x v="0"/>
  </r>
  <r>
    <d v="2021-06-14T00:00:00"/>
    <x v="3"/>
    <x v="1"/>
    <x v="0"/>
    <n v="41567906.920000002"/>
    <x v="3"/>
    <x v="1"/>
    <x v="0"/>
    <x v="13"/>
    <x v="4"/>
    <x v="0"/>
    <x v="4"/>
    <x v="0"/>
    <x v="10"/>
    <n v="14"/>
    <x v="0"/>
  </r>
  <r>
    <d v="2021-06-11T00:00:00"/>
    <x v="2"/>
    <x v="1"/>
    <x v="2"/>
    <n v="7390"/>
    <x v="2"/>
    <x v="1"/>
    <x v="2"/>
    <x v="2"/>
    <x v="4"/>
    <x v="0"/>
    <x v="4"/>
    <x v="0"/>
    <x v="10"/>
    <n v="11"/>
    <x v="0"/>
  </r>
  <r>
    <d v="2021-06-11T00:00:00"/>
    <x v="3"/>
    <x v="3"/>
    <x v="0"/>
    <n v="1030535070.5"/>
    <x v="3"/>
    <x v="3"/>
    <x v="0"/>
    <x v="5"/>
    <x v="4"/>
    <x v="0"/>
    <x v="4"/>
    <x v="0"/>
    <x v="10"/>
    <n v="11"/>
    <x v="0"/>
  </r>
  <r>
    <d v="2021-06-11T00:00:00"/>
    <x v="0"/>
    <x v="1"/>
    <x v="1"/>
    <n v="29986846.850000001"/>
    <x v="0"/>
    <x v="1"/>
    <x v="1"/>
    <x v="3"/>
    <x v="4"/>
    <x v="0"/>
    <x v="4"/>
    <x v="0"/>
    <x v="10"/>
    <n v="11"/>
    <x v="0"/>
  </r>
  <r>
    <d v="2021-06-11T00:00:00"/>
    <x v="1"/>
    <x v="0"/>
    <x v="0"/>
    <n v="79090804.769999996"/>
    <x v="1"/>
    <x v="0"/>
    <x v="0"/>
    <x v="7"/>
    <x v="4"/>
    <x v="0"/>
    <x v="4"/>
    <x v="0"/>
    <x v="10"/>
    <n v="11"/>
    <x v="0"/>
  </r>
  <r>
    <d v="2021-06-11T00:00:00"/>
    <x v="3"/>
    <x v="2"/>
    <x v="2"/>
    <n v="175027"/>
    <x v="3"/>
    <x v="2"/>
    <x v="2"/>
    <x v="4"/>
    <x v="4"/>
    <x v="0"/>
    <x v="4"/>
    <x v="0"/>
    <x v="10"/>
    <n v="11"/>
    <x v="0"/>
  </r>
  <r>
    <d v="2021-06-11T00:00:00"/>
    <x v="0"/>
    <x v="1"/>
    <x v="0"/>
    <n v="20762094.969999999"/>
    <x v="0"/>
    <x v="1"/>
    <x v="0"/>
    <x v="0"/>
    <x v="4"/>
    <x v="0"/>
    <x v="4"/>
    <x v="0"/>
    <x v="10"/>
    <n v="11"/>
    <x v="0"/>
  </r>
  <r>
    <d v="2021-06-11T00:00:00"/>
    <x v="1"/>
    <x v="0"/>
    <x v="2"/>
    <n v="5073.79"/>
    <x v="1"/>
    <x v="0"/>
    <x v="2"/>
    <x v="1"/>
    <x v="4"/>
    <x v="0"/>
    <x v="4"/>
    <x v="0"/>
    <x v="10"/>
    <n v="11"/>
    <x v="0"/>
  </r>
  <r>
    <d v="2021-06-11T00:00:00"/>
    <x v="2"/>
    <x v="1"/>
    <x v="1"/>
    <n v="464124925.77999997"/>
    <x v="2"/>
    <x v="1"/>
    <x v="1"/>
    <x v="6"/>
    <x v="4"/>
    <x v="0"/>
    <x v="4"/>
    <x v="0"/>
    <x v="10"/>
    <n v="11"/>
    <x v="0"/>
  </r>
  <r>
    <d v="2021-06-11T00:00:00"/>
    <x v="1"/>
    <x v="0"/>
    <x v="1"/>
    <n v="732067900.72000003"/>
    <x v="1"/>
    <x v="0"/>
    <x v="1"/>
    <x v="9"/>
    <x v="4"/>
    <x v="0"/>
    <x v="4"/>
    <x v="0"/>
    <x v="10"/>
    <n v="11"/>
    <x v="0"/>
  </r>
  <r>
    <d v="2021-06-11T00:00:00"/>
    <x v="2"/>
    <x v="1"/>
    <x v="0"/>
    <n v="75603803.730000004"/>
    <x v="2"/>
    <x v="1"/>
    <x v="0"/>
    <x v="8"/>
    <x v="4"/>
    <x v="0"/>
    <x v="4"/>
    <x v="0"/>
    <x v="10"/>
    <n v="11"/>
    <x v="0"/>
  </r>
  <r>
    <d v="2021-06-11T00:00:00"/>
    <x v="3"/>
    <x v="2"/>
    <x v="0"/>
    <n v="377357572.11000001"/>
    <x v="3"/>
    <x v="2"/>
    <x v="0"/>
    <x v="10"/>
    <x v="4"/>
    <x v="0"/>
    <x v="4"/>
    <x v="0"/>
    <x v="10"/>
    <n v="11"/>
    <x v="0"/>
  </r>
  <r>
    <d v="2021-06-11T00:00:00"/>
    <x v="3"/>
    <x v="2"/>
    <x v="1"/>
    <n v="20167980028.650002"/>
    <x v="3"/>
    <x v="2"/>
    <x v="1"/>
    <x v="11"/>
    <x v="4"/>
    <x v="0"/>
    <x v="4"/>
    <x v="0"/>
    <x v="10"/>
    <n v="11"/>
    <x v="0"/>
  </r>
  <r>
    <d v="2021-06-11T00:00:00"/>
    <x v="3"/>
    <x v="1"/>
    <x v="0"/>
    <n v="12467575.18"/>
    <x v="3"/>
    <x v="1"/>
    <x v="0"/>
    <x v="12"/>
    <x v="4"/>
    <x v="0"/>
    <x v="4"/>
    <x v="0"/>
    <x v="10"/>
    <n v="11"/>
    <x v="0"/>
  </r>
  <r>
    <d v="2021-06-10T00:00:00"/>
    <x v="1"/>
    <x v="0"/>
    <x v="2"/>
    <n v="2250.86"/>
    <x v="1"/>
    <x v="0"/>
    <x v="2"/>
    <x v="2"/>
    <x v="4"/>
    <x v="0"/>
    <x v="4"/>
    <x v="0"/>
    <x v="10"/>
    <n v="10"/>
    <x v="0"/>
  </r>
  <r>
    <d v="2021-06-10T00:00:00"/>
    <x v="3"/>
    <x v="3"/>
    <x v="1"/>
    <n v="57267.01"/>
    <x v="3"/>
    <x v="3"/>
    <x v="1"/>
    <x v="4"/>
    <x v="4"/>
    <x v="0"/>
    <x v="4"/>
    <x v="0"/>
    <x v="10"/>
    <n v="10"/>
    <x v="0"/>
  </r>
  <r>
    <d v="2021-06-10T00:00:00"/>
    <x v="2"/>
    <x v="1"/>
    <x v="1"/>
    <n v="168742932.77000001"/>
    <x v="2"/>
    <x v="1"/>
    <x v="1"/>
    <x v="9"/>
    <x v="4"/>
    <x v="0"/>
    <x v="4"/>
    <x v="0"/>
    <x v="10"/>
    <n v="10"/>
    <x v="0"/>
  </r>
  <r>
    <d v="2021-06-10T00:00:00"/>
    <x v="0"/>
    <x v="1"/>
    <x v="1"/>
    <n v="21636252.75"/>
    <x v="0"/>
    <x v="1"/>
    <x v="1"/>
    <x v="5"/>
    <x v="4"/>
    <x v="0"/>
    <x v="4"/>
    <x v="0"/>
    <x v="10"/>
    <n v="10"/>
    <x v="0"/>
  </r>
  <r>
    <d v="2021-06-10T00:00:00"/>
    <x v="3"/>
    <x v="2"/>
    <x v="2"/>
    <n v="131195.12"/>
    <x v="3"/>
    <x v="2"/>
    <x v="2"/>
    <x v="6"/>
    <x v="4"/>
    <x v="0"/>
    <x v="4"/>
    <x v="0"/>
    <x v="10"/>
    <n v="10"/>
    <x v="0"/>
  </r>
  <r>
    <d v="2021-06-10T00:00:00"/>
    <x v="2"/>
    <x v="1"/>
    <x v="2"/>
    <n v="13025"/>
    <x v="2"/>
    <x v="1"/>
    <x v="2"/>
    <x v="3"/>
    <x v="4"/>
    <x v="0"/>
    <x v="4"/>
    <x v="0"/>
    <x v="10"/>
    <n v="10"/>
    <x v="0"/>
  </r>
  <r>
    <d v="2021-06-10T00:00:00"/>
    <x v="0"/>
    <x v="1"/>
    <x v="0"/>
    <n v="24249722.629999999"/>
    <x v="0"/>
    <x v="1"/>
    <x v="0"/>
    <x v="1"/>
    <x v="4"/>
    <x v="0"/>
    <x v="4"/>
    <x v="0"/>
    <x v="10"/>
    <n v="10"/>
    <x v="0"/>
  </r>
  <r>
    <d v="2021-06-10T00:00:00"/>
    <x v="0"/>
    <x v="0"/>
    <x v="0"/>
    <n v="1200"/>
    <x v="0"/>
    <x v="0"/>
    <x v="0"/>
    <x v="0"/>
    <x v="4"/>
    <x v="0"/>
    <x v="4"/>
    <x v="0"/>
    <x v="10"/>
    <n v="10"/>
    <x v="0"/>
  </r>
  <r>
    <d v="2021-06-10T00:00:00"/>
    <x v="2"/>
    <x v="1"/>
    <x v="0"/>
    <n v="103684146.3"/>
    <x v="2"/>
    <x v="1"/>
    <x v="0"/>
    <x v="7"/>
    <x v="4"/>
    <x v="0"/>
    <x v="4"/>
    <x v="0"/>
    <x v="10"/>
    <n v="10"/>
    <x v="0"/>
  </r>
  <r>
    <d v="2021-06-10T00:00:00"/>
    <x v="3"/>
    <x v="3"/>
    <x v="0"/>
    <n v="958700470.90999997"/>
    <x v="3"/>
    <x v="3"/>
    <x v="0"/>
    <x v="8"/>
    <x v="4"/>
    <x v="0"/>
    <x v="4"/>
    <x v="0"/>
    <x v="10"/>
    <n v="10"/>
    <x v="0"/>
  </r>
  <r>
    <d v="2021-06-10T00:00:00"/>
    <x v="1"/>
    <x v="0"/>
    <x v="0"/>
    <n v="67641202.859999999"/>
    <x v="1"/>
    <x v="0"/>
    <x v="0"/>
    <x v="10"/>
    <x v="4"/>
    <x v="0"/>
    <x v="4"/>
    <x v="0"/>
    <x v="10"/>
    <n v="10"/>
    <x v="0"/>
  </r>
  <r>
    <d v="2021-06-10T00:00:00"/>
    <x v="1"/>
    <x v="0"/>
    <x v="1"/>
    <n v="1536765055.71"/>
    <x v="1"/>
    <x v="0"/>
    <x v="1"/>
    <x v="11"/>
    <x v="4"/>
    <x v="0"/>
    <x v="4"/>
    <x v="0"/>
    <x v="10"/>
    <n v="10"/>
    <x v="0"/>
  </r>
  <r>
    <d v="2021-06-10T00:00:00"/>
    <x v="3"/>
    <x v="2"/>
    <x v="0"/>
    <n v="409591266.52999997"/>
    <x v="3"/>
    <x v="2"/>
    <x v="0"/>
    <x v="12"/>
    <x v="4"/>
    <x v="0"/>
    <x v="4"/>
    <x v="0"/>
    <x v="10"/>
    <n v="10"/>
    <x v="0"/>
  </r>
  <r>
    <d v="2021-06-10T00:00:00"/>
    <x v="3"/>
    <x v="2"/>
    <x v="1"/>
    <n v="6802351776.9799995"/>
    <x v="3"/>
    <x v="2"/>
    <x v="1"/>
    <x v="13"/>
    <x v="4"/>
    <x v="0"/>
    <x v="4"/>
    <x v="0"/>
    <x v="10"/>
    <n v="10"/>
    <x v="0"/>
  </r>
  <r>
    <d v="2021-06-10T00:00:00"/>
    <x v="3"/>
    <x v="1"/>
    <x v="0"/>
    <n v="12174868.18"/>
    <x v="3"/>
    <x v="1"/>
    <x v="0"/>
    <x v="14"/>
    <x v="4"/>
    <x v="0"/>
    <x v="4"/>
    <x v="0"/>
    <x v="10"/>
    <n v="10"/>
    <x v="0"/>
  </r>
  <r>
    <d v="2021-06-09T00:00:00"/>
    <x v="2"/>
    <x v="1"/>
    <x v="2"/>
    <n v="30430.06"/>
    <x v="2"/>
    <x v="1"/>
    <x v="2"/>
    <x v="2"/>
    <x v="4"/>
    <x v="0"/>
    <x v="4"/>
    <x v="0"/>
    <x v="10"/>
    <n v="9"/>
    <x v="0"/>
  </r>
  <r>
    <d v="2021-06-09T00:00:00"/>
    <x v="3"/>
    <x v="3"/>
    <x v="0"/>
    <n v="1305627787.8699999"/>
    <x v="3"/>
    <x v="3"/>
    <x v="0"/>
    <x v="5"/>
    <x v="4"/>
    <x v="0"/>
    <x v="4"/>
    <x v="0"/>
    <x v="10"/>
    <n v="9"/>
    <x v="0"/>
  </r>
  <r>
    <d v="2021-06-09T00:00:00"/>
    <x v="2"/>
    <x v="1"/>
    <x v="1"/>
    <n v="211259065.53999999"/>
    <x v="2"/>
    <x v="1"/>
    <x v="1"/>
    <x v="6"/>
    <x v="4"/>
    <x v="0"/>
    <x v="4"/>
    <x v="0"/>
    <x v="10"/>
    <n v="9"/>
    <x v="0"/>
  </r>
  <r>
    <d v="2021-06-09T00:00:00"/>
    <x v="0"/>
    <x v="1"/>
    <x v="1"/>
    <n v="62746597.990000002"/>
    <x v="0"/>
    <x v="1"/>
    <x v="1"/>
    <x v="3"/>
    <x v="4"/>
    <x v="0"/>
    <x v="4"/>
    <x v="0"/>
    <x v="10"/>
    <n v="9"/>
    <x v="0"/>
  </r>
  <r>
    <d v="2021-06-09T00:00:00"/>
    <x v="2"/>
    <x v="1"/>
    <x v="0"/>
    <n v="94659669.540000007"/>
    <x v="2"/>
    <x v="1"/>
    <x v="0"/>
    <x v="8"/>
    <x v="4"/>
    <x v="0"/>
    <x v="4"/>
    <x v="0"/>
    <x v="10"/>
    <n v="9"/>
    <x v="0"/>
  </r>
  <r>
    <d v="2021-06-09T00:00:00"/>
    <x v="3"/>
    <x v="2"/>
    <x v="2"/>
    <n v="92260"/>
    <x v="3"/>
    <x v="2"/>
    <x v="2"/>
    <x v="4"/>
    <x v="4"/>
    <x v="0"/>
    <x v="4"/>
    <x v="0"/>
    <x v="10"/>
    <n v="9"/>
    <x v="0"/>
  </r>
  <r>
    <d v="2021-06-09T00:00:00"/>
    <x v="0"/>
    <x v="1"/>
    <x v="0"/>
    <n v="18933733.98"/>
    <x v="0"/>
    <x v="1"/>
    <x v="0"/>
    <x v="0"/>
    <x v="4"/>
    <x v="0"/>
    <x v="4"/>
    <x v="0"/>
    <x v="10"/>
    <n v="9"/>
    <x v="0"/>
  </r>
  <r>
    <d v="2021-06-09T00:00:00"/>
    <x v="1"/>
    <x v="0"/>
    <x v="2"/>
    <n v="4839.84"/>
    <x v="1"/>
    <x v="0"/>
    <x v="2"/>
    <x v="1"/>
    <x v="4"/>
    <x v="0"/>
    <x v="4"/>
    <x v="0"/>
    <x v="10"/>
    <n v="9"/>
    <x v="0"/>
  </r>
  <r>
    <d v="2021-06-09T00:00:00"/>
    <x v="1"/>
    <x v="0"/>
    <x v="0"/>
    <n v="87916260.900000006"/>
    <x v="1"/>
    <x v="0"/>
    <x v="0"/>
    <x v="7"/>
    <x v="4"/>
    <x v="0"/>
    <x v="4"/>
    <x v="0"/>
    <x v="10"/>
    <n v="9"/>
    <x v="0"/>
  </r>
  <r>
    <d v="2021-06-09T00:00:00"/>
    <x v="1"/>
    <x v="0"/>
    <x v="1"/>
    <n v="2645485568"/>
    <x v="1"/>
    <x v="0"/>
    <x v="1"/>
    <x v="9"/>
    <x v="4"/>
    <x v="0"/>
    <x v="4"/>
    <x v="0"/>
    <x v="10"/>
    <n v="9"/>
    <x v="0"/>
  </r>
  <r>
    <d v="2021-06-09T00:00:00"/>
    <x v="3"/>
    <x v="2"/>
    <x v="0"/>
    <n v="352798747.75999999"/>
    <x v="3"/>
    <x v="2"/>
    <x v="0"/>
    <x v="10"/>
    <x v="4"/>
    <x v="0"/>
    <x v="4"/>
    <x v="0"/>
    <x v="10"/>
    <n v="9"/>
    <x v="0"/>
  </r>
  <r>
    <d v="2021-06-09T00:00:00"/>
    <x v="3"/>
    <x v="2"/>
    <x v="1"/>
    <n v="11972164901.540001"/>
    <x v="3"/>
    <x v="2"/>
    <x v="1"/>
    <x v="11"/>
    <x v="4"/>
    <x v="0"/>
    <x v="4"/>
    <x v="0"/>
    <x v="10"/>
    <n v="9"/>
    <x v="0"/>
  </r>
  <r>
    <d v="2021-06-09T00:00:00"/>
    <x v="3"/>
    <x v="1"/>
    <x v="0"/>
    <n v="12741406.880000001"/>
    <x v="3"/>
    <x v="1"/>
    <x v="0"/>
    <x v="12"/>
    <x v="4"/>
    <x v="0"/>
    <x v="4"/>
    <x v="0"/>
    <x v="10"/>
    <n v="9"/>
    <x v="0"/>
  </r>
  <r>
    <d v="2021-06-08T00:00:00"/>
    <x v="1"/>
    <x v="0"/>
    <x v="2"/>
    <n v="35498.61"/>
    <x v="1"/>
    <x v="0"/>
    <x v="2"/>
    <x v="2"/>
    <x v="4"/>
    <x v="0"/>
    <x v="4"/>
    <x v="0"/>
    <x v="10"/>
    <n v="8"/>
    <x v="0"/>
  </r>
  <r>
    <d v="2021-06-08T00:00:00"/>
    <x v="2"/>
    <x v="1"/>
    <x v="1"/>
    <n v="243098318"/>
    <x v="2"/>
    <x v="1"/>
    <x v="1"/>
    <x v="7"/>
    <x v="4"/>
    <x v="0"/>
    <x v="4"/>
    <x v="0"/>
    <x v="10"/>
    <n v="8"/>
    <x v="0"/>
  </r>
  <r>
    <d v="2021-06-08T00:00:00"/>
    <x v="0"/>
    <x v="1"/>
    <x v="1"/>
    <n v="12793317.33"/>
    <x v="0"/>
    <x v="1"/>
    <x v="1"/>
    <x v="3"/>
    <x v="4"/>
    <x v="0"/>
    <x v="4"/>
    <x v="0"/>
    <x v="10"/>
    <n v="8"/>
    <x v="0"/>
  </r>
  <r>
    <d v="2021-06-08T00:00:00"/>
    <x v="3"/>
    <x v="2"/>
    <x v="2"/>
    <n v="64849"/>
    <x v="3"/>
    <x v="2"/>
    <x v="2"/>
    <x v="4"/>
    <x v="4"/>
    <x v="0"/>
    <x v="4"/>
    <x v="0"/>
    <x v="10"/>
    <n v="8"/>
    <x v="0"/>
  </r>
  <r>
    <d v="2021-06-08T00:00:00"/>
    <x v="0"/>
    <x v="1"/>
    <x v="0"/>
    <n v="21113150.210000001"/>
    <x v="0"/>
    <x v="1"/>
    <x v="0"/>
    <x v="1"/>
    <x v="4"/>
    <x v="0"/>
    <x v="4"/>
    <x v="0"/>
    <x v="10"/>
    <n v="8"/>
    <x v="0"/>
  </r>
  <r>
    <d v="2021-06-08T00:00:00"/>
    <x v="0"/>
    <x v="0"/>
    <x v="0"/>
    <n v="0"/>
    <x v="0"/>
    <x v="0"/>
    <x v="0"/>
    <x v="0"/>
    <x v="4"/>
    <x v="0"/>
    <x v="4"/>
    <x v="0"/>
    <x v="10"/>
    <n v="8"/>
    <x v="0"/>
  </r>
  <r>
    <d v="2021-06-08T00:00:00"/>
    <x v="3"/>
    <x v="3"/>
    <x v="0"/>
    <n v="1174779525.23"/>
    <x v="3"/>
    <x v="3"/>
    <x v="0"/>
    <x v="5"/>
    <x v="4"/>
    <x v="0"/>
    <x v="4"/>
    <x v="0"/>
    <x v="10"/>
    <n v="8"/>
    <x v="0"/>
  </r>
  <r>
    <d v="2021-06-08T00:00:00"/>
    <x v="2"/>
    <x v="1"/>
    <x v="0"/>
    <n v="84972923.109999999"/>
    <x v="2"/>
    <x v="1"/>
    <x v="0"/>
    <x v="6"/>
    <x v="4"/>
    <x v="0"/>
    <x v="4"/>
    <x v="0"/>
    <x v="10"/>
    <n v="8"/>
    <x v="0"/>
  </r>
  <r>
    <d v="2021-06-08T00:00:00"/>
    <x v="1"/>
    <x v="0"/>
    <x v="0"/>
    <n v="52618650.18"/>
    <x v="1"/>
    <x v="0"/>
    <x v="0"/>
    <x v="8"/>
    <x v="4"/>
    <x v="0"/>
    <x v="4"/>
    <x v="0"/>
    <x v="10"/>
    <n v="8"/>
    <x v="0"/>
  </r>
  <r>
    <d v="2021-06-08T00:00:00"/>
    <x v="1"/>
    <x v="0"/>
    <x v="1"/>
    <n v="1307829869.05"/>
    <x v="1"/>
    <x v="0"/>
    <x v="1"/>
    <x v="9"/>
    <x v="4"/>
    <x v="0"/>
    <x v="4"/>
    <x v="0"/>
    <x v="10"/>
    <n v="8"/>
    <x v="0"/>
  </r>
  <r>
    <d v="2021-06-08T00:00:00"/>
    <x v="3"/>
    <x v="2"/>
    <x v="0"/>
    <n v="651669595.54999995"/>
    <x v="3"/>
    <x v="2"/>
    <x v="0"/>
    <x v="10"/>
    <x v="4"/>
    <x v="0"/>
    <x v="4"/>
    <x v="0"/>
    <x v="10"/>
    <n v="8"/>
    <x v="0"/>
  </r>
  <r>
    <d v="2021-06-08T00:00:00"/>
    <x v="3"/>
    <x v="2"/>
    <x v="1"/>
    <n v="4280875454.75"/>
    <x v="3"/>
    <x v="2"/>
    <x v="1"/>
    <x v="11"/>
    <x v="4"/>
    <x v="0"/>
    <x v="4"/>
    <x v="0"/>
    <x v="10"/>
    <n v="8"/>
    <x v="0"/>
  </r>
  <r>
    <d v="2021-06-08T00:00:00"/>
    <x v="3"/>
    <x v="1"/>
    <x v="0"/>
    <n v="10409979"/>
    <x v="3"/>
    <x v="1"/>
    <x v="0"/>
    <x v="12"/>
    <x v="4"/>
    <x v="0"/>
    <x v="4"/>
    <x v="0"/>
    <x v="10"/>
    <n v="8"/>
    <x v="0"/>
  </r>
  <r>
    <d v="2021-06-07T00:00:00"/>
    <x v="1"/>
    <x v="0"/>
    <x v="2"/>
    <n v="21293.78"/>
    <x v="1"/>
    <x v="0"/>
    <x v="2"/>
    <x v="2"/>
    <x v="4"/>
    <x v="0"/>
    <x v="4"/>
    <x v="0"/>
    <x v="10"/>
    <n v="7"/>
    <x v="0"/>
  </r>
  <r>
    <d v="2021-06-07T00:00:00"/>
    <x v="2"/>
    <x v="1"/>
    <x v="0"/>
    <n v="65242244.030000001"/>
    <x v="2"/>
    <x v="1"/>
    <x v="0"/>
    <x v="7"/>
    <x v="4"/>
    <x v="0"/>
    <x v="4"/>
    <x v="0"/>
    <x v="10"/>
    <n v="7"/>
    <x v="0"/>
  </r>
  <r>
    <d v="2021-06-07T00:00:00"/>
    <x v="2"/>
    <x v="1"/>
    <x v="2"/>
    <n v="18533.560000000001"/>
    <x v="2"/>
    <x v="1"/>
    <x v="2"/>
    <x v="3"/>
    <x v="4"/>
    <x v="0"/>
    <x v="4"/>
    <x v="0"/>
    <x v="10"/>
    <n v="7"/>
    <x v="0"/>
  </r>
  <r>
    <d v="2021-06-07T00:00:00"/>
    <x v="2"/>
    <x v="1"/>
    <x v="1"/>
    <n v="249679185.90000001"/>
    <x v="2"/>
    <x v="1"/>
    <x v="1"/>
    <x v="9"/>
    <x v="4"/>
    <x v="0"/>
    <x v="4"/>
    <x v="0"/>
    <x v="10"/>
    <n v="7"/>
    <x v="0"/>
  </r>
  <r>
    <d v="2021-06-07T00:00:00"/>
    <x v="0"/>
    <x v="1"/>
    <x v="1"/>
    <n v="18521037.530000001"/>
    <x v="0"/>
    <x v="1"/>
    <x v="1"/>
    <x v="5"/>
    <x v="4"/>
    <x v="0"/>
    <x v="4"/>
    <x v="0"/>
    <x v="10"/>
    <n v="7"/>
    <x v="0"/>
  </r>
  <r>
    <d v="2021-06-07T00:00:00"/>
    <x v="3"/>
    <x v="2"/>
    <x v="2"/>
    <n v="8857"/>
    <x v="3"/>
    <x v="2"/>
    <x v="2"/>
    <x v="6"/>
    <x v="4"/>
    <x v="0"/>
    <x v="4"/>
    <x v="0"/>
    <x v="10"/>
    <n v="7"/>
    <x v="0"/>
  </r>
  <r>
    <d v="2021-06-07T00:00:00"/>
    <x v="0"/>
    <x v="1"/>
    <x v="0"/>
    <n v="7544031.2699999996"/>
    <x v="0"/>
    <x v="1"/>
    <x v="0"/>
    <x v="1"/>
    <x v="4"/>
    <x v="0"/>
    <x v="4"/>
    <x v="0"/>
    <x v="10"/>
    <n v="7"/>
    <x v="0"/>
  </r>
  <r>
    <d v="2021-06-07T00:00:00"/>
    <x v="0"/>
    <x v="0"/>
    <x v="0"/>
    <n v="5667.38"/>
    <x v="0"/>
    <x v="0"/>
    <x v="0"/>
    <x v="0"/>
    <x v="4"/>
    <x v="0"/>
    <x v="4"/>
    <x v="0"/>
    <x v="10"/>
    <n v="7"/>
    <x v="0"/>
  </r>
  <r>
    <d v="2021-06-07T00:00:00"/>
    <x v="3"/>
    <x v="3"/>
    <x v="0"/>
    <n v="1798585759.9100001"/>
    <x v="3"/>
    <x v="3"/>
    <x v="0"/>
    <x v="8"/>
    <x v="4"/>
    <x v="0"/>
    <x v="4"/>
    <x v="0"/>
    <x v="10"/>
    <n v="7"/>
    <x v="0"/>
  </r>
  <r>
    <d v="2021-06-07T00:00:00"/>
    <x v="3"/>
    <x v="3"/>
    <x v="1"/>
    <n v="2000"/>
    <x v="3"/>
    <x v="3"/>
    <x v="1"/>
    <x v="4"/>
    <x v="4"/>
    <x v="0"/>
    <x v="4"/>
    <x v="0"/>
    <x v="10"/>
    <n v="7"/>
    <x v="0"/>
  </r>
  <r>
    <d v="2021-06-07T00:00:00"/>
    <x v="1"/>
    <x v="0"/>
    <x v="0"/>
    <n v="65037604.200000003"/>
    <x v="1"/>
    <x v="0"/>
    <x v="0"/>
    <x v="10"/>
    <x v="4"/>
    <x v="0"/>
    <x v="4"/>
    <x v="0"/>
    <x v="10"/>
    <n v="7"/>
    <x v="0"/>
  </r>
  <r>
    <d v="2021-06-07T00:00:00"/>
    <x v="1"/>
    <x v="0"/>
    <x v="1"/>
    <n v="282410221.81999999"/>
    <x v="1"/>
    <x v="0"/>
    <x v="1"/>
    <x v="11"/>
    <x v="4"/>
    <x v="0"/>
    <x v="4"/>
    <x v="0"/>
    <x v="10"/>
    <n v="7"/>
    <x v="0"/>
  </r>
  <r>
    <d v="2021-06-07T00:00:00"/>
    <x v="3"/>
    <x v="2"/>
    <x v="0"/>
    <n v="460072521.49000001"/>
    <x v="3"/>
    <x v="2"/>
    <x v="0"/>
    <x v="12"/>
    <x v="4"/>
    <x v="0"/>
    <x v="4"/>
    <x v="0"/>
    <x v="10"/>
    <n v="7"/>
    <x v="0"/>
  </r>
  <r>
    <d v="2021-06-07T00:00:00"/>
    <x v="3"/>
    <x v="2"/>
    <x v="1"/>
    <n v="17644561049.790001"/>
    <x v="3"/>
    <x v="2"/>
    <x v="1"/>
    <x v="13"/>
    <x v="4"/>
    <x v="0"/>
    <x v="4"/>
    <x v="0"/>
    <x v="10"/>
    <n v="7"/>
    <x v="0"/>
  </r>
  <r>
    <d v="2021-06-07T00:00:00"/>
    <x v="3"/>
    <x v="1"/>
    <x v="0"/>
    <n v="40600370.789999999"/>
    <x v="3"/>
    <x v="1"/>
    <x v="0"/>
    <x v="14"/>
    <x v="4"/>
    <x v="0"/>
    <x v="4"/>
    <x v="0"/>
    <x v="10"/>
    <n v="7"/>
    <x v="0"/>
  </r>
  <r>
    <d v="2021-06-04T00:00:00"/>
    <x v="1"/>
    <x v="0"/>
    <x v="2"/>
    <n v="6088.99"/>
    <x v="1"/>
    <x v="0"/>
    <x v="2"/>
    <x v="1"/>
    <x v="4"/>
    <x v="0"/>
    <x v="4"/>
    <x v="0"/>
    <x v="10"/>
    <n v="4"/>
    <x v="0"/>
  </r>
  <r>
    <d v="2021-06-04T00:00:00"/>
    <x v="2"/>
    <x v="1"/>
    <x v="0"/>
    <n v="77543656.150000006"/>
    <x v="2"/>
    <x v="1"/>
    <x v="0"/>
    <x v="6"/>
    <x v="4"/>
    <x v="0"/>
    <x v="4"/>
    <x v="0"/>
    <x v="10"/>
    <n v="4"/>
    <x v="0"/>
  </r>
  <r>
    <d v="2021-06-04T00:00:00"/>
    <x v="2"/>
    <x v="1"/>
    <x v="2"/>
    <n v="13545"/>
    <x v="2"/>
    <x v="1"/>
    <x v="2"/>
    <x v="2"/>
    <x v="4"/>
    <x v="0"/>
    <x v="4"/>
    <x v="0"/>
    <x v="10"/>
    <n v="4"/>
    <x v="0"/>
  </r>
  <r>
    <d v="2021-06-04T00:00:00"/>
    <x v="3"/>
    <x v="3"/>
    <x v="1"/>
    <n v="47866.91"/>
    <x v="3"/>
    <x v="3"/>
    <x v="1"/>
    <x v="3"/>
    <x v="4"/>
    <x v="0"/>
    <x v="4"/>
    <x v="0"/>
    <x v="10"/>
    <n v="4"/>
    <x v="0"/>
  </r>
  <r>
    <d v="2021-06-04T00:00:00"/>
    <x v="0"/>
    <x v="1"/>
    <x v="1"/>
    <n v="29724982.239999998"/>
    <x v="0"/>
    <x v="1"/>
    <x v="1"/>
    <x v="4"/>
    <x v="4"/>
    <x v="0"/>
    <x v="4"/>
    <x v="0"/>
    <x v="10"/>
    <n v="4"/>
    <x v="0"/>
  </r>
  <r>
    <d v="2021-06-04T00:00:00"/>
    <x v="3"/>
    <x v="2"/>
    <x v="2"/>
    <n v="322904.78000000003"/>
    <x v="3"/>
    <x v="2"/>
    <x v="2"/>
    <x v="5"/>
    <x v="4"/>
    <x v="0"/>
    <x v="4"/>
    <x v="0"/>
    <x v="10"/>
    <n v="4"/>
    <x v="0"/>
  </r>
  <r>
    <d v="2021-06-04T00:00:00"/>
    <x v="3"/>
    <x v="3"/>
    <x v="0"/>
    <n v="1673097228"/>
    <x v="3"/>
    <x v="3"/>
    <x v="0"/>
    <x v="8"/>
    <x v="4"/>
    <x v="0"/>
    <x v="4"/>
    <x v="0"/>
    <x v="10"/>
    <n v="4"/>
    <x v="0"/>
  </r>
  <r>
    <d v="2021-06-04T00:00:00"/>
    <x v="1"/>
    <x v="0"/>
    <x v="0"/>
    <n v="117539299.88"/>
    <x v="1"/>
    <x v="0"/>
    <x v="0"/>
    <x v="9"/>
    <x v="4"/>
    <x v="0"/>
    <x v="4"/>
    <x v="0"/>
    <x v="10"/>
    <n v="4"/>
    <x v="0"/>
  </r>
  <r>
    <d v="2021-06-04T00:00:00"/>
    <x v="0"/>
    <x v="1"/>
    <x v="0"/>
    <n v="23434549.84"/>
    <x v="0"/>
    <x v="1"/>
    <x v="0"/>
    <x v="0"/>
    <x v="4"/>
    <x v="0"/>
    <x v="4"/>
    <x v="0"/>
    <x v="10"/>
    <n v="4"/>
    <x v="0"/>
  </r>
  <r>
    <d v="2021-06-04T00:00:00"/>
    <x v="2"/>
    <x v="1"/>
    <x v="1"/>
    <n v="214788567.44999999"/>
    <x v="2"/>
    <x v="1"/>
    <x v="1"/>
    <x v="7"/>
    <x v="4"/>
    <x v="0"/>
    <x v="4"/>
    <x v="0"/>
    <x v="10"/>
    <n v="4"/>
    <x v="0"/>
  </r>
  <r>
    <d v="2021-06-04T00:00:00"/>
    <x v="1"/>
    <x v="0"/>
    <x v="1"/>
    <n v="514217340.01999998"/>
    <x v="1"/>
    <x v="0"/>
    <x v="1"/>
    <x v="10"/>
    <x v="4"/>
    <x v="0"/>
    <x v="4"/>
    <x v="0"/>
    <x v="10"/>
    <n v="4"/>
    <x v="0"/>
  </r>
  <r>
    <d v="2021-06-04T00:00:00"/>
    <x v="3"/>
    <x v="2"/>
    <x v="0"/>
    <n v="487343187.95999998"/>
    <x v="3"/>
    <x v="2"/>
    <x v="0"/>
    <x v="11"/>
    <x v="4"/>
    <x v="0"/>
    <x v="4"/>
    <x v="0"/>
    <x v="10"/>
    <n v="4"/>
    <x v="0"/>
  </r>
  <r>
    <d v="2021-06-04T00:00:00"/>
    <x v="3"/>
    <x v="2"/>
    <x v="1"/>
    <n v="7820555019.4799995"/>
    <x v="3"/>
    <x v="2"/>
    <x v="1"/>
    <x v="12"/>
    <x v="4"/>
    <x v="0"/>
    <x v="4"/>
    <x v="0"/>
    <x v="10"/>
    <n v="4"/>
    <x v="0"/>
  </r>
  <r>
    <d v="2021-06-04T00:00:00"/>
    <x v="3"/>
    <x v="1"/>
    <x v="0"/>
    <n v="13810625.609999999"/>
    <x v="3"/>
    <x v="1"/>
    <x v="0"/>
    <x v="13"/>
    <x v="4"/>
    <x v="0"/>
    <x v="4"/>
    <x v="0"/>
    <x v="10"/>
    <n v="4"/>
    <x v="0"/>
  </r>
  <r>
    <d v="2021-06-03T00:00:00"/>
    <x v="2"/>
    <x v="1"/>
    <x v="0"/>
    <n v="151703376"/>
    <x v="2"/>
    <x v="1"/>
    <x v="0"/>
    <x v="7"/>
    <x v="4"/>
    <x v="0"/>
    <x v="4"/>
    <x v="0"/>
    <x v="10"/>
    <n v="3"/>
    <x v="0"/>
  </r>
  <r>
    <d v="2021-06-03T00:00:00"/>
    <x v="2"/>
    <x v="1"/>
    <x v="2"/>
    <n v="22410"/>
    <x v="2"/>
    <x v="1"/>
    <x v="2"/>
    <x v="3"/>
    <x v="4"/>
    <x v="0"/>
    <x v="4"/>
    <x v="0"/>
    <x v="10"/>
    <n v="3"/>
    <x v="0"/>
  </r>
  <r>
    <d v="2021-06-03T00:00:00"/>
    <x v="3"/>
    <x v="3"/>
    <x v="0"/>
    <n v="1108603905.1400001"/>
    <x v="3"/>
    <x v="3"/>
    <x v="0"/>
    <x v="8"/>
    <x v="4"/>
    <x v="0"/>
    <x v="4"/>
    <x v="0"/>
    <x v="10"/>
    <n v="3"/>
    <x v="0"/>
  </r>
  <r>
    <d v="2021-06-03T00:00:00"/>
    <x v="2"/>
    <x v="1"/>
    <x v="1"/>
    <n v="489220067.75"/>
    <x v="2"/>
    <x v="1"/>
    <x v="1"/>
    <x v="9"/>
    <x v="4"/>
    <x v="0"/>
    <x v="4"/>
    <x v="0"/>
    <x v="10"/>
    <n v="3"/>
    <x v="0"/>
  </r>
  <r>
    <d v="2021-06-03T00:00:00"/>
    <x v="3"/>
    <x v="3"/>
    <x v="1"/>
    <n v="906677.68"/>
    <x v="3"/>
    <x v="3"/>
    <x v="1"/>
    <x v="4"/>
    <x v="4"/>
    <x v="0"/>
    <x v="4"/>
    <x v="0"/>
    <x v="10"/>
    <n v="3"/>
    <x v="0"/>
  </r>
  <r>
    <d v="2021-06-03T00:00:00"/>
    <x v="0"/>
    <x v="1"/>
    <x v="1"/>
    <n v="23346382.41"/>
    <x v="0"/>
    <x v="1"/>
    <x v="1"/>
    <x v="5"/>
    <x v="4"/>
    <x v="0"/>
    <x v="4"/>
    <x v="0"/>
    <x v="10"/>
    <n v="3"/>
    <x v="0"/>
  </r>
  <r>
    <d v="2021-06-03T00:00:00"/>
    <x v="1"/>
    <x v="0"/>
    <x v="0"/>
    <n v="87488567.069999993"/>
    <x v="1"/>
    <x v="0"/>
    <x v="0"/>
    <x v="10"/>
    <x v="4"/>
    <x v="0"/>
    <x v="4"/>
    <x v="0"/>
    <x v="10"/>
    <n v="3"/>
    <x v="0"/>
  </r>
  <r>
    <d v="2021-06-03T00:00:00"/>
    <x v="3"/>
    <x v="2"/>
    <x v="2"/>
    <n v="322778"/>
    <x v="3"/>
    <x v="2"/>
    <x v="2"/>
    <x v="6"/>
    <x v="4"/>
    <x v="0"/>
    <x v="4"/>
    <x v="0"/>
    <x v="10"/>
    <n v="3"/>
    <x v="0"/>
  </r>
  <r>
    <d v="2021-06-03T00:00:00"/>
    <x v="0"/>
    <x v="1"/>
    <x v="0"/>
    <n v="17009174.52"/>
    <x v="0"/>
    <x v="1"/>
    <x v="0"/>
    <x v="1"/>
    <x v="4"/>
    <x v="0"/>
    <x v="4"/>
    <x v="0"/>
    <x v="10"/>
    <n v="3"/>
    <x v="0"/>
  </r>
  <r>
    <d v="2021-06-03T00:00:00"/>
    <x v="0"/>
    <x v="0"/>
    <x v="0"/>
    <n v="260"/>
    <x v="0"/>
    <x v="0"/>
    <x v="0"/>
    <x v="0"/>
    <x v="4"/>
    <x v="0"/>
    <x v="4"/>
    <x v="0"/>
    <x v="10"/>
    <n v="3"/>
    <x v="0"/>
  </r>
  <r>
    <d v="2021-06-03T00:00:00"/>
    <x v="1"/>
    <x v="0"/>
    <x v="2"/>
    <n v="3501.72"/>
    <x v="1"/>
    <x v="0"/>
    <x v="2"/>
    <x v="2"/>
    <x v="4"/>
    <x v="0"/>
    <x v="4"/>
    <x v="0"/>
    <x v="10"/>
    <n v="3"/>
    <x v="0"/>
  </r>
  <r>
    <d v="2021-06-03T00:00:00"/>
    <x v="1"/>
    <x v="0"/>
    <x v="1"/>
    <n v="2463080636.1900001"/>
    <x v="1"/>
    <x v="0"/>
    <x v="1"/>
    <x v="11"/>
    <x v="4"/>
    <x v="0"/>
    <x v="4"/>
    <x v="0"/>
    <x v="10"/>
    <n v="3"/>
    <x v="0"/>
  </r>
  <r>
    <d v="2021-06-03T00:00:00"/>
    <x v="3"/>
    <x v="2"/>
    <x v="0"/>
    <n v="501519591.72000003"/>
    <x v="3"/>
    <x v="2"/>
    <x v="0"/>
    <x v="12"/>
    <x v="4"/>
    <x v="0"/>
    <x v="4"/>
    <x v="0"/>
    <x v="10"/>
    <n v="3"/>
    <x v="0"/>
  </r>
  <r>
    <d v="2021-06-03T00:00:00"/>
    <x v="3"/>
    <x v="2"/>
    <x v="1"/>
    <n v="12988892701.74"/>
    <x v="3"/>
    <x v="2"/>
    <x v="1"/>
    <x v="13"/>
    <x v="4"/>
    <x v="0"/>
    <x v="4"/>
    <x v="0"/>
    <x v="10"/>
    <n v="3"/>
    <x v="0"/>
  </r>
  <r>
    <d v="2021-06-03T00:00:00"/>
    <x v="3"/>
    <x v="1"/>
    <x v="0"/>
    <n v="14090711.869999999"/>
    <x v="3"/>
    <x v="1"/>
    <x v="0"/>
    <x v="14"/>
    <x v="4"/>
    <x v="0"/>
    <x v="4"/>
    <x v="0"/>
    <x v="10"/>
    <n v="3"/>
    <x v="0"/>
  </r>
  <r>
    <d v="2021-06-02T00:00:00"/>
    <x v="1"/>
    <x v="0"/>
    <x v="2"/>
    <n v="60557.63"/>
    <x v="1"/>
    <x v="0"/>
    <x v="2"/>
    <x v="1"/>
    <x v="4"/>
    <x v="0"/>
    <x v="4"/>
    <x v="0"/>
    <x v="10"/>
    <n v="2"/>
    <x v="0"/>
  </r>
  <r>
    <d v="2021-06-02T00:00:00"/>
    <x v="2"/>
    <x v="1"/>
    <x v="2"/>
    <n v="1855507.97"/>
    <x v="2"/>
    <x v="1"/>
    <x v="2"/>
    <x v="2"/>
    <x v="4"/>
    <x v="0"/>
    <x v="4"/>
    <x v="0"/>
    <x v="10"/>
    <n v="2"/>
    <x v="0"/>
  </r>
  <r>
    <d v="2021-06-02T00:00:00"/>
    <x v="2"/>
    <x v="1"/>
    <x v="0"/>
    <n v="163822983.09999999"/>
    <x v="2"/>
    <x v="1"/>
    <x v="0"/>
    <x v="6"/>
    <x v="4"/>
    <x v="0"/>
    <x v="4"/>
    <x v="0"/>
    <x v="10"/>
    <n v="2"/>
    <x v="0"/>
  </r>
  <r>
    <d v="2021-06-02T00:00:00"/>
    <x v="0"/>
    <x v="1"/>
    <x v="1"/>
    <n v="24015593.079999998"/>
    <x v="0"/>
    <x v="1"/>
    <x v="1"/>
    <x v="3"/>
    <x v="4"/>
    <x v="0"/>
    <x v="4"/>
    <x v="0"/>
    <x v="10"/>
    <n v="2"/>
    <x v="0"/>
  </r>
  <r>
    <d v="2021-06-02T00:00:00"/>
    <x v="2"/>
    <x v="1"/>
    <x v="1"/>
    <n v="201642306.97999999"/>
    <x v="2"/>
    <x v="1"/>
    <x v="1"/>
    <x v="7"/>
    <x v="4"/>
    <x v="0"/>
    <x v="4"/>
    <x v="0"/>
    <x v="10"/>
    <n v="2"/>
    <x v="0"/>
  </r>
  <r>
    <d v="2021-06-02T00:00:00"/>
    <x v="3"/>
    <x v="2"/>
    <x v="2"/>
    <n v="1583221.01"/>
    <x v="3"/>
    <x v="2"/>
    <x v="2"/>
    <x v="4"/>
    <x v="4"/>
    <x v="0"/>
    <x v="4"/>
    <x v="0"/>
    <x v="10"/>
    <n v="2"/>
    <x v="0"/>
  </r>
  <r>
    <d v="2021-06-02T00:00:00"/>
    <x v="0"/>
    <x v="1"/>
    <x v="0"/>
    <n v="28333387.579999998"/>
    <x v="0"/>
    <x v="1"/>
    <x v="0"/>
    <x v="0"/>
    <x v="4"/>
    <x v="0"/>
    <x v="4"/>
    <x v="0"/>
    <x v="10"/>
    <n v="2"/>
    <x v="0"/>
  </r>
  <r>
    <d v="2021-06-02T00:00:00"/>
    <x v="3"/>
    <x v="3"/>
    <x v="0"/>
    <n v="1110414263.24"/>
    <x v="3"/>
    <x v="3"/>
    <x v="0"/>
    <x v="5"/>
    <x v="4"/>
    <x v="0"/>
    <x v="4"/>
    <x v="0"/>
    <x v="10"/>
    <n v="2"/>
    <x v="0"/>
  </r>
  <r>
    <d v="2021-06-02T00:00:00"/>
    <x v="1"/>
    <x v="0"/>
    <x v="0"/>
    <n v="71519473.189999998"/>
    <x v="1"/>
    <x v="0"/>
    <x v="0"/>
    <x v="8"/>
    <x v="4"/>
    <x v="0"/>
    <x v="4"/>
    <x v="0"/>
    <x v="10"/>
    <n v="2"/>
    <x v="0"/>
  </r>
  <r>
    <d v="2021-06-02T00:00:00"/>
    <x v="1"/>
    <x v="0"/>
    <x v="1"/>
    <n v="1924020473.3099999"/>
    <x v="1"/>
    <x v="0"/>
    <x v="1"/>
    <x v="9"/>
    <x v="4"/>
    <x v="0"/>
    <x v="4"/>
    <x v="0"/>
    <x v="10"/>
    <n v="2"/>
    <x v="0"/>
  </r>
  <r>
    <d v="2021-06-02T00:00:00"/>
    <x v="3"/>
    <x v="2"/>
    <x v="0"/>
    <n v="810535979.25"/>
    <x v="3"/>
    <x v="2"/>
    <x v="0"/>
    <x v="10"/>
    <x v="4"/>
    <x v="0"/>
    <x v="4"/>
    <x v="0"/>
    <x v="10"/>
    <n v="2"/>
    <x v="0"/>
  </r>
  <r>
    <d v="2021-06-02T00:00:00"/>
    <x v="3"/>
    <x v="1"/>
    <x v="0"/>
    <n v="11810820.949999999"/>
    <x v="3"/>
    <x v="1"/>
    <x v="0"/>
    <x v="11"/>
    <x v="4"/>
    <x v="0"/>
    <x v="4"/>
    <x v="0"/>
    <x v="10"/>
    <n v="2"/>
    <x v="0"/>
  </r>
  <r>
    <d v="2021-06-02T00:00:00"/>
    <x v="3"/>
    <x v="2"/>
    <x v="1"/>
    <n v="10030524400.440001"/>
    <x v="3"/>
    <x v="2"/>
    <x v="1"/>
    <x v="12"/>
    <x v="4"/>
    <x v="0"/>
    <x v="4"/>
    <x v="0"/>
    <x v="10"/>
    <n v="2"/>
    <x v="0"/>
  </r>
  <r>
    <d v="2021-06-01T00:00:00"/>
    <x v="1"/>
    <x v="0"/>
    <x v="2"/>
    <n v="20085.62"/>
    <x v="1"/>
    <x v="0"/>
    <x v="2"/>
    <x v="2"/>
    <x v="4"/>
    <x v="0"/>
    <x v="4"/>
    <x v="0"/>
    <x v="10"/>
    <n v="1"/>
    <x v="0"/>
  </r>
  <r>
    <d v="2021-06-01T00:00:00"/>
    <x v="2"/>
    <x v="1"/>
    <x v="2"/>
    <n v="11173.06"/>
    <x v="2"/>
    <x v="1"/>
    <x v="2"/>
    <x v="3"/>
    <x v="4"/>
    <x v="0"/>
    <x v="4"/>
    <x v="0"/>
    <x v="10"/>
    <n v="1"/>
    <x v="0"/>
  </r>
  <r>
    <d v="2021-06-01T00:00:00"/>
    <x v="3"/>
    <x v="3"/>
    <x v="0"/>
    <n v="2695469158.4499998"/>
    <x v="3"/>
    <x v="3"/>
    <x v="0"/>
    <x v="7"/>
    <x v="4"/>
    <x v="0"/>
    <x v="4"/>
    <x v="0"/>
    <x v="10"/>
    <n v="1"/>
    <x v="0"/>
  </r>
  <r>
    <d v="2021-06-01T00:00:00"/>
    <x v="3"/>
    <x v="3"/>
    <x v="1"/>
    <n v="1166149.8700000001"/>
    <x v="3"/>
    <x v="3"/>
    <x v="1"/>
    <x v="4"/>
    <x v="4"/>
    <x v="0"/>
    <x v="4"/>
    <x v="0"/>
    <x v="10"/>
    <n v="1"/>
    <x v="0"/>
  </r>
  <r>
    <d v="2021-06-01T00:00:00"/>
    <x v="0"/>
    <x v="1"/>
    <x v="1"/>
    <n v="71836371.870000005"/>
    <x v="0"/>
    <x v="1"/>
    <x v="1"/>
    <x v="5"/>
    <x v="4"/>
    <x v="0"/>
    <x v="4"/>
    <x v="0"/>
    <x v="10"/>
    <n v="1"/>
    <x v="0"/>
  </r>
  <r>
    <d v="2021-06-01T00:00:00"/>
    <x v="3"/>
    <x v="2"/>
    <x v="2"/>
    <n v="208754.33"/>
    <x v="3"/>
    <x v="2"/>
    <x v="2"/>
    <x v="6"/>
    <x v="4"/>
    <x v="0"/>
    <x v="4"/>
    <x v="0"/>
    <x v="10"/>
    <n v="1"/>
    <x v="0"/>
  </r>
  <r>
    <d v="2021-06-01T00:00:00"/>
    <x v="1"/>
    <x v="0"/>
    <x v="0"/>
    <n v="65316029.200000003"/>
    <x v="1"/>
    <x v="0"/>
    <x v="0"/>
    <x v="10"/>
    <x v="4"/>
    <x v="0"/>
    <x v="4"/>
    <x v="0"/>
    <x v="10"/>
    <n v="1"/>
    <x v="0"/>
  </r>
  <r>
    <d v="2021-06-01T00:00:00"/>
    <x v="0"/>
    <x v="1"/>
    <x v="0"/>
    <n v="8569800.0800000001"/>
    <x v="0"/>
    <x v="1"/>
    <x v="0"/>
    <x v="1"/>
    <x v="4"/>
    <x v="0"/>
    <x v="4"/>
    <x v="0"/>
    <x v="10"/>
    <n v="1"/>
    <x v="0"/>
  </r>
  <r>
    <d v="2021-06-01T00:00:00"/>
    <x v="0"/>
    <x v="0"/>
    <x v="0"/>
    <n v="275"/>
    <x v="0"/>
    <x v="0"/>
    <x v="0"/>
    <x v="0"/>
    <x v="4"/>
    <x v="0"/>
    <x v="4"/>
    <x v="0"/>
    <x v="10"/>
    <n v="1"/>
    <x v="0"/>
  </r>
  <r>
    <d v="2021-06-01T00:00:00"/>
    <x v="2"/>
    <x v="1"/>
    <x v="0"/>
    <n v="46578497.649999999"/>
    <x v="2"/>
    <x v="1"/>
    <x v="0"/>
    <x v="8"/>
    <x v="4"/>
    <x v="0"/>
    <x v="4"/>
    <x v="0"/>
    <x v="10"/>
    <n v="1"/>
    <x v="0"/>
  </r>
  <r>
    <d v="2021-06-01T00:00:00"/>
    <x v="2"/>
    <x v="1"/>
    <x v="1"/>
    <n v="155845817.75999999"/>
    <x v="2"/>
    <x v="1"/>
    <x v="1"/>
    <x v="9"/>
    <x v="4"/>
    <x v="0"/>
    <x v="4"/>
    <x v="0"/>
    <x v="10"/>
    <n v="1"/>
    <x v="0"/>
  </r>
  <r>
    <d v="2021-06-01T00:00:00"/>
    <x v="1"/>
    <x v="0"/>
    <x v="1"/>
    <n v="5072490642.4099998"/>
    <x v="1"/>
    <x v="0"/>
    <x v="1"/>
    <x v="11"/>
    <x v="4"/>
    <x v="0"/>
    <x v="4"/>
    <x v="0"/>
    <x v="10"/>
    <n v="1"/>
    <x v="0"/>
  </r>
  <r>
    <d v="2021-06-01T00:00:00"/>
    <x v="3"/>
    <x v="2"/>
    <x v="0"/>
    <n v="512134350.54000002"/>
    <x v="3"/>
    <x v="2"/>
    <x v="0"/>
    <x v="12"/>
    <x v="4"/>
    <x v="0"/>
    <x v="4"/>
    <x v="0"/>
    <x v="10"/>
    <n v="1"/>
    <x v="0"/>
  </r>
  <r>
    <d v="2021-06-01T00:00:00"/>
    <x v="3"/>
    <x v="2"/>
    <x v="1"/>
    <n v="37461967386.379997"/>
    <x v="3"/>
    <x v="2"/>
    <x v="1"/>
    <x v="13"/>
    <x v="4"/>
    <x v="0"/>
    <x v="4"/>
    <x v="0"/>
    <x v="10"/>
    <n v="1"/>
    <x v="0"/>
  </r>
  <r>
    <d v="2021-06-01T00:00:00"/>
    <x v="3"/>
    <x v="1"/>
    <x v="0"/>
    <n v="53534017.259999998"/>
    <x v="3"/>
    <x v="1"/>
    <x v="0"/>
    <x v="14"/>
    <x v="4"/>
    <x v="0"/>
    <x v="4"/>
    <x v="0"/>
    <x v="10"/>
    <n v="1"/>
    <x v="0"/>
  </r>
  <r>
    <d v="2021-05-28T00:00:00"/>
    <x v="2"/>
    <x v="1"/>
    <x v="2"/>
    <n v="13645"/>
    <x v="2"/>
    <x v="1"/>
    <x v="2"/>
    <x v="3"/>
    <x v="4"/>
    <x v="0"/>
    <x v="4"/>
    <x v="0"/>
    <x v="11"/>
    <n v="28"/>
    <x v="0"/>
  </r>
  <r>
    <d v="2021-05-28T00:00:00"/>
    <x v="1"/>
    <x v="0"/>
    <x v="0"/>
    <n v="71461183.790000007"/>
    <x v="1"/>
    <x v="0"/>
    <x v="0"/>
    <x v="8"/>
    <x v="4"/>
    <x v="0"/>
    <x v="4"/>
    <x v="0"/>
    <x v="11"/>
    <n v="28"/>
    <x v="0"/>
  </r>
  <r>
    <d v="2021-05-28T00:00:00"/>
    <x v="0"/>
    <x v="1"/>
    <x v="1"/>
    <n v="23300063.68"/>
    <x v="0"/>
    <x v="1"/>
    <x v="1"/>
    <x v="2"/>
    <x v="4"/>
    <x v="0"/>
    <x v="4"/>
    <x v="0"/>
    <x v="11"/>
    <n v="28"/>
    <x v="0"/>
  </r>
  <r>
    <d v="2021-05-28T00:00:00"/>
    <x v="3"/>
    <x v="2"/>
    <x v="2"/>
    <n v="222789.99"/>
    <x v="3"/>
    <x v="2"/>
    <x v="2"/>
    <x v="4"/>
    <x v="4"/>
    <x v="0"/>
    <x v="4"/>
    <x v="0"/>
    <x v="11"/>
    <n v="28"/>
    <x v="0"/>
  </r>
  <r>
    <d v="2021-05-28T00:00:00"/>
    <x v="0"/>
    <x v="1"/>
    <x v="0"/>
    <n v="17044487.719999999"/>
    <x v="0"/>
    <x v="1"/>
    <x v="0"/>
    <x v="0"/>
    <x v="4"/>
    <x v="0"/>
    <x v="4"/>
    <x v="0"/>
    <x v="11"/>
    <n v="28"/>
    <x v="0"/>
  </r>
  <r>
    <d v="2021-05-28T00:00:00"/>
    <x v="2"/>
    <x v="1"/>
    <x v="0"/>
    <n v="81459735.650000006"/>
    <x v="2"/>
    <x v="1"/>
    <x v="0"/>
    <x v="5"/>
    <x v="4"/>
    <x v="0"/>
    <x v="4"/>
    <x v="0"/>
    <x v="11"/>
    <n v="28"/>
    <x v="0"/>
  </r>
  <r>
    <d v="2021-05-28T00:00:00"/>
    <x v="1"/>
    <x v="0"/>
    <x v="2"/>
    <n v="20671.84"/>
    <x v="1"/>
    <x v="0"/>
    <x v="2"/>
    <x v="1"/>
    <x v="4"/>
    <x v="0"/>
    <x v="4"/>
    <x v="0"/>
    <x v="11"/>
    <n v="28"/>
    <x v="0"/>
  </r>
  <r>
    <d v="2021-05-28T00:00:00"/>
    <x v="3"/>
    <x v="3"/>
    <x v="0"/>
    <n v="2345585392.3800001"/>
    <x v="3"/>
    <x v="3"/>
    <x v="0"/>
    <x v="6"/>
    <x v="4"/>
    <x v="0"/>
    <x v="4"/>
    <x v="0"/>
    <x v="11"/>
    <n v="28"/>
    <x v="0"/>
  </r>
  <r>
    <d v="2021-05-28T00:00:00"/>
    <x v="2"/>
    <x v="1"/>
    <x v="1"/>
    <n v="203610915"/>
    <x v="2"/>
    <x v="1"/>
    <x v="1"/>
    <x v="7"/>
    <x v="4"/>
    <x v="0"/>
    <x v="4"/>
    <x v="0"/>
    <x v="11"/>
    <n v="28"/>
    <x v="0"/>
  </r>
  <r>
    <d v="2021-05-28T00:00:00"/>
    <x v="1"/>
    <x v="0"/>
    <x v="1"/>
    <n v="3640069860.7399998"/>
    <x v="1"/>
    <x v="0"/>
    <x v="1"/>
    <x v="9"/>
    <x v="4"/>
    <x v="0"/>
    <x v="4"/>
    <x v="0"/>
    <x v="11"/>
    <n v="28"/>
    <x v="0"/>
  </r>
  <r>
    <d v="2021-05-28T00:00:00"/>
    <x v="3"/>
    <x v="2"/>
    <x v="0"/>
    <n v="898604684.42999995"/>
    <x v="3"/>
    <x v="2"/>
    <x v="0"/>
    <x v="10"/>
    <x v="4"/>
    <x v="0"/>
    <x v="4"/>
    <x v="0"/>
    <x v="11"/>
    <n v="28"/>
    <x v="0"/>
  </r>
  <r>
    <d v="2021-05-28T00:00:00"/>
    <x v="3"/>
    <x v="2"/>
    <x v="1"/>
    <n v="17830563806.119999"/>
    <x v="3"/>
    <x v="2"/>
    <x v="1"/>
    <x v="11"/>
    <x v="4"/>
    <x v="0"/>
    <x v="4"/>
    <x v="0"/>
    <x v="11"/>
    <n v="28"/>
    <x v="0"/>
  </r>
  <r>
    <d v="2021-05-28T00:00:00"/>
    <x v="3"/>
    <x v="1"/>
    <x v="0"/>
    <n v="13462264.890000001"/>
    <x v="3"/>
    <x v="1"/>
    <x v="0"/>
    <x v="12"/>
    <x v="4"/>
    <x v="0"/>
    <x v="4"/>
    <x v="0"/>
    <x v="11"/>
    <n v="28"/>
    <x v="0"/>
  </r>
  <r>
    <d v="2021-05-27T00:00:00"/>
    <x v="1"/>
    <x v="0"/>
    <x v="2"/>
    <n v="10408.36"/>
    <x v="1"/>
    <x v="0"/>
    <x v="2"/>
    <x v="2"/>
    <x v="4"/>
    <x v="0"/>
    <x v="4"/>
    <x v="0"/>
    <x v="11"/>
    <n v="27"/>
    <x v="0"/>
  </r>
  <r>
    <d v="2021-05-27T00:00:00"/>
    <x v="2"/>
    <x v="1"/>
    <x v="0"/>
    <n v="82533366.129999995"/>
    <x v="2"/>
    <x v="1"/>
    <x v="0"/>
    <x v="6"/>
    <x v="4"/>
    <x v="0"/>
    <x v="4"/>
    <x v="0"/>
    <x v="11"/>
    <n v="27"/>
    <x v="0"/>
  </r>
  <r>
    <d v="2021-05-27T00:00:00"/>
    <x v="2"/>
    <x v="1"/>
    <x v="2"/>
    <n v="6540"/>
    <x v="2"/>
    <x v="1"/>
    <x v="2"/>
    <x v="4"/>
    <x v="4"/>
    <x v="0"/>
    <x v="4"/>
    <x v="0"/>
    <x v="11"/>
    <n v="27"/>
    <x v="0"/>
  </r>
  <r>
    <d v="2021-05-27T00:00:00"/>
    <x v="2"/>
    <x v="1"/>
    <x v="1"/>
    <n v="295379252.63"/>
    <x v="2"/>
    <x v="1"/>
    <x v="1"/>
    <x v="8"/>
    <x v="4"/>
    <x v="0"/>
    <x v="4"/>
    <x v="0"/>
    <x v="11"/>
    <n v="27"/>
    <x v="0"/>
  </r>
  <r>
    <d v="2021-05-27T00:00:00"/>
    <x v="3"/>
    <x v="2"/>
    <x v="2"/>
    <n v="312446.32"/>
    <x v="3"/>
    <x v="2"/>
    <x v="2"/>
    <x v="5"/>
    <x v="4"/>
    <x v="0"/>
    <x v="4"/>
    <x v="0"/>
    <x v="11"/>
    <n v="27"/>
    <x v="0"/>
  </r>
  <r>
    <d v="2021-05-27T00:00:00"/>
    <x v="0"/>
    <x v="1"/>
    <x v="1"/>
    <n v="56137062.770000003"/>
    <x v="0"/>
    <x v="1"/>
    <x v="1"/>
    <x v="3"/>
    <x v="4"/>
    <x v="0"/>
    <x v="4"/>
    <x v="0"/>
    <x v="11"/>
    <n v="27"/>
    <x v="0"/>
  </r>
  <r>
    <d v="2021-05-27T00:00:00"/>
    <x v="0"/>
    <x v="1"/>
    <x v="0"/>
    <n v="10693671.609999999"/>
    <x v="0"/>
    <x v="1"/>
    <x v="0"/>
    <x v="1"/>
    <x v="4"/>
    <x v="0"/>
    <x v="4"/>
    <x v="0"/>
    <x v="11"/>
    <n v="27"/>
    <x v="0"/>
  </r>
  <r>
    <d v="2021-05-27T00:00:00"/>
    <x v="0"/>
    <x v="0"/>
    <x v="0"/>
    <n v="25"/>
    <x v="0"/>
    <x v="0"/>
    <x v="0"/>
    <x v="0"/>
    <x v="4"/>
    <x v="0"/>
    <x v="4"/>
    <x v="0"/>
    <x v="11"/>
    <n v="27"/>
    <x v="0"/>
  </r>
  <r>
    <d v="2021-05-27T00:00:00"/>
    <x v="3"/>
    <x v="3"/>
    <x v="0"/>
    <n v="1975584915.1900001"/>
    <x v="3"/>
    <x v="3"/>
    <x v="0"/>
    <x v="7"/>
    <x v="4"/>
    <x v="0"/>
    <x v="4"/>
    <x v="0"/>
    <x v="11"/>
    <n v="27"/>
    <x v="0"/>
  </r>
  <r>
    <d v="2021-05-27T00:00:00"/>
    <x v="1"/>
    <x v="0"/>
    <x v="0"/>
    <n v="68967946.040000007"/>
    <x v="1"/>
    <x v="0"/>
    <x v="0"/>
    <x v="9"/>
    <x v="4"/>
    <x v="0"/>
    <x v="4"/>
    <x v="0"/>
    <x v="11"/>
    <n v="27"/>
    <x v="0"/>
  </r>
  <r>
    <d v="2021-05-27T00:00:00"/>
    <x v="1"/>
    <x v="0"/>
    <x v="1"/>
    <n v="6695157197.8199997"/>
    <x v="1"/>
    <x v="0"/>
    <x v="1"/>
    <x v="10"/>
    <x v="4"/>
    <x v="0"/>
    <x v="4"/>
    <x v="0"/>
    <x v="11"/>
    <n v="27"/>
    <x v="0"/>
  </r>
  <r>
    <d v="2021-05-27T00:00:00"/>
    <x v="3"/>
    <x v="2"/>
    <x v="0"/>
    <n v="394971412.94999999"/>
    <x v="3"/>
    <x v="2"/>
    <x v="0"/>
    <x v="11"/>
    <x v="4"/>
    <x v="0"/>
    <x v="4"/>
    <x v="0"/>
    <x v="11"/>
    <n v="27"/>
    <x v="0"/>
  </r>
  <r>
    <d v="2021-05-27T00:00:00"/>
    <x v="3"/>
    <x v="2"/>
    <x v="1"/>
    <n v="5063082095.5699997"/>
    <x v="3"/>
    <x v="2"/>
    <x v="1"/>
    <x v="12"/>
    <x v="4"/>
    <x v="0"/>
    <x v="4"/>
    <x v="0"/>
    <x v="11"/>
    <n v="27"/>
    <x v="0"/>
  </r>
  <r>
    <d v="2021-05-27T00:00:00"/>
    <x v="3"/>
    <x v="1"/>
    <x v="0"/>
    <n v="12915816.880000001"/>
    <x v="3"/>
    <x v="1"/>
    <x v="0"/>
    <x v="13"/>
    <x v="4"/>
    <x v="0"/>
    <x v="4"/>
    <x v="0"/>
    <x v="11"/>
    <n v="27"/>
    <x v="0"/>
  </r>
  <r>
    <d v="2021-05-26T00:00:00"/>
    <x v="1"/>
    <x v="0"/>
    <x v="2"/>
    <n v="10585.03"/>
    <x v="1"/>
    <x v="0"/>
    <x v="2"/>
    <x v="1"/>
    <x v="4"/>
    <x v="0"/>
    <x v="4"/>
    <x v="0"/>
    <x v="11"/>
    <n v="26"/>
    <x v="0"/>
  </r>
  <r>
    <d v="2021-05-26T00:00:00"/>
    <x v="2"/>
    <x v="1"/>
    <x v="2"/>
    <n v="32544.63"/>
    <x v="2"/>
    <x v="1"/>
    <x v="2"/>
    <x v="2"/>
    <x v="4"/>
    <x v="0"/>
    <x v="4"/>
    <x v="0"/>
    <x v="11"/>
    <n v="26"/>
    <x v="0"/>
  </r>
  <r>
    <d v="2021-05-26T00:00:00"/>
    <x v="3"/>
    <x v="3"/>
    <x v="0"/>
    <n v="1363063985.99"/>
    <x v="3"/>
    <x v="3"/>
    <x v="0"/>
    <x v="6"/>
    <x v="4"/>
    <x v="0"/>
    <x v="4"/>
    <x v="0"/>
    <x v="11"/>
    <n v="26"/>
    <x v="0"/>
  </r>
  <r>
    <d v="2021-05-26T00:00:00"/>
    <x v="0"/>
    <x v="1"/>
    <x v="1"/>
    <n v="24133274.890000001"/>
    <x v="0"/>
    <x v="1"/>
    <x v="1"/>
    <x v="3"/>
    <x v="4"/>
    <x v="0"/>
    <x v="4"/>
    <x v="0"/>
    <x v="11"/>
    <n v="26"/>
    <x v="0"/>
  </r>
  <r>
    <d v="2021-05-26T00:00:00"/>
    <x v="2"/>
    <x v="1"/>
    <x v="1"/>
    <n v="390782656.69"/>
    <x v="2"/>
    <x v="1"/>
    <x v="1"/>
    <x v="7"/>
    <x v="4"/>
    <x v="0"/>
    <x v="4"/>
    <x v="0"/>
    <x v="11"/>
    <n v="26"/>
    <x v="0"/>
  </r>
  <r>
    <d v="2021-05-26T00:00:00"/>
    <x v="0"/>
    <x v="1"/>
    <x v="0"/>
    <n v="13564086.93"/>
    <x v="0"/>
    <x v="1"/>
    <x v="0"/>
    <x v="0"/>
    <x v="4"/>
    <x v="0"/>
    <x v="4"/>
    <x v="0"/>
    <x v="11"/>
    <n v="26"/>
    <x v="0"/>
  </r>
  <r>
    <d v="2021-05-26T00:00:00"/>
    <x v="3"/>
    <x v="2"/>
    <x v="2"/>
    <n v="251355.99"/>
    <x v="3"/>
    <x v="2"/>
    <x v="2"/>
    <x v="4"/>
    <x v="4"/>
    <x v="0"/>
    <x v="4"/>
    <x v="0"/>
    <x v="11"/>
    <n v="26"/>
    <x v="0"/>
  </r>
  <r>
    <d v="2021-05-26T00:00:00"/>
    <x v="2"/>
    <x v="1"/>
    <x v="0"/>
    <n v="109489983.63"/>
    <x v="2"/>
    <x v="1"/>
    <x v="0"/>
    <x v="5"/>
    <x v="4"/>
    <x v="0"/>
    <x v="4"/>
    <x v="0"/>
    <x v="11"/>
    <n v="26"/>
    <x v="0"/>
  </r>
  <r>
    <d v="2021-05-26T00:00:00"/>
    <x v="1"/>
    <x v="0"/>
    <x v="0"/>
    <n v="96120713.109999999"/>
    <x v="1"/>
    <x v="0"/>
    <x v="0"/>
    <x v="8"/>
    <x v="4"/>
    <x v="0"/>
    <x v="4"/>
    <x v="0"/>
    <x v="11"/>
    <n v="26"/>
    <x v="0"/>
  </r>
  <r>
    <d v="2021-05-26T00:00:00"/>
    <x v="1"/>
    <x v="0"/>
    <x v="1"/>
    <n v="8685259880.2000008"/>
    <x v="1"/>
    <x v="0"/>
    <x v="1"/>
    <x v="9"/>
    <x v="4"/>
    <x v="0"/>
    <x v="4"/>
    <x v="0"/>
    <x v="11"/>
    <n v="26"/>
    <x v="0"/>
  </r>
  <r>
    <d v="2021-05-26T00:00:00"/>
    <x v="3"/>
    <x v="2"/>
    <x v="0"/>
    <n v="538695543.32000005"/>
    <x v="3"/>
    <x v="2"/>
    <x v="0"/>
    <x v="10"/>
    <x v="4"/>
    <x v="0"/>
    <x v="4"/>
    <x v="0"/>
    <x v="11"/>
    <n v="26"/>
    <x v="0"/>
  </r>
  <r>
    <d v="2021-05-26T00:00:00"/>
    <x v="3"/>
    <x v="1"/>
    <x v="0"/>
    <n v="11932681.140000001"/>
    <x v="3"/>
    <x v="1"/>
    <x v="0"/>
    <x v="11"/>
    <x v="4"/>
    <x v="0"/>
    <x v="4"/>
    <x v="0"/>
    <x v="11"/>
    <n v="26"/>
    <x v="0"/>
  </r>
  <r>
    <d v="2021-05-26T00:00:00"/>
    <x v="3"/>
    <x v="2"/>
    <x v="1"/>
    <n v="10250090986.719999"/>
    <x v="3"/>
    <x v="2"/>
    <x v="1"/>
    <x v="12"/>
    <x v="4"/>
    <x v="0"/>
    <x v="4"/>
    <x v="0"/>
    <x v="11"/>
    <n v="26"/>
    <x v="0"/>
  </r>
  <r>
    <d v="2021-05-25T00:00:00"/>
    <x v="1"/>
    <x v="0"/>
    <x v="2"/>
    <n v="17975.87"/>
    <x v="1"/>
    <x v="0"/>
    <x v="2"/>
    <x v="1"/>
    <x v="4"/>
    <x v="0"/>
    <x v="4"/>
    <x v="0"/>
    <x v="11"/>
    <n v="25"/>
    <x v="0"/>
  </r>
  <r>
    <d v="2021-05-25T00:00:00"/>
    <x v="2"/>
    <x v="1"/>
    <x v="0"/>
    <n v="125546142.28"/>
    <x v="2"/>
    <x v="1"/>
    <x v="0"/>
    <x v="5"/>
    <x v="4"/>
    <x v="0"/>
    <x v="4"/>
    <x v="0"/>
    <x v="11"/>
    <n v="25"/>
    <x v="0"/>
  </r>
  <r>
    <d v="2021-05-25T00:00:00"/>
    <x v="2"/>
    <x v="1"/>
    <x v="2"/>
    <n v="13120"/>
    <x v="2"/>
    <x v="1"/>
    <x v="2"/>
    <x v="2"/>
    <x v="4"/>
    <x v="0"/>
    <x v="4"/>
    <x v="0"/>
    <x v="11"/>
    <n v="25"/>
    <x v="0"/>
  </r>
  <r>
    <d v="2021-05-25T00:00:00"/>
    <x v="2"/>
    <x v="1"/>
    <x v="1"/>
    <n v="680092912.35000002"/>
    <x v="2"/>
    <x v="1"/>
    <x v="1"/>
    <x v="7"/>
    <x v="4"/>
    <x v="0"/>
    <x v="4"/>
    <x v="0"/>
    <x v="11"/>
    <n v="25"/>
    <x v="0"/>
  </r>
  <r>
    <d v="2021-05-25T00:00:00"/>
    <x v="1"/>
    <x v="0"/>
    <x v="0"/>
    <n v="74618611.459999993"/>
    <x v="1"/>
    <x v="0"/>
    <x v="0"/>
    <x v="8"/>
    <x v="4"/>
    <x v="0"/>
    <x v="4"/>
    <x v="0"/>
    <x v="11"/>
    <n v="25"/>
    <x v="0"/>
  </r>
  <r>
    <d v="2021-05-25T00:00:00"/>
    <x v="3"/>
    <x v="2"/>
    <x v="2"/>
    <n v="323860.73"/>
    <x v="3"/>
    <x v="2"/>
    <x v="2"/>
    <x v="4"/>
    <x v="4"/>
    <x v="0"/>
    <x v="4"/>
    <x v="0"/>
    <x v="11"/>
    <n v="25"/>
    <x v="0"/>
  </r>
  <r>
    <d v="2021-05-25T00:00:00"/>
    <x v="0"/>
    <x v="1"/>
    <x v="1"/>
    <n v="37699935.439999998"/>
    <x v="0"/>
    <x v="1"/>
    <x v="1"/>
    <x v="3"/>
    <x v="4"/>
    <x v="0"/>
    <x v="4"/>
    <x v="0"/>
    <x v="11"/>
    <n v="25"/>
    <x v="0"/>
  </r>
  <r>
    <d v="2021-05-25T00:00:00"/>
    <x v="0"/>
    <x v="1"/>
    <x v="0"/>
    <n v="15953450.390000001"/>
    <x v="0"/>
    <x v="1"/>
    <x v="0"/>
    <x v="0"/>
    <x v="4"/>
    <x v="0"/>
    <x v="4"/>
    <x v="0"/>
    <x v="11"/>
    <n v="25"/>
    <x v="0"/>
  </r>
  <r>
    <d v="2021-05-25T00:00:00"/>
    <x v="3"/>
    <x v="3"/>
    <x v="0"/>
    <n v="1104188512.54"/>
    <x v="3"/>
    <x v="3"/>
    <x v="0"/>
    <x v="6"/>
    <x v="4"/>
    <x v="0"/>
    <x v="4"/>
    <x v="0"/>
    <x v="11"/>
    <n v="25"/>
    <x v="0"/>
  </r>
  <r>
    <d v="2021-05-25T00:00:00"/>
    <x v="1"/>
    <x v="0"/>
    <x v="1"/>
    <n v="15982026133.370001"/>
    <x v="1"/>
    <x v="0"/>
    <x v="1"/>
    <x v="9"/>
    <x v="4"/>
    <x v="0"/>
    <x v="4"/>
    <x v="0"/>
    <x v="11"/>
    <n v="25"/>
    <x v="0"/>
  </r>
  <r>
    <d v="2021-05-25T00:00:00"/>
    <x v="3"/>
    <x v="2"/>
    <x v="0"/>
    <n v="402024869.49000001"/>
    <x v="3"/>
    <x v="2"/>
    <x v="0"/>
    <x v="10"/>
    <x v="4"/>
    <x v="0"/>
    <x v="4"/>
    <x v="0"/>
    <x v="11"/>
    <n v="25"/>
    <x v="0"/>
  </r>
  <r>
    <d v="2021-05-25T00:00:00"/>
    <x v="3"/>
    <x v="1"/>
    <x v="0"/>
    <n v="10101409.039999999"/>
    <x v="3"/>
    <x v="1"/>
    <x v="0"/>
    <x v="11"/>
    <x v="4"/>
    <x v="0"/>
    <x v="4"/>
    <x v="0"/>
    <x v="11"/>
    <n v="25"/>
    <x v="0"/>
  </r>
  <r>
    <d v="2021-05-25T00:00:00"/>
    <x v="3"/>
    <x v="2"/>
    <x v="1"/>
    <n v="4064360388.98"/>
    <x v="3"/>
    <x v="2"/>
    <x v="1"/>
    <x v="12"/>
    <x v="4"/>
    <x v="0"/>
    <x v="4"/>
    <x v="0"/>
    <x v="11"/>
    <n v="25"/>
    <x v="0"/>
  </r>
  <r>
    <d v="2021-05-24T00:00:00"/>
    <x v="1"/>
    <x v="0"/>
    <x v="2"/>
    <n v="2954.37"/>
    <x v="1"/>
    <x v="0"/>
    <x v="2"/>
    <x v="1"/>
    <x v="4"/>
    <x v="0"/>
    <x v="4"/>
    <x v="0"/>
    <x v="11"/>
    <n v="24"/>
    <x v="0"/>
  </r>
  <r>
    <d v="2021-05-24T00:00:00"/>
    <x v="3"/>
    <x v="3"/>
    <x v="0"/>
    <n v="1273305863.5899999"/>
    <x v="3"/>
    <x v="3"/>
    <x v="0"/>
    <x v="7"/>
    <x v="4"/>
    <x v="0"/>
    <x v="4"/>
    <x v="0"/>
    <x v="11"/>
    <n v="24"/>
    <x v="0"/>
  </r>
  <r>
    <d v="2021-05-24T00:00:00"/>
    <x v="2"/>
    <x v="1"/>
    <x v="2"/>
    <n v="115777.07"/>
    <x v="2"/>
    <x v="1"/>
    <x v="2"/>
    <x v="4"/>
    <x v="4"/>
    <x v="0"/>
    <x v="4"/>
    <x v="0"/>
    <x v="11"/>
    <n v="24"/>
    <x v="0"/>
  </r>
  <r>
    <d v="2021-05-24T00:00:00"/>
    <x v="0"/>
    <x v="1"/>
    <x v="1"/>
    <n v="65899568.340000004"/>
    <x v="0"/>
    <x v="1"/>
    <x v="1"/>
    <x v="3"/>
    <x v="4"/>
    <x v="0"/>
    <x v="4"/>
    <x v="0"/>
    <x v="11"/>
    <n v="24"/>
    <x v="0"/>
  </r>
  <r>
    <d v="2021-05-24T00:00:00"/>
    <x v="0"/>
    <x v="1"/>
    <x v="0"/>
    <n v="15528284.84"/>
    <x v="0"/>
    <x v="1"/>
    <x v="0"/>
    <x v="0"/>
    <x v="4"/>
    <x v="0"/>
    <x v="4"/>
    <x v="0"/>
    <x v="11"/>
    <n v="24"/>
    <x v="0"/>
  </r>
  <r>
    <d v="2021-05-24T00:00:00"/>
    <x v="3"/>
    <x v="2"/>
    <x v="2"/>
    <n v="1530857.99"/>
    <x v="3"/>
    <x v="2"/>
    <x v="2"/>
    <x v="5"/>
    <x v="4"/>
    <x v="0"/>
    <x v="4"/>
    <x v="0"/>
    <x v="11"/>
    <n v="24"/>
    <x v="0"/>
  </r>
  <r>
    <d v="2021-05-24T00:00:00"/>
    <x v="2"/>
    <x v="1"/>
    <x v="0"/>
    <n v="73049076.620000005"/>
    <x v="2"/>
    <x v="1"/>
    <x v="0"/>
    <x v="6"/>
    <x v="4"/>
    <x v="0"/>
    <x v="4"/>
    <x v="0"/>
    <x v="11"/>
    <n v="24"/>
    <x v="0"/>
  </r>
  <r>
    <d v="2021-05-24T00:00:00"/>
    <x v="3"/>
    <x v="3"/>
    <x v="1"/>
    <n v="15101.52"/>
    <x v="3"/>
    <x v="3"/>
    <x v="1"/>
    <x v="2"/>
    <x v="4"/>
    <x v="0"/>
    <x v="4"/>
    <x v="0"/>
    <x v="11"/>
    <n v="24"/>
    <x v="0"/>
  </r>
  <r>
    <d v="2021-05-24T00:00:00"/>
    <x v="2"/>
    <x v="1"/>
    <x v="1"/>
    <n v="399278572.32999998"/>
    <x v="2"/>
    <x v="1"/>
    <x v="1"/>
    <x v="8"/>
    <x v="4"/>
    <x v="0"/>
    <x v="4"/>
    <x v="0"/>
    <x v="11"/>
    <n v="24"/>
    <x v="0"/>
  </r>
  <r>
    <d v="2021-05-24T00:00:00"/>
    <x v="1"/>
    <x v="0"/>
    <x v="0"/>
    <n v="63125908.899999999"/>
    <x v="1"/>
    <x v="0"/>
    <x v="0"/>
    <x v="9"/>
    <x v="4"/>
    <x v="0"/>
    <x v="4"/>
    <x v="0"/>
    <x v="11"/>
    <n v="24"/>
    <x v="0"/>
  </r>
  <r>
    <d v="2021-05-24T00:00:00"/>
    <x v="1"/>
    <x v="0"/>
    <x v="1"/>
    <n v="12166480054.860001"/>
    <x v="1"/>
    <x v="0"/>
    <x v="1"/>
    <x v="10"/>
    <x v="4"/>
    <x v="0"/>
    <x v="4"/>
    <x v="0"/>
    <x v="11"/>
    <n v="24"/>
    <x v="0"/>
  </r>
  <r>
    <d v="2021-05-24T00:00:00"/>
    <x v="3"/>
    <x v="2"/>
    <x v="0"/>
    <n v="5705114162.3199997"/>
    <x v="3"/>
    <x v="2"/>
    <x v="0"/>
    <x v="11"/>
    <x v="4"/>
    <x v="0"/>
    <x v="4"/>
    <x v="0"/>
    <x v="11"/>
    <n v="24"/>
    <x v="0"/>
  </r>
  <r>
    <d v="2021-05-24T00:00:00"/>
    <x v="3"/>
    <x v="2"/>
    <x v="1"/>
    <n v="17312429130.939999"/>
    <x v="3"/>
    <x v="2"/>
    <x v="1"/>
    <x v="12"/>
    <x v="4"/>
    <x v="0"/>
    <x v="4"/>
    <x v="0"/>
    <x v="11"/>
    <n v="24"/>
    <x v="0"/>
  </r>
  <r>
    <d v="2021-05-24T00:00:00"/>
    <x v="3"/>
    <x v="1"/>
    <x v="0"/>
    <n v="39498585.619999997"/>
    <x v="3"/>
    <x v="1"/>
    <x v="0"/>
    <x v="13"/>
    <x v="4"/>
    <x v="0"/>
    <x v="4"/>
    <x v="0"/>
    <x v="11"/>
    <n v="24"/>
    <x v="0"/>
  </r>
  <r>
    <d v="2021-05-21T00:00:00"/>
    <x v="1"/>
    <x v="0"/>
    <x v="2"/>
    <n v="1952.03"/>
    <x v="1"/>
    <x v="0"/>
    <x v="2"/>
    <x v="2"/>
    <x v="4"/>
    <x v="0"/>
    <x v="4"/>
    <x v="0"/>
    <x v="11"/>
    <n v="21"/>
    <x v="0"/>
  </r>
  <r>
    <d v="2021-05-21T00:00:00"/>
    <x v="2"/>
    <x v="1"/>
    <x v="0"/>
    <n v="77643923.489999995"/>
    <x v="2"/>
    <x v="1"/>
    <x v="0"/>
    <x v="6"/>
    <x v="4"/>
    <x v="0"/>
    <x v="4"/>
    <x v="0"/>
    <x v="11"/>
    <n v="21"/>
    <x v="0"/>
  </r>
  <r>
    <d v="2021-05-21T00:00:00"/>
    <x v="3"/>
    <x v="3"/>
    <x v="0"/>
    <n v="1352930391.4000001"/>
    <x v="3"/>
    <x v="3"/>
    <x v="0"/>
    <x v="7"/>
    <x v="4"/>
    <x v="0"/>
    <x v="4"/>
    <x v="0"/>
    <x v="11"/>
    <n v="21"/>
    <x v="0"/>
  </r>
  <r>
    <d v="2021-05-21T00:00:00"/>
    <x v="0"/>
    <x v="1"/>
    <x v="0"/>
    <n v="20144750.649999999"/>
    <x v="0"/>
    <x v="1"/>
    <x v="0"/>
    <x v="1"/>
    <x v="4"/>
    <x v="0"/>
    <x v="4"/>
    <x v="0"/>
    <x v="11"/>
    <n v="21"/>
    <x v="0"/>
  </r>
  <r>
    <d v="2021-05-21T00:00:00"/>
    <x v="0"/>
    <x v="1"/>
    <x v="1"/>
    <n v="28157055.620000001"/>
    <x v="0"/>
    <x v="1"/>
    <x v="1"/>
    <x v="3"/>
    <x v="4"/>
    <x v="0"/>
    <x v="4"/>
    <x v="0"/>
    <x v="11"/>
    <n v="21"/>
    <x v="0"/>
  </r>
  <r>
    <d v="2021-05-21T00:00:00"/>
    <x v="2"/>
    <x v="1"/>
    <x v="2"/>
    <n v="8710"/>
    <x v="2"/>
    <x v="1"/>
    <x v="2"/>
    <x v="4"/>
    <x v="4"/>
    <x v="0"/>
    <x v="4"/>
    <x v="0"/>
    <x v="11"/>
    <n v="21"/>
    <x v="0"/>
  </r>
  <r>
    <d v="2021-05-21T00:00:00"/>
    <x v="3"/>
    <x v="2"/>
    <x v="2"/>
    <n v="424389.89"/>
    <x v="3"/>
    <x v="2"/>
    <x v="2"/>
    <x v="5"/>
    <x v="4"/>
    <x v="0"/>
    <x v="4"/>
    <x v="0"/>
    <x v="11"/>
    <n v="21"/>
    <x v="0"/>
  </r>
  <r>
    <d v="2021-05-21T00:00:00"/>
    <x v="0"/>
    <x v="0"/>
    <x v="0"/>
    <n v="462.78"/>
    <x v="0"/>
    <x v="0"/>
    <x v="0"/>
    <x v="0"/>
    <x v="4"/>
    <x v="0"/>
    <x v="4"/>
    <x v="0"/>
    <x v="11"/>
    <n v="21"/>
    <x v="0"/>
  </r>
  <r>
    <d v="2021-05-21T00:00:00"/>
    <x v="2"/>
    <x v="1"/>
    <x v="1"/>
    <n v="347293061.05000001"/>
    <x v="2"/>
    <x v="1"/>
    <x v="1"/>
    <x v="8"/>
    <x v="4"/>
    <x v="0"/>
    <x v="4"/>
    <x v="0"/>
    <x v="11"/>
    <n v="21"/>
    <x v="0"/>
  </r>
  <r>
    <d v="2021-05-21T00:00:00"/>
    <x v="1"/>
    <x v="0"/>
    <x v="0"/>
    <n v="90914478.920000002"/>
    <x v="1"/>
    <x v="0"/>
    <x v="0"/>
    <x v="9"/>
    <x v="4"/>
    <x v="0"/>
    <x v="4"/>
    <x v="0"/>
    <x v="11"/>
    <n v="21"/>
    <x v="0"/>
  </r>
  <r>
    <d v="2021-05-21T00:00:00"/>
    <x v="1"/>
    <x v="0"/>
    <x v="1"/>
    <n v="8865766318.8099995"/>
    <x v="1"/>
    <x v="0"/>
    <x v="1"/>
    <x v="10"/>
    <x v="4"/>
    <x v="0"/>
    <x v="4"/>
    <x v="0"/>
    <x v="11"/>
    <n v="21"/>
    <x v="0"/>
  </r>
  <r>
    <d v="2021-05-21T00:00:00"/>
    <x v="3"/>
    <x v="2"/>
    <x v="0"/>
    <n v="329806598.57999998"/>
    <x v="3"/>
    <x v="2"/>
    <x v="0"/>
    <x v="11"/>
    <x v="4"/>
    <x v="0"/>
    <x v="4"/>
    <x v="0"/>
    <x v="11"/>
    <n v="21"/>
    <x v="0"/>
  </r>
  <r>
    <d v="2021-05-21T00:00:00"/>
    <x v="3"/>
    <x v="1"/>
    <x v="0"/>
    <n v="12689278.470000001"/>
    <x v="3"/>
    <x v="1"/>
    <x v="0"/>
    <x v="12"/>
    <x v="4"/>
    <x v="0"/>
    <x v="4"/>
    <x v="0"/>
    <x v="11"/>
    <n v="21"/>
    <x v="0"/>
  </r>
  <r>
    <d v="2021-05-21T00:00:00"/>
    <x v="3"/>
    <x v="2"/>
    <x v="1"/>
    <n v="8101795685.7299995"/>
    <x v="3"/>
    <x v="2"/>
    <x v="1"/>
    <x v="13"/>
    <x v="4"/>
    <x v="0"/>
    <x v="4"/>
    <x v="0"/>
    <x v="11"/>
    <n v="21"/>
    <x v="0"/>
  </r>
  <r>
    <d v="2021-05-20T00:00:00"/>
    <x v="2"/>
    <x v="1"/>
    <x v="2"/>
    <n v="22320"/>
    <x v="2"/>
    <x v="1"/>
    <x v="2"/>
    <x v="2"/>
    <x v="4"/>
    <x v="0"/>
    <x v="4"/>
    <x v="0"/>
    <x v="11"/>
    <n v="20"/>
    <x v="0"/>
  </r>
  <r>
    <d v="2021-05-20T00:00:00"/>
    <x v="2"/>
    <x v="1"/>
    <x v="0"/>
    <n v="78073545.400000006"/>
    <x v="2"/>
    <x v="1"/>
    <x v="0"/>
    <x v="6"/>
    <x v="4"/>
    <x v="0"/>
    <x v="4"/>
    <x v="0"/>
    <x v="11"/>
    <n v="20"/>
    <x v="0"/>
  </r>
  <r>
    <d v="2021-05-20T00:00:00"/>
    <x v="1"/>
    <x v="0"/>
    <x v="2"/>
    <n v="119.63"/>
    <x v="1"/>
    <x v="0"/>
    <x v="2"/>
    <x v="4"/>
    <x v="4"/>
    <x v="0"/>
    <x v="4"/>
    <x v="0"/>
    <x v="11"/>
    <n v="20"/>
    <x v="0"/>
  </r>
  <r>
    <d v="2021-05-20T00:00:00"/>
    <x v="0"/>
    <x v="1"/>
    <x v="1"/>
    <n v="27326829.629999999"/>
    <x v="0"/>
    <x v="1"/>
    <x v="1"/>
    <x v="3"/>
    <x v="4"/>
    <x v="0"/>
    <x v="4"/>
    <x v="0"/>
    <x v="11"/>
    <n v="20"/>
    <x v="0"/>
  </r>
  <r>
    <d v="2021-05-20T00:00:00"/>
    <x v="3"/>
    <x v="3"/>
    <x v="0"/>
    <n v="3088199231.6700001"/>
    <x v="3"/>
    <x v="3"/>
    <x v="0"/>
    <x v="7"/>
    <x v="4"/>
    <x v="0"/>
    <x v="4"/>
    <x v="0"/>
    <x v="11"/>
    <n v="20"/>
    <x v="0"/>
  </r>
  <r>
    <d v="2021-05-20T00:00:00"/>
    <x v="2"/>
    <x v="1"/>
    <x v="1"/>
    <n v="483501412.56999999"/>
    <x v="2"/>
    <x v="1"/>
    <x v="1"/>
    <x v="8"/>
    <x v="4"/>
    <x v="0"/>
    <x v="4"/>
    <x v="0"/>
    <x v="11"/>
    <n v="20"/>
    <x v="0"/>
  </r>
  <r>
    <d v="2021-05-20T00:00:00"/>
    <x v="0"/>
    <x v="1"/>
    <x v="0"/>
    <n v="15002850.810000001"/>
    <x v="0"/>
    <x v="1"/>
    <x v="0"/>
    <x v="1"/>
    <x v="4"/>
    <x v="0"/>
    <x v="4"/>
    <x v="0"/>
    <x v="11"/>
    <n v="20"/>
    <x v="0"/>
  </r>
  <r>
    <d v="2021-05-20T00:00:00"/>
    <x v="1"/>
    <x v="0"/>
    <x v="0"/>
    <n v="91585498.530000001"/>
    <x v="1"/>
    <x v="0"/>
    <x v="0"/>
    <x v="9"/>
    <x v="4"/>
    <x v="0"/>
    <x v="4"/>
    <x v="0"/>
    <x v="11"/>
    <n v="20"/>
    <x v="0"/>
  </r>
  <r>
    <d v="2021-05-20T00:00:00"/>
    <x v="3"/>
    <x v="2"/>
    <x v="2"/>
    <n v="794417.45"/>
    <x v="3"/>
    <x v="2"/>
    <x v="2"/>
    <x v="5"/>
    <x v="4"/>
    <x v="0"/>
    <x v="4"/>
    <x v="0"/>
    <x v="11"/>
    <n v="20"/>
    <x v="0"/>
  </r>
  <r>
    <d v="2021-05-20T00:00:00"/>
    <x v="0"/>
    <x v="0"/>
    <x v="0"/>
    <n v="520"/>
    <x v="0"/>
    <x v="0"/>
    <x v="0"/>
    <x v="0"/>
    <x v="4"/>
    <x v="0"/>
    <x v="4"/>
    <x v="0"/>
    <x v="11"/>
    <n v="20"/>
    <x v="0"/>
  </r>
  <r>
    <d v="2021-05-20T00:00:00"/>
    <x v="1"/>
    <x v="0"/>
    <x v="1"/>
    <n v="10066170521.84"/>
    <x v="1"/>
    <x v="0"/>
    <x v="1"/>
    <x v="10"/>
    <x v="4"/>
    <x v="0"/>
    <x v="4"/>
    <x v="0"/>
    <x v="11"/>
    <n v="20"/>
    <x v="0"/>
  </r>
  <r>
    <d v="2021-05-20T00:00:00"/>
    <x v="3"/>
    <x v="2"/>
    <x v="0"/>
    <n v="516689564.56999999"/>
    <x v="3"/>
    <x v="2"/>
    <x v="0"/>
    <x v="11"/>
    <x v="4"/>
    <x v="0"/>
    <x v="4"/>
    <x v="0"/>
    <x v="11"/>
    <n v="20"/>
    <x v="0"/>
  </r>
  <r>
    <d v="2021-05-20T00:00:00"/>
    <x v="3"/>
    <x v="1"/>
    <x v="0"/>
    <n v="12487285.57"/>
    <x v="3"/>
    <x v="1"/>
    <x v="0"/>
    <x v="12"/>
    <x v="4"/>
    <x v="0"/>
    <x v="4"/>
    <x v="0"/>
    <x v="11"/>
    <n v="20"/>
    <x v="0"/>
  </r>
  <r>
    <d v="2021-05-20T00:00:00"/>
    <x v="3"/>
    <x v="2"/>
    <x v="1"/>
    <n v="7415615391.75"/>
    <x v="3"/>
    <x v="2"/>
    <x v="1"/>
    <x v="13"/>
    <x v="4"/>
    <x v="0"/>
    <x v="4"/>
    <x v="0"/>
    <x v="11"/>
    <n v="20"/>
    <x v="0"/>
  </r>
  <r>
    <d v="2021-05-19T00:00:00"/>
    <x v="1"/>
    <x v="0"/>
    <x v="2"/>
    <n v="1511.48"/>
    <x v="1"/>
    <x v="0"/>
    <x v="2"/>
    <x v="1"/>
    <x v="4"/>
    <x v="0"/>
    <x v="4"/>
    <x v="0"/>
    <x v="11"/>
    <n v="19"/>
    <x v="0"/>
  </r>
  <r>
    <d v="2021-05-19T00:00:00"/>
    <x v="2"/>
    <x v="1"/>
    <x v="2"/>
    <n v="26181.06"/>
    <x v="2"/>
    <x v="1"/>
    <x v="2"/>
    <x v="2"/>
    <x v="4"/>
    <x v="0"/>
    <x v="4"/>
    <x v="0"/>
    <x v="11"/>
    <n v="19"/>
    <x v="0"/>
  </r>
  <r>
    <d v="2021-05-19T00:00:00"/>
    <x v="2"/>
    <x v="1"/>
    <x v="0"/>
    <n v="88446239.629999995"/>
    <x v="2"/>
    <x v="1"/>
    <x v="0"/>
    <x v="6"/>
    <x v="4"/>
    <x v="0"/>
    <x v="4"/>
    <x v="0"/>
    <x v="11"/>
    <n v="19"/>
    <x v="0"/>
  </r>
  <r>
    <d v="2021-05-19T00:00:00"/>
    <x v="2"/>
    <x v="1"/>
    <x v="1"/>
    <n v="318620898.81999999"/>
    <x v="2"/>
    <x v="1"/>
    <x v="1"/>
    <x v="7"/>
    <x v="4"/>
    <x v="0"/>
    <x v="4"/>
    <x v="0"/>
    <x v="11"/>
    <n v="19"/>
    <x v="0"/>
  </r>
  <r>
    <d v="2021-05-19T00:00:00"/>
    <x v="0"/>
    <x v="1"/>
    <x v="1"/>
    <n v="50124106.469999999"/>
    <x v="0"/>
    <x v="1"/>
    <x v="1"/>
    <x v="4"/>
    <x v="4"/>
    <x v="0"/>
    <x v="4"/>
    <x v="0"/>
    <x v="11"/>
    <n v="19"/>
    <x v="0"/>
  </r>
  <r>
    <d v="2021-05-19T00:00:00"/>
    <x v="0"/>
    <x v="1"/>
    <x v="0"/>
    <n v="8467000.2200000007"/>
    <x v="0"/>
    <x v="1"/>
    <x v="0"/>
    <x v="0"/>
    <x v="4"/>
    <x v="0"/>
    <x v="4"/>
    <x v="0"/>
    <x v="11"/>
    <n v="19"/>
    <x v="0"/>
  </r>
  <r>
    <d v="2021-05-19T00:00:00"/>
    <x v="1"/>
    <x v="0"/>
    <x v="0"/>
    <n v="93288897.019999996"/>
    <x v="1"/>
    <x v="0"/>
    <x v="0"/>
    <x v="8"/>
    <x v="4"/>
    <x v="0"/>
    <x v="4"/>
    <x v="0"/>
    <x v="11"/>
    <n v="19"/>
    <x v="0"/>
  </r>
  <r>
    <d v="2021-05-19T00:00:00"/>
    <x v="3"/>
    <x v="2"/>
    <x v="2"/>
    <n v="371956.99"/>
    <x v="3"/>
    <x v="2"/>
    <x v="2"/>
    <x v="3"/>
    <x v="4"/>
    <x v="0"/>
    <x v="4"/>
    <x v="0"/>
    <x v="11"/>
    <n v="19"/>
    <x v="0"/>
  </r>
  <r>
    <d v="2021-05-19T00:00:00"/>
    <x v="1"/>
    <x v="0"/>
    <x v="1"/>
    <n v="14727879242.629999"/>
    <x v="1"/>
    <x v="0"/>
    <x v="1"/>
    <x v="9"/>
    <x v="4"/>
    <x v="0"/>
    <x v="4"/>
    <x v="0"/>
    <x v="11"/>
    <n v="19"/>
    <x v="0"/>
  </r>
  <r>
    <d v="2021-05-19T00:00:00"/>
    <x v="3"/>
    <x v="2"/>
    <x v="0"/>
    <n v="287260464.08999997"/>
    <x v="3"/>
    <x v="2"/>
    <x v="0"/>
    <x v="10"/>
    <x v="4"/>
    <x v="0"/>
    <x v="4"/>
    <x v="0"/>
    <x v="11"/>
    <n v="19"/>
    <x v="0"/>
  </r>
  <r>
    <d v="2021-05-19T00:00:00"/>
    <x v="3"/>
    <x v="1"/>
    <x v="0"/>
    <n v="12146393.130000001"/>
    <x v="3"/>
    <x v="1"/>
    <x v="0"/>
    <x v="11"/>
    <x v="4"/>
    <x v="0"/>
    <x v="4"/>
    <x v="0"/>
    <x v="11"/>
    <n v="19"/>
    <x v="0"/>
  </r>
  <r>
    <d v="2021-05-19T00:00:00"/>
    <x v="3"/>
    <x v="2"/>
    <x v="1"/>
    <n v="27725833243.220001"/>
    <x v="3"/>
    <x v="2"/>
    <x v="1"/>
    <x v="12"/>
    <x v="4"/>
    <x v="0"/>
    <x v="4"/>
    <x v="0"/>
    <x v="11"/>
    <n v="19"/>
    <x v="0"/>
  </r>
  <r>
    <d v="2021-05-19T00:00:00"/>
    <x v="3"/>
    <x v="3"/>
    <x v="0"/>
    <n v="1127796850.5699999"/>
    <x v="3"/>
    <x v="3"/>
    <x v="0"/>
    <x v="5"/>
    <x v="4"/>
    <x v="0"/>
    <x v="4"/>
    <x v="0"/>
    <x v="11"/>
    <n v="19"/>
    <x v="0"/>
  </r>
  <r>
    <d v="2021-05-18T00:00:00"/>
    <x v="1"/>
    <x v="0"/>
    <x v="2"/>
    <n v="3622.25"/>
    <x v="1"/>
    <x v="0"/>
    <x v="2"/>
    <x v="2"/>
    <x v="4"/>
    <x v="0"/>
    <x v="4"/>
    <x v="0"/>
    <x v="11"/>
    <n v="18"/>
    <x v="0"/>
  </r>
  <r>
    <d v="2021-05-18T00:00:00"/>
    <x v="0"/>
    <x v="1"/>
    <x v="0"/>
    <n v="13104379.15"/>
    <x v="0"/>
    <x v="1"/>
    <x v="0"/>
    <x v="1"/>
    <x v="4"/>
    <x v="0"/>
    <x v="4"/>
    <x v="0"/>
    <x v="11"/>
    <n v="18"/>
    <x v="0"/>
  </r>
  <r>
    <d v="2021-05-18T00:00:00"/>
    <x v="3"/>
    <x v="3"/>
    <x v="0"/>
    <n v="1664741654.46"/>
    <x v="3"/>
    <x v="3"/>
    <x v="0"/>
    <x v="7"/>
    <x v="4"/>
    <x v="0"/>
    <x v="4"/>
    <x v="0"/>
    <x v="11"/>
    <n v="18"/>
    <x v="0"/>
  </r>
  <r>
    <d v="2021-05-18T00:00:00"/>
    <x v="2"/>
    <x v="1"/>
    <x v="2"/>
    <n v="10895"/>
    <x v="2"/>
    <x v="1"/>
    <x v="2"/>
    <x v="4"/>
    <x v="4"/>
    <x v="0"/>
    <x v="4"/>
    <x v="0"/>
    <x v="11"/>
    <n v="18"/>
    <x v="0"/>
  </r>
  <r>
    <d v="2021-05-18T00:00:00"/>
    <x v="0"/>
    <x v="1"/>
    <x v="1"/>
    <n v="12928637.48"/>
    <x v="0"/>
    <x v="1"/>
    <x v="1"/>
    <x v="3"/>
    <x v="4"/>
    <x v="0"/>
    <x v="4"/>
    <x v="0"/>
    <x v="11"/>
    <n v="18"/>
    <x v="0"/>
  </r>
  <r>
    <d v="2021-05-18T00:00:00"/>
    <x v="3"/>
    <x v="2"/>
    <x v="2"/>
    <n v="219906.13"/>
    <x v="3"/>
    <x v="2"/>
    <x v="2"/>
    <x v="5"/>
    <x v="4"/>
    <x v="0"/>
    <x v="4"/>
    <x v="0"/>
    <x v="11"/>
    <n v="18"/>
    <x v="0"/>
  </r>
  <r>
    <d v="2021-05-18T00:00:00"/>
    <x v="0"/>
    <x v="0"/>
    <x v="0"/>
    <n v="1273.3800000000001"/>
    <x v="0"/>
    <x v="0"/>
    <x v="0"/>
    <x v="0"/>
    <x v="4"/>
    <x v="0"/>
    <x v="4"/>
    <x v="0"/>
    <x v="11"/>
    <n v="18"/>
    <x v="0"/>
  </r>
  <r>
    <d v="2021-05-18T00:00:00"/>
    <x v="2"/>
    <x v="1"/>
    <x v="1"/>
    <n v="698007033.67999995"/>
    <x v="2"/>
    <x v="1"/>
    <x v="1"/>
    <x v="8"/>
    <x v="4"/>
    <x v="0"/>
    <x v="4"/>
    <x v="0"/>
    <x v="11"/>
    <n v="18"/>
    <x v="0"/>
  </r>
  <r>
    <d v="2021-05-18T00:00:00"/>
    <x v="2"/>
    <x v="1"/>
    <x v="0"/>
    <n v="83277640.920000002"/>
    <x v="2"/>
    <x v="1"/>
    <x v="0"/>
    <x v="6"/>
    <x v="4"/>
    <x v="0"/>
    <x v="4"/>
    <x v="0"/>
    <x v="11"/>
    <n v="18"/>
    <x v="0"/>
  </r>
  <r>
    <d v="2021-05-18T00:00:00"/>
    <x v="1"/>
    <x v="0"/>
    <x v="0"/>
    <n v="73932679.640000001"/>
    <x v="1"/>
    <x v="0"/>
    <x v="0"/>
    <x v="9"/>
    <x v="4"/>
    <x v="0"/>
    <x v="4"/>
    <x v="0"/>
    <x v="11"/>
    <n v="18"/>
    <x v="0"/>
  </r>
  <r>
    <d v="2021-05-18T00:00:00"/>
    <x v="1"/>
    <x v="0"/>
    <x v="1"/>
    <n v="9508909426.0900002"/>
    <x v="1"/>
    <x v="0"/>
    <x v="1"/>
    <x v="10"/>
    <x v="4"/>
    <x v="0"/>
    <x v="4"/>
    <x v="0"/>
    <x v="11"/>
    <n v="18"/>
    <x v="0"/>
  </r>
  <r>
    <d v="2021-05-18T00:00:00"/>
    <x v="3"/>
    <x v="2"/>
    <x v="0"/>
    <n v="442101599.32999998"/>
    <x v="3"/>
    <x v="2"/>
    <x v="0"/>
    <x v="11"/>
    <x v="4"/>
    <x v="0"/>
    <x v="4"/>
    <x v="0"/>
    <x v="11"/>
    <n v="18"/>
    <x v="0"/>
  </r>
  <r>
    <d v="2021-05-18T00:00:00"/>
    <x v="3"/>
    <x v="1"/>
    <x v="0"/>
    <n v="11359057.449999999"/>
    <x v="3"/>
    <x v="1"/>
    <x v="0"/>
    <x v="12"/>
    <x v="4"/>
    <x v="0"/>
    <x v="4"/>
    <x v="0"/>
    <x v="11"/>
    <n v="18"/>
    <x v="0"/>
  </r>
  <r>
    <d v="2021-05-18T00:00:00"/>
    <x v="3"/>
    <x v="2"/>
    <x v="1"/>
    <n v="24667760531.25"/>
    <x v="3"/>
    <x v="2"/>
    <x v="1"/>
    <x v="13"/>
    <x v="4"/>
    <x v="0"/>
    <x v="4"/>
    <x v="0"/>
    <x v="11"/>
    <n v="18"/>
    <x v="0"/>
  </r>
  <r>
    <d v="2021-05-17T00:00:00"/>
    <x v="0"/>
    <x v="1"/>
    <x v="0"/>
    <n v="14351892.26"/>
    <x v="0"/>
    <x v="1"/>
    <x v="0"/>
    <x v="1"/>
    <x v="4"/>
    <x v="0"/>
    <x v="4"/>
    <x v="0"/>
    <x v="11"/>
    <n v="17"/>
    <x v="0"/>
  </r>
  <r>
    <d v="2021-05-17T00:00:00"/>
    <x v="1"/>
    <x v="0"/>
    <x v="2"/>
    <n v="4237.78"/>
    <x v="1"/>
    <x v="0"/>
    <x v="2"/>
    <x v="2"/>
    <x v="4"/>
    <x v="0"/>
    <x v="4"/>
    <x v="0"/>
    <x v="11"/>
    <n v="17"/>
    <x v="0"/>
  </r>
  <r>
    <d v="2021-05-17T00:00:00"/>
    <x v="2"/>
    <x v="1"/>
    <x v="2"/>
    <n v="38329.269999999997"/>
    <x v="2"/>
    <x v="1"/>
    <x v="2"/>
    <x v="3"/>
    <x v="4"/>
    <x v="0"/>
    <x v="4"/>
    <x v="0"/>
    <x v="11"/>
    <n v="17"/>
    <x v="0"/>
  </r>
  <r>
    <d v="2021-05-17T00:00:00"/>
    <x v="3"/>
    <x v="3"/>
    <x v="1"/>
    <n v="242453.23"/>
    <x v="3"/>
    <x v="3"/>
    <x v="1"/>
    <x v="4"/>
    <x v="4"/>
    <x v="0"/>
    <x v="4"/>
    <x v="0"/>
    <x v="11"/>
    <n v="17"/>
    <x v="0"/>
  </r>
  <r>
    <d v="2021-05-17T00:00:00"/>
    <x v="0"/>
    <x v="1"/>
    <x v="1"/>
    <n v="12821928.060000001"/>
    <x v="0"/>
    <x v="1"/>
    <x v="1"/>
    <x v="5"/>
    <x v="4"/>
    <x v="0"/>
    <x v="4"/>
    <x v="0"/>
    <x v="11"/>
    <n v="17"/>
    <x v="0"/>
  </r>
  <r>
    <d v="2021-05-17T00:00:00"/>
    <x v="2"/>
    <x v="1"/>
    <x v="1"/>
    <n v="444190296.86000001"/>
    <x v="2"/>
    <x v="1"/>
    <x v="1"/>
    <x v="9"/>
    <x v="4"/>
    <x v="0"/>
    <x v="4"/>
    <x v="0"/>
    <x v="11"/>
    <n v="17"/>
    <x v="0"/>
  </r>
  <r>
    <d v="2021-05-17T00:00:00"/>
    <x v="3"/>
    <x v="2"/>
    <x v="2"/>
    <n v="161241.99"/>
    <x v="3"/>
    <x v="2"/>
    <x v="2"/>
    <x v="6"/>
    <x v="4"/>
    <x v="0"/>
    <x v="4"/>
    <x v="0"/>
    <x v="11"/>
    <n v="17"/>
    <x v="0"/>
  </r>
  <r>
    <d v="2021-05-17T00:00:00"/>
    <x v="0"/>
    <x v="0"/>
    <x v="0"/>
    <n v="400"/>
    <x v="0"/>
    <x v="0"/>
    <x v="0"/>
    <x v="0"/>
    <x v="4"/>
    <x v="0"/>
    <x v="4"/>
    <x v="0"/>
    <x v="11"/>
    <n v="17"/>
    <x v="0"/>
  </r>
  <r>
    <d v="2021-05-17T00:00:00"/>
    <x v="2"/>
    <x v="1"/>
    <x v="0"/>
    <n v="80030245.230000004"/>
    <x v="2"/>
    <x v="1"/>
    <x v="0"/>
    <x v="8"/>
    <x v="4"/>
    <x v="0"/>
    <x v="4"/>
    <x v="0"/>
    <x v="11"/>
    <n v="17"/>
    <x v="0"/>
  </r>
  <r>
    <d v="2021-05-17T00:00:00"/>
    <x v="3"/>
    <x v="3"/>
    <x v="0"/>
    <n v="1721869391.8599999"/>
    <x v="3"/>
    <x v="3"/>
    <x v="0"/>
    <x v="7"/>
    <x v="4"/>
    <x v="0"/>
    <x v="4"/>
    <x v="0"/>
    <x v="11"/>
    <n v="17"/>
    <x v="0"/>
  </r>
  <r>
    <d v="2021-05-17T00:00:00"/>
    <x v="1"/>
    <x v="0"/>
    <x v="0"/>
    <n v="68756922.540000007"/>
    <x v="1"/>
    <x v="0"/>
    <x v="0"/>
    <x v="10"/>
    <x v="4"/>
    <x v="0"/>
    <x v="4"/>
    <x v="0"/>
    <x v="11"/>
    <n v="17"/>
    <x v="0"/>
  </r>
  <r>
    <d v="2021-05-17T00:00:00"/>
    <x v="1"/>
    <x v="0"/>
    <x v="1"/>
    <n v="3822683589.6700001"/>
    <x v="1"/>
    <x v="0"/>
    <x v="1"/>
    <x v="11"/>
    <x v="4"/>
    <x v="0"/>
    <x v="4"/>
    <x v="0"/>
    <x v="11"/>
    <n v="17"/>
    <x v="0"/>
  </r>
  <r>
    <d v="2021-05-17T00:00:00"/>
    <x v="3"/>
    <x v="2"/>
    <x v="0"/>
    <n v="391760822.94"/>
    <x v="3"/>
    <x v="2"/>
    <x v="0"/>
    <x v="12"/>
    <x v="4"/>
    <x v="0"/>
    <x v="4"/>
    <x v="0"/>
    <x v="11"/>
    <n v="17"/>
    <x v="0"/>
  </r>
  <r>
    <d v="2021-05-17T00:00:00"/>
    <x v="3"/>
    <x v="1"/>
    <x v="0"/>
    <n v="43572431.25"/>
    <x v="3"/>
    <x v="1"/>
    <x v="0"/>
    <x v="13"/>
    <x v="4"/>
    <x v="0"/>
    <x v="4"/>
    <x v="0"/>
    <x v="11"/>
    <n v="17"/>
    <x v="0"/>
  </r>
  <r>
    <d v="2021-05-17T00:00:00"/>
    <x v="3"/>
    <x v="2"/>
    <x v="1"/>
    <n v="80902141205.520004"/>
    <x v="3"/>
    <x v="2"/>
    <x v="1"/>
    <x v="14"/>
    <x v="4"/>
    <x v="0"/>
    <x v="4"/>
    <x v="0"/>
    <x v="11"/>
    <n v="17"/>
    <x v="0"/>
  </r>
  <r>
    <d v="2021-05-14T00:00:00"/>
    <x v="2"/>
    <x v="1"/>
    <x v="0"/>
    <n v="116205158.63"/>
    <x v="2"/>
    <x v="1"/>
    <x v="0"/>
    <x v="7"/>
    <x v="4"/>
    <x v="0"/>
    <x v="4"/>
    <x v="0"/>
    <x v="11"/>
    <n v="14"/>
    <x v="0"/>
  </r>
  <r>
    <d v="2021-05-14T00:00:00"/>
    <x v="0"/>
    <x v="1"/>
    <x v="0"/>
    <n v="36424789.020000003"/>
    <x v="0"/>
    <x v="1"/>
    <x v="0"/>
    <x v="1"/>
    <x v="4"/>
    <x v="0"/>
    <x v="4"/>
    <x v="0"/>
    <x v="11"/>
    <n v="14"/>
    <x v="0"/>
  </r>
  <r>
    <d v="2021-05-14T00:00:00"/>
    <x v="3"/>
    <x v="3"/>
    <x v="1"/>
    <n v="1323812.44"/>
    <x v="3"/>
    <x v="3"/>
    <x v="1"/>
    <x v="3"/>
    <x v="4"/>
    <x v="0"/>
    <x v="4"/>
    <x v="0"/>
    <x v="11"/>
    <n v="14"/>
    <x v="0"/>
  </r>
  <r>
    <d v="2021-05-14T00:00:00"/>
    <x v="0"/>
    <x v="1"/>
    <x v="1"/>
    <n v="30339520.989999998"/>
    <x v="0"/>
    <x v="1"/>
    <x v="1"/>
    <x v="4"/>
    <x v="4"/>
    <x v="0"/>
    <x v="4"/>
    <x v="0"/>
    <x v="11"/>
    <n v="14"/>
    <x v="0"/>
  </r>
  <r>
    <d v="2021-05-14T00:00:00"/>
    <x v="2"/>
    <x v="1"/>
    <x v="1"/>
    <n v="233537817.75"/>
    <x v="2"/>
    <x v="1"/>
    <x v="1"/>
    <x v="8"/>
    <x v="4"/>
    <x v="0"/>
    <x v="4"/>
    <x v="0"/>
    <x v="11"/>
    <n v="14"/>
    <x v="0"/>
  </r>
  <r>
    <d v="2021-05-14T00:00:00"/>
    <x v="1"/>
    <x v="0"/>
    <x v="0"/>
    <n v="75262827.370000005"/>
    <x v="1"/>
    <x v="0"/>
    <x v="0"/>
    <x v="10"/>
    <x v="4"/>
    <x v="0"/>
    <x v="4"/>
    <x v="0"/>
    <x v="11"/>
    <n v="14"/>
    <x v="0"/>
  </r>
  <r>
    <d v="2021-05-14T00:00:00"/>
    <x v="3"/>
    <x v="2"/>
    <x v="2"/>
    <n v="220136.99"/>
    <x v="3"/>
    <x v="2"/>
    <x v="2"/>
    <x v="6"/>
    <x v="4"/>
    <x v="0"/>
    <x v="4"/>
    <x v="0"/>
    <x v="11"/>
    <n v="14"/>
    <x v="0"/>
  </r>
  <r>
    <d v="2021-05-14T00:00:00"/>
    <x v="1"/>
    <x v="0"/>
    <x v="2"/>
    <n v="1271.57"/>
    <x v="1"/>
    <x v="0"/>
    <x v="2"/>
    <x v="5"/>
    <x v="4"/>
    <x v="0"/>
    <x v="4"/>
    <x v="0"/>
    <x v="11"/>
    <n v="14"/>
    <x v="0"/>
  </r>
  <r>
    <d v="2021-05-14T00:00:00"/>
    <x v="2"/>
    <x v="1"/>
    <x v="2"/>
    <n v="20445"/>
    <x v="2"/>
    <x v="1"/>
    <x v="2"/>
    <x v="2"/>
    <x v="4"/>
    <x v="0"/>
    <x v="4"/>
    <x v="0"/>
    <x v="11"/>
    <n v="14"/>
    <x v="0"/>
  </r>
  <r>
    <d v="2021-05-14T00:00:00"/>
    <x v="0"/>
    <x v="0"/>
    <x v="0"/>
    <n v="350"/>
    <x v="0"/>
    <x v="0"/>
    <x v="0"/>
    <x v="0"/>
    <x v="4"/>
    <x v="0"/>
    <x v="4"/>
    <x v="0"/>
    <x v="11"/>
    <n v="14"/>
    <x v="0"/>
  </r>
  <r>
    <d v="2021-05-14T00:00:00"/>
    <x v="3"/>
    <x v="3"/>
    <x v="0"/>
    <n v="1373569175.1199999"/>
    <x v="3"/>
    <x v="3"/>
    <x v="0"/>
    <x v="9"/>
    <x v="4"/>
    <x v="0"/>
    <x v="4"/>
    <x v="0"/>
    <x v="11"/>
    <n v="14"/>
    <x v="0"/>
  </r>
  <r>
    <d v="2021-05-14T00:00:00"/>
    <x v="1"/>
    <x v="0"/>
    <x v="1"/>
    <n v="2157435959.4699998"/>
    <x v="1"/>
    <x v="0"/>
    <x v="1"/>
    <x v="11"/>
    <x v="4"/>
    <x v="0"/>
    <x v="4"/>
    <x v="0"/>
    <x v="11"/>
    <n v="14"/>
    <x v="0"/>
  </r>
  <r>
    <d v="2021-05-14T00:00:00"/>
    <x v="3"/>
    <x v="2"/>
    <x v="0"/>
    <n v="665690491.79999995"/>
    <x v="3"/>
    <x v="2"/>
    <x v="0"/>
    <x v="12"/>
    <x v="4"/>
    <x v="0"/>
    <x v="4"/>
    <x v="0"/>
    <x v="11"/>
    <n v="14"/>
    <x v="0"/>
  </r>
  <r>
    <d v="2021-05-14T00:00:00"/>
    <x v="3"/>
    <x v="2"/>
    <x v="1"/>
    <n v="26128669893.389999"/>
    <x v="3"/>
    <x v="2"/>
    <x v="1"/>
    <x v="13"/>
    <x v="4"/>
    <x v="0"/>
    <x v="4"/>
    <x v="0"/>
    <x v="11"/>
    <n v="14"/>
    <x v="0"/>
  </r>
  <r>
    <d v="2021-05-14T00:00:00"/>
    <x v="3"/>
    <x v="1"/>
    <x v="0"/>
    <n v="13507674.689999999"/>
    <x v="3"/>
    <x v="1"/>
    <x v="0"/>
    <x v="14"/>
    <x v="4"/>
    <x v="0"/>
    <x v="4"/>
    <x v="0"/>
    <x v="11"/>
    <n v="14"/>
    <x v="0"/>
  </r>
  <r>
    <d v="2021-05-13T00:00:00"/>
    <x v="1"/>
    <x v="0"/>
    <x v="2"/>
    <n v="2729.46"/>
    <x v="1"/>
    <x v="0"/>
    <x v="2"/>
    <x v="1"/>
    <x v="4"/>
    <x v="0"/>
    <x v="4"/>
    <x v="0"/>
    <x v="11"/>
    <n v="13"/>
    <x v="0"/>
  </r>
  <r>
    <d v="2021-05-13T00:00:00"/>
    <x v="0"/>
    <x v="1"/>
    <x v="0"/>
    <n v="18836842.850000001"/>
    <x v="0"/>
    <x v="1"/>
    <x v="0"/>
    <x v="0"/>
    <x v="4"/>
    <x v="0"/>
    <x v="4"/>
    <x v="0"/>
    <x v="11"/>
    <n v="13"/>
    <x v="0"/>
  </r>
  <r>
    <d v="2021-05-13T00:00:00"/>
    <x v="2"/>
    <x v="1"/>
    <x v="0"/>
    <n v="78483714.299999997"/>
    <x v="2"/>
    <x v="1"/>
    <x v="0"/>
    <x v="4"/>
    <x v="4"/>
    <x v="0"/>
    <x v="4"/>
    <x v="0"/>
    <x v="11"/>
    <n v="13"/>
    <x v="0"/>
  </r>
  <r>
    <d v="2021-05-13T00:00:00"/>
    <x v="0"/>
    <x v="1"/>
    <x v="1"/>
    <n v="45949349.280000001"/>
    <x v="0"/>
    <x v="1"/>
    <x v="1"/>
    <x v="2"/>
    <x v="4"/>
    <x v="0"/>
    <x v="4"/>
    <x v="0"/>
    <x v="11"/>
    <n v="13"/>
    <x v="0"/>
  </r>
  <r>
    <d v="2021-05-13T00:00:00"/>
    <x v="2"/>
    <x v="1"/>
    <x v="1"/>
    <n v="420266095.10000002"/>
    <x v="2"/>
    <x v="1"/>
    <x v="1"/>
    <x v="7"/>
    <x v="4"/>
    <x v="0"/>
    <x v="4"/>
    <x v="0"/>
    <x v="11"/>
    <n v="13"/>
    <x v="0"/>
  </r>
  <r>
    <d v="2021-05-13T00:00:00"/>
    <x v="3"/>
    <x v="2"/>
    <x v="2"/>
    <n v="484572.99"/>
    <x v="3"/>
    <x v="2"/>
    <x v="2"/>
    <x v="3"/>
    <x v="4"/>
    <x v="0"/>
    <x v="4"/>
    <x v="0"/>
    <x v="11"/>
    <n v="13"/>
    <x v="0"/>
  </r>
  <r>
    <d v="2021-05-13T00:00:00"/>
    <x v="3"/>
    <x v="3"/>
    <x v="0"/>
    <n v="2557973652.48"/>
    <x v="3"/>
    <x v="3"/>
    <x v="0"/>
    <x v="5"/>
    <x v="4"/>
    <x v="0"/>
    <x v="4"/>
    <x v="0"/>
    <x v="11"/>
    <n v="13"/>
    <x v="0"/>
  </r>
  <r>
    <d v="2021-05-13T00:00:00"/>
    <x v="1"/>
    <x v="0"/>
    <x v="0"/>
    <n v="78258823.379999995"/>
    <x v="1"/>
    <x v="0"/>
    <x v="0"/>
    <x v="6"/>
    <x v="4"/>
    <x v="0"/>
    <x v="4"/>
    <x v="0"/>
    <x v="11"/>
    <n v="13"/>
    <x v="0"/>
  </r>
  <r>
    <d v="2021-05-13T00:00:00"/>
    <x v="1"/>
    <x v="0"/>
    <x v="1"/>
    <n v="2349268576.5599999"/>
    <x v="1"/>
    <x v="0"/>
    <x v="1"/>
    <x v="8"/>
    <x v="4"/>
    <x v="0"/>
    <x v="4"/>
    <x v="0"/>
    <x v="11"/>
    <n v="13"/>
    <x v="0"/>
  </r>
  <r>
    <d v="2021-05-13T00:00:00"/>
    <x v="3"/>
    <x v="2"/>
    <x v="0"/>
    <n v="427482104.13"/>
    <x v="3"/>
    <x v="2"/>
    <x v="0"/>
    <x v="9"/>
    <x v="4"/>
    <x v="0"/>
    <x v="4"/>
    <x v="0"/>
    <x v="11"/>
    <n v="13"/>
    <x v="0"/>
  </r>
  <r>
    <d v="2021-05-13T00:00:00"/>
    <x v="3"/>
    <x v="2"/>
    <x v="1"/>
    <n v="9533398887.8999996"/>
    <x v="3"/>
    <x v="2"/>
    <x v="1"/>
    <x v="10"/>
    <x v="4"/>
    <x v="0"/>
    <x v="4"/>
    <x v="0"/>
    <x v="11"/>
    <n v="13"/>
    <x v="0"/>
  </r>
  <r>
    <d v="2021-05-13T00:00:00"/>
    <x v="3"/>
    <x v="1"/>
    <x v="0"/>
    <n v="12519432.6"/>
    <x v="3"/>
    <x v="1"/>
    <x v="0"/>
    <x v="11"/>
    <x v="4"/>
    <x v="0"/>
    <x v="4"/>
    <x v="0"/>
    <x v="11"/>
    <n v="13"/>
    <x v="0"/>
  </r>
  <r>
    <d v="2021-05-12T00:00:00"/>
    <x v="3"/>
    <x v="2"/>
    <x v="2"/>
    <n v="168437.81"/>
    <x v="3"/>
    <x v="2"/>
    <x v="2"/>
    <x v="5"/>
    <x v="4"/>
    <x v="0"/>
    <x v="4"/>
    <x v="0"/>
    <x v="11"/>
    <n v="12"/>
    <x v="0"/>
  </r>
  <r>
    <d v="2021-05-12T00:00:00"/>
    <x v="0"/>
    <x v="1"/>
    <x v="0"/>
    <n v="18623721.23"/>
    <x v="0"/>
    <x v="1"/>
    <x v="0"/>
    <x v="0"/>
    <x v="4"/>
    <x v="0"/>
    <x v="4"/>
    <x v="0"/>
    <x v="11"/>
    <n v="12"/>
    <x v="0"/>
  </r>
  <r>
    <d v="2021-05-12T00:00:00"/>
    <x v="2"/>
    <x v="1"/>
    <x v="0"/>
    <n v="98090705.170000002"/>
    <x v="2"/>
    <x v="1"/>
    <x v="0"/>
    <x v="6"/>
    <x v="4"/>
    <x v="0"/>
    <x v="4"/>
    <x v="0"/>
    <x v="11"/>
    <n v="12"/>
    <x v="0"/>
  </r>
  <r>
    <d v="2021-05-12T00:00:00"/>
    <x v="2"/>
    <x v="1"/>
    <x v="2"/>
    <n v="115443.93"/>
    <x v="2"/>
    <x v="1"/>
    <x v="2"/>
    <x v="2"/>
    <x v="4"/>
    <x v="0"/>
    <x v="4"/>
    <x v="0"/>
    <x v="11"/>
    <n v="12"/>
    <x v="0"/>
  </r>
  <r>
    <d v="2021-05-12T00:00:00"/>
    <x v="3"/>
    <x v="3"/>
    <x v="0"/>
    <n v="1560260936.1099999"/>
    <x v="3"/>
    <x v="3"/>
    <x v="0"/>
    <x v="7"/>
    <x v="4"/>
    <x v="0"/>
    <x v="4"/>
    <x v="0"/>
    <x v="11"/>
    <n v="12"/>
    <x v="0"/>
  </r>
  <r>
    <d v="2021-05-12T00:00:00"/>
    <x v="3"/>
    <x v="3"/>
    <x v="1"/>
    <n v="1123679.26"/>
    <x v="3"/>
    <x v="3"/>
    <x v="1"/>
    <x v="3"/>
    <x v="4"/>
    <x v="0"/>
    <x v="4"/>
    <x v="0"/>
    <x v="11"/>
    <n v="12"/>
    <x v="0"/>
  </r>
  <r>
    <d v="2021-05-12T00:00:00"/>
    <x v="0"/>
    <x v="1"/>
    <x v="1"/>
    <n v="17425474.23"/>
    <x v="0"/>
    <x v="1"/>
    <x v="1"/>
    <x v="4"/>
    <x v="4"/>
    <x v="0"/>
    <x v="4"/>
    <x v="0"/>
    <x v="11"/>
    <n v="12"/>
    <x v="0"/>
  </r>
  <r>
    <d v="2021-05-12T00:00:00"/>
    <x v="2"/>
    <x v="1"/>
    <x v="1"/>
    <n v="232644937.19"/>
    <x v="2"/>
    <x v="1"/>
    <x v="1"/>
    <x v="8"/>
    <x v="4"/>
    <x v="0"/>
    <x v="4"/>
    <x v="0"/>
    <x v="11"/>
    <n v="12"/>
    <x v="0"/>
  </r>
  <r>
    <d v="2021-05-12T00:00:00"/>
    <x v="1"/>
    <x v="0"/>
    <x v="2"/>
    <n v="1611.28"/>
    <x v="1"/>
    <x v="0"/>
    <x v="2"/>
    <x v="1"/>
    <x v="4"/>
    <x v="0"/>
    <x v="4"/>
    <x v="0"/>
    <x v="11"/>
    <n v="12"/>
    <x v="0"/>
  </r>
  <r>
    <d v="2021-05-12T00:00:00"/>
    <x v="1"/>
    <x v="0"/>
    <x v="0"/>
    <n v="100206711.75"/>
    <x v="1"/>
    <x v="0"/>
    <x v="0"/>
    <x v="9"/>
    <x v="4"/>
    <x v="0"/>
    <x v="4"/>
    <x v="0"/>
    <x v="11"/>
    <n v="12"/>
    <x v="0"/>
  </r>
  <r>
    <d v="2021-05-12T00:00:00"/>
    <x v="1"/>
    <x v="0"/>
    <x v="1"/>
    <n v="4562579126.5900002"/>
    <x v="1"/>
    <x v="0"/>
    <x v="1"/>
    <x v="10"/>
    <x v="4"/>
    <x v="0"/>
    <x v="4"/>
    <x v="0"/>
    <x v="11"/>
    <n v="12"/>
    <x v="0"/>
  </r>
  <r>
    <d v="2021-05-12T00:00:00"/>
    <x v="3"/>
    <x v="2"/>
    <x v="0"/>
    <n v="351722881.93000001"/>
    <x v="3"/>
    <x v="2"/>
    <x v="0"/>
    <x v="11"/>
    <x v="4"/>
    <x v="0"/>
    <x v="4"/>
    <x v="0"/>
    <x v="11"/>
    <n v="12"/>
    <x v="0"/>
  </r>
  <r>
    <d v="2021-05-12T00:00:00"/>
    <x v="3"/>
    <x v="1"/>
    <x v="0"/>
    <n v="11989256.630000001"/>
    <x v="3"/>
    <x v="1"/>
    <x v="0"/>
    <x v="12"/>
    <x v="4"/>
    <x v="0"/>
    <x v="4"/>
    <x v="0"/>
    <x v="11"/>
    <n v="12"/>
    <x v="0"/>
  </r>
  <r>
    <d v="2021-05-12T00:00:00"/>
    <x v="3"/>
    <x v="2"/>
    <x v="1"/>
    <n v="14151408076.18"/>
    <x v="3"/>
    <x v="2"/>
    <x v="1"/>
    <x v="13"/>
    <x v="4"/>
    <x v="0"/>
    <x v="4"/>
    <x v="0"/>
    <x v="11"/>
    <n v="12"/>
    <x v="0"/>
  </r>
  <r>
    <d v="2021-05-11T00:00:00"/>
    <x v="2"/>
    <x v="1"/>
    <x v="2"/>
    <n v="19640"/>
    <x v="2"/>
    <x v="1"/>
    <x v="2"/>
    <x v="2"/>
    <x v="4"/>
    <x v="0"/>
    <x v="4"/>
    <x v="0"/>
    <x v="11"/>
    <n v="11"/>
    <x v="0"/>
  </r>
  <r>
    <d v="2021-05-11T00:00:00"/>
    <x v="1"/>
    <x v="0"/>
    <x v="2"/>
    <n v="31821.18"/>
    <x v="1"/>
    <x v="0"/>
    <x v="2"/>
    <x v="3"/>
    <x v="4"/>
    <x v="0"/>
    <x v="4"/>
    <x v="0"/>
    <x v="11"/>
    <n v="11"/>
    <x v="0"/>
  </r>
  <r>
    <d v="2021-05-11T00:00:00"/>
    <x v="0"/>
    <x v="1"/>
    <x v="0"/>
    <n v="20210339.620000001"/>
    <x v="0"/>
    <x v="1"/>
    <x v="0"/>
    <x v="1"/>
    <x v="4"/>
    <x v="0"/>
    <x v="4"/>
    <x v="0"/>
    <x v="11"/>
    <n v="11"/>
    <x v="0"/>
  </r>
  <r>
    <d v="2021-05-11T00:00:00"/>
    <x v="2"/>
    <x v="1"/>
    <x v="0"/>
    <n v="96485222.840000004"/>
    <x v="2"/>
    <x v="1"/>
    <x v="0"/>
    <x v="6"/>
    <x v="4"/>
    <x v="0"/>
    <x v="4"/>
    <x v="0"/>
    <x v="11"/>
    <n v="11"/>
    <x v="0"/>
  </r>
  <r>
    <d v="2021-05-11T00:00:00"/>
    <x v="0"/>
    <x v="1"/>
    <x v="1"/>
    <n v="43156063.039999999"/>
    <x v="0"/>
    <x v="1"/>
    <x v="1"/>
    <x v="4"/>
    <x v="4"/>
    <x v="0"/>
    <x v="4"/>
    <x v="0"/>
    <x v="11"/>
    <n v="11"/>
    <x v="0"/>
  </r>
  <r>
    <d v="2021-05-11T00:00:00"/>
    <x v="2"/>
    <x v="1"/>
    <x v="1"/>
    <n v="450869259.60000002"/>
    <x v="2"/>
    <x v="1"/>
    <x v="1"/>
    <x v="8"/>
    <x v="4"/>
    <x v="0"/>
    <x v="4"/>
    <x v="0"/>
    <x v="11"/>
    <n v="11"/>
    <x v="0"/>
  </r>
  <r>
    <d v="2021-05-11T00:00:00"/>
    <x v="3"/>
    <x v="2"/>
    <x v="2"/>
    <n v="134527.99"/>
    <x v="3"/>
    <x v="2"/>
    <x v="2"/>
    <x v="5"/>
    <x v="4"/>
    <x v="0"/>
    <x v="4"/>
    <x v="0"/>
    <x v="11"/>
    <n v="11"/>
    <x v="0"/>
  </r>
  <r>
    <d v="2021-05-11T00:00:00"/>
    <x v="0"/>
    <x v="0"/>
    <x v="0"/>
    <n v="50"/>
    <x v="0"/>
    <x v="0"/>
    <x v="0"/>
    <x v="0"/>
    <x v="4"/>
    <x v="0"/>
    <x v="4"/>
    <x v="0"/>
    <x v="11"/>
    <n v="11"/>
    <x v="0"/>
  </r>
  <r>
    <d v="2021-05-11T00:00:00"/>
    <x v="3"/>
    <x v="3"/>
    <x v="0"/>
    <n v="1302867469.4400001"/>
    <x v="3"/>
    <x v="3"/>
    <x v="0"/>
    <x v="7"/>
    <x v="4"/>
    <x v="0"/>
    <x v="4"/>
    <x v="0"/>
    <x v="11"/>
    <n v="11"/>
    <x v="0"/>
  </r>
  <r>
    <d v="2021-05-11T00:00:00"/>
    <x v="1"/>
    <x v="0"/>
    <x v="0"/>
    <n v="88941787.890000001"/>
    <x v="1"/>
    <x v="0"/>
    <x v="0"/>
    <x v="9"/>
    <x v="4"/>
    <x v="0"/>
    <x v="4"/>
    <x v="0"/>
    <x v="11"/>
    <n v="11"/>
    <x v="0"/>
  </r>
  <r>
    <d v="2021-05-11T00:00:00"/>
    <x v="1"/>
    <x v="0"/>
    <x v="1"/>
    <n v="1619830037.04"/>
    <x v="1"/>
    <x v="0"/>
    <x v="1"/>
    <x v="10"/>
    <x v="4"/>
    <x v="0"/>
    <x v="4"/>
    <x v="0"/>
    <x v="11"/>
    <n v="11"/>
    <x v="0"/>
  </r>
  <r>
    <d v="2021-05-11T00:00:00"/>
    <x v="3"/>
    <x v="2"/>
    <x v="0"/>
    <n v="407350776.56999999"/>
    <x v="3"/>
    <x v="2"/>
    <x v="0"/>
    <x v="11"/>
    <x v="4"/>
    <x v="0"/>
    <x v="4"/>
    <x v="0"/>
    <x v="11"/>
    <n v="11"/>
    <x v="0"/>
  </r>
  <r>
    <d v="2021-05-11T00:00:00"/>
    <x v="3"/>
    <x v="1"/>
    <x v="0"/>
    <n v="9205559.8900000006"/>
    <x v="3"/>
    <x v="1"/>
    <x v="0"/>
    <x v="12"/>
    <x v="4"/>
    <x v="0"/>
    <x v="4"/>
    <x v="0"/>
    <x v="11"/>
    <n v="11"/>
    <x v="0"/>
  </r>
  <r>
    <d v="2021-05-11T00:00:00"/>
    <x v="3"/>
    <x v="2"/>
    <x v="1"/>
    <n v="8125026979.9899998"/>
    <x v="3"/>
    <x v="2"/>
    <x v="1"/>
    <x v="13"/>
    <x v="4"/>
    <x v="0"/>
    <x v="4"/>
    <x v="0"/>
    <x v="11"/>
    <n v="11"/>
    <x v="0"/>
  </r>
  <r>
    <d v="2021-05-10T00:00:00"/>
    <x v="0"/>
    <x v="1"/>
    <x v="0"/>
    <n v="13738678.26"/>
    <x v="0"/>
    <x v="1"/>
    <x v="0"/>
    <x v="1"/>
    <x v="4"/>
    <x v="0"/>
    <x v="4"/>
    <x v="0"/>
    <x v="11"/>
    <n v="10"/>
    <x v="0"/>
  </r>
  <r>
    <d v="2021-05-10T00:00:00"/>
    <x v="2"/>
    <x v="1"/>
    <x v="0"/>
    <n v="77783844.620000005"/>
    <x v="2"/>
    <x v="1"/>
    <x v="0"/>
    <x v="7"/>
    <x v="4"/>
    <x v="0"/>
    <x v="4"/>
    <x v="0"/>
    <x v="11"/>
    <n v="10"/>
    <x v="0"/>
  </r>
  <r>
    <d v="2021-05-10T00:00:00"/>
    <x v="1"/>
    <x v="0"/>
    <x v="2"/>
    <n v="13542.16"/>
    <x v="1"/>
    <x v="0"/>
    <x v="2"/>
    <x v="2"/>
    <x v="4"/>
    <x v="0"/>
    <x v="4"/>
    <x v="0"/>
    <x v="11"/>
    <n v="10"/>
    <x v="0"/>
  </r>
  <r>
    <d v="2021-05-10T00:00:00"/>
    <x v="2"/>
    <x v="1"/>
    <x v="2"/>
    <n v="3322613"/>
    <x v="2"/>
    <x v="1"/>
    <x v="2"/>
    <x v="3"/>
    <x v="4"/>
    <x v="0"/>
    <x v="4"/>
    <x v="0"/>
    <x v="11"/>
    <n v="10"/>
    <x v="0"/>
  </r>
  <r>
    <d v="2021-05-10T00:00:00"/>
    <x v="3"/>
    <x v="3"/>
    <x v="1"/>
    <n v="23929.439999999999"/>
    <x v="3"/>
    <x v="3"/>
    <x v="1"/>
    <x v="4"/>
    <x v="4"/>
    <x v="0"/>
    <x v="4"/>
    <x v="0"/>
    <x v="11"/>
    <n v="10"/>
    <x v="0"/>
  </r>
  <r>
    <d v="2021-05-10T00:00:00"/>
    <x v="0"/>
    <x v="1"/>
    <x v="1"/>
    <n v="21842713.379999999"/>
    <x v="0"/>
    <x v="1"/>
    <x v="1"/>
    <x v="5"/>
    <x v="4"/>
    <x v="0"/>
    <x v="4"/>
    <x v="0"/>
    <x v="11"/>
    <n v="10"/>
    <x v="0"/>
  </r>
  <r>
    <d v="2021-05-10T00:00:00"/>
    <x v="2"/>
    <x v="1"/>
    <x v="1"/>
    <n v="473090543.60000002"/>
    <x v="2"/>
    <x v="1"/>
    <x v="1"/>
    <x v="9"/>
    <x v="4"/>
    <x v="0"/>
    <x v="4"/>
    <x v="0"/>
    <x v="11"/>
    <n v="10"/>
    <x v="0"/>
  </r>
  <r>
    <d v="2021-05-10T00:00:00"/>
    <x v="3"/>
    <x v="2"/>
    <x v="2"/>
    <n v="227056"/>
    <x v="3"/>
    <x v="2"/>
    <x v="2"/>
    <x v="6"/>
    <x v="4"/>
    <x v="0"/>
    <x v="4"/>
    <x v="0"/>
    <x v="11"/>
    <n v="10"/>
    <x v="0"/>
  </r>
  <r>
    <d v="2021-05-10T00:00:00"/>
    <x v="0"/>
    <x v="0"/>
    <x v="0"/>
    <n v="20"/>
    <x v="0"/>
    <x v="0"/>
    <x v="0"/>
    <x v="0"/>
    <x v="4"/>
    <x v="0"/>
    <x v="4"/>
    <x v="0"/>
    <x v="11"/>
    <n v="10"/>
    <x v="0"/>
  </r>
  <r>
    <d v="2021-05-10T00:00:00"/>
    <x v="3"/>
    <x v="3"/>
    <x v="0"/>
    <n v="1576981950.24"/>
    <x v="3"/>
    <x v="3"/>
    <x v="0"/>
    <x v="8"/>
    <x v="4"/>
    <x v="0"/>
    <x v="4"/>
    <x v="0"/>
    <x v="11"/>
    <n v="10"/>
    <x v="0"/>
  </r>
  <r>
    <d v="2021-05-10T00:00:00"/>
    <x v="1"/>
    <x v="0"/>
    <x v="1"/>
    <n v="1448993120.49"/>
    <x v="1"/>
    <x v="0"/>
    <x v="1"/>
    <x v="11"/>
    <x v="4"/>
    <x v="0"/>
    <x v="4"/>
    <x v="0"/>
    <x v="11"/>
    <n v="10"/>
    <x v="0"/>
  </r>
  <r>
    <d v="2021-05-10T00:00:00"/>
    <x v="1"/>
    <x v="0"/>
    <x v="0"/>
    <n v="69574010.010000005"/>
    <x v="1"/>
    <x v="0"/>
    <x v="0"/>
    <x v="10"/>
    <x v="4"/>
    <x v="0"/>
    <x v="4"/>
    <x v="0"/>
    <x v="11"/>
    <n v="10"/>
    <x v="0"/>
  </r>
  <r>
    <d v="2021-05-10T00:00:00"/>
    <x v="3"/>
    <x v="2"/>
    <x v="0"/>
    <n v="436598981.86000001"/>
    <x v="3"/>
    <x v="2"/>
    <x v="0"/>
    <x v="12"/>
    <x v="4"/>
    <x v="0"/>
    <x v="4"/>
    <x v="0"/>
    <x v="11"/>
    <n v="10"/>
    <x v="0"/>
  </r>
  <r>
    <d v="2021-05-10T00:00:00"/>
    <x v="3"/>
    <x v="2"/>
    <x v="1"/>
    <n v="19763606719.209999"/>
    <x v="3"/>
    <x v="2"/>
    <x v="1"/>
    <x v="13"/>
    <x v="4"/>
    <x v="0"/>
    <x v="4"/>
    <x v="0"/>
    <x v="11"/>
    <n v="10"/>
    <x v="0"/>
  </r>
  <r>
    <d v="2021-05-10T00:00:00"/>
    <x v="3"/>
    <x v="1"/>
    <x v="0"/>
    <n v="38501154.789999999"/>
    <x v="3"/>
    <x v="1"/>
    <x v="0"/>
    <x v="14"/>
    <x v="4"/>
    <x v="0"/>
    <x v="4"/>
    <x v="0"/>
    <x v="11"/>
    <n v="10"/>
    <x v="0"/>
  </r>
  <r>
    <d v="2021-05-07T00:00:00"/>
    <x v="0"/>
    <x v="1"/>
    <x v="0"/>
    <n v="22244690.57"/>
    <x v="0"/>
    <x v="1"/>
    <x v="0"/>
    <x v="0"/>
    <x v="4"/>
    <x v="0"/>
    <x v="4"/>
    <x v="0"/>
    <x v="11"/>
    <n v="7"/>
    <x v="0"/>
  </r>
  <r>
    <d v="2021-05-07T00:00:00"/>
    <x v="2"/>
    <x v="1"/>
    <x v="2"/>
    <n v="5505"/>
    <x v="2"/>
    <x v="1"/>
    <x v="2"/>
    <x v="1"/>
    <x v="4"/>
    <x v="0"/>
    <x v="4"/>
    <x v="0"/>
    <x v="11"/>
    <n v="7"/>
    <x v="0"/>
  </r>
  <r>
    <d v="2021-05-07T00:00:00"/>
    <x v="3"/>
    <x v="2"/>
    <x v="2"/>
    <n v="77733.600000000006"/>
    <x v="3"/>
    <x v="2"/>
    <x v="2"/>
    <x v="2"/>
    <x v="4"/>
    <x v="0"/>
    <x v="4"/>
    <x v="0"/>
    <x v="11"/>
    <n v="7"/>
    <x v="0"/>
  </r>
  <r>
    <d v="2021-05-07T00:00:00"/>
    <x v="0"/>
    <x v="1"/>
    <x v="1"/>
    <n v="33808753.579999998"/>
    <x v="0"/>
    <x v="1"/>
    <x v="1"/>
    <x v="4"/>
    <x v="4"/>
    <x v="0"/>
    <x v="4"/>
    <x v="0"/>
    <x v="11"/>
    <n v="7"/>
    <x v="0"/>
  </r>
  <r>
    <d v="2021-05-07T00:00:00"/>
    <x v="2"/>
    <x v="1"/>
    <x v="1"/>
    <n v="471854739.94"/>
    <x v="2"/>
    <x v="1"/>
    <x v="1"/>
    <x v="7"/>
    <x v="4"/>
    <x v="0"/>
    <x v="4"/>
    <x v="0"/>
    <x v="11"/>
    <n v="7"/>
    <x v="0"/>
  </r>
  <r>
    <d v="2021-05-07T00:00:00"/>
    <x v="3"/>
    <x v="3"/>
    <x v="0"/>
    <n v="1479651946.7"/>
    <x v="3"/>
    <x v="3"/>
    <x v="0"/>
    <x v="8"/>
    <x v="4"/>
    <x v="0"/>
    <x v="4"/>
    <x v="0"/>
    <x v="11"/>
    <n v="7"/>
    <x v="0"/>
  </r>
  <r>
    <d v="2021-05-07T00:00:00"/>
    <x v="1"/>
    <x v="0"/>
    <x v="2"/>
    <n v="18072.72"/>
    <x v="1"/>
    <x v="0"/>
    <x v="2"/>
    <x v="5"/>
    <x v="4"/>
    <x v="0"/>
    <x v="4"/>
    <x v="0"/>
    <x v="11"/>
    <n v="7"/>
    <x v="0"/>
  </r>
  <r>
    <d v="2021-05-07T00:00:00"/>
    <x v="3"/>
    <x v="3"/>
    <x v="1"/>
    <n v="71249.72"/>
    <x v="3"/>
    <x v="3"/>
    <x v="1"/>
    <x v="3"/>
    <x v="4"/>
    <x v="0"/>
    <x v="4"/>
    <x v="0"/>
    <x v="11"/>
    <n v="7"/>
    <x v="0"/>
  </r>
  <r>
    <d v="2021-05-07T00:00:00"/>
    <x v="2"/>
    <x v="1"/>
    <x v="0"/>
    <n v="76665852.799999997"/>
    <x v="2"/>
    <x v="1"/>
    <x v="0"/>
    <x v="6"/>
    <x v="4"/>
    <x v="0"/>
    <x v="4"/>
    <x v="0"/>
    <x v="11"/>
    <n v="7"/>
    <x v="0"/>
  </r>
  <r>
    <d v="2021-05-07T00:00:00"/>
    <x v="1"/>
    <x v="0"/>
    <x v="0"/>
    <n v="95737798.359999999"/>
    <x v="1"/>
    <x v="0"/>
    <x v="0"/>
    <x v="9"/>
    <x v="4"/>
    <x v="0"/>
    <x v="4"/>
    <x v="0"/>
    <x v="11"/>
    <n v="7"/>
    <x v="0"/>
  </r>
  <r>
    <d v="2021-05-07T00:00:00"/>
    <x v="1"/>
    <x v="0"/>
    <x v="1"/>
    <n v="489054101.25999999"/>
    <x v="1"/>
    <x v="0"/>
    <x v="1"/>
    <x v="10"/>
    <x v="4"/>
    <x v="0"/>
    <x v="4"/>
    <x v="0"/>
    <x v="11"/>
    <n v="7"/>
    <x v="0"/>
  </r>
  <r>
    <d v="2021-05-07T00:00:00"/>
    <x v="3"/>
    <x v="2"/>
    <x v="0"/>
    <n v="545628111.79999995"/>
    <x v="3"/>
    <x v="2"/>
    <x v="0"/>
    <x v="11"/>
    <x v="4"/>
    <x v="0"/>
    <x v="4"/>
    <x v="0"/>
    <x v="11"/>
    <n v="7"/>
    <x v="0"/>
  </r>
  <r>
    <d v="2021-05-07T00:00:00"/>
    <x v="3"/>
    <x v="2"/>
    <x v="1"/>
    <n v="8323974996.5100002"/>
    <x v="3"/>
    <x v="2"/>
    <x v="1"/>
    <x v="12"/>
    <x v="4"/>
    <x v="0"/>
    <x v="4"/>
    <x v="0"/>
    <x v="11"/>
    <n v="7"/>
    <x v="0"/>
  </r>
  <r>
    <d v="2021-05-07T00:00:00"/>
    <x v="3"/>
    <x v="1"/>
    <x v="0"/>
    <n v="13224795.59"/>
    <x v="3"/>
    <x v="1"/>
    <x v="0"/>
    <x v="13"/>
    <x v="4"/>
    <x v="0"/>
    <x v="4"/>
    <x v="0"/>
    <x v="11"/>
    <n v="7"/>
    <x v="0"/>
  </r>
  <r>
    <d v="2021-05-06T00:00:00"/>
    <x v="0"/>
    <x v="1"/>
    <x v="0"/>
    <n v="15568268.93"/>
    <x v="0"/>
    <x v="1"/>
    <x v="0"/>
    <x v="0"/>
    <x v="4"/>
    <x v="0"/>
    <x v="4"/>
    <x v="0"/>
    <x v="11"/>
    <n v="6"/>
    <x v="0"/>
  </r>
  <r>
    <d v="2021-05-06T00:00:00"/>
    <x v="1"/>
    <x v="0"/>
    <x v="2"/>
    <n v="10219.879999999999"/>
    <x v="1"/>
    <x v="0"/>
    <x v="2"/>
    <x v="1"/>
    <x v="4"/>
    <x v="0"/>
    <x v="4"/>
    <x v="0"/>
    <x v="11"/>
    <n v="6"/>
    <x v="0"/>
  </r>
  <r>
    <d v="2021-05-06T00:00:00"/>
    <x v="2"/>
    <x v="1"/>
    <x v="0"/>
    <n v="90336333.379999995"/>
    <x v="2"/>
    <x v="1"/>
    <x v="0"/>
    <x v="5"/>
    <x v="4"/>
    <x v="0"/>
    <x v="4"/>
    <x v="0"/>
    <x v="11"/>
    <n v="6"/>
    <x v="0"/>
  </r>
  <r>
    <d v="2021-05-06T00:00:00"/>
    <x v="3"/>
    <x v="3"/>
    <x v="0"/>
    <n v="1228694712.3800001"/>
    <x v="3"/>
    <x v="3"/>
    <x v="0"/>
    <x v="6"/>
    <x v="4"/>
    <x v="0"/>
    <x v="4"/>
    <x v="0"/>
    <x v="11"/>
    <n v="6"/>
    <x v="0"/>
  </r>
  <r>
    <d v="2021-05-06T00:00:00"/>
    <x v="0"/>
    <x v="1"/>
    <x v="1"/>
    <n v="41591436.450000003"/>
    <x v="0"/>
    <x v="1"/>
    <x v="1"/>
    <x v="2"/>
    <x v="4"/>
    <x v="0"/>
    <x v="4"/>
    <x v="0"/>
    <x v="11"/>
    <n v="6"/>
    <x v="0"/>
  </r>
  <r>
    <d v="2021-05-06T00:00:00"/>
    <x v="3"/>
    <x v="2"/>
    <x v="2"/>
    <n v="196279"/>
    <x v="3"/>
    <x v="2"/>
    <x v="2"/>
    <x v="4"/>
    <x v="4"/>
    <x v="0"/>
    <x v="4"/>
    <x v="0"/>
    <x v="11"/>
    <n v="6"/>
    <x v="0"/>
  </r>
  <r>
    <d v="2021-05-06T00:00:00"/>
    <x v="2"/>
    <x v="1"/>
    <x v="2"/>
    <n v="23145"/>
    <x v="2"/>
    <x v="1"/>
    <x v="2"/>
    <x v="3"/>
    <x v="4"/>
    <x v="0"/>
    <x v="4"/>
    <x v="0"/>
    <x v="11"/>
    <n v="6"/>
    <x v="0"/>
  </r>
  <r>
    <d v="2021-05-06T00:00:00"/>
    <x v="1"/>
    <x v="0"/>
    <x v="0"/>
    <n v="78958770.280000001"/>
    <x v="1"/>
    <x v="0"/>
    <x v="0"/>
    <x v="7"/>
    <x v="4"/>
    <x v="0"/>
    <x v="4"/>
    <x v="0"/>
    <x v="11"/>
    <n v="6"/>
    <x v="0"/>
  </r>
  <r>
    <d v="2021-05-06T00:00:00"/>
    <x v="2"/>
    <x v="1"/>
    <x v="1"/>
    <n v="577077968.63"/>
    <x v="2"/>
    <x v="1"/>
    <x v="1"/>
    <x v="8"/>
    <x v="4"/>
    <x v="0"/>
    <x v="4"/>
    <x v="0"/>
    <x v="11"/>
    <n v="6"/>
    <x v="0"/>
  </r>
  <r>
    <d v="2021-05-06T00:00:00"/>
    <x v="1"/>
    <x v="0"/>
    <x v="1"/>
    <n v="1213303853.73"/>
    <x v="1"/>
    <x v="0"/>
    <x v="1"/>
    <x v="9"/>
    <x v="4"/>
    <x v="0"/>
    <x v="4"/>
    <x v="0"/>
    <x v="11"/>
    <n v="6"/>
    <x v="0"/>
  </r>
  <r>
    <d v="2021-05-06T00:00:00"/>
    <x v="3"/>
    <x v="2"/>
    <x v="0"/>
    <n v="498038687.43000001"/>
    <x v="3"/>
    <x v="2"/>
    <x v="0"/>
    <x v="10"/>
    <x v="4"/>
    <x v="0"/>
    <x v="4"/>
    <x v="0"/>
    <x v="11"/>
    <n v="6"/>
    <x v="0"/>
  </r>
  <r>
    <d v="2021-05-06T00:00:00"/>
    <x v="3"/>
    <x v="1"/>
    <x v="0"/>
    <n v="12941987.119999999"/>
    <x v="3"/>
    <x v="1"/>
    <x v="0"/>
    <x v="11"/>
    <x v="4"/>
    <x v="0"/>
    <x v="4"/>
    <x v="0"/>
    <x v="11"/>
    <n v="6"/>
    <x v="0"/>
  </r>
  <r>
    <d v="2021-05-06T00:00:00"/>
    <x v="3"/>
    <x v="2"/>
    <x v="1"/>
    <n v="4119598765.1799998"/>
    <x v="3"/>
    <x v="2"/>
    <x v="1"/>
    <x v="12"/>
    <x v="4"/>
    <x v="0"/>
    <x v="4"/>
    <x v="0"/>
    <x v="11"/>
    <n v="6"/>
    <x v="0"/>
  </r>
  <r>
    <d v="2021-05-05T00:00:00"/>
    <x v="1"/>
    <x v="0"/>
    <x v="2"/>
    <n v="18670.46"/>
    <x v="1"/>
    <x v="0"/>
    <x v="2"/>
    <x v="2"/>
    <x v="4"/>
    <x v="0"/>
    <x v="4"/>
    <x v="0"/>
    <x v="11"/>
    <n v="5"/>
    <x v="0"/>
  </r>
  <r>
    <d v="2021-05-05T00:00:00"/>
    <x v="0"/>
    <x v="1"/>
    <x v="1"/>
    <n v="29132394.199999999"/>
    <x v="0"/>
    <x v="1"/>
    <x v="1"/>
    <x v="5"/>
    <x v="4"/>
    <x v="0"/>
    <x v="4"/>
    <x v="0"/>
    <x v="11"/>
    <n v="5"/>
    <x v="0"/>
  </r>
  <r>
    <d v="2021-05-05T00:00:00"/>
    <x v="2"/>
    <x v="1"/>
    <x v="2"/>
    <n v="58129.18"/>
    <x v="2"/>
    <x v="1"/>
    <x v="2"/>
    <x v="3"/>
    <x v="4"/>
    <x v="0"/>
    <x v="4"/>
    <x v="0"/>
    <x v="11"/>
    <n v="5"/>
    <x v="0"/>
  </r>
  <r>
    <d v="2021-05-05T00:00:00"/>
    <x v="3"/>
    <x v="3"/>
    <x v="0"/>
    <n v="5437585447.3599997"/>
    <x v="3"/>
    <x v="3"/>
    <x v="0"/>
    <x v="7"/>
    <x v="4"/>
    <x v="0"/>
    <x v="4"/>
    <x v="0"/>
    <x v="11"/>
    <n v="5"/>
    <x v="0"/>
  </r>
  <r>
    <d v="2021-05-05T00:00:00"/>
    <x v="2"/>
    <x v="1"/>
    <x v="0"/>
    <n v="189573944.91"/>
    <x v="2"/>
    <x v="1"/>
    <x v="0"/>
    <x v="8"/>
    <x v="4"/>
    <x v="0"/>
    <x v="4"/>
    <x v="0"/>
    <x v="11"/>
    <n v="5"/>
    <x v="0"/>
  </r>
  <r>
    <d v="2021-05-05T00:00:00"/>
    <x v="0"/>
    <x v="1"/>
    <x v="0"/>
    <n v="9489738.8699999992"/>
    <x v="0"/>
    <x v="1"/>
    <x v="0"/>
    <x v="1"/>
    <x v="4"/>
    <x v="0"/>
    <x v="4"/>
    <x v="0"/>
    <x v="11"/>
    <n v="5"/>
    <x v="0"/>
  </r>
  <r>
    <d v="2021-05-05T00:00:00"/>
    <x v="3"/>
    <x v="2"/>
    <x v="2"/>
    <n v="605863"/>
    <x v="3"/>
    <x v="2"/>
    <x v="2"/>
    <x v="6"/>
    <x v="4"/>
    <x v="0"/>
    <x v="4"/>
    <x v="0"/>
    <x v="11"/>
    <n v="5"/>
    <x v="0"/>
  </r>
  <r>
    <d v="2021-05-05T00:00:00"/>
    <x v="0"/>
    <x v="0"/>
    <x v="0"/>
    <n v="1100"/>
    <x v="0"/>
    <x v="0"/>
    <x v="0"/>
    <x v="0"/>
    <x v="4"/>
    <x v="0"/>
    <x v="4"/>
    <x v="0"/>
    <x v="11"/>
    <n v="5"/>
    <x v="0"/>
  </r>
  <r>
    <d v="2021-05-05T00:00:00"/>
    <x v="1"/>
    <x v="0"/>
    <x v="1"/>
    <n v="2388657328.6700001"/>
    <x v="1"/>
    <x v="0"/>
    <x v="1"/>
    <x v="11"/>
    <x v="4"/>
    <x v="0"/>
    <x v="4"/>
    <x v="0"/>
    <x v="11"/>
    <n v="5"/>
    <x v="0"/>
  </r>
  <r>
    <d v="2021-05-05T00:00:00"/>
    <x v="3"/>
    <x v="3"/>
    <x v="1"/>
    <n v="2035.39"/>
    <x v="3"/>
    <x v="3"/>
    <x v="1"/>
    <x v="4"/>
    <x v="4"/>
    <x v="0"/>
    <x v="4"/>
    <x v="0"/>
    <x v="11"/>
    <n v="5"/>
    <x v="0"/>
  </r>
  <r>
    <d v="2021-05-05T00:00:00"/>
    <x v="1"/>
    <x v="0"/>
    <x v="0"/>
    <n v="121837487.54000001"/>
    <x v="1"/>
    <x v="0"/>
    <x v="0"/>
    <x v="9"/>
    <x v="4"/>
    <x v="0"/>
    <x v="4"/>
    <x v="0"/>
    <x v="11"/>
    <n v="5"/>
    <x v="0"/>
  </r>
  <r>
    <d v="2021-05-05T00:00:00"/>
    <x v="2"/>
    <x v="1"/>
    <x v="1"/>
    <n v="814895228.75999999"/>
    <x v="2"/>
    <x v="1"/>
    <x v="1"/>
    <x v="10"/>
    <x v="4"/>
    <x v="0"/>
    <x v="4"/>
    <x v="0"/>
    <x v="11"/>
    <n v="5"/>
    <x v="0"/>
  </r>
  <r>
    <d v="2021-05-05T00:00:00"/>
    <x v="3"/>
    <x v="2"/>
    <x v="0"/>
    <n v="494012207.45999998"/>
    <x v="3"/>
    <x v="2"/>
    <x v="0"/>
    <x v="12"/>
    <x v="4"/>
    <x v="0"/>
    <x v="4"/>
    <x v="0"/>
    <x v="11"/>
    <n v="5"/>
    <x v="0"/>
  </r>
  <r>
    <d v="2021-05-05T00:00:00"/>
    <x v="3"/>
    <x v="1"/>
    <x v="0"/>
    <n v="12958042.51"/>
    <x v="3"/>
    <x v="1"/>
    <x v="0"/>
    <x v="13"/>
    <x v="4"/>
    <x v="0"/>
    <x v="4"/>
    <x v="0"/>
    <x v="11"/>
    <n v="5"/>
    <x v="0"/>
  </r>
  <r>
    <d v="2021-05-05T00:00:00"/>
    <x v="3"/>
    <x v="2"/>
    <x v="1"/>
    <n v="12830964933.629999"/>
    <x v="3"/>
    <x v="2"/>
    <x v="1"/>
    <x v="14"/>
    <x v="4"/>
    <x v="0"/>
    <x v="4"/>
    <x v="0"/>
    <x v="11"/>
    <n v="5"/>
    <x v="0"/>
  </r>
  <r>
    <d v="2021-05-04T00:00:00"/>
    <x v="1"/>
    <x v="0"/>
    <x v="2"/>
    <n v="42761.1"/>
    <x v="1"/>
    <x v="0"/>
    <x v="2"/>
    <x v="2"/>
    <x v="4"/>
    <x v="0"/>
    <x v="4"/>
    <x v="0"/>
    <x v="11"/>
    <n v="4"/>
    <x v="0"/>
  </r>
  <r>
    <d v="2021-05-04T00:00:00"/>
    <x v="0"/>
    <x v="1"/>
    <x v="0"/>
    <n v="42955421.770000003"/>
    <x v="0"/>
    <x v="1"/>
    <x v="0"/>
    <x v="1"/>
    <x v="4"/>
    <x v="0"/>
    <x v="4"/>
    <x v="0"/>
    <x v="11"/>
    <n v="4"/>
    <x v="0"/>
  </r>
  <r>
    <d v="2021-05-04T00:00:00"/>
    <x v="2"/>
    <x v="1"/>
    <x v="0"/>
    <n v="135783345.50999999"/>
    <x v="2"/>
    <x v="1"/>
    <x v="0"/>
    <x v="7"/>
    <x v="4"/>
    <x v="0"/>
    <x v="4"/>
    <x v="0"/>
    <x v="11"/>
    <n v="4"/>
    <x v="0"/>
  </r>
  <r>
    <d v="2021-05-04T00:00:00"/>
    <x v="2"/>
    <x v="1"/>
    <x v="2"/>
    <n v="18745"/>
    <x v="2"/>
    <x v="1"/>
    <x v="2"/>
    <x v="4"/>
    <x v="4"/>
    <x v="0"/>
    <x v="4"/>
    <x v="0"/>
    <x v="11"/>
    <n v="4"/>
    <x v="0"/>
  </r>
  <r>
    <d v="2021-05-04T00:00:00"/>
    <x v="0"/>
    <x v="1"/>
    <x v="1"/>
    <n v="30719323.84"/>
    <x v="0"/>
    <x v="1"/>
    <x v="1"/>
    <x v="3"/>
    <x v="4"/>
    <x v="0"/>
    <x v="4"/>
    <x v="0"/>
    <x v="11"/>
    <n v="4"/>
    <x v="0"/>
  </r>
  <r>
    <d v="2021-05-04T00:00:00"/>
    <x v="2"/>
    <x v="1"/>
    <x v="1"/>
    <n v="972575642.75999999"/>
    <x v="2"/>
    <x v="1"/>
    <x v="1"/>
    <x v="9"/>
    <x v="4"/>
    <x v="0"/>
    <x v="4"/>
    <x v="0"/>
    <x v="11"/>
    <n v="4"/>
    <x v="0"/>
  </r>
  <r>
    <d v="2021-05-04T00:00:00"/>
    <x v="1"/>
    <x v="0"/>
    <x v="1"/>
    <n v="962723276.67999995"/>
    <x v="1"/>
    <x v="0"/>
    <x v="1"/>
    <x v="10"/>
    <x v="4"/>
    <x v="0"/>
    <x v="4"/>
    <x v="0"/>
    <x v="11"/>
    <n v="4"/>
    <x v="0"/>
  </r>
  <r>
    <d v="2021-05-04T00:00:00"/>
    <x v="3"/>
    <x v="2"/>
    <x v="2"/>
    <n v="343941.16"/>
    <x v="3"/>
    <x v="2"/>
    <x v="2"/>
    <x v="5"/>
    <x v="4"/>
    <x v="0"/>
    <x v="4"/>
    <x v="0"/>
    <x v="11"/>
    <n v="4"/>
    <x v="0"/>
  </r>
  <r>
    <d v="2021-05-04T00:00:00"/>
    <x v="3"/>
    <x v="3"/>
    <x v="0"/>
    <n v="3757638357.4400001"/>
    <x v="3"/>
    <x v="3"/>
    <x v="0"/>
    <x v="6"/>
    <x v="4"/>
    <x v="0"/>
    <x v="4"/>
    <x v="0"/>
    <x v="11"/>
    <n v="4"/>
    <x v="0"/>
  </r>
  <r>
    <d v="2021-05-04T00:00:00"/>
    <x v="0"/>
    <x v="0"/>
    <x v="0"/>
    <n v="895.22"/>
    <x v="0"/>
    <x v="0"/>
    <x v="0"/>
    <x v="0"/>
    <x v="4"/>
    <x v="0"/>
    <x v="4"/>
    <x v="0"/>
    <x v="11"/>
    <n v="4"/>
    <x v="0"/>
  </r>
  <r>
    <d v="2021-05-04T00:00:00"/>
    <x v="1"/>
    <x v="0"/>
    <x v="0"/>
    <n v="87675792.890000001"/>
    <x v="1"/>
    <x v="0"/>
    <x v="0"/>
    <x v="8"/>
    <x v="4"/>
    <x v="0"/>
    <x v="4"/>
    <x v="0"/>
    <x v="11"/>
    <n v="4"/>
    <x v="0"/>
  </r>
  <r>
    <d v="2021-05-04T00:00:00"/>
    <x v="3"/>
    <x v="2"/>
    <x v="0"/>
    <n v="475047181.86000001"/>
    <x v="3"/>
    <x v="2"/>
    <x v="0"/>
    <x v="11"/>
    <x v="4"/>
    <x v="0"/>
    <x v="4"/>
    <x v="0"/>
    <x v="11"/>
    <n v="4"/>
    <x v="0"/>
  </r>
  <r>
    <d v="2021-05-04T00:00:00"/>
    <x v="3"/>
    <x v="1"/>
    <x v="0"/>
    <n v="11213896.199999999"/>
    <x v="3"/>
    <x v="1"/>
    <x v="0"/>
    <x v="12"/>
    <x v="4"/>
    <x v="0"/>
    <x v="4"/>
    <x v="0"/>
    <x v="11"/>
    <n v="4"/>
    <x v="0"/>
  </r>
  <r>
    <d v="2021-05-04T00:00:00"/>
    <x v="3"/>
    <x v="2"/>
    <x v="1"/>
    <n v="4908406787.9200001"/>
    <x v="3"/>
    <x v="2"/>
    <x v="1"/>
    <x v="13"/>
    <x v="4"/>
    <x v="0"/>
    <x v="4"/>
    <x v="0"/>
    <x v="11"/>
    <n v="4"/>
    <x v="0"/>
  </r>
  <r>
    <d v="2021-05-03T00:00:00"/>
    <x v="3"/>
    <x v="2"/>
    <x v="2"/>
    <n v="1025945.99"/>
    <x v="3"/>
    <x v="2"/>
    <x v="2"/>
    <x v="5"/>
    <x v="4"/>
    <x v="0"/>
    <x v="4"/>
    <x v="0"/>
    <x v="11"/>
    <n v="3"/>
    <x v="0"/>
  </r>
  <r>
    <d v="2021-05-03T00:00:00"/>
    <x v="1"/>
    <x v="0"/>
    <x v="2"/>
    <n v="20101.34"/>
    <x v="1"/>
    <x v="0"/>
    <x v="2"/>
    <x v="2"/>
    <x v="4"/>
    <x v="0"/>
    <x v="4"/>
    <x v="0"/>
    <x v="11"/>
    <n v="3"/>
    <x v="0"/>
  </r>
  <r>
    <d v="2021-05-03T00:00:00"/>
    <x v="0"/>
    <x v="1"/>
    <x v="0"/>
    <n v="12573239.140000001"/>
    <x v="0"/>
    <x v="1"/>
    <x v="0"/>
    <x v="1"/>
    <x v="4"/>
    <x v="0"/>
    <x v="4"/>
    <x v="0"/>
    <x v="11"/>
    <n v="3"/>
    <x v="0"/>
  </r>
  <r>
    <d v="2021-05-03T00:00:00"/>
    <x v="2"/>
    <x v="1"/>
    <x v="0"/>
    <n v="75406913.189999998"/>
    <x v="2"/>
    <x v="1"/>
    <x v="0"/>
    <x v="6"/>
    <x v="4"/>
    <x v="0"/>
    <x v="4"/>
    <x v="0"/>
    <x v="11"/>
    <n v="3"/>
    <x v="0"/>
  </r>
  <r>
    <d v="2021-05-03T00:00:00"/>
    <x v="3"/>
    <x v="3"/>
    <x v="0"/>
    <n v="7158804177.8500004"/>
    <x v="3"/>
    <x v="3"/>
    <x v="0"/>
    <x v="7"/>
    <x v="4"/>
    <x v="0"/>
    <x v="4"/>
    <x v="0"/>
    <x v="11"/>
    <n v="3"/>
    <x v="0"/>
  </r>
  <r>
    <d v="2021-05-03T00:00:00"/>
    <x v="0"/>
    <x v="1"/>
    <x v="1"/>
    <n v="29868009.75"/>
    <x v="0"/>
    <x v="1"/>
    <x v="1"/>
    <x v="3"/>
    <x v="4"/>
    <x v="0"/>
    <x v="4"/>
    <x v="0"/>
    <x v="11"/>
    <n v="3"/>
    <x v="0"/>
  </r>
  <r>
    <d v="2021-05-03T00:00:00"/>
    <x v="1"/>
    <x v="0"/>
    <x v="0"/>
    <n v="68895997.629999995"/>
    <x v="1"/>
    <x v="0"/>
    <x v="0"/>
    <x v="8"/>
    <x v="4"/>
    <x v="0"/>
    <x v="4"/>
    <x v="0"/>
    <x v="11"/>
    <n v="3"/>
    <x v="0"/>
  </r>
  <r>
    <d v="2021-05-03T00:00:00"/>
    <x v="2"/>
    <x v="1"/>
    <x v="1"/>
    <n v="967450191.92999995"/>
    <x v="2"/>
    <x v="1"/>
    <x v="1"/>
    <x v="9"/>
    <x v="4"/>
    <x v="0"/>
    <x v="4"/>
    <x v="0"/>
    <x v="11"/>
    <n v="3"/>
    <x v="0"/>
  </r>
  <r>
    <d v="2021-05-03T00:00:00"/>
    <x v="2"/>
    <x v="1"/>
    <x v="2"/>
    <n v="100"/>
    <x v="2"/>
    <x v="1"/>
    <x v="2"/>
    <x v="4"/>
    <x v="4"/>
    <x v="0"/>
    <x v="4"/>
    <x v="0"/>
    <x v="11"/>
    <n v="3"/>
    <x v="0"/>
  </r>
  <r>
    <d v="2021-05-03T00:00:00"/>
    <x v="0"/>
    <x v="0"/>
    <x v="0"/>
    <n v="-107237.6"/>
    <x v="0"/>
    <x v="0"/>
    <x v="0"/>
    <x v="0"/>
    <x v="4"/>
    <x v="0"/>
    <x v="4"/>
    <x v="0"/>
    <x v="11"/>
    <n v="3"/>
    <x v="1"/>
  </r>
  <r>
    <d v="2021-05-03T00:00:00"/>
    <x v="1"/>
    <x v="0"/>
    <x v="1"/>
    <n v="852827585.63"/>
    <x v="1"/>
    <x v="0"/>
    <x v="1"/>
    <x v="10"/>
    <x v="4"/>
    <x v="0"/>
    <x v="4"/>
    <x v="0"/>
    <x v="11"/>
    <n v="3"/>
    <x v="0"/>
  </r>
  <r>
    <d v="2021-05-03T00:00:00"/>
    <x v="3"/>
    <x v="2"/>
    <x v="0"/>
    <n v="905574020.15999997"/>
    <x v="3"/>
    <x v="2"/>
    <x v="0"/>
    <x v="11"/>
    <x v="4"/>
    <x v="0"/>
    <x v="4"/>
    <x v="0"/>
    <x v="11"/>
    <n v="3"/>
    <x v="0"/>
  </r>
  <r>
    <d v="2021-05-03T00:00:00"/>
    <x v="3"/>
    <x v="2"/>
    <x v="1"/>
    <n v="42551733089.339996"/>
    <x v="3"/>
    <x v="2"/>
    <x v="1"/>
    <x v="12"/>
    <x v="4"/>
    <x v="0"/>
    <x v="4"/>
    <x v="0"/>
    <x v="11"/>
    <n v="3"/>
    <x v="0"/>
  </r>
  <r>
    <d v="2021-05-03T00:00:00"/>
    <x v="3"/>
    <x v="1"/>
    <x v="0"/>
    <n v="45031169.68"/>
    <x v="3"/>
    <x v="1"/>
    <x v="0"/>
    <x v="13"/>
    <x v="4"/>
    <x v="0"/>
    <x v="4"/>
    <x v="0"/>
    <x v="11"/>
    <n v="3"/>
    <x v="0"/>
  </r>
  <r>
    <d v="2021-04-30T00:00:00"/>
    <x v="0"/>
    <x v="1"/>
    <x v="0"/>
    <n v="14449492.52"/>
    <x v="0"/>
    <x v="1"/>
    <x v="0"/>
    <x v="0"/>
    <x v="4"/>
    <x v="0"/>
    <x v="4"/>
    <x v="0"/>
    <x v="0"/>
    <n v="30"/>
    <x v="0"/>
  </r>
  <r>
    <d v="2021-04-30T00:00:00"/>
    <x v="2"/>
    <x v="1"/>
    <x v="2"/>
    <n v="12451.66"/>
    <x v="2"/>
    <x v="1"/>
    <x v="2"/>
    <x v="2"/>
    <x v="4"/>
    <x v="0"/>
    <x v="4"/>
    <x v="0"/>
    <x v="0"/>
    <n v="30"/>
    <x v="0"/>
  </r>
  <r>
    <d v="2021-04-30T00:00:00"/>
    <x v="3"/>
    <x v="3"/>
    <x v="0"/>
    <n v="4745782399.2600002"/>
    <x v="3"/>
    <x v="3"/>
    <x v="0"/>
    <x v="7"/>
    <x v="4"/>
    <x v="0"/>
    <x v="4"/>
    <x v="0"/>
    <x v="0"/>
    <n v="30"/>
    <x v="0"/>
  </r>
  <r>
    <d v="2021-04-30T00:00:00"/>
    <x v="3"/>
    <x v="3"/>
    <x v="1"/>
    <n v="14989.27"/>
    <x v="3"/>
    <x v="3"/>
    <x v="1"/>
    <x v="3"/>
    <x v="4"/>
    <x v="0"/>
    <x v="4"/>
    <x v="0"/>
    <x v="0"/>
    <n v="30"/>
    <x v="0"/>
  </r>
  <r>
    <d v="2021-04-30T00:00:00"/>
    <x v="0"/>
    <x v="1"/>
    <x v="1"/>
    <n v="26320520.32"/>
    <x v="0"/>
    <x v="1"/>
    <x v="1"/>
    <x v="4"/>
    <x v="4"/>
    <x v="0"/>
    <x v="4"/>
    <x v="0"/>
    <x v="0"/>
    <n v="30"/>
    <x v="0"/>
  </r>
  <r>
    <d v="2021-04-30T00:00:00"/>
    <x v="3"/>
    <x v="2"/>
    <x v="2"/>
    <n v="331685"/>
    <x v="3"/>
    <x v="2"/>
    <x v="2"/>
    <x v="5"/>
    <x v="4"/>
    <x v="0"/>
    <x v="4"/>
    <x v="0"/>
    <x v="0"/>
    <n v="30"/>
    <x v="0"/>
  </r>
  <r>
    <d v="2021-04-30T00:00:00"/>
    <x v="1"/>
    <x v="0"/>
    <x v="2"/>
    <n v="27745.11"/>
    <x v="1"/>
    <x v="0"/>
    <x v="2"/>
    <x v="1"/>
    <x v="4"/>
    <x v="0"/>
    <x v="4"/>
    <x v="0"/>
    <x v="0"/>
    <n v="30"/>
    <x v="0"/>
  </r>
  <r>
    <d v="2021-04-30T00:00:00"/>
    <x v="2"/>
    <x v="1"/>
    <x v="0"/>
    <n v="96446126.670000002"/>
    <x v="2"/>
    <x v="1"/>
    <x v="0"/>
    <x v="6"/>
    <x v="4"/>
    <x v="0"/>
    <x v="4"/>
    <x v="0"/>
    <x v="0"/>
    <n v="30"/>
    <x v="0"/>
  </r>
  <r>
    <d v="2021-04-30T00:00:00"/>
    <x v="1"/>
    <x v="0"/>
    <x v="0"/>
    <n v="85587282.319999993"/>
    <x v="1"/>
    <x v="0"/>
    <x v="0"/>
    <x v="8"/>
    <x v="4"/>
    <x v="0"/>
    <x v="4"/>
    <x v="0"/>
    <x v="0"/>
    <n v="30"/>
    <x v="0"/>
  </r>
  <r>
    <d v="2021-04-30T00:00:00"/>
    <x v="2"/>
    <x v="1"/>
    <x v="1"/>
    <n v="1425822582.2"/>
    <x v="2"/>
    <x v="1"/>
    <x v="1"/>
    <x v="9"/>
    <x v="4"/>
    <x v="0"/>
    <x v="4"/>
    <x v="0"/>
    <x v="0"/>
    <n v="30"/>
    <x v="0"/>
  </r>
  <r>
    <d v="2021-04-30T00:00:00"/>
    <x v="1"/>
    <x v="0"/>
    <x v="1"/>
    <n v="367146190.77999997"/>
    <x v="1"/>
    <x v="0"/>
    <x v="1"/>
    <x v="10"/>
    <x v="4"/>
    <x v="0"/>
    <x v="4"/>
    <x v="0"/>
    <x v="0"/>
    <n v="30"/>
    <x v="0"/>
  </r>
  <r>
    <d v="2021-04-30T00:00:00"/>
    <x v="3"/>
    <x v="2"/>
    <x v="0"/>
    <n v="727154999.54999995"/>
    <x v="3"/>
    <x v="2"/>
    <x v="0"/>
    <x v="11"/>
    <x v="4"/>
    <x v="0"/>
    <x v="4"/>
    <x v="0"/>
    <x v="0"/>
    <n v="30"/>
    <x v="0"/>
  </r>
  <r>
    <d v="2021-04-30T00:00:00"/>
    <x v="3"/>
    <x v="1"/>
    <x v="0"/>
    <n v="13336298.800000001"/>
    <x v="3"/>
    <x v="1"/>
    <x v="0"/>
    <x v="12"/>
    <x v="4"/>
    <x v="0"/>
    <x v="4"/>
    <x v="0"/>
    <x v="0"/>
    <n v="30"/>
    <x v="0"/>
  </r>
  <r>
    <d v="2021-04-30T00:00:00"/>
    <x v="3"/>
    <x v="2"/>
    <x v="1"/>
    <n v="17622628210.43"/>
    <x v="3"/>
    <x v="2"/>
    <x v="1"/>
    <x v="13"/>
    <x v="4"/>
    <x v="0"/>
    <x v="4"/>
    <x v="0"/>
    <x v="0"/>
    <n v="30"/>
    <x v="0"/>
  </r>
  <r>
    <d v="2021-04-29T00:00:00"/>
    <x v="2"/>
    <x v="1"/>
    <x v="2"/>
    <n v="28205"/>
    <x v="2"/>
    <x v="1"/>
    <x v="2"/>
    <x v="2"/>
    <x v="4"/>
    <x v="0"/>
    <x v="4"/>
    <x v="0"/>
    <x v="0"/>
    <n v="29"/>
    <x v="0"/>
  </r>
  <r>
    <d v="2021-04-29T00:00:00"/>
    <x v="3"/>
    <x v="3"/>
    <x v="0"/>
    <n v="2551204929.6300001"/>
    <x v="3"/>
    <x v="3"/>
    <x v="0"/>
    <x v="7"/>
    <x v="4"/>
    <x v="0"/>
    <x v="4"/>
    <x v="0"/>
    <x v="0"/>
    <n v="29"/>
    <x v="0"/>
  </r>
  <r>
    <d v="2021-04-29T00:00:00"/>
    <x v="0"/>
    <x v="1"/>
    <x v="1"/>
    <n v="42103527.07"/>
    <x v="0"/>
    <x v="1"/>
    <x v="1"/>
    <x v="4"/>
    <x v="4"/>
    <x v="0"/>
    <x v="4"/>
    <x v="0"/>
    <x v="0"/>
    <n v="29"/>
    <x v="0"/>
  </r>
  <r>
    <d v="2021-04-29T00:00:00"/>
    <x v="1"/>
    <x v="0"/>
    <x v="0"/>
    <n v="89398035.709999993"/>
    <x v="1"/>
    <x v="0"/>
    <x v="0"/>
    <x v="8"/>
    <x v="4"/>
    <x v="0"/>
    <x v="4"/>
    <x v="0"/>
    <x v="0"/>
    <n v="29"/>
    <x v="0"/>
  </r>
  <r>
    <d v="2021-04-29T00:00:00"/>
    <x v="0"/>
    <x v="1"/>
    <x v="0"/>
    <n v="20350807.870000001"/>
    <x v="0"/>
    <x v="1"/>
    <x v="0"/>
    <x v="0"/>
    <x v="4"/>
    <x v="0"/>
    <x v="4"/>
    <x v="0"/>
    <x v="0"/>
    <n v="29"/>
    <x v="0"/>
  </r>
  <r>
    <d v="2021-04-29T00:00:00"/>
    <x v="3"/>
    <x v="2"/>
    <x v="2"/>
    <n v="150463.99"/>
    <x v="3"/>
    <x v="2"/>
    <x v="2"/>
    <x v="5"/>
    <x v="4"/>
    <x v="0"/>
    <x v="4"/>
    <x v="0"/>
    <x v="0"/>
    <n v="29"/>
    <x v="0"/>
  </r>
  <r>
    <d v="2021-04-29T00:00:00"/>
    <x v="2"/>
    <x v="1"/>
    <x v="0"/>
    <n v="119400260.12"/>
    <x v="2"/>
    <x v="1"/>
    <x v="0"/>
    <x v="6"/>
    <x v="4"/>
    <x v="0"/>
    <x v="4"/>
    <x v="0"/>
    <x v="0"/>
    <n v="29"/>
    <x v="0"/>
  </r>
  <r>
    <d v="2021-04-29T00:00:00"/>
    <x v="1"/>
    <x v="0"/>
    <x v="2"/>
    <n v="8472.56"/>
    <x v="1"/>
    <x v="0"/>
    <x v="2"/>
    <x v="1"/>
    <x v="4"/>
    <x v="0"/>
    <x v="4"/>
    <x v="0"/>
    <x v="0"/>
    <n v="29"/>
    <x v="0"/>
  </r>
  <r>
    <d v="2021-04-29T00:00:00"/>
    <x v="0"/>
    <x v="0"/>
    <x v="1"/>
    <n v="1489"/>
    <x v="0"/>
    <x v="0"/>
    <x v="1"/>
    <x v="3"/>
    <x v="4"/>
    <x v="0"/>
    <x v="4"/>
    <x v="0"/>
    <x v="0"/>
    <n v="29"/>
    <x v="0"/>
  </r>
  <r>
    <d v="2021-04-29T00:00:00"/>
    <x v="2"/>
    <x v="1"/>
    <x v="1"/>
    <n v="2189275442.27"/>
    <x v="2"/>
    <x v="1"/>
    <x v="1"/>
    <x v="9"/>
    <x v="4"/>
    <x v="0"/>
    <x v="4"/>
    <x v="0"/>
    <x v="0"/>
    <n v="29"/>
    <x v="0"/>
  </r>
  <r>
    <d v="2021-04-29T00:00:00"/>
    <x v="1"/>
    <x v="0"/>
    <x v="1"/>
    <n v="1625614657.98"/>
    <x v="1"/>
    <x v="0"/>
    <x v="1"/>
    <x v="10"/>
    <x v="4"/>
    <x v="0"/>
    <x v="4"/>
    <x v="0"/>
    <x v="0"/>
    <n v="29"/>
    <x v="0"/>
  </r>
  <r>
    <d v="2021-04-29T00:00:00"/>
    <x v="3"/>
    <x v="2"/>
    <x v="0"/>
    <n v="567949996.49000001"/>
    <x v="3"/>
    <x v="2"/>
    <x v="0"/>
    <x v="11"/>
    <x v="4"/>
    <x v="0"/>
    <x v="4"/>
    <x v="0"/>
    <x v="0"/>
    <n v="29"/>
    <x v="0"/>
  </r>
  <r>
    <d v="2021-04-29T00:00:00"/>
    <x v="3"/>
    <x v="1"/>
    <x v="0"/>
    <n v="12077382.76"/>
    <x v="3"/>
    <x v="1"/>
    <x v="0"/>
    <x v="12"/>
    <x v="4"/>
    <x v="0"/>
    <x v="4"/>
    <x v="0"/>
    <x v="0"/>
    <n v="29"/>
    <x v="0"/>
  </r>
  <r>
    <d v="2021-04-29T00:00:00"/>
    <x v="3"/>
    <x v="2"/>
    <x v="1"/>
    <n v="5116410168.1400003"/>
    <x v="3"/>
    <x v="2"/>
    <x v="1"/>
    <x v="13"/>
    <x v="4"/>
    <x v="0"/>
    <x v="4"/>
    <x v="0"/>
    <x v="0"/>
    <n v="29"/>
    <x v="0"/>
  </r>
  <r>
    <d v="2021-04-28T00:00:00"/>
    <x v="1"/>
    <x v="0"/>
    <x v="2"/>
    <n v="16505"/>
    <x v="1"/>
    <x v="0"/>
    <x v="2"/>
    <x v="1"/>
    <x v="4"/>
    <x v="0"/>
    <x v="4"/>
    <x v="0"/>
    <x v="0"/>
    <n v="28"/>
    <x v="0"/>
  </r>
  <r>
    <d v="2021-04-28T00:00:00"/>
    <x v="2"/>
    <x v="1"/>
    <x v="0"/>
    <n v="85266821.540000007"/>
    <x v="2"/>
    <x v="1"/>
    <x v="0"/>
    <x v="6"/>
    <x v="4"/>
    <x v="0"/>
    <x v="4"/>
    <x v="0"/>
    <x v="0"/>
    <n v="28"/>
    <x v="0"/>
  </r>
  <r>
    <d v="2021-04-28T00:00:00"/>
    <x v="2"/>
    <x v="1"/>
    <x v="2"/>
    <n v="15765"/>
    <x v="2"/>
    <x v="1"/>
    <x v="2"/>
    <x v="4"/>
    <x v="4"/>
    <x v="0"/>
    <x v="4"/>
    <x v="0"/>
    <x v="0"/>
    <n v="28"/>
    <x v="0"/>
  </r>
  <r>
    <d v="2021-04-28T00:00:00"/>
    <x v="0"/>
    <x v="1"/>
    <x v="1"/>
    <n v="27027972.960000001"/>
    <x v="0"/>
    <x v="1"/>
    <x v="1"/>
    <x v="3"/>
    <x v="4"/>
    <x v="0"/>
    <x v="4"/>
    <x v="0"/>
    <x v="0"/>
    <n v="28"/>
    <x v="0"/>
  </r>
  <r>
    <d v="2021-04-28T00:00:00"/>
    <x v="1"/>
    <x v="0"/>
    <x v="0"/>
    <n v="85608971.140000001"/>
    <x v="1"/>
    <x v="0"/>
    <x v="0"/>
    <x v="8"/>
    <x v="4"/>
    <x v="0"/>
    <x v="4"/>
    <x v="0"/>
    <x v="0"/>
    <n v="28"/>
    <x v="0"/>
  </r>
  <r>
    <d v="2021-04-28T00:00:00"/>
    <x v="2"/>
    <x v="1"/>
    <x v="1"/>
    <n v="1287341817.1099999"/>
    <x v="2"/>
    <x v="1"/>
    <x v="1"/>
    <x v="9"/>
    <x v="4"/>
    <x v="0"/>
    <x v="4"/>
    <x v="0"/>
    <x v="0"/>
    <n v="28"/>
    <x v="0"/>
  </r>
  <r>
    <d v="2021-04-28T00:00:00"/>
    <x v="0"/>
    <x v="1"/>
    <x v="0"/>
    <n v="11505656.91"/>
    <x v="0"/>
    <x v="1"/>
    <x v="0"/>
    <x v="0"/>
    <x v="4"/>
    <x v="0"/>
    <x v="4"/>
    <x v="0"/>
    <x v="0"/>
    <n v="28"/>
    <x v="0"/>
  </r>
  <r>
    <d v="2021-04-28T00:00:00"/>
    <x v="3"/>
    <x v="2"/>
    <x v="2"/>
    <n v="173664.94"/>
    <x v="3"/>
    <x v="2"/>
    <x v="2"/>
    <x v="5"/>
    <x v="4"/>
    <x v="0"/>
    <x v="4"/>
    <x v="0"/>
    <x v="0"/>
    <n v="28"/>
    <x v="0"/>
  </r>
  <r>
    <d v="2021-04-28T00:00:00"/>
    <x v="3"/>
    <x v="3"/>
    <x v="1"/>
    <n v="10800363.460000001"/>
    <x v="3"/>
    <x v="3"/>
    <x v="1"/>
    <x v="2"/>
    <x v="4"/>
    <x v="0"/>
    <x v="4"/>
    <x v="0"/>
    <x v="0"/>
    <n v="28"/>
    <x v="0"/>
  </r>
  <r>
    <d v="2021-04-28T00:00:00"/>
    <x v="3"/>
    <x v="3"/>
    <x v="0"/>
    <n v="2050540256.29"/>
    <x v="3"/>
    <x v="3"/>
    <x v="0"/>
    <x v="7"/>
    <x v="4"/>
    <x v="0"/>
    <x v="4"/>
    <x v="0"/>
    <x v="0"/>
    <n v="28"/>
    <x v="0"/>
  </r>
  <r>
    <d v="2021-04-28T00:00:00"/>
    <x v="1"/>
    <x v="0"/>
    <x v="1"/>
    <n v="3125888564.9099998"/>
    <x v="1"/>
    <x v="0"/>
    <x v="1"/>
    <x v="10"/>
    <x v="4"/>
    <x v="0"/>
    <x v="4"/>
    <x v="0"/>
    <x v="0"/>
    <n v="28"/>
    <x v="0"/>
  </r>
  <r>
    <d v="2021-04-28T00:00:00"/>
    <x v="3"/>
    <x v="2"/>
    <x v="0"/>
    <n v="365220992.94999999"/>
    <x v="3"/>
    <x v="2"/>
    <x v="0"/>
    <x v="11"/>
    <x v="4"/>
    <x v="0"/>
    <x v="4"/>
    <x v="0"/>
    <x v="0"/>
    <n v="28"/>
    <x v="0"/>
  </r>
  <r>
    <d v="2021-04-28T00:00:00"/>
    <x v="3"/>
    <x v="1"/>
    <x v="0"/>
    <n v="11208797.42"/>
    <x v="3"/>
    <x v="1"/>
    <x v="0"/>
    <x v="12"/>
    <x v="4"/>
    <x v="0"/>
    <x v="4"/>
    <x v="0"/>
    <x v="0"/>
    <n v="28"/>
    <x v="0"/>
  </r>
  <r>
    <d v="2021-04-28T00:00:00"/>
    <x v="3"/>
    <x v="2"/>
    <x v="1"/>
    <n v="10264656511.41"/>
    <x v="3"/>
    <x v="2"/>
    <x v="1"/>
    <x v="13"/>
    <x v="4"/>
    <x v="0"/>
    <x v="4"/>
    <x v="0"/>
    <x v="0"/>
    <n v="28"/>
    <x v="0"/>
  </r>
  <r>
    <d v="2021-04-27T00:00:00"/>
    <x v="0"/>
    <x v="1"/>
    <x v="0"/>
    <n v="18744888.309999999"/>
    <x v="0"/>
    <x v="1"/>
    <x v="0"/>
    <x v="1"/>
    <x v="4"/>
    <x v="0"/>
    <x v="4"/>
    <x v="0"/>
    <x v="0"/>
    <n v="27"/>
    <x v="0"/>
  </r>
  <r>
    <d v="2021-04-27T00:00:00"/>
    <x v="1"/>
    <x v="0"/>
    <x v="2"/>
    <n v="26537.32"/>
    <x v="1"/>
    <x v="0"/>
    <x v="2"/>
    <x v="2"/>
    <x v="4"/>
    <x v="0"/>
    <x v="4"/>
    <x v="0"/>
    <x v="0"/>
    <n v="27"/>
    <x v="0"/>
  </r>
  <r>
    <d v="2021-04-27T00:00:00"/>
    <x v="2"/>
    <x v="1"/>
    <x v="0"/>
    <n v="110031094.56999999"/>
    <x v="2"/>
    <x v="1"/>
    <x v="0"/>
    <x v="6"/>
    <x v="4"/>
    <x v="0"/>
    <x v="4"/>
    <x v="0"/>
    <x v="0"/>
    <n v="27"/>
    <x v="0"/>
  </r>
  <r>
    <d v="2021-04-27T00:00:00"/>
    <x v="2"/>
    <x v="1"/>
    <x v="2"/>
    <n v="14112.62"/>
    <x v="2"/>
    <x v="1"/>
    <x v="2"/>
    <x v="3"/>
    <x v="4"/>
    <x v="0"/>
    <x v="4"/>
    <x v="0"/>
    <x v="0"/>
    <n v="27"/>
    <x v="0"/>
  </r>
  <r>
    <d v="2021-04-27T00:00:00"/>
    <x v="0"/>
    <x v="1"/>
    <x v="1"/>
    <n v="50663993.520000003"/>
    <x v="0"/>
    <x v="1"/>
    <x v="1"/>
    <x v="4"/>
    <x v="4"/>
    <x v="0"/>
    <x v="4"/>
    <x v="0"/>
    <x v="0"/>
    <n v="27"/>
    <x v="0"/>
  </r>
  <r>
    <d v="2021-04-27T00:00:00"/>
    <x v="1"/>
    <x v="0"/>
    <x v="0"/>
    <n v="76806266.370000005"/>
    <x v="1"/>
    <x v="0"/>
    <x v="0"/>
    <x v="8"/>
    <x v="4"/>
    <x v="0"/>
    <x v="4"/>
    <x v="0"/>
    <x v="0"/>
    <n v="27"/>
    <x v="0"/>
  </r>
  <r>
    <d v="2021-04-27T00:00:00"/>
    <x v="2"/>
    <x v="1"/>
    <x v="1"/>
    <n v="1794759575.01"/>
    <x v="2"/>
    <x v="1"/>
    <x v="1"/>
    <x v="9"/>
    <x v="4"/>
    <x v="0"/>
    <x v="4"/>
    <x v="0"/>
    <x v="0"/>
    <n v="27"/>
    <x v="0"/>
  </r>
  <r>
    <d v="2021-04-27T00:00:00"/>
    <x v="3"/>
    <x v="2"/>
    <x v="2"/>
    <n v="630633.99"/>
    <x v="3"/>
    <x v="2"/>
    <x v="2"/>
    <x v="5"/>
    <x v="4"/>
    <x v="0"/>
    <x v="4"/>
    <x v="0"/>
    <x v="0"/>
    <n v="27"/>
    <x v="0"/>
  </r>
  <r>
    <d v="2021-04-27T00:00:00"/>
    <x v="3"/>
    <x v="3"/>
    <x v="0"/>
    <n v="1445230228.0599999"/>
    <x v="3"/>
    <x v="3"/>
    <x v="0"/>
    <x v="7"/>
    <x v="4"/>
    <x v="0"/>
    <x v="4"/>
    <x v="0"/>
    <x v="0"/>
    <n v="27"/>
    <x v="0"/>
  </r>
  <r>
    <d v="2021-04-27T00:00:00"/>
    <x v="0"/>
    <x v="0"/>
    <x v="0"/>
    <n v="200"/>
    <x v="0"/>
    <x v="0"/>
    <x v="0"/>
    <x v="0"/>
    <x v="4"/>
    <x v="0"/>
    <x v="4"/>
    <x v="0"/>
    <x v="0"/>
    <n v="27"/>
    <x v="0"/>
  </r>
  <r>
    <d v="2021-04-27T00:00:00"/>
    <x v="1"/>
    <x v="0"/>
    <x v="1"/>
    <n v="2168392112.2399998"/>
    <x v="1"/>
    <x v="0"/>
    <x v="1"/>
    <x v="10"/>
    <x v="4"/>
    <x v="0"/>
    <x v="4"/>
    <x v="0"/>
    <x v="0"/>
    <n v="27"/>
    <x v="0"/>
  </r>
  <r>
    <d v="2021-04-27T00:00:00"/>
    <x v="3"/>
    <x v="2"/>
    <x v="0"/>
    <n v="508397040.44"/>
    <x v="3"/>
    <x v="2"/>
    <x v="0"/>
    <x v="11"/>
    <x v="4"/>
    <x v="0"/>
    <x v="4"/>
    <x v="0"/>
    <x v="0"/>
    <n v="27"/>
    <x v="0"/>
  </r>
  <r>
    <d v="2021-04-27T00:00:00"/>
    <x v="3"/>
    <x v="1"/>
    <x v="0"/>
    <n v="9641459.2300000004"/>
    <x v="3"/>
    <x v="1"/>
    <x v="0"/>
    <x v="12"/>
    <x v="4"/>
    <x v="0"/>
    <x v="4"/>
    <x v="0"/>
    <x v="0"/>
    <n v="27"/>
    <x v="0"/>
  </r>
  <r>
    <d v="2021-04-27T00:00:00"/>
    <x v="3"/>
    <x v="2"/>
    <x v="1"/>
    <n v="3635598909.8000002"/>
    <x v="3"/>
    <x v="2"/>
    <x v="1"/>
    <x v="13"/>
    <x v="4"/>
    <x v="0"/>
    <x v="4"/>
    <x v="0"/>
    <x v="0"/>
    <n v="27"/>
    <x v="0"/>
  </r>
  <r>
    <d v="2021-04-26T00:00:00"/>
    <x v="0"/>
    <x v="1"/>
    <x v="0"/>
    <n v="9125634.5800000001"/>
    <x v="0"/>
    <x v="1"/>
    <x v="0"/>
    <x v="1"/>
    <x v="4"/>
    <x v="0"/>
    <x v="4"/>
    <x v="0"/>
    <x v="0"/>
    <n v="26"/>
    <x v="0"/>
  </r>
  <r>
    <d v="2021-04-26T00:00:00"/>
    <x v="3"/>
    <x v="2"/>
    <x v="2"/>
    <n v="342338.99"/>
    <x v="3"/>
    <x v="2"/>
    <x v="2"/>
    <x v="4"/>
    <x v="4"/>
    <x v="0"/>
    <x v="4"/>
    <x v="0"/>
    <x v="0"/>
    <n v="26"/>
    <x v="0"/>
  </r>
  <r>
    <d v="2021-04-26T00:00:00"/>
    <x v="2"/>
    <x v="1"/>
    <x v="0"/>
    <n v="134506058.94"/>
    <x v="2"/>
    <x v="1"/>
    <x v="0"/>
    <x v="7"/>
    <x v="4"/>
    <x v="0"/>
    <x v="4"/>
    <x v="0"/>
    <x v="0"/>
    <n v="26"/>
    <x v="0"/>
  </r>
  <r>
    <d v="2021-04-26T00:00:00"/>
    <x v="2"/>
    <x v="1"/>
    <x v="2"/>
    <n v="6455"/>
    <x v="2"/>
    <x v="1"/>
    <x v="2"/>
    <x v="3"/>
    <x v="4"/>
    <x v="0"/>
    <x v="4"/>
    <x v="0"/>
    <x v="0"/>
    <n v="26"/>
    <x v="0"/>
  </r>
  <r>
    <d v="2021-04-26T00:00:00"/>
    <x v="0"/>
    <x v="1"/>
    <x v="1"/>
    <n v="24381123.170000002"/>
    <x v="0"/>
    <x v="1"/>
    <x v="1"/>
    <x v="6"/>
    <x v="4"/>
    <x v="0"/>
    <x v="4"/>
    <x v="0"/>
    <x v="0"/>
    <n v="26"/>
    <x v="0"/>
  </r>
  <r>
    <d v="2021-04-26T00:00:00"/>
    <x v="1"/>
    <x v="0"/>
    <x v="0"/>
    <n v="88375234.060000002"/>
    <x v="1"/>
    <x v="0"/>
    <x v="0"/>
    <x v="9"/>
    <x v="4"/>
    <x v="0"/>
    <x v="4"/>
    <x v="0"/>
    <x v="0"/>
    <n v="26"/>
    <x v="0"/>
  </r>
  <r>
    <d v="2021-04-26T00:00:00"/>
    <x v="2"/>
    <x v="1"/>
    <x v="1"/>
    <n v="1739927306.6500001"/>
    <x v="2"/>
    <x v="1"/>
    <x v="1"/>
    <x v="10"/>
    <x v="4"/>
    <x v="0"/>
    <x v="4"/>
    <x v="0"/>
    <x v="0"/>
    <n v="26"/>
    <x v="0"/>
  </r>
  <r>
    <d v="2021-04-26T00:00:00"/>
    <x v="0"/>
    <x v="0"/>
    <x v="0"/>
    <n v="20"/>
    <x v="0"/>
    <x v="0"/>
    <x v="0"/>
    <x v="0"/>
    <x v="4"/>
    <x v="0"/>
    <x v="4"/>
    <x v="0"/>
    <x v="0"/>
    <n v="26"/>
    <x v="0"/>
  </r>
  <r>
    <d v="2021-04-26T00:00:00"/>
    <x v="1"/>
    <x v="0"/>
    <x v="2"/>
    <n v="7149.8"/>
    <x v="1"/>
    <x v="0"/>
    <x v="2"/>
    <x v="2"/>
    <x v="4"/>
    <x v="0"/>
    <x v="4"/>
    <x v="0"/>
    <x v="0"/>
    <n v="26"/>
    <x v="0"/>
  </r>
  <r>
    <d v="2021-04-26T00:00:00"/>
    <x v="3"/>
    <x v="3"/>
    <x v="1"/>
    <n v="12738796.93"/>
    <x v="3"/>
    <x v="3"/>
    <x v="1"/>
    <x v="5"/>
    <x v="4"/>
    <x v="0"/>
    <x v="4"/>
    <x v="0"/>
    <x v="0"/>
    <n v="26"/>
    <x v="0"/>
  </r>
  <r>
    <d v="2021-04-26T00:00:00"/>
    <x v="3"/>
    <x v="3"/>
    <x v="0"/>
    <n v="1562415833.9000001"/>
    <x v="3"/>
    <x v="3"/>
    <x v="0"/>
    <x v="8"/>
    <x v="4"/>
    <x v="0"/>
    <x v="4"/>
    <x v="0"/>
    <x v="0"/>
    <n v="26"/>
    <x v="0"/>
  </r>
  <r>
    <d v="2021-04-26T00:00:00"/>
    <x v="1"/>
    <x v="0"/>
    <x v="1"/>
    <n v="3850641615.8000002"/>
    <x v="1"/>
    <x v="0"/>
    <x v="1"/>
    <x v="11"/>
    <x v="4"/>
    <x v="0"/>
    <x v="4"/>
    <x v="0"/>
    <x v="0"/>
    <n v="26"/>
    <x v="0"/>
  </r>
  <r>
    <d v="2021-04-26T00:00:00"/>
    <x v="3"/>
    <x v="2"/>
    <x v="0"/>
    <n v="353859131.87"/>
    <x v="3"/>
    <x v="2"/>
    <x v="0"/>
    <x v="12"/>
    <x v="4"/>
    <x v="0"/>
    <x v="4"/>
    <x v="0"/>
    <x v="0"/>
    <n v="26"/>
    <x v="0"/>
  </r>
  <r>
    <d v="2021-04-26T00:00:00"/>
    <x v="3"/>
    <x v="2"/>
    <x v="1"/>
    <n v="18074846576.220001"/>
    <x v="3"/>
    <x v="2"/>
    <x v="1"/>
    <x v="13"/>
    <x v="4"/>
    <x v="0"/>
    <x v="4"/>
    <x v="0"/>
    <x v="0"/>
    <n v="26"/>
    <x v="0"/>
  </r>
  <r>
    <d v="2021-04-26T00:00:00"/>
    <x v="3"/>
    <x v="1"/>
    <x v="0"/>
    <n v="39674071.140000001"/>
    <x v="3"/>
    <x v="1"/>
    <x v="0"/>
    <x v="14"/>
    <x v="4"/>
    <x v="0"/>
    <x v="4"/>
    <x v="0"/>
    <x v="0"/>
    <n v="26"/>
    <x v="0"/>
  </r>
  <r>
    <d v="2021-04-23T00:00:00"/>
    <x v="0"/>
    <x v="1"/>
    <x v="0"/>
    <n v="18077196.059999999"/>
    <x v="0"/>
    <x v="1"/>
    <x v="0"/>
    <x v="1"/>
    <x v="4"/>
    <x v="0"/>
    <x v="4"/>
    <x v="0"/>
    <x v="0"/>
    <n v="23"/>
    <x v="0"/>
  </r>
  <r>
    <d v="2021-04-23T00:00:00"/>
    <x v="3"/>
    <x v="2"/>
    <x v="2"/>
    <n v="1876179.56"/>
    <x v="3"/>
    <x v="2"/>
    <x v="2"/>
    <x v="4"/>
    <x v="4"/>
    <x v="0"/>
    <x v="4"/>
    <x v="0"/>
    <x v="0"/>
    <n v="23"/>
    <x v="0"/>
  </r>
  <r>
    <d v="2021-04-23T00:00:00"/>
    <x v="2"/>
    <x v="1"/>
    <x v="2"/>
    <n v="23428.78"/>
    <x v="2"/>
    <x v="1"/>
    <x v="2"/>
    <x v="3"/>
    <x v="4"/>
    <x v="0"/>
    <x v="4"/>
    <x v="0"/>
    <x v="0"/>
    <n v="23"/>
    <x v="0"/>
  </r>
  <r>
    <d v="2021-04-23T00:00:00"/>
    <x v="2"/>
    <x v="1"/>
    <x v="0"/>
    <n v="57092442.979999997"/>
    <x v="2"/>
    <x v="1"/>
    <x v="0"/>
    <x v="7"/>
    <x v="4"/>
    <x v="0"/>
    <x v="4"/>
    <x v="0"/>
    <x v="0"/>
    <n v="23"/>
    <x v="0"/>
  </r>
  <r>
    <d v="2021-04-23T00:00:00"/>
    <x v="3"/>
    <x v="3"/>
    <x v="0"/>
    <n v="1390875523.26"/>
    <x v="3"/>
    <x v="3"/>
    <x v="0"/>
    <x v="8"/>
    <x v="4"/>
    <x v="0"/>
    <x v="4"/>
    <x v="0"/>
    <x v="0"/>
    <n v="23"/>
    <x v="0"/>
  </r>
  <r>
    <d v="2021-04-23T00:00:00"/>
    <x v="3"/>
    <x v="3"/>
    <x v="1"/>
    <n v="4285541.24"/>
    <x v="3"/>
    <x v="3"/>
    <x v="1"/>
    <x v="5"/>
    <x v="4"/>
    <x v="0"/>
    <x v="4"/>
    <x v="0"/>
    <x v="0"/>
    <n v="23"/>
    <x v="0"/>
  </r>
  <r>
    <d v="2021-04-23T00:00:00"/>
    <x v="0"/>
    <x v="1"/>
    <x v="1"/>
    <n v="44817034.539999999"/>
    <x v="0"/>
    <x v="1"/>
    <x v="1"/>
    <x v="6"/>
    <x v="4"/>
    <x v="0"/>
    <x v="4"/>
    <x v="0"/>
    <x v="0"/>
    <n v="23"/>
    <x v="0"/>
  </r>
  <r>
    <d v="2021-04-23T00:00:00"/>
    <x v="1"/>
    <x v="0"/>
    <x v="0"/>
    <n v="97897281.959999993"/>
    <x v="1"/>
    <x v="0"/>
    <x v="0"/>
    <x v="9"/>
    <x v="4"/>
    <x v="0"/>
    <x v="4"/>
    <x v="0"/>
    <x v="0"/>
    <n v="23"/>
    <x v="0"/>
  </r>
  <r>
    <d v="2021-04-23T00:00:00"/>
    <x v="0"/>
    <x v="0"/>
    <x v="0"/>
    <n v="482.78"/>
    <x v="0"/>
    <x v="0"/>
    <x v="0"/>
    <x v="0"/>
    <x v="4"/>
    <x v="0"/>
    <x v="4"/>
    <x v="0"/>
    <x v="0"/>
    <n v="23"/>
    <x v="0"/>
  </r>
  <r>
    <d v="2021-04-23T00:00:00"/>
    <x v="1"/>
    <x v="0"/>
    <x v="2"/>
    <n v="7522.46"/>
    <x v="1"/>
    <x v="0"/>
    <x v="2"/>
    <x v="2"/>
    <x v="4"/>
    <x v="0"/>
    <x v="4"/>
    <x v="0"/>
    <x v="0"/>
    <n v="23"/>
    <x v="0"/>
  </r>
  <r>
    <d v="2021-04-23T00:00:00"/>
    <x v="2"/>
    <x v="1"/>
    <x v="1"/>
    <n v="1067608085.12"/>
    <x v="2"/>
    <x v="1"/>
    <x v="1"/>
    <x v="10"/>
    <x v="4"/>
    <x v="0"/>
    <x v="4"/>
    <x v="0"/>
    <x v="0"/>
    <n v="23"/>
    <x v="0"/>
  </r>
  <r>
    <d v="2021-04-23T00:00:00"/>
    <x v="1"/>
    <x v="0"/>
    <x v="1"/>
    <n v="6527546727.2399998"/>
    <x v="1"/>
    <x v="0"/>
    <x v="1"/>
    <x v="11"/>
    <x v="4"/>
    <x v="0"/>
    <x v="4"/>
    <x v="0"/>
    <x v="0"/>
    <n v="23"/>
    <x v="0"/>
  </r>
  <r>
    <d v="2021-04-23T00:00:00"/>
    <x v="3"/>
    <x v="2"/>
    <x v="0"/>
    <n v="347735998.5"/>
    <x v="3"/>
    <x v="2"/>
    <x v="0"/>
    <x v="12"/>
    <x v="4"/>
    <x v="0"/>
    <x v="4"/>
    <x v="0"/>
    <x v="0"/>
    <n v="23"/>
    <x v="0"/>
  </r>
  <r>
    <d v="2021-04-23T00:00:00"/>
    <x v="3"/>
    <x v="1"/>
    <x v="0"/>
    <n v="12797510.01"/>
    <x v="3"/>
    <x v="1"/>
    <x v="0"/>
    <x v="13"/>
    <x v="4"/>
    <x v="0"/>
    <x v="4"/>
    <x v="0"/>
    <x v="0"/>
    <n v="23"/>
    <x v="0"/>
  </r>
  <r>
    <d v="2021-04-23T00:00:00"/>
    <x v="3"/>
    <x v="2"/>
    <x v="1"/>
    <n v="8125914120.0500002"/>
    <x v="3"/>
    <x v="2"/>
    <x v="1"/>
    <x v="14"/>
    <x v="4"/>
    <x v="0"/>
    <x v="4"/>
    <x v="0"/>
    <x v="0"/>
    <n v="23"/>
    <x v="0"/>
  </r>
  <r>
    <d v="2021-04-22T00:00:00"/>
    <x v="2"/>
    <x v="1"/>
    <x v="2"/>
    <n v="24000"/>
    <x v="2"/>
    <x v="1"/>
    <x v="2"/>
    <x v="3"/>
    <x v="4"/>
    <x v="0"/>
    <x v="4"/>
    <x v="0"/>
    <x v="0"/>
    <n v="22"/>
    <x v="0"/>
  </r>
  <r>
    <d v="2021-04-22T00:00:00"/>
    <x v="0"/>
    <x v="1"/>
    <x v="1"/>
    <n v="42246591.549999997"/>
    <x v="0"/>
    <x v="1"/>
    <x v="1"/>
    <x v="4"/>
    <x v="4"/>
    <x v="0"/>
    <x v="4"/>
    <x v="0"/>
    <x v="0"/>
    <n v="22"/>
    <x v="0"/>
  </r>
  <r>
    <d v="2021-04-22T00:00:00"/>
    <x v="3"/>
    <x v="3"/>
    <x v="0"/>
    <n v="2254653109.0500002"/>
    <x v="3"/>
    <x v="3"/>
    <x v="0"/>
    <x v="8"/>
    <x v="4"/>
    <x v="0"/>
    <x v="4"/>
    <x v="0"/>
    <x v="0"/>
    <n v="22"/>
    <x v="0"/>
  </r>
  <r>
    <d v="2021-04-22T00:00:00"/>
    <x v="3"/>
    <x v="2"/>
    <x v="2"/>
    <n v="176034.15"/>
    <x v="3"/>
    <x v="2"/>
    <x v="2"/>
    <x v="5"/>
    <x v="4"/>
    <x v="0"/>
    <x v="4"/>
    <x v="0"/>
    <x v="0"/>
    <n v="22"/>
    <x v="0"/>
  </r>
  <r>
    <d v="2021-04-22T00:00:00"/>
    <x v="0"/>
    <x v="1"/>
    <x v="0"/>
    <n v="17801882.760000002"/>
    <x v="0"/>
    <x v="1"/>
    <x v="0"/>
    <x v="1"/>
    <x v="4"/>
    <x v="0"/>
    <x v="4"/>
    <x v="0"/>
    <x v="0"/>
    <n v="22"/>
    <x v="0"/>
  </r>
  <r>
    <d v="2021-04-22T00:00:00"/>
    <x v="0"/>
    <x v="0"/>
    <x v="0"/>
    <n v="3660.77"/>
    <x v="0"/>
    <x v="0"/>
    <x v="0"/>
    <x v="0"/>
    <x v="4"/>
    <x v="0"/>
    <x v="4"/>
    <x v="0"/>
    <x v="0"/>
    <n v="22"/>
    <x v="0"/>
  </r>
  <r>
    <d v="2021-04-22T00:00:00"/>
    <x v="2"/>
    <x v="1"/>
    <x v="0"/>
    <n v="62996565.479999997"/>
    <x v="2"/>
    <x v="1"/>
    <x v="0"/>
    <x v="6"/>
    <x v="4"/>
    <x v="0"/>
    <x v="4"/>
    <x v="0"/>
    <x v="0"/>
    <n v="22"/>
    <x v="0"/>
  </r>
  <r>
    <d v="2021-04-22T00:00:00"/>
    <x v="1"/>
    <x v="0"/>
    <x v="2"/>
    <n v="1094.68"/>
    <x v="1"/>
    <x v="0"/>
    <x v="2"/>
    <x v="2"/>
    <x v="4"/>
    <x v="0"/>
    <x v="4"/>
    <x v="0"/>
    <x v="0"/>
    <n v="22"/>
    <x v="0"/>
  </r>
  <r>
    <d v="2021-04-22T00:00:00"/>
    <x v="1"/>
    <x v="0"/>
    <x v="0"/>
    <n v="88788743.819999993"/>
    <x v="1"/>
    <x v="0"/>
    <x v="0"/>
    <x v="7"/>
    <x v="4"/>
    <x v="0"/>
    <x v="4"/>
    <x v="0"/>
    <x v="0"/>
    <n v="22"/>
    <x v="0"/>
  </r>
  <r>
    <d v="2021-04-22T00:00:00"/>
    <x v="2"/>
    <x v="1"/>
    <x v="1"/>
    <n v="1085994783.01"/>
    <x v="2"/>
    <x v="1"/>
    <x v="1"/>
    <x v="9"/>
    <x v="4"/>
    <x v="0"/>
    <x v="4"/>
    <x v="0"/>
    <x v="0"/>
    <n v="22"/>
    <x v="0"/>
  </r>
  <r>
    <d v="2021-04-22T00:00:00"/>
    <x v="1"/>
    <x v="0"/>
    <x v="1"/>
    <n v="8889892194.8500004"/>
    <x v="1"/>
    <x v="0"/>
    <x v="1"/>
    <x v="10"/>
    <x v="4"/>
    <x v="0"/>
    <x v="4"/>
    <x v="0"/>
    <x v="0"/>
    <n v="22"/>
    <x v="0"/>
  </r>
  <r>
    <d v="2021-04-22T00:00:00"/>
    <x v="3"/>
    <x v="2"/>
    <x v="0"/>
    <n v="6015385028.1400003"/>
    <x v="3"/>
    <x v="2"/>
    <x v="0"/>
    <x v="11"/>
    <x v="4"/>
    <x v="0"/>
    <x v="4"/>
    <x v="0"/>
    <x v="0"/>
    <n v="22"/>
    <x v="0"/>
  </r>
  <r>
    <d v="2021-04-22T00:00:00"/>
    <x v="3"/>
    <x v="1"/>
    <x v="0"/>
    <n v="12497265.32"/>
    <x v="3"/>
    <x v="1"/>
    <x v="0"/>
    <x v="12"/>
    <x v="4"/>
    <x v="0"/>
    <x v="4"/>
    <x v="0"/>
    <x v="0"/>
    <n v="22"/>
    <x v="0"/>
  </r>
  <r>
    <d v="2021-04-22T00:00:00"/>
    <x v="3"/>
    <x v="2"/>
    <x v="1"/>
    <n v="6860334612.1899996"/>
    <x v="3"/>
    <x v="2"/>
    <x v="1"/>
    <x v="13"/>
    <x v="4"/>
    <x v="0"/>
    <x v="4"/>
    <x v="0"/>
    <x v="0"/>
    <n v="22"/>
    <x v="0"/>
  </r>
  <r>
    <d v="2021-04-21T00:00:00"/>
    <x v="1"/>
    <x v="0"/>
    <x v="2"/>
    <n v="2120.77"/>
    <x v="1"/>
    <x v="0"/>
    <x v="2"/>
    <x v="1"/>
    <x v="4"/>
    <x v="0"/>
    <x v="4"/>
    <x v="0"/>
    <x v="0"/>
    <n v="21"/>
    <x v="0"/>
  </r>
  <r>
    <d v="2021-04-21T00:00:00"/>
    <x v="2"/>
    <x v="1"/>
    <x v="2"/>
    <n v="46370"/>
    <x v="2"/>
    <x v="1"/>
    <x v="2"/>
    <x v="2"/>
    <x v="4"/>
    <x v="0"/>
    <x v="4"/>
    <x v="0"/>
    <x v="0"/>
    <n v="21"/>
    <x v="0"/>
  </r>
  <r>
    <d v="2021-04-21T00:00:00"/>
    <x v="0"/>
    <x v="1"/>
    <x v="0"/>
    <n v="19014510.16"/>
    <x v="0"/>
    <x v="1"/>
    <x v="0"/>
    <x v="0"/>
    <x v="4"/>
    <x v="0"/>
    <x v="4"/>
    <x v="0"/>
    <x v="0"/>
    <n v="21"/>
    <x v="0"/>
  </r>
  <r>
    <d v="2021-04-21T00:00:00"/>
    <x v="0"/>
    <x v="1"/>
    <x v="1"/>
    <n v="20940577.120000001"/>
    <x v="0"/>
    <x v="1"/>
    <x v="1"/>
    <x v="3"/>
    <x v="4"/>
    <x v="0"/>
    <x v="4"/>
    <x v="0"/>
    <x v="0"/>
    <n v="21"/>
    <x v="0"/>
  </r>
  <r>
    <d v="2021-04-21T00:00:00"/>
    <x v="1"/>
    <x v="0"/>
    <x v="0"/>
    <n v="91803736.280000001"/>
    <x v="1"/>
    <x v="0"/>
    <x v="0"/>
    <x v="7"/>
    <x v="4"/>
    <x v="0"/>
    <x v="4"/>
    <x v="0"/>
    <x v="0"/>
    <n v="21"/>
    <x v="0"/>
  </r>
  <r>
    <d v="2021-04-21T00:00:00"/>
    <x v="3"/>
    <x v="2"/>
    <x v="2"/>
    <n v="181021.48"/>
    <x v="3"/>
    <x v="2"/>
    <x v="2"/>
    <x v="4"/>
    <x v="4"/>
    <x v="0"/>
    <x v="4"/>
    <x v="0"/>
    <x v="0"/>
    <n v="21"/>
    <x v="0"/>
  </r>
  <r>
    <d v="2021-04-21T00:00:00"/>
    <x v="3"/>
    <x v="3"/>
    <x v="0"/>
    <n v="972309797.45000005"/>
    <x v="3"/>
    <x v="3"/>
    <x v="0"/>
    <x v="5"/>
    <x v="4"/>
    <x v="0"/>
    <x v="4"/>
    <x v="0"/>
    <x v="0"/>
    <n v="21"/>
    <x v="0"/>
  </r>
  <r>
    <d v="2021-04-21T00:00:00"/>
    <x v="2"/>
    <x v="1"/>
    <x v="0"/>
    <n v="98725869.689999998"/>
    <x v="2"/>
    <x v="1"/>
    <x v="0"/>
    <x v="6"/>
    <x v="4"/>
    <x v="0"/>
    <x v="4"/>
    <x v="0"/>
    <x v="0"/>
    <n v="21"/>
    <x v="0"/>
  </r>
  <r>
    <d v="2021-04-21T00:00:00"/>
    <x v="2"/>
    <x v="1"/>
    <x v="1"/>
    <n v="1168364155.01"/>
    <x v="2"/>
    <x v="1"/>
    <x v="1"/>
    <x v="8"/>
    <x v="4"/>
    <x v="0"/>
    <x v="4"/>
    <x v="0"/>
    <x v="0"/>
    <n v="21"/>
    <x v="0"/>
  </r>
  <r>
    <d v="2021-04-21T00:00:00"/>
    <x v="1"/>
    <x v="0"/>
    <x v="1"/>
    <n v="9689327057.9599991"/>
    <x v="1"/>
    <x v="0"/>
    <x v="1"/>
    <x v="9"/>
    <x v="4"/>
    <x v="0"/>
    <x v="4"/>
    <x v="0"/>
    <x v="0"/>
    <n v="21"/>
    <x v="0"/>
  </r>
  <r>
    <d v="2021-04-21T00:00:00"/>
    <x v="3"/>
    <x v="2"/>
    <x v="0"/>
    <n v="281296734.98000002"/>
    <x v="3"/>
    <x v="2"/>
    <x v="0"/>
    <x v="10"/>
    <x v="4"/>
    <x v="0"/>
    <x v="4"/>
    <x v="0"/>
    <x v="0"/>
    <n v="21"/>
    <x v="0"/>
  </r>
  <r>
    <d v="2021-04-21T00:00:00"/>
    <x v="3"/>
    <x v="1"/>
    <x v="0"/>
    <n v="11678202.74"/>
    <x v="3"/>
    <x v="1"/>
    <x v="0"/>
    <x v="11"/>
    <x v="4"/>
    <x v="0"/>
    <x v="4"/>
    <x v="0"/>
    <x v="0"/>
    <n v="21"/>
    <x v="0"/>
  </r>
  <r>
    <d v="2021-04-21T00:00:00"/>
    <x v="3"/>
    <x v="2"/>
    <x v="1"/>
    <n v="12973571769.959999"/>
    <x v="3"/>
    <x v="2"/>
    <x v="1"/>
    <x v="12"/>
    <x v="4"/>
    <x v="0"/>
    <x v="4"/>
    <x v="0"/>
    <x v="0"/>
    <n v="21"/>
    <x v="0"/>
  </r>
  <r>
    <d v="2021-04-20T00:00:00"/>
    <x v="3"/>
    <x v="2"/>
    <x v="2"/>
    <n v="256771.61"/>
    <x v="3"/>
    <x v="2"/>
    <x v="2"/>
    <x v="6"/>
    <x v="4"/>
    <x v="0"/>
    <x v="4"/>
    <x v="0"/>
    <x v="0"/>
    <n v="20"/>
    <x v="0"/>
  </r>
  <r>
    <d v="2021-04-20T00:00:00"/>
    <x v="1"/>
    <x v="0"/>
    <x v="2"/>
    <n v="6179.55"/>
    <x v="1"/>
    <x v="0"/>
    <x v="2"/>
    <x v="2"/>
    <x v="4"/>
    <x v="0"/>
    <x v="4"/>
    <x v="0"/>
    <x v="0"/>
    <n v="20"/>
    <x v="0"/>
  </r>
  <r>
    <d v="2021-04-20T00:00:00"/>
    <x v="2"/>
    <x v="1"/>
    <x v="2"/>
    <n v="77176.55"/>
    <x v="2"/>
    <x v="1"/>
    <x v="2"/>
    <x v="3"/>
    <x v="4"/>
    <x v="0"/>
    <x v="4"/>
    <x v="0"/>
    <x v="0"/>
    <n v="20"/>
    <x v="0"/>
  </r>
  <r>
    <d v="2021-04-20T00:00:00"/>
    <x v="2"/>
    <x v="1"/>
    <x v="0"/>
    <n v="80537969.280000001"/>
    <x v="2"/>
    <x v="1"/>
    <x v="0"/>
    <x v="8"/>
    <x v="4"/>
    <x v="0"/>
    <x v="4"/>
    <x v="0"/>
    <x v="0"/>
    <n v="20"/>
    <x v="0"/>
  </r>
  <r>
    <d v="2021-04-20T00:00:00"/>
    <x v="3"/>
    <x v="3"/>
    <x v="1"/>
    <n v="1555793.83"/>
    <x v="3"/>
    <x v="3"/>
    <x v="1"/>
    <x v="4"/>
    <x v="4"/>
    <x v="0"/>
    <x v="4"/>
    <x v="0"/>
    <x v="0"/>
    <n v="20"/>
    <x v="0"/>
  </r>
  <r>
    <d v="2021-04-20T00:00:00"/>
    <x v="0"/>
    <x v="1"/>
    <x v="1"/>
    <n v="21866190.780000001"/>
    <x v="0"/>
    <x v="1"/>
    <x v="1"/>
    <x v="5"/>
    <x v="4"/>
    <x v="0"/>
    <x v="4"/>
    <x v="0"/>
    <x v="0"/>
    <n v="20"/>
    <x v="0"/>
  </r>
  <r>
    <d v="2021-04-20T00:00:00"/>
    <x v="1"/>
    <x v="0"/>
    <x v="0"/>
    <n v="77051325.209999993"/>
    <x v="1"/>
    <x v="0"/>
    <x v="0"/>
    <x v="9"/>
    <x v="4"/>
    <x v="0"/>
    <x v="4"/>
    <x v="0"/>
    <x v="0"/>
    <n v="20"/>
    <x v="0"/>
  </r>
  <r>
    <d v="2021-04-20T00:00:00"/>
    <x v="0"/>
    <x v="1"/>
    <x v="0"/>
    <n v="22354186.579999998"/>
    <x v="0"/>
    <x v="1"/>
    <x v="0"/>
    <x v="1"/>
    <x v="4"/>
    <x v="0"/>
    <x v="4"/>
    <x v="0"/>
    <x v="0"/>
    <n v="20"/>
    <x v="0"/>
  </r>
  <r>
    <d v="2021-04-20T00:00:00"/>
    <x v="0"/>
    <x v="0"/>
    <x v="0"/>
    <n v="50"/>
    <x v="0"/>
    <x v="0"/>
    <x v="0"/>
    <x v="0"/>
    <x v="4"/>
    <x v="0"/>
    <x v="4"/>
    <x v="0"/>
    <x v="0"/>
    <n v="20"/>
    <x v="0"/>
  </r>
  <r>
    <d v="2021-04-20T00:00:00"/>
    <x v="3"/>
    <x v="3"/>
    <x v="0"/>
    <n v="1627017703.6199999"/>
    <x v="3"/>
    <x v="3"/>
    <x v="0"/>
    <x v="7"/>
    <x v="4"/>
    <x v="0"/>
    <x v="4"/>
    <x v="0"/>
    <x v="0"/>
    <n v="20"/>
    <x v="0"/>
  </r>
  <r>
    <d v="2021-04-20T00:00:00"/>
    <x v="1"/>
    <x v="0"/>
    <x v="1"/>
    <n v="10812114205.049999"/>
    <x v="1"/>
    <x v="0"/>
    <x v="1"/>
    <x v="11"/>
    <x v="4"/>
    <x v="0"/>
    <x v="4"/>
    <x v="0"/>
    <x v="0"/>
    <n v="20"/>
    <x v="0"/>
  </r>
  <r>
    <d v="2021-04-20T00:00:00"/>
    <x v="2"/>
    <x v="1"/>
    <x v="1"/>
    <n v="606940752.51999998"/>
    <x v="2"/>
    <x v="1"/>
    <x v="1"/>
    <x v="10"/>
    <x v="4"/>
    <x v="0"/>
    <x v="4"/>
    <x v="0"/>
    <x v="0"/>
    <n v="20"/>
    <x v="0"/>
  </r>
  <r>
    <d v="2021-04-20T00:00:00"/>
    <x v="3"/>
    <x v="2"/>
    <x v="0"/>
    <n v="561984633.47000003"/>
    <x v="3"/>
    <x v="2"/>
    <x v="0"/>
    <x v="12"/>
    <x v="4"/>
    <x v="0"/>
    <x v="4"/>
    <x v="0"/>
    <x v="0"/>
    <n v="20"/>
    <x v="0"/>
  </r>
  <r>
    <d v="2021-04-20T00:00:00"/>
    <x v="3"/>
    <x v="1"/>
    <x v="0"/>
    <n v="10070057.539999999"/>
    <x v="3"/>
    <x v="1"/>
    <x v="0"/>
    <x v="13"/>
    <x v="4"/>
    <x v="0"/>
    <x v="4"/>
    <x v="0"/>
    <x v="0"/>
    <n v="20"/>
    <x v="0"/>
  </r>
  <r>
    <d v="2021-04-20T00:00:00"/>
    <x v="3"/>
    <x v="2"/>
    <x v="1"/>
    <n v="6078094721.2700005"/>
    <x v="3"/>
    <x v="2"/>
    <x v="1"/>
    <x v="14"/>
    <x v="4"/>
    <x v="0"/>
    <x v="4"/>
    <x v="0"/>
    <x v="0"/>
    <n v="20"/>
    <x v="0"/>
  </r>
  <r>
    <d v="2021-04-19T00:00:00"/>
    <x v="1"/>
    <x v="0"/>
    <x v="2"/>
    <n v="1013.64"/>
    <x v="1"/>
    <x v="0"/>
    <x v="2"/>
    <x v="2"/>
    <x v="4"/>
    <x v="0"/>
    <x v="4"/>
    <x v="0"/>
    <x v="0"/>
    <n v="19"/>
    <x v="0"/>
  </r>
  <r>
    <d v="2021-04-19T00:00:00"/>
    <x v="3"/>
    <x v="3"/>
    <x v="1"/>
    <n v="2692.74"/>
    <x v="3"/>
    <x v="3"/>
    <x v="1"/>
    <x v="4"/>
    <x v="4"/>
    <x v="0"/>
    <x v="4"/>
    <x v="0"/>
    <x v="0"/>
    <n v="19"/>
    <x v="0"/>
  </r>
  <r>
    <d v="2021-04-19T00:00:00"/>
    <x v="1"/>
    <x v="0"/>
    <x v="0"/>
    <n v="82793590.010000005"/>
    <x v="1"/>
    <x v="0"/>
    <x v="0"/>
    <x v="9"/>
    <x v="4"/>
    <x v="0"/>
    <x v="4"/>
    <x v="0"/>
    <x v="0"/>
    <n v="19"/>
    <x v="0"/>
  </r>
  <r>
    <d v="2021-04-19T00:00:00"/>
    <x v="3"/>
    <x v="2"/>
    <x v="2"/>
    <n v="382642.37"/>
    <x v="3"/>
    <x v="2"/>
    <x v="2"/>
    <x v="6"/>
    <x v="4"/>
    <x v="0"/>
    <x v="4"/>
    <x v="0"/>
    <x v="0"/>
    <n v="19"/>
    <x v="0"/>
  </r>
  <r>
    <d v="2021-04-19T00:00:00"/>
    <x v="2"/>
    <x v="1"/>
    <x v="2"/>
    <n v="23635"/>
    <x v="2"/>
    <x v="1"/>
    <x v="2"/>
    <x v="3"/>
    <x v="4"/>
    <x v="0"/>
    <x v="4"/>
    <x v="0"/>
    <x v="0"/>
    <n v="19"/>
    <x v="0"/>
  </r>
  <r>
    <d v="2021-04-19T00:00:00"/>
    <x v="0"/>
    <x v="1"/>
    <x v="0"/>
    <n v="20586663.489999998"/>
    <x v="0"/>
    <x v="1"/>
    <x v="0"/>
    <x v="1"/>
    <x v="4"/>
    <x v="0"/>
    <x v="4"/>
    <x v="0"/>
    <x v="0"/>
    <n v="19"/>
    <x v="0"/>
  </r>
  <r>
    <d v="2021-04-19T00:00:00"/>
    <x v="2"/>
    <x v="1"/>
    <x v="1"/>
    <n v="472267287.43000001"/>
    <x v="2"/>
    <x v="1"/>
    <x v="1"/>
    <x v="10"/>
    <x v="4"/>
    <x v="0"/>
    <x v="4"/>
    <x v="0"/>
    <x v="0"/>
    <n v="19"/>
    <x v="0"/>
  </r>
  <r>
    <d v="2021-04-19T00:00:00"/>
    <x v="0"/>
    <x v="0"/>
    <x v="0"/>
    <n v="41578.28"/>
    <x v="0"/>
    <x v="0"/>
    <x v="0"/>
    <x v="0"/>
    <x v="4"/>
    <x v="0"/>
    <x v="4"/>
    <x v="0"/>
    <x v="0"/>
    <n v="19"/>
    <x v="0"/>
  </r>
  <r>
    <d v="2021-04-19T00:00:00"/>
    <x v="0"/>
    <x v="1"/>
    <x v="1"/>
    <n v="23159098.809999999"/>
    <x v="0"/>
    <x v="1"/>
    <x v="1"/>
    <x v="5"/>
    <x v="4"/>
    <x v="0"/>
    <x v="4"/>
    <x v="0"/>
    <x v="0"/>
    <n v="19"/>
    <x v="0"/>
  </r>
  <r>
    <d v="2021-04-19T00:00:00"/>
    <x v="3"/>
    <x v="3"/>
    <x v="0"/>
    <n v="1212661323.54"/>
    <x v="3"/>
    <x v="3"/>
    <x v="0"/>
    <x v="7"/>
    <x v="4"/>
    <x v="0"/>
    <x v="4"/>
    <x v="0"/>
    <x v="0"/>
    <n v="19"/>
    <x v="0"/>
  </r>
  <r>
    <d v="2021-04-19T00:00:00"/>
    <x v="2"/>
    <x v="1"/>
    <x v="0"/>
    <n v="81294504.239999995"/>
    <x v="2"/>
    <x v="1"/>
    <x v="0"/>
    <x v="8"/>
    <x v="4"/>
    <x v="0"/>
    <x v="4"/>
    <x v="0"/>
    <x v="0"/>
    <n v="19"/>
    <x v="0"/>
  </r>
  <r>
    <d v="2021-04-19T00:00:00"/>
    <x v="1"/>
    <x v="0"/>
    <x v="1"/>
    <n v="3676664634.1500001"/>
    <x v="1"/>
    <x v="0"/>
    <x v="1"/>
    <x v="11"/>
    <x v="4"/>
    <x v="0"/>
    <x v="4"/>
    <x v="0"/>
    <x v="0"/>
    <n v="19"/>
    <x v="0"/>
  </r>
  <r>
    <d v="2021-04-19T00:00:00"/>
    <x v="3"/>
    <x v="2"/>
    <x v="0"/>
    <n v="369162656.81999999"/>
    <x v="3"/>
    <x v="2"/>
    <x v="0"/>
    <x v="12"/>
    <x v="4"/>
    <x v="0"/>
    <x v="4"/>
    <x v="0"/>
    <x v="0"/>
    <n v="19"/>
    <x v="0"/>
  </r>
  <r>
    <d v="2021-04-19T00:00:00"/>
    <x v="3"/>
    <x v="1"/>
    <x v="0"/>
    <n v="41667260.799999997"/>
    <x v="3"/>
    <x v="1"/>
    <x v="0"/>
    <x v="13"/>
    <x v="4"/>
    <x v="0"/>
    <x v="4"/>
    <x v="0"/>
    <x v="0"/>
    <n v="19"/>
    <x v="0"/>
  </r>
  <r>
    <d v="2021-04-19T00:00:00"/>
    <x v="3"/>
    <x v="2"/>
    <x v="1"/>
    <n v="33113274824.560001"/>
    <x v="3"/>
    <x v="2"/>
    <x v="1"/>
    <x v="14"/>
    <x v="4"/>
    <x v="0"/>
    <x v="4"/>
    <x v="0"/>
    <x v="0"/>
    <n v="19"/>
    <x v="0"/>
  </r>
  <r>
    <d v="2021-04-16T00:00:00"/>
    <x v="3"/>
    <x v="2"/>
    <x v="2"/>
    <n v="595269.5"/>
    <x v="3"/>
    <x v="2"/>
    <x v="2"/>
    <x v="6"/>
    <x v="4"/>
    <x v="0"/>
    <x v="4"/>
    <x v="0"/>
    <x v="0"/>
    <n v="16"/>
    <x v="0"/>
  </r>
  <r>
    <d v="2021-04-16T00:00:00"/>
    <x v="1"/>
    <x v="0"/>
    <x v="2"/>
    <n v="3939.77"/>
    <x v="1"/>
    <x v="0"/>
    <x v="2"/>
    <x v="2"/>
    <x v="4"/>
    <x v="0"/>
    <x v="4"/>
    <x v="0"/>
    <x v="0"/>
    <n v="16"/>
    <x v="0"/>
  </r>
  <r>
    <d v="2021-04-16T00:00:00"/>
    <x v="2"/>
    <x v="1"/>
    <x v="2"/>
    <n v="8902.23"/>
    <x v="2"/>
    <x v="1"/>
    <x v="2"/>
    <x v="3"/>
    <x v="4"/>
    <x v="0"/>
    <x v="4"/>
    <x v="0"/>
    <x v="0"/>
    <n v="16"/>
    <x v="0"/>
  </r>
  <r>
    <d v="2021-04-16T00:00:00"/>
    <x v="3"/>
    <x v="3"/>
    <x v="0"/>
    <n v="998241475.35000002"/>
    <x v="3"/>
    <x v="3"/>
    <x v="0"/>
    <x v="7"/>
    <x v="4"/>
    <x v="0"/>
    <x v="4"/>
    <x v="0"/>
    <x v="0"/>
    <n v="16"/>
    <x v="0"/>
  </r>
  <r>
    <d v="2021-04-16T00:00:00"/>
    <x v="2"/>
    <x v="1"/>
    <x v="0"/>
    <n v="91874000.079999998"/>
    <x v="2"/>
    <x v="1"/>
    <x v="0"/>
    <x v="8"/>
    <x v="4"/>
    <x v="0"/>
    <x v="4"/>
    <x v="0"/>
    <x v="0"/>
    <n v="16"/>
    <x v="0"/>
  </r>
  <r>
    <d v="2021-04-16T00:00:00"/>
    <x v="0"/>
    <x v="1"/>
    <x v="1"/>
    <n v="32375534.780000001"/>
    <x v="0"/>
    <x v="1"/>
    <x v="1"/>
    <x v="5"/>
    <x v="4"/>
    <x v="0"/>
    <x v="4"/>
    <x v="0"/>
    <x v="0"/>
    <n v="16"/>
    <x v="0"/>
  </r>
  <r>
    <d v="2021-04-16T00:00:00"/>
    <x v="1"/>
    <x v="0"/>
    <x v="0"/>
    <n v="84646142.299999997"/>
    <x v="1"/>
    <x v="0"/>
    <x v="0"/>
    <x v="9"/>
    <x v="4"/>
    <x v="0"/>
    <x v="4"/>
    <x v="0"/>
    <x v="0"/>
    <n v="16"/>
    <x v="0"/>
  </r>
  <r>
    <d v="2021-04-16T00:00:00"/>
    <x v="2"/>
    <x v="1"/>
    <x v="1"/>
    <n v="379528207.13999999"/>
    <x v="2"/>
    <x v="1"/>
    <x v="1"/>
    <x v="10"/>
    <x v="4"/>
    <x v="0"/>
    <x v="4"/>
    <x v="0"/>
    <x v="0"/>
    <n v="16"/>
    <x v="0"/>
  </r>
  <r>
    <d v="2021-04-16T00:00:00"/>
    <x v="0"/>
    <x v="1"/>
    <x v="0"/>
    <n v="51510361.57"/>
    <x v="0"/>
    <x v="1"/>
    <x v="0"/>
    <x v="1"/>
    <x v="4"/>
    <x v="0"/>
    <x v="4"/>
    <x v="0"/>
    <x v="0"/>
    <n v="16"/>
    <x v="0"/>
  </r>
  <r>
    <d v="2021-04-16T00:00:00"/>
    <x v="0"/>
    <x v="0"/>
    <x v="0"/>
    <n v="350"/>
    <x v="0"/>
    <x v="0"/>
    <x v="0"/>
    <x v="0"/>
    <x v="4"/>
    <x v="0"/>
    <x v="4"/>
    <x v="0"/>
    <x v="0"/>
    <n v="16"/>
    <x v="0"/>
  </r>
  <r>
    <d v="2021-04-16T00:00:00"/>
    <x v="3"/>
    <x v="3"/>
    <x v="1"/>
    <n v="3187.87"/>
    <x v="3"/>
    <x v="3"/>
    <x v="1"/>
    <x v="4"/>
    <x v="4"/>
    <x v="0"/>
    <x v="4"/>
    <x v="0"/>
    <x v="0"/>
    <n v="16"/>
    <x v="0"/>
  </r>
  <r>
    <d v="2021-04-16T00:00:00"/>
    <x v="1"/>
    <x v="0"/>
    <x v="1"/>
    <n v="1992197996.99"/>
    <x v="1"/>
    <x v="0"/>
    <x v="1"/>
    <x v="11"/>
    <x v="4"/>
    <x v="0"/>
    <x v="4"/>
    <x v="0"/>
    <x v="0"/>
    <n v="16"/>
    <x v="0"/>
  </r>
  <r>
    <d v="2021-04-16T00:00:00"/>
    <x v="3"/>
    <x v="2"/>
    <x v="0"/>
    <n v="384765210.56999999"/>
    <x v="3"/>
    <x v="2"/>
    <x v="0"/>
    <x v="12"/>
    <x v="4"/>
    <x v="0"/>
    <x v="4"/>
    <x v="0"/>
    <x v="0"/>
    <n v="16"/>
    <x v="0"/>
  </r>
  <r>
    <d v="2021-04-16T00:00:00"/>
    <x v="3"/>
    <x v="1"/>
    <x v="0"/>
    <n v="13165427.07"/>
    <x v="3"/>
    <x v="1"/>
    <x v="0"/>
    <x v="13"/>
    <x v="4"/>
    <x v="0"/>
    <x v="4"/>
    <x v="0"/>
    <x v="0"/>
    <n v="16"/>
    <x v="0"/>
  </r>
  <r>
    <d v="2021-04-16T00:00:00"/>
    <x v="3"/>
    <x v="2"/>
    <x v="1"/>
    <n v="21261613273.700001"/>
    <x v="3"/>
    <x v="2"/>
    <x v="1"/>
    <x v="14"/>
    <x v="4"/>
    <x v="0"/>
    <x v="4"/>
    <x v="0"/>
    <x v="0"/>
    <n v="16"/>
    <x v="0"/>
  </r>
  <r>
    <d v="2021-04-15T00:00:00"/>
    <x v="1"/>
    <x v="0"/>
    <x v="2"/>
    <n v="187.51"/>
    <x v="1"/>
    <x v="0"/>
    <x v="2"/>
    <x v="1"/>
    <x v="4"/>
    <x v="0"/>
    <x v="4"/>
    <x v="0"/>
    <x v="0"/>
    <n v="15"/>
    <x v="0"/>
  </r>
  <r>
    <d v="2021-04-15T00:00:00"/>
    <x v="2"/>
    <x v="1"/>
    <x v="2"/>
    <n v="11130"/>
    <x v="2"/>
    <x v="1"/>
    <x v="2"/>
    <x v="3"/>
    <x v="4"/>
    <x v="0"/>
    <x v="4"/>
    <x v="0"/>
    <x v="0"/>
    <n v="15"/>
    <x v="0"/>
  </r>
  <r>
    <d v="2021-04-15T00:00:00"/>
    <x v="2"/>
    <x v="1"/>
    <x v="0"/>
    <n v="89112569.370000005"/>
    <x v="2"/>
    <x v="1"/>
    <x v="0"/>
    <x v="6"/>
    <x v="4"/>
    <x v="0"/>
    <x v="4"/>
    <x v="0"/>
    <x v="0"/>
    <n v="15"/>
    <x v="0"/>
  </r>
  <r>
    <d v="2021-04-15T00:00:00"/>
    <x v="0"/>
    <x v="1"/>
    <x v="1"/>
    <n v="23799962.280000001"/>
    <x v="0"/>
    <x v="1"/>
    <x v="1"/>
    <x v="5"/>
    <x v="4"/>
    <x v="0"/>
    <x v="4"/>
    <x v="0"/>
    <x v="0"/>
    <n v="15"/>
    <x v="0"/>
  </r>
  <r>
    <d v="2021-04-15T00:00:00"/>
    <x v="3"/>
    <x v="3"/>
    <x v="0"/>
    <n v="1384509518.45"/>
    <x v="3"/>
    <x v="3"/>
    <x v="0"/>
    <x v="7"/>
    <x v="4"/>
    <x v="0"/>
    <x v="4"/>
    <x v="0"/>
    <x v="0"/>
    <n v="15"/>
    <x v="0"/>
  </r>
  <r>
    <d v="2021-04-15T00:00:00"/>
    <x v="0"/>
    <x v="1"/>
    <x v="0"/>
    <n v="16067262.789999999"/>
    <x v="0"/>
    <x v="1"/>
    <x v="0"/>
    <x v="0"/>
    <x v="4"/>
    <x v="0"/>
    <x v="4"/>
    <x v="0"/>
    <x v="0"/>
    <n v="15"/>
    <x v="0"/>
  </r>
  <r>
    <d v="2021-04-15T00:00:00"/>
    <x v="1"/>
    <x v="0"/>
    <x v="1"/>
    <n v="2874821748.5799999"/>
    <x v="1"/>
    <x v="0"/>
    <x v="1"/>
    <x v="9"/>
    <x v="4"/>
    <x v="0"/>
    <x v="4"/>
    <x v="0"/>
    <x v="0"/>
    <n v="15"/>
    <x v="0"/>
  </r>
  <r>
    <d v="2021-04-15T00:00:00"/>
    <x v="3"/>
    <x v="2"/>
    <x v="2"/>
    <n v="114996.67"/>
    <x v="3"/>
    <x v="2"/>
    <x v="2"/>
    <x v="4"/>
    <x v="4"/>
    <x v="0"/>
    <x v="4"/>
    <x v="0"/>
    <x v="0"/>
    <n v="15"/>
    <x v="0"/>
  </r>
  <r>
    <d v="2021-04-15T00:00:00"/>
    <x v="3"/>
    <x v="3"/>
    <x v="2"/>
    <n v="66865.399999999994"/>
    <x v="3"/>
    <x v="3"/>
    <x v="2"/>
    <x v="2"/>
    <x v="4"/>
    <x v="0"/>
    <x v="4"/>
    <x v="0"/>
    <x v="0"/>
    <n v="15"/>
    <x v="0"/>
  </r>
  <r>
    <d v="2021-04-15T00:00:00"/>
    <x v="1"/>
    <x v="0"/>
    <x v="0"/>
    <n v="91179262.150000006"/>
    <x v="1"/>
    <x v="0"/>
    <x v="0"/>
    <x v="8"/>
    <x v="4"/>
    <x v="0"/>
    <x v="4"/>
    <x v="0"/>
    <x v="0"/>
    <n v="15"/>
    <x v="0"/>
  </r>
  <r>
    <d v="2021-04-15T00:00:00"/>
    <x v="2"/>
    <x v="1"/>
    <x v="1"/>
    <n v="366209727.25999999"/>
    <x v="2"/>
    <x v="1"/>
    <x v="1"/>
    <x v="10"/>
    <x v="4"/>
    <x v="0"/>
    <x v="4"/>
    <x v="0"/>
    <x v="0"/>
    <n v="15"/>
    <x v="0"/>
  </r>
  <r>
    <d v="2021-04-15T00:00:00"/>
    <x v="3"/>
    <x v="2"/>
    <x v="0"/>
    <n v="1325205175.9400001"/>
    <x v="3"/>
    <x v="2"/>
    <x v="0"/>
    <x v="11"/>
    <x v="4"/>
    <x v="0"/>
    <x v="4"/>
    <x v="0"/>
    <x v="0"/>
    <n v="15"/>
    <x v="0"/>
  </r>
  <r>
    <d v="2021-04-15T00:00:00"/>
    <x v="3"/>
    <x v="1"/>
    <x v="0"/>
    <n v="12706137.560000001"/>
    <x v="3"/>
    <x v="1"/>
    <x v="0"/>
    <x v="12"/>
    <x v="4"/>
    <x v="0"/>
    <x v="4"/>
    <x v="0"/>
    <x v="0"/>
    <n v="15"/>
    <x v="0"/>
  </r>
  <r>
    <d v="2021-04-15T00:00:00"/>
    <x v="3"/>
    <x v="2"/>
    <x v="1"/>
    <n v="70646615337.990005"/>
    <x v="3"/>
    <x v="2"/>
    <x v="1"/>
    <x v="13"/>
    <x v="4"/>
    <x v="0"/>
    <x v="4"/>
    <x v="0"/>
    <x v="0"/>
    <n v="15"/>
    <x v="0"/>
  </r>
  <r>
    <d v="2021-04-14T00:00:00"/>
    <x v="0"/>
    <x v="1"/>
    <x v="1"/>
    <n v="20535592.09"/>
    <x v="0"/>
    <x v="1"/>
    <x v="1"/>
    <x v="2"/>
    <x v="4"/>
    <x v="0"/>
    <x v="4"/>
    <x v="0"/>
    <x v="0"/>
    <n v="14"/>
    <x v="0"/>
  </r>
  <r>
    <d v="2021-04-14T00:00:00"/>
    <x v="2"/>
    <x v="1"/>
    <x v="0"/>
    <n v="96650920.670000002"/>
    <x v="2"/>
    <x v="1"/>
    <x v="0"/>
    <x v="6"/>
    <x v="4"/>
    <x v="0"/>
    <x v="4"/>
    <x v="0"/>
    <x v="0"/>
    <n v="14"/>
    <x v="0"/>
  </r>
  <r>
    <d v="2021-04-14T00:00:00"/>
    <x v="1"/>
    <x v="0"/>
    <x v="0"/>
    <n v="101322196.67"/>
    <x v="1"/>
    <x v="0"/>
    <x v="0"/>
    <x v="8"/>
    <x v="4"/>
    <x v="0"/>
    <x v="4"/>
    <x v="0"/>
    <x v="0"/>
    <n v="14"/>
    <x v="0"/>
  </r>
  <r>
    <d v="2021-04-14T00:00:00"/>
    <x v="2"/>
    <x v="1"/>
    <x v="1"/>
    <n v="227655559.81"/>
    <x v="2"/>
    <x v="1"/>
    <x v="1"/>
    <x v="9"/>
    <x v="4"/>
    <x v="0"/>
    <x v="4"/>
    <x v="0"/>
    <x v="0"/>
    <n v="14"/>
    <x v="0"/>
  </r>
  <r>
    <d v="2021-04-14T00:00:00"/>
    <x v="0"/>
    <x v="1"/>
    <x v="0"/>
    <n v="15315993.109999999"/>
    <x v="0"/>
    <x v="1"/>
    <x v="0"/>
    <x v="0"/>
    <x v="4"/>
    <x v="0"/>
    <x v="4"/>
    <x v="0"/>
    <x v="0"/>
    <n v="14"/>
    <x v="0"/>
  </r>
  <r>
    <d v="2021-04-14T00:00:00"/>
    <x v="1"/>
    <x v="0"/>
    <x v="2"/>
    <n v="1519.1"/>
    <x v="1"/>
    <x v="0"/>
    <x v="2"/>
    <x v="3"/>
    <x v="4"/>
    <x v="0"/>
    <x v="4"/>
    <x v="0"/>
    <x v="0"/>
    <n v="14"/>
    <x v="0"/>
  </r>
  <r>
    <d v="2021-04-14T00:00:00"/>
    <x v="2"/>
    <x v="1"/>
    <x v="2"/>
    <n v="38490"/>
    <x v="2"/>
    <x v="1"/>
    <x v="2"/>
    <x v="4"/>
    <x v="4"/>
    <x v="0"/>
    <x v="4"/>
    <x v="0"/>
    <x v="0"/>
    <n v="14"/>
    <x v="0"/>
  </r>
  <r>
    <d v="2021-04-14T00:00:00"/>
    <x v="3"/>
    <x v="2"/>
    <x v="2"/>
    <n v="104342.37"/>
    <x v="3"/>
    <x v="2"/>
    <x v="2"/>
    <x v="5"/>
    <x v="4"/>
    <x v="0"/>
    <x v="4"/>
    <x v="0"/>
    <x v="0"/>
    <n v="14"/>
    <x v="0"/>
  </r>
  <r>
    <d v="2021-04-14T00:00:00"/>
    <x v="3"/>
    <x v="3"/>
    <x v="1"/>
    <n v="1674033.74"/>
    <x v="3"/>
    <x v="3"/>
    <x v="1"/>
    <x v="1"/>
    <x v="4"/>
    <x v="0"/>
    <x v="4"/>
    <x v="0"/>
    <x v="0"/>
    <n v="14"/>
    <x v="0"/>
  </r>
  <r>
    <d v="2021-04-14T00:00:00"/>
    <x v="3"/>
    <x v="3"/>
    <x v="0"/>
    <n v="1816391169.5"/>
    <x v="3"/>
    <x v="3"/>
    <x v="0"/>
    <x v="7"/>
    <x v="4"/>
    <x v="0"/>
    <x v="4"/>
    <x v="0"/>
    <x v="0"/>
    <n v="14"/>
    <x v="0"/>
  </r>
  <r>
    <d v="2021-04-14T00:00:00"/>
    <x v="1"/>
    <x v="0"/>
    <x v="1"/>
    <n v="3673812873.5"/>
    <x v="1"/>
    <x v="0"/>
    <x v="1"/>
    <x v="10"/>
    <x v="4"/>
    <x v="0"/>
    <x v="4"/>
    <x v="0"/>
    <x v="0"/>
    <n v="14"/>
    <x v="0"/>
  </r>
  <r>
    <d v="2021-04-14T00:00:00"/>
    <x v="3"/>
    <x v="2"/>
    <x v="0"/>
    <n v="579659031.58000004"/>
    <x v="3"/>
    <x v="2"/>
    <x v="0"/>
    <x v="11"/>
    <x v="4"/>
    <x v="0"/>
    <x v="4"/>
    <x v="0"/>
    <x v="0"/>
    <n v="14"/>
    <x v="0"/>
  </r>
  <r>
    <d v="2021-04-14T00:00:00"/>
    <x v="3"/>
    <x v="1"/>
    <x v="0"/>
    <n v="11736794.619999999"/>
    <x v="3"/>
    <x v="1"/>
    <x v="0"/>
    <x v="12"/>
    <x v="4"/>
    <x v="0"/>
    <x v="4"/>
    <x v="0"/>
    <x v="0"/>
    <n v="14"/>
    <x v="0"/>
  </r>
  <r>
    <d v="2021-04-14T00:00:00"/>
    <x v="3"/>
    <x v="2"/>
    <x v="1"/>
    <n v="34540425809.699997"/>
    <x v="3"/>
    <x v="2"/>
    <x v="1"/>
    <x v="13"/>
    <x v="4"/>
    <x v="0"/>
    <x v="4"/>
    <x v="0"/>
    <x v="0"/>
    <n v="14"/>
    <x v="0"/>
  </r>
  <r>
    <d v="2021-04-13T00:00:00"/>
    <x v="3"/>
    <x v="3"/>
    <x v="0"/>
    <n v="1072187750.2"/>
    <x v="3"/>
    <x v="3"/>
    <x v="0"/>
    <x v="6"/>
    <x v="4"/>
    <x v="0"/>
    <x v="4"/>
    <x v="0"/>
    <x v="0"/>
    <n v="13"/>
    <x v="0"/>
  </r>
  <r>
    <d v="2021-04-13T00:00:00"/>
    <x v="2"/>
    <x v="1"/>
    <x v="0"/>
    <n v="90482569.510000005"/>
    <x v="2"/>
    <x v="1"/>
    <x v="0"/>
    <x v="7"/>
    <x v="4"/>
    <x v="0"/>
    <x v="4"/>
    <x v="0"/>
    <x v="0"/>
    <n v="13"/>
    <x v="0"/>
  </r>
  <r>
    <d v="2021-04-13T00:00:00"/>
    <x v="2"/>
    <x v="1"/>
    <x v="2"/>
    <n v="6493.28"/>
    <x v="2"/>
    <x v="1"/>
    <x v="2"/>
    <x v="4"/>
    <x v="4"/>
    <x v="0"/>
    <x v="4"/>
    <x v="0"/>
    <x v="0"/>
    <n v="13"/>
    <x v="0"/>
  </r>
  <r>
    <d v="2021-04-13T00:00:00"/>
    <x v="0"/>
    <x v="1"/>
    <x v="1"/>
    <n v="34716543.18"/>
    <x v="0"/>
    <x v="1"/>
    <x v="1"/>
    <x v="3"/>
    <x v="4"/>
    <x v="0"/>
    <x v="4"/>
    <x v="0"/>
    <x v="0"/>
    <n v="13"/>
    <x v="0"/>
  </r>
  <r>
    <d v="2021-04-13T00:00:00"/>
    <x v="1"/>
    <x v="0"/>
    <x v="1"/>
    <n v="1517359816.53"/>
    <x v="1"/>
    <x v="0"/>
    <x v="1"/>
    <x v="9"/>
    <x v="4"/>
    <x v="0"/>
    <x v="4"/>
    <x v="0"/>
    <x v="0"/>
    <n v="13"/>
    <x v="0"/>
  </r>
  <r>
    <d v="2021-04-13T00:00:00"/>
    <x v="2"/>
    <x v="1"/>
    <x v="1"/>
    <n v="165231710.86000001"/>
    <x v="2"/>
    <x v="1"/>
    <x v="1"/>
    <x v="10"/>
    <x v="4"/>
    <x v="0"/>
    <x v="4"/>
    <x v="0"/>
    <x v="0"/>
    <n v="13"/>
    <x v="0"/>
  </r>
  <r>
    <d v="2021-04-13T00:00:00"/>
    <x v="3"/>
    <x v="2"/>
    <x v="2"/>
    <n v="127118.99"/>
    <x v="3"/>
    <x v="2"/>
    <x v="2"/>
    <x v="5"/>
    <x v="4"/>
    <x v="0"/>
    <x v="4"/>
    <x v="0"/>
    <x v="0"/>
    <n v="13"/>
    <x v="0"/>
  </r>
  <r>
    <d v="2021-04-13T00:00:00"/>
    <x v="0"/>
    <x v="1"/>
    <x v="0"/>
    <n v="12230437.75"/>
    <x v="0"/>
    <x v="1"/>
    <x v="0"/>
    <x v="1"/>
    <x v="4"/>
    <x v="0"/>
    <x v="4"/>
    <x v="0"/>
    <x v="0"/>
    <n v="13"/>
    <x v="0"/>
  </r>
  <r>
    <d v="2021-04-13T00:00:00"/>
    <x v="0"/>
    <x v="0"/>
    <x v="0"/>
    <n v="5100"/>
    <x v="0"/>
    <x v="0"/>
    <x v="0"/>
    <x v="0"/>
    <x v="4"/>
    <x v="0"/>
    <x v="4"/>
    <x v="0"/>
    <x v="0"/>
    <n v="13"/>
    <x v="0"/>
  </r>
  <r>
    <d v="2021-04-13T00:00:00"/>
    <x v="1"/>
    <x v="0"/>
    <x v="2"/>
    <n v="31411.37"/>
    <x v="1"/>
    <x v="0"/>
    <x v="2"/>
    <x v="2"/>
    <x v="4"/>
    <x v="0"/>
    <x v="4"/>
    <x v="0"/>
    <x v="0"/>
    <n v="13"/>
    <x v="0"/>
  </r>
  <r>
    <d v="2021-04-13T00:00:00"/>
    <x v="1"/>
    <x v="0"/>
    <x v="0"/>
    <n v="80112982.909999996"/>
    <x v="1"/>
    <x v="0"/>
    <x v="0"/>
    <x v="8"/>
    <x v="4"/>
    <x v="0"/>
    <x v="4"/>
    <x v="0"/>
    <x v="0"/>
    <n v="13"/>
    <x v="0"/>
  </r>
  <r>
    <d v="2021-04-13T00:00:00"/>
    <x v="3"/>
    <x v="2"/>
    <x v="0"/>
    <n v="480345751.31"/>
    <x v="3"/>
    <x v="2"/>
    <x v="0"/>
    <x v="11"/>
    <x v="4"/>
    <x v="0"/>
    <x v="4"/>
    <x v="0"/>
    <x v="0"/>
    <n v="13"/>
    <x v="0"/>
  </r>
  <r>
    <d v="2021-04-13T00:00:00"/>
    <x v="3"/>
    <x v="1"/>
    <x v="0"/>
    <n v="10120436.359999999"/>
    <x v="3"/>
    <x v="1"/>
    <x v="0"/>
    <x v="12"/>
    <x v="4"/>
    <x v="0"/>
    <x v="4"/>
    <x v="0"/>
    <x v="0"/>
    <n v="13"/>
    <x v="0"/>
  </r>
  <r>
    <d v="2021-04-13T00:00:00"/>
    <x v="3"/>
    <x v="2"/>
    <x v="1"/>
    <n v="13016330220.370001"/>
    <x v="3"/>
    <x v="2"/>
    <x v="1"/>
    <x v="13"/>
    <x v="4"/>
    <x v="0"/>
    <x v="4"/>
    <x v="0"/>
    <x v="0"/>
    <n v="13"/>
    <x v="0"/>
  </r>
  <r>
    <d v="2021-04-12T00:00:00"/>
    <x v="1"/>
    <x v="0"/>
    <x v="2"/>
    <n v="1361.92"/>
    <x v="1"/>
    <x v="0"/>
    <x v="2"/>
    <x v="1"/>
    <x v="4"/>
    <x v="0"/>
    <x v="4"/>
    <x v="0"/>
    <x v="0"/>
    <n v="12"/>
    <x v="0"/>
  </r>
  <r>
    <d v="2021-04-12T00:00:00"/>
    <x v="2"/>
    <x v="1"/>
    <x v="2"/>
    <n v="8730"/>
    <x v="2"/>
    <x v="1"/>
    <x v="2"/>
    <x v="2"/>
    <x v="4"/>
    <x v="0"/>
    <x v="4"/>
    <x v="0"/>
    <x v="0"/>
    <n v="12"/>
    <x v="0"/>
  </r>
  <r>
    <d v="2021-04-12T00:00:00"/>
    <x v="2"/>
    <x v="1"/>
    <x v="0"/>
    <n v="93358024.25"/>
    <x v="2"/>
    <x v="1"/>
    <x v="0"/>
    <x v="5"/>
    <x v="4"/>
    <x v="0"/>
    <x v="4"/>
    <x v="0"/>
    <x v="0"/>
    <n v="12"/>
    <x v="0"/>
  </r>
  <r>
    <d v="2021-04-12T00:00:00"/>
    <x v="3"/>
    <x v="3"/>
    <x v="0"/>
    <n v="1103828402.73"/>
    <x v="3"/>
    <x v="3"/>
    <x v="0"/>
    <x v="6"/>
    <x v="4"/>
    <x v="0"/>
    <x v="4"/>
    <x v="0"/>
    <x v="0"/>
    <n v="12"/>
    <x v="0"/>
  </r>
  <r>
    <d v="2021-04-12T00:00:00"/>
    <x v="0"/>
    <x v="1"/>
    <x v="1"/>
    <n v="15931204.59"/>
    <x v="0"/>
    <x v="1"/>
    <x v="1"/>
    <x v="3"/>
    <x v="4"/>
    <x v="0"/>
    <x v="4"/>
    <x v="0"/>
    <x v="0"/>
    <n v="12"/>
    <x v="0"/>
  </r>
  <r>
    <d v="2021-04-12T00:00:00"/>
    <x v="1"/>
    <x v="0"/>
    <x v="0"/>
    <n v="62541392.850000001"/>
    <x v="1"/>
    <x v="0"/>
    <x v="0"/>
    <x v="7"/>
    <x v="4"/>
    <x v="0"/>
    <x v="4"/>
    <x v="0"/>
    <x v="0"/>
    <n v="12"/>
    <x v="0"/>
  </r>
  <r>
    <d v="2021-04-12T00:00:00"/>
    <x v="1"/>
    <x v="0"/>
    <x v="1"/>
    <n v="1130550778.8699999"/>
    <x v="1"/>
    <x v="0"/>
    <x v="1"/>
    <x v="8"/>
    <x v="4"/>
    <x v="0"/>
    <x v="4"/>
    <x v="0"/>
    <x v="0"/>
    <n v="12"/>
    <x v="0"/>
  </r>
  <r>
    <d v="2021-04-12T00:00:00"/>
    <x v="2"/>
    <x v="1"/>
    <x v="1"/>
    <n v="213619773.25999999"/>
    <x v="2"/>
    <x v="1"/>
    <x v="1"/>
    <x v="9"/>
    <x v="4"/>
    <x v="0"/>
    <x v="4"/>
    <x v="0"/>
    <x v="0"/>
    <n v="12"/>
    <x v="0"/>
  </r>
  <r>
    <d v="2021-04-12T00:00:00"/>
    <x v="0"/>
    <x v="1"/>
    <x v="0"/>
    <n v="21714263.670000002"/>
    <x v="0"/>
    <x v="1"/>
    <x v="0"/>
    <x v="0"/>
    <x v="4"/>
    <x v="0"/>
    <x v="4"/>
    <x v="0"/>
    <x v="0"/>
    <n v="12"/>
    <x v="0"/>
  </r>
  <r>
    <d v="2021-04-12T00:00:00"/>
    <x v="3"/>
    <x v="2"/>
    <x v="2"/>
    <n v="161627.49"/>
    <x v="3"/>
    <x v="2"/>
    <x v="2"/>
    <x v="4"/>
    <x v="4"/>
    <x v="0"/>
    <x v="4"/>
    <x v="0"/>
    <x v="0"/>
    <n v="12"/>
    <x v="0"/>
  </r>
  <r>
    <d v="2021-04-12T00:00:00"/>
    <x v="3"/>
    <x v="2"/>
    <x v="0"/>
    <n v="347645878.37"/>
    <x v="3"/>
    <x v="2"/>
    <x v="0"/>
    <x v="10"/>
    <x v="4"/>
    <x v="0"/>
    <x v="4"/>
    <x v="0"/>
    <x v="0"/>
    <n v="12"/>
    <x v="0"/>
  </r>
  <r>
    <d v="2021-04-12T00:00:00"/>
    <x v="3"/>
    <x v="2"/>
    <x v="1"/>
    <n v="28092286232.299999"/>
    <x v="3"/>
    <x v="2"/>
    <x v="1"/>
    <x v="11"/>
    <x v="4"/>
    <x v="0"/>
    <x v="4"/>
    <x v="0"/>
    <x v="0"/>
    <n v="12"/>
    <x v="0"/>
  </r>
  <r>
    <d v="2021-04-12T00:00:00"/>
    <x v="3"/>
    <x v="1"/>
    <x v="0"/>
    <n v="39841129.640000001"/>
    <x v="3"/>
    <x v="1"/>
    <x v="0"/>
    <x v="12"/>
    <x v="4"/>
    <x v="0"/>
    <x v="4"/>
    <x v="0"/>
    <x v="0"/>
    <n v="12"/>
    <x v="0"/>
  </r>
  <r>
    <d v="2021-04-09T00:00:00"/>
    <x v="1"/>
    <x v="0"/>
    <x v="2"/>
    <n v="7604.22"/>
    <x v="1"/>
    <x v="0"/>
    <x v="2"/>
    <x v="1"/>
    <x v="4"/>
    <x v="0"/>
    <x v="4"/>
    <x v="0"/>
    <x v="0"/>
    <n v="9"/>
    <x v="0"/>
  </r>
  <r>
    <d v="2021-04-09T00:00:00"/>
    <x v="3"/>
    <x v="3"/>
    <x v="0"/>
    <n v="1085971833.3099999"/>
    <x v="3"/>
    <x v="3"/>
    <x v="0"/>
    <x v="5"/>
    <x v="4"/>
    <x v="0"/>
    <x v="4"/>
    <x v="0"/>
    <x v="0"/>
    <n v="9"/>
    <x v="0"/>
  </r>
  <r>
    <d v="2021-04-09T00:00:00"/>
    <x v="2"/>
    <x v="1"/>
    <x v="0"/>
    <n v="77715567.099999994"/>
    <x v="2"/>
    <x v="1"/>
    <x v="0"/>
    <x v="6"/>
    <x v="4"/>
    <x v="0"/>
    <x v="4"/>
    <x v="0"/>
    <x v="0"/>
    <n v="9"/>
    <x v="0"/>
  </r>
  <r>
    <d v="2021-04-09T00:00:00"/>
    <x v="0"/>
    <x v="1"/>
    <x v="1"/>
    <n v="21832126.120000001"/>
    <x v="0"/>
    <x v="1"/>
    <x v="1"/>
    <x v="2"/>
    <x v="4"/>
    <x v="0"/>
    <x v="4"/>
    <x v="0"/>
    <x v="0"/>
    <n v="9"/>
    <x v="0"/>
  </r>
  <r>
    <d v="2021-04-09T00:00:00"/>
    <x v="3"/>
    <x v="2"/>
    <x v="2"/>
    <n v="327667.3"/>
    <x v="3"/>
    <x v="2"/>
    <x v="2"/>
    <x v="3"/>
    <x v="4"/>
    <x v="0"/>
    <x v="4"/>
    <x v="0"/>
    <x v="0"/>
    <n v="9"/>
    <x v="0"/>
  </r>
  <r>
    <d v="2021-04-09T00:00:00"/>
    <x v="1"/>
    <x v="0"/>
    <x v="1"/>
    <n v="529149311.04000002"/>
    <x v="1"/>
    <x v="0"/>
    <x v="1"/>
    <x v="9"/>
    <x v="4"/>
    <x v="0"/>
    <x v="4"/>
    <x v="0"/>
    <x v="0"/>
    <n v="9"/>
    <x v="0"/>
  </r>
  <r>
    <d v="2021-04-09T00:00:00"/>
    <x v="0"/>
    <x v="1"/>
    <x v="0"/>
    <n v="32624602.100000001"/>
    <x v="0"/>
    <x v="1"/>
    <x v="0"/>
    <x v="0"/>
    <x v="4"/>
    <x v="0"/>
    <x v="4"/>
    <x v="0"/>
    <x v="0"/>
    <n v="9"/>
    <x v="0"/>
  </r>
  <r>
    <d v="2021-04-09T00:00:00"/>
    <x v="2"/>
    <x v="1"/>
    <x v="2"/>
    <n v="49189.37"/>
    <x v="2"/>
    <x v="1"/>
    <x v="2"/>
    <x v="4"/>
    <x v="4"/>
    <x v="0"/>
    <x v="4"/>
    <x v="0"/>
    <x v="0"/>
    <n v="9"/>
    <x v="0"/>
  </r>
  <r>
    <d v="2021-04-09T00:00:00"/>
    <x v="1"/>
    <x v="0"/>
    <x v="0"/>
    <n v="66684602.469999999"/>
    <x v="1"/>
    <x v="0"/>
    <x v="0"/>
    <x v="7"/>
    <x v="4"/>
    <x v="0"/>
    <x v="4"/>
    <x v="0"/>
    <x v="0"/>
    <n v="9"/>
    <x v="0"/>
  </r>
  <r>
    <d v="2021-04-09T00:00:00"/>
    <x v="2"/>
    <x v="1"/>
    <x v="1"/>
    <n v="168135649.78999999"/>
    <x v="2"/>
    <x v="1"/>
    <x v="1"/>
    <x v="8"/>
    <x v="4"/>
    <x v="0"/>
    <x v="4"/>
    <x v="0"/>
    <x v="0"/>
    <n v="9"/>
    <x v="0"/>
  </r>
  <r>
    <d v="2021-04-09T00:00:00"/>
    <x v="3"/>
    <x v="2"/>
    <x v="0"/>
    <n v="441985630.37"/>
    <x v="3"/>
    <x v="2"/>
    <x v="0"/>
    <x v="10"/>
    <x v="4"/>
    <x v="0"/>
    <x v="4"/>
    <x v="0"/>
    <x v="0"/>
    <n v="9"/>
    <x v="0"/>
  </r>
  <r>
    <d v="2021-04-09T00:00:00"/>
    <x v="3"/>
    <x v="1"/>
    <x v="0"/>
    <n v="12695359.74"/>
    <x v="3"/>
    <x v="1"/>
    <x v="0"/>
    <x v="11"/>
    <x v="4"/>
    <x v="0"/>
    <x v="4"/>
    <x v="0"/>
    <x v="0"/>
    <n v="9"/>
    <x v="0"/>
  </r>
  <r>
    <d v="2021-04-09T00:00:00"/>
    <x v="3"/>
    <x v="2"/>
    <x v="1"/>
    <n v="11286974302.02"/>
    <x v="3"/>
    <x v="2"/>
    <x v="1"/>
    <x v="12"/>
    <x v="4"/>
    <x v="0"/>
    <x v="4"/>
    <x v="0"/>
    <x v="0"/>
    <n v="9"/>
    <x v="0"/>
  </r>
  <r>
    <d v="2021-04-08T00:00:00"/>
    <x v="0"/>
    <x v="1"/>
    <x v="1"/>
    <n v="29822535.600000001"/>
    <x v="0"/>
    <x v="1"/>
    <x v="1"/>
    <x v="2"/>
    <x v="4"/>
    <x v="0"/>
    <x v="4"/>
    <x v="0"/>
    <x v="0"/>
    <n v="8"/>
    <x v="0"/>
  </r>
  <r>
    <d v="2021-04-08T00:00:00"/>
    <x v="1"/>
    <x v="0"/>
    <x v="0"/>
    <n v="81332674.579999998"/>
    <x v="1"/>
    <x v="0"/>
    <x v="0"/>
    <x v="6"/>
    <x v="4"/>
    <x v="0"/>
    <x v="4"/>
    <x v="0"/>
    <x v="0"/>
    <n v="8"/>
    <x v="0"/>
  </r>
  <r>
    <d v="2021-04-08T00:00:00"/>
    <x v="0"/>
    <x v="1"/>
    <x v="0"/>
    <n v="10700897.85"/>
    <x v="0"/>
    <x v="1"/>
    <x v="0"/>
    <x v="0"/>
    <x v="4"/>
    <x v="0"/>
    <x v="4"/>
    <x v="0"/>
    <x v="0"/>
    <n v="8"/>
    <x v="0"/>
  </r>
  <r>
    <d v="2021-04-08T00:00:00"/>
    <x v="3"/>
    <x v="2"/>
    <x v="2"/>
    <n v="124391"/>
    <x v="3"/>
    <x v="2"/>
    <x v="2"/>
    <x v="3"/>
    <x v="4"/>
    <x v="0"/>
    <x v="4"/>
    <x v="0"/>
    <x v="0"/>
    <n v="8"/>
    <x v="0"/>
  </r>
  <r>
    <d v="2021-04-08T00:00:00"/>
    <x v="1"/>
    <x v="0"/>
    <x v="2"/>
    <n v="9248.14"/>
    <x v="1"/>
    <x v="0"/>
    <x v="2"/>
    <x v="1"/>
    <x v="4"/>
    <x v="0"/>
    <x v="4"/>
    <x v="0"/>
    <x v="0"/>
    <n v="8"/>
    <x v="0"/>
  </r>
  <r>
    <d v="2021-04-08T00:00:00"/>
    <x v="2"/>
    <x v="1"/>
    <x v="0"/>
    <n v="101559582.11"/>
    <x v="2"/>
    <x v="1"/>
    <x v="0"/>
    <x v="4"/>
    <x v="4"/>
    <x v="0"/>
    <x v="4"/>
    <x v="0"/>
    <x v="0"/>
    <n v="8"/>
    <x v="0"/>
  </r>
  <r>
    <d v="2021-04-08T00:00:00"/>
    <x v="2"/>
    <x v="1"/>
    <x v="1"/>
    <n v="269577459.51999998"/>
    <x v="2"/>
    <x v="1"/>
    <x v="1"/>
    <x v="5"/>
    <x v="4"/>
    <x v="0"/>
    <x v="4"/>
    <x v="0"/>
    <x v="0"/>
    <n v="8"/>
    <x v="0"/>
  </r>
  <r>
    <d v="2021-04-08T00:00:00"/>
    <x v="3"/>
    <x v="3"/>
    <x v="0"/>
    <n v="1455800672.49"/>
    <x v="3"/>
    <x v="3"/>
    <x v="0"/>
    <x v="7"/>
    <x v="4"/>
    <x v="0"/>
    <x v="4"/>
    <x v="0"/>
    <x v="0"/>
    <n v="8"/>
    <x v="0"/>
  </r>
  <r>
    <d v="2021-04-08T00:00:00"/>
    <x v="1"/>
    <x v="0"/>
    <x v="1"/>
    <n v="931447214.97000003"/>
    <x v="1"/>
    <x v="0"/>
    <x v="1"/>
    <x v="8"/>
    <x v="4"/>
    <x v="0"/>
    <x v="4"/>
    <x v="0"/>
    <x v="0"/>
    <n v="8"/>
    <x v="0"/>
  </r>
  <r>
    <d v="2021-04-08T00:00:00"/>
    <x v="3"/>
    <x v="2"/>
    <x v="0"/>
    <n v="438581368.69999999"/>
    <x v="3"/>
    <x v="2"/>
    <x v="0"/>
    <x v="9"/>
    <x v="4"/>
    <x v="0"/>
    <x v="4"/>
    <x v="0"/>
    <x v="0"/>
    <n v="8"/>
    <x v="0"/>
  </r>
  <r>
    <d v="2021-04-08T00:00:00"/>
    <x v="3"/>
    <x v="2"/>
    <x v="1"/>
    <n v="5140386331.7600002"/>
    <x v="3"/>
    <x v="2"/>
    <x v="1"/>
    <x v="10"/>
    <x v="4"/>
    <x v="0"/>
    <x v="4"/>
    <x v="0"/>
    <x v="0"/>
    <n v="8"/>
    <x v="0"/>
  </r>
  <r>
    <d v="2021-04-08T00:00:00"/>
    <x v="3"/>
    <x v="1"/>
    <x v="0"/>
    <n v="13370392.289999999"/>
    <x v="3"/>
    <x v="1"/>
    <x v="0"/>
    <x v="11"/>
    <x v="4"/>
    <x v="0"/>
    <x v="4"/>
    <x v="0"/>
    <x v="0"/>
    <n v="8"/>
    <x v="0"/>
  </r>
  <r>
    <d v="2021-04-07T00:00:00"/>
    <x v="1"/>
    <x v="0"/>
    <x v="2"/>
    <n v="9515.09"/>
    <x v="1"/>
    <x v="0"/>
    <x v="2"/>
    <x v="1"/>
    <x v="4"/>
    <x v="0"/>
    <x v="4"/>
    <x v="0"/>
    <x v="0"/>
    <n v="7"/>
    <x v="0"/>
  </r>
  <r>
    <d v="2021-04-07T00:00:00"/>
    <x v="2"/>
    <x v="1"/>
    <x v="0"/>
    <n v="83097227.340000004"/>
    <x v="2"/>
    <x v="1"/>
    <x v="0"/>
    <x v="5"/>
    <x v="4"/>
    <x v="0"/>
    <x v="4"/>
    <x v="0"/>
    <x v="0"/>
    <n v="7"/>
    <x v="0"/>
  </r>
  <r>
    <d v="2021-04-07T00:00:00"/>
    <x v="2"/>
    <x v="1"/>
    <x v="2"/>
    <n v="35410"/>
    <x v="2"/>
    <x v="1"/>
    <x v="2"/>
    <x v="2"/>
    <x v="4"/>
    <x v="0"/>
    <x v="4"/>
    <x v="0"/>
    <x v="0"/>
    <n v="7"/>
    <x v="0"/>
  </r>
  <r>
    <d v="2021-04-07T00:00:00"/>
    <x v="3"/>
    <x v="3"/>
    <x v="0"/>
    <n v="2000288435.5899999"/>
    <x v="3"/>
    <x v="3"/>
    <x v="0"/>
    <x v="6"/>
    <x v="4"/>
    <x v="0"/>
    <x v="4"/>
    <x v="0"/>
    <x v="0"/>
    <n v="7"/>
    <x v="0"/>
  </r>
  <r>
    <d v="2021-04-07T00:00:00"/>
    <x v="0"/>
    <x v="1"/>
    <x v="1"/>
    <n v="18972304.09"/>
    <x v="0"/>
    <x v="1"/>
    <x v="1"/>
    <x v="3"/>
    <x v="4"/>
    <x v="0"/>
    <x v="4"/>
    <x v="0"/>
    <x v="0"/>
    <n v="7"/>
    <x v="0"/>
  </r>
  <r>
    <d v="2021-04-07T00:00:00"/>
    <x v="1"/>
    <x v="0"/>
    <x v="1"/>
    <n v="2168474578.3699999"/>
    <x v="1"/>
    <x v="0"/>
    <x v="1"/>
    <x v="8"/>
    <x v="4"/>
    <x v="0"/>
    <x v="4"/>
    <x v="0"/>
    <x v="0"/>
    <n v="7"/>
    <x v="0"/>
  </r>
  <r>
    <d v="2021-04-07T00:00:00"/>
    <x v="2"/>
    <x v="1"/>
    <x v="1"/>
    <n v="209450698.53"/>
    <x v="2"/>
    <x v="1"/>
    <x v="1"/>
    <x v="9"/>
    <x v="4"/>
    <x v="0"/>
    <x v="4"/>
    <x v="0"/>
    <x v="0"/>
    <n v="7"/>
    <x v="0"/>
  </r>
  <r>
    <d v="2021-04-07T00:00:00"/>
    <x v="0"/>
    <x v="1"/>
    <x v="0"/>
    <n v="13411539.84"/>
    <x v="0"/>
    <x v="1"/>
    <x v="0"/>
    <x v="0"/>
    <x v="4"/>
    <x v="0"/>
    <x v="4"/>
    <x v="0"/>
    <x v="0"/>
    <n v="7"/>
    <x v="0"/>
  </r>
  <r>
    <d v="2021-04-07T00:00:00"/>
    <x v="3"/>
    <x v="2"/>
    <x v="2"/>
    <n v="114329"/>
    <x v="3"/>
    <x v="2"/>
    <x v="2"/>
    <x v="4"/>
    <x v="4"/>
    <x v="0"/>
    <x v="4"/>
    <x v="0"/>
    <x v="0"/>
    <n v="7"/>
    <x v="0"/>
  </r>
  <r>
    <d v="2021-04-07T00:00:00"/>
    <x v="1"/>
    <x v="0"/>
    <x v="0"/>
    <n v="105957944.02"/>
    <x v="1"/>
    <x v="0"/>
    <x v="0"/>
    <x v="7"/>
    <x v="4"/>
    <x v="0"/>
    <x v="4"/>
    <x v="0"/>
    <x v="0"/>
    <n v="7"/>
    <x v="0"/>
  </r>
  <r>
    <d v="2021-04-07T00:00:00"/>
    <x v="3"/>
    <x v="2"/>
    <x v="0"/>
    <n v="468629305.92000002"/>
    <x v="3"/>
    <x v="2"/>
    <x v="0"/>
    <x v="10"/>
    <x v="4"/>
    <x v="0"/>
    <x v="4"/>
    <x v="0"/>
    <x v="0"/>
    <n v="7"/>
    <x v="0"/>
  </r>
  <r>
    <d v="2021-04-07T00:00:00"/>
    <x v="3"/>
    <x v="1"/>
    <x v="0"/>
    <n v="11975050.390000001"/>
    <x v="3"/>
    <x v="1"/>
    <x v="0"/>
    <x v="11"/>
    <x v="4"/>
    <x v="0"/>
    <x v="4"/>
    <x v="0"/>
    <x v="0"/>
    <n v="7"/>
    <x v="0"/>
  </r>
  <r>
    <d v="2021-04-07T00:00:00"/>
    <x v="3"/>
    <x v="2"/>
    <x v="1"/>
    <n v="14524569911.940001"/>
    <x v="3"/>
    <x v="2"/>
    <x v="1"/>
    <x v="12"/>
    <x v="4"/>
    <x v="0"/>
    <x v="4"/>
    <x v="0"/>
    <x v="0"/>
    <n v="7"/>
    <x v="0"/>
  </r>
  <r>
    <d v="2021-04-06T00:00:00"/>
    <x v="0"/>
    <x v="1"/>
    <x v="1"/>
    <n v="22261595.989999998"/>
    <x v="0"/>
    <x v="1"/>
    <x v="1"/>
    <x v="2"/>
    <x v="4"/>
    <x v="0"/>
    <x v="4"/>
    <x v="0"/>
    <x v="0"/>
    <n v="6"/>
    <x v="0"/>
  </r>
  <r>
    <d v="2021-04-06T00:00:00"/>
    <x v="1"/>
    <x v="0"/>
    <x v="1"/>
    <n v="738130693.85000002"/>
    <x v="1"/>
    <x v="0"/>
    <x v="1"/>
    <x v="7"/>
    <x v="4"/>
    <x v="0"/>
    <x v="4"/>
    <x v="0"/>
    <x v="0"/>
    <n v="6"/>
    <x v="0"/>
  </r>
  <r>
    <d v="2021-04-06T00:00:00"/>
    <x v="2"/>
    <x v="1"/>
    <x v="1"/>
    <n v="140409865.15000001"/>
    <x v="2"/>
    <x v="1"/>
    <x v="1"/>
    <x v="9"/>
    <x v="4"/>
    <x v="0"/>
    <x v="4"/>
    <x v="0"/>
    <x v="0"/>
    <n v="6"/>
    <x v="0"/>
  </r>
  <r>
    <d v="2021-04-06T00:00:00"/>
    <x v="0"/>
    <x v="1"/>
    <x v="0"/>
    <n v="18442842.260000002"/>
    <x v="0"/>
    <x v="1"/>
    <x v="0"/>
    <x v="0"/>
    <x v="4"/>
    <x v="0"/>
    <x v="4"/>
    <x v="0"/>
    <x v="0"/>
    <n v="6"/>
    <x v="0"/>
  </r>
  <r>
    <d v="2021-04-06T00:00:00"/>
    <x v="2"/>
    <x v="1"/>
    <x v="2"/>
    <n v="5095.8900000000003"/>
    <x v="2"/>
    <x v="1"/>
    <x v="2"/>
    <x v="3"/>
    <x v="4"/>
    <x v="0"/>
    <x v="4"/>
    <x v="0"/>
    <x v="0"/>
    <n v="6"/>
    <x v="0"/>
  </r>
  <r>
    <d v="2021-04-06T00:00:00"/>
    <x v="3"/>
    <x v="2"/>
    <x v="2"/>
    <n v="132937.01"/>
    <x v="3"/>
    <x v="2"/>
    <x v="2"/>
    <x v="4"/>
    <x v="4"/>
    <x v="0"/>
    <x v="4"/>
    <x v="0"/>
    <x v="0"/>
    <n v="6"/>
    <x v="0"/>
  </r>
  <r>
    <d v="2021-04-06T00:00:00"/>
    <x v="1"/>
    <x v="0"/>
    <x v="2"/>
    <n v="50200.03"/>
    <x v="1"/>
    <x v="0"/>
    <x v="2"/>
    <x v="1"/>
    <x v="4"/>
    <x v="0"/>
    <x v="4"/>
    <x v="0"/>
    <x v="0"/>
    <n v="6"/>
    <x v="0"/>
  </r>
  <r>
    <d v="2021-04-06T00:00:00"/>
    <x v="1"/>
    <x v="0"/>
    <x v="0"/>
    <n v="71506866.709999993"/>
    <x v="1"/>
    <x v="0"/>
    <x v="0"/>
    <x v="8"/>
    <x v="4"/>
    <x v="0"/>
    <x v="4"/>
    <x v="0"/>
    <x v="0"/>
    <n v="6"/>
    <x v="0"/>
  </r>
  <r>
    <d v="2021-04-06T00:00:00"/>
    <x v="2"/>
    <x v="1"/>
    <x v="0"/>
    <n v="97666382.510000005"/>
    <x v="2"/>
    <x v="1"/>
    <x v="0"/>
    <x v="5"/>
    <x v="4"/>
    <x v="0"/>
    <x v="4"/>
    <x v="0"/>
    <x v="0"/>
    <n v="6"/>
    <x v="0"/>
  </r>
  <r>
    <d v="2021-04-06T00:00:00"/>
    <x v="3"/>
    <x v="3"/>
    <x v="0"/>
    <n v="1397751861.8499999"/>
    <x v="3"/>
    <x v="3"/>
    <x v="0"/>
    <x v="6"/>
    <x v="4"/>
    <x v="0"/>
    <x v="4"/>
    <x v="0"/>
    <x v="0"/>
    <n v="6"/>
    <x v="0"/>
  </r>
  <r>
    <d v="2021-04-06T00:00:00"/>
    <x v="3"/>
    <x v="2"/>
    <x v="0"/>
    <n v="637262614.70000005"/>
    <x v="3"/>
    <x v="2"/>
    <x v="0"/>
    <x v="10"/>
    <x v="4"/>
    <x v="0"/>
    <x v="4"/>
    <x v="0"/>
    <x v="0"/>
    <n v="6"/>
    <x v="0"/>
  </r>
  <r>
    <d v="2021-04-06T00:00:00"/>
    <x v="3"/>
    <x v="1"/>
    <x v="0"/>
    <n v="8467779.25"/>
    <x v="3"/>
    <x v="1"/>
    <x v="0"/>
    <x v="11"/>
    <x v="4"/>
    <x v="0"/>
    <x v="4"/>
    <x v="0"/>
    <x v="0"/>
    <n v="6"/>
    <x v="0"/>
  </r>
  <r>
    <d v="2021-04-06T00:00:00"/>
    <x v="3"/>
    <x v="2"/>
    <x v="1"/>
    <n v="3938496876.7399998"/>
    <x v="3"/>
    <x v="2"/>
    <x v="1"/>
    <x v="12"/>
    <x v="4"/>
    <x v="0"/>
    <x v="4"/>
    <x v="0"/>
    <x v="0"/>
    <n v="6"/>
    <x v="0"/>
  </r>
  <r>
    <d v="2021-04-05T00:00:00"/>
    <x v="3"/>
    <x v="2"/>
    <x v="2"/>
    <n v="393342.05"/>
    <x v="3"/>
    <x v="2"/>
    <x v="2"/>
    <x v="5"/>
    <x v="4"/>
    <x v="0"/>
    <x v="4"/>
    <x v="0"/>
    <x v="0"/>
    <n v="5"/>
    <x v="0"/>
  </r>
  <r>
    <d v="2021-04-05T00:00:00"/>
    <x v="1"/>
    <x v="0"/>
    <x v="2"/>
    <n v="6425.17"/>
    <x v="1"/>
    <x v="0"/>
    <x v="2"/>
    <x v="1"/>
    <x v="4"/>
    <x v="0"/>
    <x v="4"/>
    <x v="0"/>
    <x v="0"/>
    <n v="5"/>
    <x v="0"/>
  </r>
  <r>
    <d v="2021-04-05T00:00:00"/>
    <x v="0"/>
    <x v="1"/>
    <x v="0"/>
    <n v="9877056.7699999996"/>
    <x v="0"/>
    <x v="1"/>
    <x v="0"/>
    <x v="0"/>
    <x v="4"/>
    <x v="0"/>
    <x v="4"/>
    <x v="0"/>
    <x v="0"/>
    <n v="5"/>
    <x v="0"/>
  </r>
  <r>
    <d v="2021-04-05T00:00:00"/>
    <x v="1"/>
    <x v="0"/>
    <x v="0"/>
    <n v="49974058.909999996"/>
    <x v="1"/>
    <x v="0"/>
    <x v="0"/>
    <x v="8"/>
    <x v="4"/>
    <x v="0"/>
    <x v="4"/>
    <x v="0"/>
    <x v="0"/>
    <n v="5"/>
    <x v="0"/>
  </r>
  <r>
    <d v="2021-04-05T00:00:00"/>
    <x v="1"/>
    <x v="0"/>
    <x v="1"/>
    <n v="632037558.70000005"/>
    <x v="1"/>
    <x v="0"/>
    <x v="1"/>
    <x v="9"/>
    <x v="4"/>
    <x v="0"/>
    <x v="4"/>
    <x v="0"/>
    <x v="0"/>
    <n v="5"/>
    <x v="0"/>
  </r>
  <r>
    <d v="2021-04-05T00:00:00"/>
    <x v="2"/>
    <x v="1"/>
    <x v="2"/>
    <n v="19690"/>
    <x v="2"/>
    <x v="1"/>
    <x v="2"/>
    <x v="4"/>
    <x v="4"/>
    <x v="0"/>
    <x v="4"/>
    <x v="0"/>
    <x v="0"/>
    <n v="5"/>
    <x v="0"/>
  </r>
  <r>
    <d v="2021-04-05T00:00:00"/>
    <x v="0"/>
    <x v="1"/>
    <x v="1"/>
    <n v="46351882"/>
    <x v="0"/>
    <x v="1"/>
    <x v="1"/>
    <x v="3"/>
    <x v="4"/>
    <x v="0"/>
    <x v="4"/>
    <x v="0"/>
    <x v="0"/>
    <n v="5"/>
    <x v="0"/>
  </r>
  <r>
    <d v="2021-04-05T00:00:00"/>
    <x v="3"/>
    <x v="3"/>
    <x v="1"/>
    <n v="5626.39"/>
    <x v="3"/>
    <x v="3"/>
    <x v="1"/>
    <x v="2"/>
    <x v="4"/>
    <x v="0"/>
    <x v="4"/>
    <x v="0"/>
    <x v="0"/>
    <n v="5"/>
    <x v="0"/>
  </r>
  <r>
    <d v="2021-04-05T00:00:00"/>
    <x v="3"/>
    <x v="3"/>
    <x v="0"/>
    <n v="850326523.64999998"/>
    <x v="3"/>
    <x v="3"/>
    <x v="0"/>
    <x v="6"/>
    <x v="4"/>
    <x v="0"/>
    <x v="4"/>
    <x v="0"/>
    <x v="0"/>
    <n v="5"/>
    <x v="0"/>
  </r>
  <r>
    <d v="2021-04-05T00:00:00"/>
    <x v="2"/>
    <x v="1"/>
    <x v="0"/>
    <n v="101593176.84999999"/>
    <x v="2"/>
    <x v="1"/>
    <x v="0"/>
    <x v="7"/>
    <x v="4"/>
    <x v="0"/>
    <x v="4"/>
    <x v="0"/>
    <x v="0"/>
    <n v="5"/>
    <x v="0"/>
  </r>
  <r>
    <d v="2021-04-05T00:00:00"/>
    <x v="2"/>
    <x v="1"/>
    <x v="1"/>
    <n v="129214813.31"/>
    <x v="2"/>
    <x v="1"/>
    <x v="1"/>
    <x v="10"/>
    <x v="4"/>
    <x v="0"/>
    <x v="4"/>
    <x v="0"/>
    <x v="0"/>
    <n v="5"/>
    <x v="0"/>
  </r>
  <r>
    <d v="2021-04-05T00:00:00"/>
    <x v="3"/>
    <x v="2"/>
    <x v="0"/>
    <n v="438954458.76999998"/>
    <x v="3"/>
    <x v="2"/>
    <x v="0"/>
    <x v="11"/>
    <x v="4"/>
    <x v="0"/>
    <x v="4"/>
    <x v="0"/>
    <x v="0"/>
    <n v="5"/>
    <x v="0"/>
  </r>
  <r>
    <d v="2021-04-05T00:00:00"/>
    <x v="3"/>
    <x v="2"/>
    <x v="1"/>
    <n v="19760883686.029999"/>
    <x v="3"/>
    <x v="2"/>
    <x v="1"/>
    <x v="12"/>
    <x v="4"/>
    <x v="0"/>
    <x v="4"/>
    <x v="0"/>
    <x v="0"/>
    <n v="5"/>
    <x v="0"/>
  </r>
  <r>
    <d v="2021-04-05T00:00:00"/>
    <x v="3"/>
    <x v="1"/>
    <x v="0"/>
    <n v="45011252.289999999"/>
    <x v="3"/>
    <x v="1"/>
    <x v="0"/>
    <x v="13"/>
    <x v="4"/>
    <x v="0"/>
    <x v="4"/>
    <x v="0"/>
    <x v="0"/>
    <n v="5"/>
    <x v="0"/>
  </r>
  <r>
    <d v="2021-04-02T00:00:00"/>
    <x v="3"/>
    <x v="2"/>
    <x v="2"/>
    <n v="903998.29"/>
    <x v="3"/>
    <x v="2"/>
    <x v="2"/>
    <x v="5"/>
    <x v="4"/>
    <x v="0"/>
    <x v="4"/>
    <x v="0"/>
    <x v="0"/>
    <n v="2"/>
    <x v="0"/>
  </r>
  <r>
    <d v="2021-04-02T00:00:00"/>
    <x v="1"/>
    <x v="0"/>
    <x v="2"/>
    <n v="16783.88"/>
    <x v="1"/>
    <x v="0"/>
    <x v="2"/>
    <x v="2"/>
    <x v="4"/>
    <x v="0"/>
    <x v="4"/>
    <x v="0"/>
    <x v="0"/>
    <n v="2"/>
    <x v="0"/>
  </r>
  <r>
    <d v="2021-04-02T00:00:00"/>
    <x v="2"/>
    <x v="1"/>
    <x v="0"/>
    <n v="135904204.87"/>
    <x v="2"/>
    <x v="1"/>
    <x v="0"/>
    <x v="7"/>
    <x v="4"/>
    <x v="0"/>
    <x v="4"/>
    <x v="0"/>
    <x v="0"/>
    <n v="2"/>
    <x v="0"/>
  </r>
  <r>
    <d v="2021-04-02T00:00:00"/>
    <x v="0"/>
    <x v="1"/>
    <x v="0"/>
    <n v="19660119.129999999"/>
    <x v="0"/>
    <x v="1"/>
    <x v="0"/>
    <x v="1"/>
    <x v="4"/>
    <x v="0"/>
    <x v="4"/>
    <x v="0"/>
    <x v="0"/>
    <n v="2"/>
    <x v="0"/>
  </r>
  <r>
    <d v="2021-04-02T00:00:00"/>
    <x v="1"/>
    <x v="0"/>
    <x v="0"/>
    <n v="80581175.25"/>
    <x v="1"/>
    <x v="0"/>
    <x v="0"/>
    <x v="8"/>
    <x v="4"/>
    <x v="0"/>
    <x v="4"/>
    <x v="0"/>
    <x v="0"/>
    <n v="2"/>
    <x v="0"/>
  </r>
  <r>
    <d v="2021-04-02T00:00:00"/>
    <x v="1"/>
    <x v="0"/>
    <x v="1"/>
    <n v="280131043.44999999"/>
    <x v="1"/>
    <x v="0"/>
    <x v="1"/>
    <x v="9"/>
    <x v="4"/>
    <x v="0"/>
    <x v="4"/>
    <x v="0"/>
    <x v="0"/>
    <n v="2"/>
    <x v="0"/>
  </r>
  <r>
    <d v="2021-04-02T00:00:00"/>
    <x v="0"/>
    <x v="1"/>
    <x v="1"/>
    <n v="20233533.829999998"/>
    <x v="0"/>
    <x v="1"/>
    <x v="1"/>
    <x v="3"/>
    <x v="4"/>
    <x v="0"/>
    <x v="4"/>
    <x v="0"/>
    <x v="0"/>
    <n v="2"/>
    <x v="0"/>
  </r>
  <r>
    <d v="2021-04-02T00:00:00"/>
    <x v="2"/>
    <x v="1"/>
    <x v="2"/>
    <n v="12457.05"/>
    <x v="2"/>
    <x v="1"/>
    <x v="2"/>
    <x v="4"/>
    <x v="4"/>
    <x v="0"/>
    <x v="4"/>
    <x v="0"/>
    <x v="0"/>
    <n v="2"/>
    <x v="0"/>
  </r>
  <r>
    <d v="2021-04-02T00:00:00"/>
    <x v="2"/>
    <x v="1"/>
    <x v="1"/>
    <n v="161367634.78"/>
    <x v="2"/>
    <x v="1"/>
    <x v="1"/>
    <x v="10"/>
    <x v="4"/>
    <x v="0"/>
    <x v="4"/>
    <x v="0"/>
    <x v="0"/>
    <n v="2"/>
    <x v="0"/>
  </r>
  <r>
    <d v="2021-04-02T00:00:00"/>
    <x v="0"/>
    <x v="0"/>
    <x v="0"/>
    <n v="130"/>
    <x v="0"/>
    <x v="0"/>
    <x v="0"/>
    <x v="0"/>
    <x v="4"/>
    <x v="0"/>
    <x v="4"/>
    <x v="0"/>
    <x v="0"/>
    <n v="2"/>
    <x v="0"/>
  </r>
  <r>
    <d v="2021-04-02T00:00:00"/>
    <x v="3"/>
    <x v="3"/>
    <x v="0"/>
    <n v="675609885.69000006"/>
    <x v="3"/>
    <x v="3"/>
    <x v="0"/>
    <x v="6"/>
    <x v="4"/>
    <x v="0"/>
    <x v="4"/>
    <x v="0"/>
    <x v="0"/>
    <n v="2"/>
    <x v="0"/>
  </r>
  <r>
    <d v="2021-04-02T00:00:00"/>
    <x v="3"/>
    <x v="2"/>
    <x v="0"/>
    <n v="777144227.69000006"/>
    <x v="3"/>
    <x v="2"/>
    <x v="0"/>
    <x v="11"/>
    <x v="4"/>
    <x v="0"/>
    <x v="4"/>
    <x v="0"/>
    <x v="0"/>
    <n v="2"/>
    <x v="0"/>
  </r>
  <r>
    <d v="2021-04-02T00:00:00"/>
    <x v="3"/>
    <x v="1"/>
    <x v="0"/>
    <n v="15159814.92"/>
    <x v="3"/>
    <x v="1"/>
    <x v="0"/>
    <x v="12"/>
    <x v="4"/>
    <x v="0"/>
    <x v="4"/>
    <x v="0"/>
    <x v="0"/>
    <n v="2"/>
    <x v="0"/>
  </r>
  <r>
    <d v="2021-04-02T00:00:00"/>
    <x v="3"/>
    <x v="2"/>
    <x v="1"/>
    <n v="15910783703.790001"/>
    <x v="3"/>
    <x v="2"/>
    <x v="1"/>
    <x v="13"/>
    <x v="4"/>
    <x v="0"/>
    <x v="4"/>
    <x v="0"/>
    <x v="0"/>
    <n v="2"/>
    <x v="0"/>
  </r>
  <r>
    <d v="2021-04-01T00:00:00"/>
    <x v="2"/>
    <x v="1"/>
    <x v="0"/>
    <n v="95569591.010000005"/>
    <x v="2"/>
    <x v="1"/>
    <x v="0"/>
    <x v="4"/>
    <x v="4"/>
    <x v="0"/>
    <x v="4"/>
    <x v="0"/>
    <x v="0"/>
    <n v="1"/>
    <x v="0"/>
  </r>
  <r>
    <d v="2021-04-01T00:00:00"/>
    <x v="0"/>
    <x v="1"/>
    <x v="0"/>
    <n v="10043697.73"/>
    <x v="0"/>
    <x v="1"/>
    <x v="0"/>
    <x v="0"/>
    <x v="4"/>
    <x v="0"/>
    <x v="4"/>
    <x v="0"/>
    <x v="0"/>
    <n v="1"/>
    <x v="0"/>
  </r>
  <r>
    <d v="2021-04-01T00:00:00"/>
    <x v="3"/>
    <x v="3"/>
    <x v="0"/>
    <n v="4077821596.27"/>
    <x v="3"/>
    <x v="3"/>
    <x v="0"/>
    <x v="5"/>
    <x v="4"/>
    <x v="0"/>
    <x v="4"/>
    <x v="0"/>
    <x v="0"/>
    <n v="1"/>
    <x v="0"/>
  </r>
  <r>
    <d v="2021-04-01T00:00:00"/>
    <x v="0"/>
    <x v="1"/>
    <x v="1"/>
    <n v="56661547.369999997"/>
    <x v="0"/>
    <x v="1"/>
    <x v="1"/>
    <x v="2"/>
    <x v="4"/>
    <x v="0"/>
    <x v="4"/>
    <x v="0"/>
    <x v="0"/>
    <n v="1"/>
    <x v="0"/>
  </r>
  <r>
    <d v="2021-04-01T00:00:00"/>
    <x v="3"/>
    <x v="2"/>
    <x v="2"/>
    <n v="152601.49"/>
    <x v="3"/>
    <x v="2"/>
    <x v="2"/>
    <x v="3"/>
    <x v="4"/>
    <x v="0"/>
    <x v="4"/>
    <x v="0"/>
    <x v="0"/>
    <n v="1"/>
    <x v="0"/>
  </r>
  <r>
    <d v="2021-04-01T00:00:00"/>
    <x v="1"/>
    <x v="0"/>
    <x v="2"/>
    <n v="6126.35"/>
    <x v="1"/>
    <x v="0"/>
    <x v="2"/>
    <x v="1"/>
    <x v="4"/>
    <x v="0"/>
    <x v="4"/>
    <x v="0"/>
    <x v="0"/>
    <n v="1"/>
    <x v="0"/>
  </r>
  <r>
    <d v="2021-04-01T00:00:00"/>
    <x v="1"/>
    <x v="0"/>
    <x v="0"/>
    <n v="65665076.960000001"/>
    <x v="1"/>
    <x v="0"/>
    <x v="0"/>
    <x v="6"/>
    <x v="4"/>
    <x v="0"/>
    <x v="4"/>
    <x v="0"/>
    <x v="0"/>
    <n v="1"/>
    <x v="0"/>
  </r>
  <r>
    <d v="2021-04-01T00:00:00"/>
    <x v="1"/>
    <x v="0"/>
    <x v="1"/>
    <n v="500444393.73000002"/>
    <x v="1"/>
    <x v="0"/>
    <x v="1"/>
    <x v="7"/>
    <x v="4"/>
    <x v="0"/>
    <x v="4"/>
    <x v="0"/>
    <x v="0"/>
    <n v="1"/>
    <x v="0"/>
  </r>
  <r>
    <d v="2021-04-01T00:00:00"/>
    <x v="2"/>
    <x v="1"/>
    <x v="1"/>
    <n v="225594915.03999999"/>
    <x v="2"/>
    <x v="1"/>
    <x v="1"/>
    <x v="8"/>
    <x v="4"/>
    <x v="0"/>
    <x v="4"/>
    <x v="0"/>
    <x v="0"/>
    <n v="1"/>
    <x v="0"/>
  </r>
  <r>
    <d v="2021-04-01T00:00:00"/>
    <x v="3"/>
    <x v="2"/>
    <x v="0"/>
    <n v="509385343.58999997"/>
    <x v="3"/>
    <x v="2"/>
    <x v="0"/>
    <x v="9"/>
    <x v="4"/>
    <x v="0"/>
    <x v="4"/>
    <x v="0"/>
    <x v="0"/>
    <n v="1"/>
    <x v="0"/>
  </r>
  <r>
    <d v="2021-04-01T00:00:00"/>
    <x v="3"/>
    <x v="1"/>
    <x v="0"/>
    <n v="13533594.619999999"/>
    <x v="3"/>
    <x v="1"/>
    <x v="0"/>
    <x v="10"/>
    <x v="4"/>
    <x v="0"/>
    <x v="4"/>
    <x v="0"/>
    <x v="0"/>
    <n v="1"/>
    <x v="0"/>
  </r>
  <r>
    <d v="2021-04-01T00:00:00"/>
    <x v="3"/>
    <x v="2"/>
    <x v="1"/>
    <n v="21695878067.73"/>
    <x v="3"/>
    <x v="2"/>
    <x v="1"/>
    <x v="11"/>
    <x v="4"/>
    <x v="0"/>
    <x v="4"/>
    <x v="0"/>
    <x v="0"/>
    <n v="1"/>
    <x v="0"/>
  </r>
  <r>
    <d v="2021-03-31T00:00:00"/>
    <x v="3"/>
    <x v="2"/>
    <x v="2"/>
    <n v="197976.02"/>
    <x v="3"/>
    <x v="2"/>
    <x v="2"/>
    <x v="4"/>
    <x v="4"/>
    <x v="1"/>
    <x v="4"/>
    <x v="1"/>
    <x v="1"/>
    <n v="31"/>
    <x v="0"/>
  </r>
  <r>
    <d v="2021-03-31T00:00:00"/>
    <x v="1"/>
    <x v="0"/>
    <x v="2"/>
    <n v="29599.1"/>
    <x v="1"/>
    <x v="0"/>
    <x v="2"/>
    <x v="1"/>
    <x v="4"/>
    <x v="1"/>
    <x v="4"/>
    <x v="1"/>
    <x v="1"/>
    <n v="31"/>
    <x v="0"/>
  </r>
  <r>
    <d v="2021-03-31T00:00:00"/>
    <x v="2"/>
    <x v="1"/>
    <x v="0"/>
    <n v="118314896.34999999"/>
    <x v="2"/>
    <x v="1"/>
    <x v="0"/>
    <x v="6"/>
    <x v="4"/>
    <x v="1"/>
    <x v="4"/>
    <x v="1"/>
    <x v="1"/>
    <n v="31"/>
    <x v="0"/>
  </r>
  <r>
    <d v="2021-03-31T00:00:00"/>
    <x v="0"/>
    <x v="1"/>
    <x v="0"/>
    <n v="18375774.440000001"/>
    <x v="0"/>
    <x v="1"/>
    <x v="0"/>
    <x v="0"/>
    <x v="4"/>
    <x v="1"/>
    <x v="4"/>
    <x v="1"/>
    <x v="1"/>
    <n v="31"/>
    <x v="0"/>
  </r>
  <r>
    <d v="2021-03-31T00:00:00"/>
    <x v="0"/>
    <x v="1"/>
    <x v="1"/>
    <n v="25270403.32"/>
    <x v="0"/>
    <x v="1"/>
    <x v="1"/>
    <x v="2"/>
    <x v="4"/>
    <x v="1"/>
    <x v="4"/>
    <x v="1"/>
    <x v="1"/>
    <n v="31"/>
    <x v="0"/>
  </r>
  <r>
    <d v="2021-03-31T00:00:00"/>
    <x v="2"/>
    <x v="1"/>
    <x v="2"/>
    <n v="41725"/>
    <x v="2"/>
    <x v="1"/>
    <x v="2"/>
    <x v="3"/>
    <x v="4"/>
    <x v="1"/>
    <x v="4"/>
    <x v="1"/>
    <x v="1"/>
    <n v="31"/>
    <x v="0"/>
  </r>
  <r>
    <d v="2021-03-31T00:00:00"/>
    <x v="3"/>
    <x v="3"/>
    <x v="0"/>
    <n v="3309517424.6500001"/>
    <x v="3"/>
    <x v="3"/>
    <x v="0"/>
    <x v="5"/>
    <x v="4"/>
    <x v="1"/>
    <x v="4"/>
    <x v="1"/>
    <x v="1"/>
    <n v="31"/>
    <x v="0"/>
  </r>
  <r>
    <d v="2021-03-31T00:00:00"/>
    <x v="1"/>
    <x v="0"/>
    <x v="0"/>
    <n v="97083857.079999998"/>
    <x v="1"/>
    <x v="0"/>
    <x v="0"/>
    <x v="7"/>
    <x v="4"/>
    <x v="1"/>
    <x v="4"/>
    <x v="1"/>
    <x v="1"/>
    <n v="31"/>
    <x v="0"/>
  </r>
  <r>
    <d v="2021-03-31T00:00:00"/>
    <x v="1"/>
    <x v="0"/>
    <x v="1"/>
    <n v="1150897969.01"/>
    <x v="1"/>
    <x v="0"/>
    <x v="1"/>
    <x v="8"/>
    <x v="4"/>
    <x v="1"/>
    <x v="4"/>
    <x v="1"/>
    <x v="1"/>
    <n v="31"/>
    <x v="0"/>
  </r>
  <r>
    <d v="2021-03-31T00:00:00"/>
    <x v="2"/>
    <x v="1"/>
    <x v="1"/>
    <n v="243429777.91999999"/>
    <x v="2"/>
    <x v="1"/>
    <x v="1"/>
    <x v="9"/>
    <x v="4"/>
    <x v="1"/>
    <x v="4"/>
    <x v="1"/>
    <x v="1"/>
    <n v="31"/>
    <x v="0"/>
  </r>
  <r>
    <d v="2021-03-31T00:00:00"/>
    <x v="3"/>
    <x v="2"/>
    <x v="0"/>
    <n v="1277699013.0999999"/>
    <x v="3"/>
    <x v="2"/>
    <x v="0"/>
    <x v="10"/>
    <x v="4"/>
    <x v="1"/>
    <x v="4"/>
    <x v="1"/>
    <x v="1"/>
    <n v="31"/>
    <x v="0"/>
  </r>
  <r>
    <d v="2021-03-31T00:00:00"/>
    <x v="3"/>
    <x v="1"/>
    <x v="0"/>
    <n v="12703991.43"/>
    <x v="3"/>
    <x v="1"/>
    <x v="0"/>
    <x v="11"/>
    <x v="4"/>
    <x v="1"/>
    <x v="4"/>
    <x v="1"/>
    <x v="1"/>
    <n v="31"/>
    <x v="0"/>
  </r>
  <r>
    <d v="2021-03-31T00:00:00"/>
    <x v="3"/>
    <x v="2"/>
    <x v="1"/>
    <n v="15032869944.379999"/>
    <x v="3"/>
    <x v="2"/>
    <x v="1"/>
    <x v="12"/>
    <x v="4"/>
    <x v="1"/>
    <x v="4"/>
    <x v="1"/>
    <x v="1"/>
    <n v="31"/>
    <x v="0"/>
  </r>
  <r>
    <d v="2021-03-30T00:00:00"/>
    <x v="2"/>
    <x v="1"/>
    <x v="2"/>
    <n v="1880194.09"/>
    <x v="2"/>
    <x v="1"/>
    <x v="2"/>
    <x v="4"/>
    <x v="4"/>
    <x v="1"/>
    <x v="4"/>
    <x v="1"/>
    <x v="1"/>
    <n v="30"/>
    <x v="0"/>
  </r>
  <r>
    <d v="2021-03-30T00:00:00"/>
    <x v="3"/>
    <x v="2"/>
    <x v="2"/>
    <n v="485521.99"/>
    <x v="3"/>
    <x v="2"/>
    <x v="2"/>
    <x v="5"/>
    <x v="4"/>
    <x v="1"/>
    <x v="4"/>
    <x v="1"/>
    <x v="1"/>
    <n v="30"/>
    <x v="0"/>
  </r>
  <r>
    <d v="2021-03-30T00:00:00"/>
    <x v="0"/>
    <x v="1"/>
    <x v="0"/>
    <n v="11851974.5"/>
    <x v="0"/>
    <x v="1"/>
    <x v="0"/>
    <x v="1"/>
    <x v="4"/>
    <x v="1"/>
    <x v="4"/>
    <x v="1"/>
    <x v="1"/>
    <n v="30"/>
    <x v="0"/>
  </r>
  <r>
    <d v="2021-03-30T00:00:00"/>
    <x v="1"/>
    <x v="0"/>
    <x v="0"/>
    <n v="79319670.079999998"/>
    <x v="1"/>
    <x v="0"/>
    <x v="0"/>
    <x v="9"/>
    <x v="4"/>
    <x v="1"/>
    <x v="4"/>
    <x v="1"/>
    <x v="1"/>
    <n v="30"/>
    <x v="0"/>
  </r>
  <r>
    <d v="2021-03-30T00:00:00"/>
    <x v="0"/>
    <x v="1"/>
    <x v="1"/>
    <n v="15289205.02"/>
    <x v="0"/>
    <x v="1"/>
    <x v="1"/>
    <x v="3"/>
    <x v="4"/>
    <x v="1"/>
    <x v="4"/>
    <x v="1"/>
    <x v="1"/>
    <n v="30"/>
    <x v="0"/>
  </r>
  <r>
    <d v="2021-03-30T00:00:00"/>
    <x v="1"/>
    <x v="0"/>
    <x v="2"/>
    <n v="33442.75"/>
    <x v="1"/>
    <x v="0"/>
    <x v="2"/>
    <x v="2"/>
    <x v="4"/>
    <x v="1"/>
    <x v="4"/>
    <x v="1"/>
    <x v="1"/>
    <n v="30"/>
    <x v="0"/>
  </r>
  <r>
    <d v="2021-03-30T00:00:00"/>
    <x v="0"/>
    <x v="0"/>
    <x v="0"/>
    <n v="2000"/>
    <x v="0"/>
    <x v="0"/>
    <x v="0"/>
    <x v="0"/>
    <x v="4"/>
    <x v="1"/>
    <x v="4"/>
    <x v="1"/>
    <x v="1"/>
    <n v="30"/>
    <x v="0"/>
  </r>
  <r>
    <d v="2021-03-30T00:00:00"/>
    <x v="2"/>
    <x v="1"/>
    <x v="0"/>
    <n v="77453915.209999993"/>
    <x v="2"/>
    <x v="1"/>
    <x v="0"/>
    <x v="6"/>
    <x v="4"/>
    <x v="1"/>
    <x v="4"/>
    <x v="1"/>
    <x v="1"/>
    <n v="30"/>
    <x v="0"/>
  </r>
  <r>
    <d v="2021-03-30T00:00:00"/>
    <x v="3"/>
    <x v="3"/>
    <x v="0"/>
    <n v="1649800099.51"/>
    <x v="3"/>
    <x v="3"/>
    <x v="0"/>
    <x v="7"/>
    <x v="4"/>
    <x v="1"/>
    <x v="4"/>
    <x v="1"/>
    <x v="1"/>
    <n v="30"/>
    <x v="0"/>
  </r>
  <r>
    <d v="2021-03-30T00:00:00"/>
    <x v="1"/>
    <x v="0"/>
    <x v="1"/>
    <n v="528064087.13"/>
    <x v="1"/>
    <x v="0"/>
    <x v="1"/>
    <x v="8"/>
    <x v="4"/>
    <x v="1"/>
    <x v="4"/>
    <x v="1"/>
    <x v="1"/>
    <n v="30"/>
    <x v="0"/>
  </r>
  <r>
    <d v="2021-03-30T00:00:00"/>
    <x v="2"/>
    <x v="1"/>
    <x v="1"/>
    <n v="165456271.30000001"/>
    <x v="2"/>
    <x v="1"/>
    <x v="1"/>
    <x v="10"/>
    <x v="4"/>
    <x v="1"/>
    <x v="4"/>
    <x v="1"/>
    <x v="1"/>
    <n v="30"/>
    <x v="0"/>
  </r>
  <r>
    <d v="2021-03-30T00:00:00"/>
    <x v="3"/>
    <x v="2"/>
    <x v="0"/>
    <n v="606584869.61000001"/>
    <x v="3"/>
    <x v="2"/>
    <x v="0"/>
    <x v="11"/>
    <x v="4"/>
    <x v="1"/>
    <x v="4"/>
    <x v="1"/>
    <x v="1"/>
    <n v="30"/>
    <x v="0"/>
  </r>
  <r>
    <d v="2021-03-30T00:00:00"/>
    <x v="3"/>
    <x v="1"/>
    <x v="0"/>
    <n v="10383455.02"/>
    <x v="3"/>
    <x v="1"/>
    <x v="0"/>
    <x v="12"/>
    <x v="4"/>
    <x v="1"/>
    <x v="4"/>
    <x v="1"/>
    <x v="1"/>
    <n v="30"/>
    <x v="0"/>
  </r>
  <r>
    <d v="2021-03-30T00:00:00"/>
    <x v="3"/>
    <x v="2"/>
    <x v="1"/>
    <n v="3118376282.6100001"/>
    <x v="3"/>
    <x v="2"/>
    <x v="1"/>
    <x v="13"/>
    <x v="4"/>
    <x v="1"/>
    <x v="4"/>
    <x v="1"/>
    <x v="1"/>
    <n v="30"/>
    <x v="0"/>
  </r>
  <r>
    <d v="2021-03-29T00:00:00"/>
    <x v="1"/>
    <x v="0"/>
    <x v="2"/>
    <n v="19705.98"/>
    <x v="1"/>
    <x v="0"/>
    <x v="2"/>
    <x v="1"/>
    <x v="4"/>
    <x v="1"/>
    <x v="4"/>
    <x v="1"/>
    <x v="1"/>
    <n v="29"/>
    <x v="0"/>
  </r>
  <r>
    <d v="2021-03-29T00:00:00"/>
    <x v="3"/>
    <x v="2"/>
    <x v="2"/>
    <n v="713600.67"/>
    <x v="3"/>
    <x v="2"/>
    <x v="2"/>
    <x v="2"/>
    <x v="4"/>
    <x v="1"/>
    <x v="4"/>
    <x v="1"/>
    <x v="1"/>
    <n v="29"/>
    <x v="0"/>
  </r>
  <r>
    <d v="2021-03-29T00:00:00"/>
    <x v="2"/>
    <x v="1"/>
    <x v="0"/>
    <n v="82748076.650000006"/>
    <x v="2"/>
    <x v="1"/>
    <x v="0"/>
    <x v="5"/>
    <x v="4"/>
    <x v="1"/>
    <x v="4"/>
    <x v="1"/>
    <x v="1"/>
    <n v="29"/>
    <x v="0"/>
  </r>
  <r>
    <d v="2021-03-29T00:00:00"/>
    <x v="0"/>
    <x v="1"/>
    <x v="0"/>
    <n v="15920993.93"/>
    <x v="0"/>
    <x v="1"/>
    <x v="0"/>
    <x v="0"/>
    <x v="4"/>
    <x v="1"/>
    <x v="4"/>
    <x v="1"/>
    <x v="1"/>
    <n v="29"/>
    <x v="0"/>
  </r>
  <r>
    <d v="2021-03-29T00:00:00"/>
    <x v="1"/>
    <x v="0"/>
    <x v="1"/>
    <n v="352345260.41000003"/>
    <x v="1"/>
    <x v="0"/>
    <x v="1"/>
    <x v="7"/>
    <x v="4"/>
    <x v="1"/>
    <x v="4"/>
    <x v="1"/>
    <x v="1"/>
    <n v="29"/>
    <x v="0"/>
  </r>
  <r>
    <d v="2021-03-29T00:00:00"/>
    <x v="0"/>
    <x v="1"/>
    <x v="1"/>
    <n v="9556697.2699999996"/>
    <x v="0"/>
    <x v="1"/>
    <x v="1"/>
    <x v="3"/>
    <x v="4"/>
    <x v="1"/>
    <x v="4"/>
    <x v="1"/>
    <x v="1"/>
    <n v="29"/>
    <x v="0"/>
  </r>
  <r>
    <d v="2021-03-29T00:00:00"/>
    <x v="3"/>
    <x v="3"/>
    <x v="0"/>
    <n v="2193548765.02"/>
    <x v="3"/>
    <x v="3"/>
    <x v="0"/>
    <x v="4"/>
    <x v="4"/>
    <x v="1"/>
    <x v="4"/>
    <x v="1"/>
    <x v="1"/>
    <n v="29"/>
    <x v="0"/>
  </r>
  <r>
    <d v="2021-03-29T00:00:00"/>
    <x v="1"/>
    <x v="0"/>
    <x v="0"/>
    <n v="58283986.729999997"/>
    <x v="1"/>
    <x v="0"/>
    <x v="0"/>
    <x v="6"/>
    <x v="4"/>
    <x v="1"/>
    <x v="4"/>
    <x v="1"/>
    <x v="1"/>
    <n v="29"/>
    <x v="0"/>
  </r>
  <r>
    <d v="2021-03-29T00:00:00"/>
    <x v="2"/>
    <x v="1"/>
    <x v="1"/>
    <n v="141494823.65000001"/>
    <x v="2"/>
    <x v="1"/>
    <x v="1"/>
    <x v="8"/>
    <x v="4"/>
    <x v="1"/>
    <x v="4"/>
    <x v="1"/>
    <x v="1"/>
    <n v="29"/>
    <x v="0"/>
  </r>
  <r>
    <d v="2021-03-29T00:00:00"/>
    <x v="3"/>
    <x v="2"/>
    <x v="0"/>
    <n v="571003447.13"/>
    <x v="3"/>
    <x v="2"/>
    <x v="0"/>
    <x v="9"/>
    <x v="4"/>
    <x v="1"/>
    <x v="4"/>
    <x v="1"/>
    <x v="1"/>
    <n v="29"/>
    <x v="0"/>
  </r>
  <r>
    <d v="2021-03-29T00:00:00"/>
    <x v="3"/>
    <x v="1"/>
    <x v="0"/>
    <n v="40508687.810000002"/>
    <x v="3"/>
    <x v="1"/>
    <x v="0"/>
    <x v="10"/>
    <x v="4"/>
    <x v="1"/>
    <x v="4"/>
    <x v="1"/>
    <x v="1"/>
    <n v="29"/>
    <x v="0"/>
  </r>
  <r>
    <d v="2021-03-29T00:00:00"/>
    <x v="3"/>
    <x v="2"/>
    <x v="1"/>
    <n v="21566729380.540001"/>
    <x v="3"/>
    <x v="2"/>
    <x v="1"/>
    <x v="11"/>
    <x v="4"/>
    <x v="1"/>
    <x v="4"/>
    <x v="1"/>
    <x v="1"/>
    <n v="29"/>
    <x v="0"/>
  </r>
  <r>
    <d v="2021-03-26T00:00:00"/>
    <x v="1"/>
    <x v="0"/>
    <x v="2"/>
    <n v="14198.12"/>
    <x v="1"/>
    <x v="0"/>
    <x v="2"/>
    <x v="1"/>
    <x v="4"/>
    <x v="1"/>
    <x v="4"/>
    <x v="1"/>
    <x v="1"/>
    <n v="26"/>
    <x v="0"/>
  </r>
  <r>
    <d v="2021-03-26T00:00:00"/>
    <x v="2"/>
    <x v="1"/>
    <x v="2"/>
    <n v="112980.2"/>
    <x v="2"/>
    <x v="1"/>
    <x v="2"/>
    <x v="2"/>
    <x v="4"/>
    <x v="1"/>
    <x v="4"/>
    <x v="1"/>
    <x v="1"/>
    <n v="26"/>
    <x v="0"/>
  </r>
  <r>
    <d v="2021-03-26T00:00:00"/>
    <x v="0"/>
    <x v="1"/>
    <x v="0"/>
    <n v="22395068.109999999"/>
    <x v="0"/>
    <x v="1"/>
    <x v="0"/>
    <x v="0"/>
    <x v="4"/>
    <x v="1"/>
    <x v="4"/>
    <x v="1"/>
    <x v="1"/>
    <n v="26"/>
    <x v="0"/>
  </r>
  <r>
    <d v="2021-03-26T00:00:00"/>
    <x v="3"/>
    <x v="3"/>
    <x v="1"/>
    <n v="83850.98"/>
    <x v="3"/>
    <x v="3"/>
    <x v="1"/>
    <x v="3"/>
    <x v="4"/>
    <x v="1"/>
    <x v="4"/>
    <x v="1"/>
    <x v="1"/>
    <n v="26"/>
    <x v="0"/>
  </r>
  <r>
    <d v="2021-03-26T00:00:00"/>
    <x v="0"/>
    <x v="1"/>
    <x v="1"/>
    <n v="10147288.66"/>
    <x v="0"/>
    <x v="1"/>
    <x v="1"/>
    <x v="4"/>
    <x v="4"/>
    <x v="1"/>
    <x v="4"/>
    <x v="1"/>
    <x v="1"/>
    <n v="26"/>
    <x v="0"/>
  </r>
  <r>
    <d v="2021-03-26T00:00:00"/>
    <x v="1"/>
    <x v="0"/>
    <x v="0"/>
    <n v="99987744.650000006"/>
    <x v="1"/>
    <x v="0"/>
    <x v="0"/>
    <x v="8"/>
    <x v="4"/>
    <x v="1"/>
    <x v="4"/>
    <x v="1"/>
    <x v="1"/>
    <n v="26"/>
    <x v="0"/>
  </r>
  <r>
    <d v="2021-03-26T00:00:00"/>
    <x v="3"/>
    <x v="2"/>
    <x v="2"/>
    <n v="1585873.02"/>
    <x v="3"/>
    <x v="2"/>
    <x v="2"/>
    <x v="5"/>
    <x v="4"/>
    <x v="1"/>
    <x v="4"/>
    <x v="1"/>
    <x v="1"/>
    <n v="26"/>
    <x v="0"/>
  </r>
  <r>
    <d v="2021-03-26T00:00:00"/>
    <x v="2"/>
    <x v="1"/>
    <x v="0"/>
    <n v="102670497.09999999"/>
    <x v="2"/>
    <x v="1"/>
    <x v="0"/>
    <x v="7"/>
    <x v="4"/>
    <x v="1"/>
    <x v="4"/>
    <x v="1"/>
    <x v="1"/>
    <n v="26"/>
    <x v="0"/>
  </r>
  <r>
    <d v="2021-03-26T00:00:00"/>
    <x v="3"/>
    <x v="3"/>
    <x v="0"/>
    <n v="1147038492.95"/>
    <x v="3"/>
    <x v="3"/>
    <x v="0"/>
    <x v="6"/>
    <x v="4"/>
    <x v="1"/>
    <x v="4"/>
    <x v="1"/>
    <x v="1"/>
    <n v="26"/>
    <x v="0"/>
  </r>
  <r>
    <d v="2021-03-26T00:00:00"/>
    <x v="1"/>
    <x v="0"/>
    <x v="1"/>
    <n v="244079408.25"/>
    <x v="1"/>
    <x v="0"/>
    <x v="1"/>
    <x v="9"/>
    <x v="4"/>
    <x v="1"/>
    <x v="4"/>
    <x v="1"/>
    <x v="1"/>
    <n v="26"/>
    <x v="0"/>
  </r>
  <r>
    <d v="2021-03-26T00:00:00"/>
    <x v="2"/>
    <x v="1"/>
    <x v="1"/>
    <n v="168136902.96000001"/>
    <x v="2"/>
    <x v="1"/>
    <x v="1"/>
    <x v="10"/>
    <x v="4"/>
    <x v="1"/>
    <x v="4"/>
    <x v="1"/>
    <x v="1"/>
    <n v="26"/>
    <x v="0"/>
  </r>
  <r>
    <d v="2021-03-26T00:00:00"/>
    <x v="3"/>
    <x v="2"/>
    <x v="0"/>
    <n v="411106969.91000003"/>
    <x v="3"/>
    <x v="2"/>
    <x v="0"/>
    <x v="11"/>
    <x v="4"/>
    <x v="1"/>
    <x v="4"/>
    <x v="1"/>
    <x v="1"/>
    <n v="26"/>
    <x v="0"/>
  </r>
  <r>
    <d v="2021-03-26T00:00:00"/>
    <x v="3"/>
    <x v="1"/>
    <x v="0"/>
    <n v="13256485.93"/>
    <x v="3"/>
    <x v="1"/>
    <x v="0"/>
    <x v="12"/>
    <x v="4"/>
    <x v="1"/>
    <x v="4"/>
    <x v="1"/>
    <x v="1"/>
    <n v="26"/>
    <x v="0"/>
  </r>
  <r>
    <d v="2021-03-26T00:00:00"/>
    <x v="3"/>
    <x v="2"/>
    <x v="1"/>
    <n v="8347407151.4300003"/>
    <x v="3"/>
    <x v="2"/>
    <x v="1"/>
    <x v="13"/>
    <x v="4"/>
    <x v="1"/>
    <x v="4"/>
    <x v="1"/>
    <x v="1"/>
    <n v="26"/>
    <x v="0"/>
  </r>
  <r>
    <d v="2021-03-25T00:00:00"/>
    <x v="1"/>
    <x v="0"/>
    <x v="2"/>
    <n v="2077.52"/>
    <x v="1"/>
    <x v="0"/>
    <x v="2"/>
    <x v="2"/>
    <x v="4"/>
    <x v="1"/>
    <x v="4"/>
    <x v="1"/>
    <x v="1"/>
    <n v="25"/>
    <x v="0"/>
  </r>
  <r>
    <d v="2021-03-25T00:00:00"/>
    <x v="3"/>
    <x v="2"/>
    <x v="2"/>
    <n v="159797.99"/>
    <x v="3"/>
    <x v="2"/>
    <x v="2"/>
    <x v="4"/>
    <x v="4"/>
    <x v="1"/>
    <x v="4"/>
    <x v="1"/>
    <x v="1"/>
    <n v="25"/>
    <x v="0"/>
  </r>
  <r>
    <d v="2021-03-25T00:00:00"/>
    <x v="2"/>
    <x v="1"/>
    <x v="0"/>
    <n v="106860498.22"/>
    <x v="2"/>
    <x v="1"/>
    <x v="0"/>
    <x v="7"/>
    <x v="4"/>
    <x v="1"/>
    <x v="4"/>
    <x v="1"/>
    <x v="1"/>
    <n v="25"/>
    <x v="0"/>
  </r>
  <r>
    <d v="2021-03-25T00:00:00"/>
    <x v="2"/>
    <x v="1"/>
    <x v="2"/>
    <n v="18884"/>
    <x v="2"/>
    <x v="1"/>
    <x v="2"/>
    <x v="3"/>
    <x v="4"/>
    <x v="1"/>
    <x v="4"/>
    <x v="1"/>
    <x v="1"/>
    <n v="25"/>
    <x v="0"/>
  </r>
  <r>
    <d v="2021-03-25T00:00:00"/>
    <x v="0"/>
    <x v="1"/>
    <x v="0"/>
    <n v="26692255.940000001"/>
    <x v="0"/>
    <x v="1"/>
    <x v="0"/>
    <x v="1"/>
    <x v="4"/>
    <x v="1"/>
    <x v="4"/>
    <x v="1"/>
    <x v="1"/>
    <n v="25"/>
    <x v="0"/>
  </r>
  <r>
    <d v="2021-03-25T00:00:00"/>
    <x v="3"/>
    <x v="3"/>
    <x v="1"/>
    <n v="244201.43"/>
    <x v="3"/>
    <x v="3"/>
    <x v="1"/>
    <x v="5"/>
    <x v="4"/>
    <x v="1"/>
    <x v="4"/>
    <x v="1"/>
    <x v="1"/>
    <n v="25"/>
    <x v="0"/>
  </r>
  <r>
    <d v="2021-03-25T00:00:00"/>
    <x v="0"/>
    <x v="1"/>
    <x v="1"/>
    <n v="13287225.810000001"/>
    <x v="0"/>
    <x v="1"/>
    <x v="1"/>
    <x v="6"/>
    <x v="4"/>
    <x v="1"/>
    <x v="4"/>
    <x v="1"/>
    <x v="1"/>
    <n v="25"/>
    <x v="0"/>
  </r>
  <r>
    <d v="2021-03-25T00:00:00"/>
    <x v="0"/>
    <x v="0"/>
    <x v="0"/>
    <n v="1486.06"/>
    <x v="0"/>
    <x v="0"/>
    <x v="0"/>
    <x v="0"/>
    <x v="4"/>
    <x v="1"/>
    <x v="4"/>
    <x v="1"/>
    <x v="1"/>
    <n v="25"/>
    <x v="0"/>
  </r>
  <r>
    <d v="2021-03-25T00:00:00"/>
    <x v="3"/>
    <x v="3"/>
    <x v="0"/>
    <n v="1362183461.0699999"/>
    <x v="3"/>
    <x v="3"/>
    <x v="0"/>
    <x v="8"/>
    <x v="4"/>
    <x v="1"/>
    <x v="4"/>
    <x v="1"/>
    <x v="1"/>
    <n v="25"/>
    <x v="0"/>
  </r>
  <r>
    <d v="2021-03-25T00:00:00"/>
    <x v="1"/>
    <x v="0"/>
    <x v="1"/>
    <n v="473100162.89999998"/>
    <x v="1"/>
    <x v="0"/>
    <x v="1"/>
    <x v="9"/>
    <x v="4"/>
    <x v="1"/>
    <x v="4"/>
    <x v="1"/>
    <x v="1"/>
    <n v="25"/>
    <x v="0"/>
  </r>
  <r>
    <d v="2021-03-25T00:00:00"/>
    <x v="1"/>
    <x v="0"/>
    <x v="0"/>
    <n v="105018885.73999999"/>
    <x v="1"/>
    <x v="0"/>
    <x v="0"/>
    <x v="10"/>
    <x v="4"/>
    <x v="1"/>
    <x v="4"/>
    <x v="1"/>
    <x v="1"/>
    <n v="25"/>
    <x v="0"/>
  </r>
  <r>
    <d v="2021-03-25T00:00:00"/>
    <x v="2"/>
    <x v="1"/>
    <x v="1"/>
    <n v="119540346.16"/>
    <x v="2"/>
    <x v="1"/>
    <x v="1"/>
    <x v="11"/>
    <x v="4"/>
    <x v="1"/>
    <x v="4"/>
    <x v="1"/>
    <x v="1"/>
    <n v="25"/>
    <x v="0"/>
  </r>
  <r>
    <d v="2021-03-25T00:00:00"/>
    <x v="3"/>
    <x v="2"/>
    <x v="0"/>
    <n v="439529690.89999998"/>
    <x v="3"/>
    <x v="2"/>
    <x v="0"/>
    <x v="12"/>
    <x v="4"/>
    <x v="1"/>
    <x v="4"/>
    <x v="1"/>
    <x v="1"/>
    <n v="25"/>
    <x v="0"/>
  </r>
  <r>
    <d v="2021-03-25T00:00:00"/>
    <x v="3"/>
    <x v="1"/>
    <x v="0"/>
    <n v="12207348.210000001"/>
    <x v="3"/>
    <x v="1"/>
    <x v="0"/>
    <x v="13"/>
    <x v="4"/>
    <x v="1"/>
    <x v="4"/>
    <x v="1"/>
    <x v="1"/>
    <n v="25"/>
    <x v="0"/>
  </r>
  <r>
    <d v="2021-03-25T00:00:00"/>
    <x v="3"/>
    <x v="2"/>
    <x v="1"/>
    <n v="3705199480.6599998"/>
    <x v="3"/>
    <x v="2"/>
    <x v="1"/>
    <x v="14"/>
    <x v="4"/>
    <x v="1"/>
    <x v="4"/>
    <x v="1"/>
    <x v="1"/>
    <n v="25"/>
    <x v="0"/>
  </r>
  <r>
    <d v="2021-03-24T00:00:00"/>
    <x v="2"/>
    <x v="1"/>
    <x v="2"/>
    <n v="34595"/>
    <x v="2"/>
    <x v="1"/>
    <x v="2"/>
    <x v="2"/>
    <x v="4"/>
    <x v="1"/>
    <x v="4"/>
    <x v="1"/>
    <x v="1"/>
    <n v="24"/>
    <x v="0"/>
  </r>
  <r>
    <d v="2021-03-24T00:00:00"/>
    <x v="0"/>
    <x v="1"/>
    <x v="0"/>
    <n v="16391808.4"/>
    <x v="0"/>
    <x v="1"/>
    <x v="0"/>
    <x v="0"/>
    <x v="4"/>
    <x v="1"/>
    <x v="4"/>
    <x v="1"/>
    <x v="1"/>
    <n v="24"/>
    <x v="0"/>
  </r>
  <r>
    <d v="2021-03-24T00:00:00"/>
    <x v="0"/>
    <x v="1"/>
    <x v="1"/>
    <n v="4845516.75"/>
    <x v="0"/>
    <x v="1"/>
    <x v="1"/>
    <x v="4"/>
    <x v="4"/>
    <x v="1"/>
    <x v="4"/>
    <x v="1"/>
    <x v="1"/>
    <n v="24"/>
    <x v="0"/>
  </r>
  <r>
    <d v="2021-03-24T00:00:00"/>
    <x v="3"/>
    <x v="2"/>
    <x v="2"/>
    <n v="260375.99"/>
    <x v="3"/>
    <x v="2"/>
    <x v="2"/>
    <x v="5"/>
    <x v="4"/>
    <x v="1"/>
    <x v="4"/>
    <x v="1"/>
    <x v="1"/>
    <n v="24"/>
    <x v="0"/>
  </r>
  <r>
    <d v="2021-03-24T00:00:00"/>
    <x v="3"/>
    <x v="3"/>
    <x v="0"/>
    <n v="3127922922.23"/>
    <x v="3"/>
    <x v="3"/>
    <x v="0"/>
    <x v="6"/>
    <x v="4"/>
    <x v="1"/>
    <x v="4"/>
    <x v="1"/>
    <x v="1"/>
    <n v="24"/>
    <x v="0"/>
  </r>
  <r>
    <d v="2021-03-24T00:00:00"/>
    <x v="1"/>
    <x v="0"/>
    <x v="2"/>
    <n v="7439.14"/>
    <x v="1"/>
    <x v="0"/>
    <x v="2"/>
    <x v="1"/>
    <x v="4"/>
    <x v="1"/>
    <x v="4"/>
    <x v="1"/>
    <x v="1"/>
    <n v="24"/>
    <x v="0"/>
  </r>
  <r>
    <d v="2021-03-24T00:00:00"/>
    <x v="3"/>
    <x v="3"/>
    <x v="1"/>
    <n v="13399"/>
    <x v="3"/>
    <x v="3"/>
    <x v="1"/>
    <x v="3"/>
    <x v="4"/>
    <x v="1"/>
    <x v="4"/>
    <x v="1"/>
    <x v="1"/>
    <n v="24"/>
    <x v="0"/>
  </r>
  <r>
    <d v="2021-03-24T00:00:00"/>
    <x v="2"/>
    <x v="1"/>
    <x v="0"/>
    <n v="95130838.379999995"/>
    <x v="2"/>
    <x v="1"/>
    <x v="0"/>
    <x v="7"/>
    <x v="4"/>
    <x v="1"/>
    <x v="4"/>
    <x v="1"/>
    <x v="1"/>
    <n v="24"/>
    <x v="0"/>
  </r>
  <r>
    <d v="2021-03-24T00:00:00"/>
    <x v="1"/>
    <x v="0"/>
    <x v="0"/>
    <n v="85460277.069999993"/>
    <x v="1"/>
    <x v="0"/>
    <x v="0"/>
    <x v="8"/>
    <x v="4"/>
    <x v="1"/>
    <x v="4"/>
    <x v="1"/>
    <x v="1"/>
    <n v="24"/>
    <x v="0"/>
  </r>
  <r>
    <d v="2021-03-24T00:00:00"/>
    <x v="1"/>
    <x v="0"/>
    <x v="1"/>
    <n v="809044510.33000004"/>
    <x v="1"/>
    <x v="0"/>
    <x v="1"/>
    <x v="9"/>
    <x v="4"/>
    <x v="1"/>
    <x v="4"/>
    <x v="1"/>
    <x v="1"/>
    <n v="24"/>
    <x v="0"/>
  </r>
  <r>
    <d v="2021-03-24T00:00:00"/>
    <x v="2"/>
    <x v="1"/>
    <x v="1"/>
    <n v="192186223.97"/>
    <x v="2"/>
    <x v="1"/>
    <x v="1"/>
    <x v="10"/>
    <x v="4"/>
    <x v="1"/>
    <x v="4"/>
    <x v="1"/>
    <x v="1"/>
    <n v="24"/>
    <x v="0"/>
  </r>
  <r>
    <d v="2021-03-24T00:00:00"/>
    <x v="3"/>
    <x v="2"/>
    <x v="0"/>
    <n v="484361522.07999998"/>
    <x v="3"/>
    <x v="2"/>
    <x v="0"/>
    <x v="11"/>
    <x v="4"/>
    <x v="1"/>
    <x v="4"/>
    <x v="1"/>
    <x v="1"/>
    <n v="24"/>
    <x v="0"/>
  </r>
  <r>
    <d v="2021-03-24T00:00:00"/>
    <x v="3"/>
    <x v="1"/>
    <x v="0"/>
    <n v="11507325.66"/>
    <x v="3"/>
    <x v="1"/>
    <x v="0"/>
    <x v="12"/>
    <x v="4"/>
    <x v="1"/>
    <x v="4"/>
    <x v="1"/>
    <x v="1"/>
    <n v="24"/>
    <x v="0"/>
  </r>
  <r>
    <d v="2021-03-24T00:00:00"/>
    <x v="3"/>
    <x v="2"/>
    <x v="1"/>
    <n v="8865083570.1100006"/>
    <x v="3"/>
    <x v="2"/>
    <x v="1"/>
    <x v="13"/>
    <x v="4"/>
    <x v="1"/>
    <x v="4"/>
    <x v="1"/>
    <x v="1"/>
    <n v="24"/>
    <x v="0"/>
  </r>
  <r>
    <d v="2021-03-23T00:00:00"/>
    <x v="0"/>
    <x v="1"/>
    <x v="0"/>
    <n v="18289923.079999998"/>
    <x v="0"/>
    <x v="1"/>
    <x v="0"/>
    <x v="1"/>
    <x v="4"/>
    <x v="1"/>
    <x v="4"/>
    <x v="1"/>
    <x v="1"/>
    <n v="23"/>
    <x v="0"/>
  </r>
  <r>
    <d v="2021-03-23T00:00:00"/>
    <x v="0"/>
    <x v="1"/>
    <x v="1"/>
    <n v="5811889.9900000002"/>
    <x v="0"/>
    <x v="1"/>
    <x v="1"/>
    <x v="3"/>
    <x v="4"/>
    <x v="1"/>
    <x v="4"/>
    <x v="1"/>
    <x v="1"/>
    <n v="23"/>
    <x v="0"/>
  </r>
  <r>
    <d v="2021-03-23T00:00:00"/>
    <x v="1"/>
    <x v="0"/>
    <x v="0"/>
    <n v="103113159.11"/>
    <x v="1"/>
    <x v="0"/>
    <x v="0"/>
    <x v="8"/>
    <x v="4"/>
    <x v="1"/>
    <x v="4"/>
    <x v="1"/>
    <x v="1"/>
    <n v="23"/>
    <x v="0"/>
  </r>
  <r>
    <d v="2021-03-23T00:00:00"/>
    <x v="1"/>
    <x v="0"/>
    <x v="1"/>
    <n v="402964281.27999997"/>
    <x v="1"/>
    <x v="0"/>
    <x v="1"/>
    <x v="9"/>
    <x v="4"/>
    <x v="1"/>
    <x v="4"/>
    <x v="1"/>
    <x v="1"/>
    <n v="23"/>
    <x v="0"/>
  </r>
  <r>
    <d v="2021-03-23T00:00:00"/>
    <x v="3"/>
    <x v="2"/>
    <x v="2"/>
    <n v="375241.28"/>
    <x v="3"/>
    <x v="2"/>
    <x v="2"/>
    <x v="5"/>
    <x v="4"/>
    <x v="1"/>
    <x v="4"/>
    <x v="1"/>
    <x v="1"/>
    <n v="23"/>
    <x v="0"/>
  </r>
  <r>
    <d v="2021-03-23T00:00:00"/>
    <x v="2"/>
    <x v="1"/>
    <x v="2"/>
    <n v="19056.41"/>
    <x v="2"/>
    <x v="1"/>
    <x v="2"/>
    <x v="4"/>
    <x v="4"/>
    <x v="1"/>
    <x v="4"/>
    <x v="1"/>
    <x v="1"/>
    <n v="23"/>
    <x v="0"/>
  </r>
  <r>
    <d v="2021-03-23T00:00:00"/>
    <x v="0"/>
    <x v="0"/>
    <x v="0"/>
    <n v="107975.38"/>
    <x v="0"/>
    <x v="0"/>
    <x v="0"/>
    <x v="0"/>
    <x v="4"/>
    <x v="1"/>
    <x v="4"/>
    <x v="1"/>
    <x v="1"/>
    <n v="23"/>
    <x v="0"/>
  </r>
  <r>
    <d v="2021-03-23T00:00:00"/>
    <x v="3"/>
    <x v="3"/>
    <x v="0"/>
    <n v="63595393040.349998"/>
    <x v="3"/>
    <x v="3"/>
    <x v="0"/>
    <x v="6"/>
    <x v="4"/>
    <x v="1"/>
    <x v="4"/>
    <x v="1"/>
    <x v="1"/>
    <n v="23"/>
    <x v="0"/>
  </r>
  <r>
    <d v="2021-03-23T00:00:00"/>
    <x v="2"/>
    <x v="1"/>
    <x v="0"/>
    <n v="80903280.980000004"/>
    <x v="2"/>
    <x v="1"/>
    <x v="0"/>
    <x v="7"/>
    <x v="4"/>
    <x v="1"/>
    <x v="4"/>
    <x v="1"/>
    <x v="1"/>
    <n v="23"/>
    <x v="0"/>
  </r>
  <r>
    <d v="2021-03-23T00:00:00"/>
    <x v="1"/>
    <x v="0"/>
    <x v="2"/>
    <n v="8471.8700000000008"/>
    <x v="1"/>
    <x v="0"/>
    <x v="2"/>
    <x v="2"/>
    <x v="4"/>
    <x v="1"/>
    <x v="4"/>
    <x v="1"/>
    <x v="1"/>
    <n v="23"/>
    <x v="0"/>
  </r>
  <r>
    <d v="2021-03-23T00:00:00"/>
    <x v="2"/>
    <x v="1"/>
    <x v="1"/>
    <n v="130608429.22"/>
    <x v="2"/>
    <x v="1"/>
    <x v="1"/>
    <x v="10"/>
    <x v="4"/>
    <x v="1"/>
    <x v="4"/>
    <x v="1"/>
    <x v="1"/>
    <n v="23"/>
    <x v="0"/>
  </r>
  <r>
    <d v="2021-03-23T00:00:00"/>
    <x v="3"/>
    <x v="2"/>
    <x v="0"/>
    <n v="429925166.44999999"/>
    <x v="3"/>
    <x v="2"/>
    <x v="0"/>
    <x v="11"/>
    <x v="4"/>
    <x v="1"/>
    <x v="4"/>
    <x v="1"/>
    <x v="1"/>
    <n v="23"/>
    <x v="0"/>
  </r>
  <r>
    <d v="2021-03-23T00:00:00"/>
    <x v="3"/>
    <x v="1"/>
    <x v="0"/>
    <n v="10322469.189999999"/>
    <x v="3"/>
    <x v="1"/>
    <x v="0"/>
    <x v="12"/>
    <x v="4"/>
    <x v="1"/>
    <x v="4"/>
    <x v="1"/>
    <x v="1"/>
    <n v="23"/>
    <x v="0"/>
  </r>
  <r>
    <d v="2021-03-23T00:00:00"/>
    <x v="3"/>
    <x v="2"/>
    <x v="1"/>
    <n v="3527696685.4699998"/>
    <x v="3"/>
    <x v="2"/>
    <x v="1"/>
    <x v="13"/>
    <x v="4"/>
    <x v="1"/>
    <x v="4"/>
    <x v="1"/>
    <x v="1"/>
    <n v="23"/>
    <x v="0"/>
  </r>
  <r>
    <d v="2021-03-22T00:00:00"/>
    <x v="0"/>
    <x v="1"/>
    <x v="0"/>
    <n v="13742228.91"/>
    <x v="0"/>
    <x v="1"/>
    <x v="0"/>
    <x v="0"/>
    <x v="4"/>
    <x v="1"/>
    <x v="4"/>
    <x v="1"/>
    <x v="1"/>
    <n v="22"/>
    <x v="0"/>
  </r>
  <r>
    <d v="2021-03-22T00:00:00"/>
    <x v="3"/>
    <x v="3"/>
    <x v="0"/>
    <n v="4956253154.1599998"/>
    <x v="3"/>
    <x v="3"/>
    <x v="0"/>
    <x v="4"/>
    <x v="4"/>
    <x v="1"/>
    <x v="4"/>
    <x v="1"/>
    <x v="1"/>
    <n v="22"/>
    <x v="0"/>
  </r>
  <r>
    <d v="2021-03-22T00:00:00"/>
    <x v="0"/>
    <x v="1"/>
    <x v="1"/>
    <n v="7703563.6299999999"/>
    <x v="0"/>
    <x v="1"/>
    <x v="1"/>
    <x v="1"/>
    <x v="4"/>
    <x v="1"/>
    <x v="4"/>
    <x v="1"/>
    <x v="1"/>
    <n v="22"/>
    <x v="0"/>
  </r>
  <r>
    <d v="2021-03-22T00:00:00"/>
    <x v="1"/>
    <x v="0"/>
    <x v="1"/>
    <n v="426301660.81999999"/>
    <x v="1"/>
    <x v="0"/>
    <x v="1"/>
    <x v="7"/>
    <x v="4"/>
    <x v="1"/>
    <x v="4"/>
    <x v="1"/>
    <x v="1"/>
    <n v="22"/>
    <x v="0"/>
  </r>
  <r>
    <d v="2021-03-22T00:00:00"/>
    <x v="2"/>
    <x v="1"/>
    <x v="2"/>
    <n v="-85"/>
    <x v="2"/>
    <x v="1"/>
    <x v="2"/>
    <x v="2"/>
    <x v="4"/>
    <x v="1"/>
    <x v="4"/>
    <x v="1"/>
    <x v="1"/>
    <n v="22"/>
    <x v="1"/>
  </r>
  <r>
    <d v="2021-03-22T00:00:00"/>
    <x v="3"/>
    <x v="2"/>
    <x v="2"/>
    <n v="198299.24"/>
    <x v="3"/>
    <x v="2"/>
    <x v="2"/>
    <x v="3"/>
    <x v="4"/>
    <x v="1"/>
    <x v="4"/>
    <x v="1"/>
    <x v="1"/>
    <n v="22"/>
    <x v="0"/>
  </r>
  <r>
    <d v="2021-03-22T00:00:00"/>
    <x v="1"/>
    <x v="0"/>
    <x v="0"/>
    <n v="69085331.25"/>
    <x v="1"/>
    <x v="0"/>
    <x v="0"/>
    <x v="5"/>
    <x v="4"/>
    <x v="1"/>
    <x v="4"/>
    <x v="1"/>
    <x v="1"/>
    <n v="22"/>
    <x v="0"/>
  </r>
  <r>
    <d v="2021-03-22T00:00:00"/>
    <x v="2"/>
    <x v="1"/>
    <x v="0"/>
    <n v="58292388.020000003"/>
    <x v="2"/>
    <x v="1"/>
    <x v="0"/>
    <x v="6"/>
    <x v="4"/>
    <x v="1"/>
    <x v="4"/>
    <x v="1"/>
    <x v="1"/>
    <n v="22"/>
    <x v="0"/>
  </r>
  <r>
    <d v="2021-03-22T00:00:00"/>
    <x v="2"/>
    <x v="1"/>
    <x v="1"/>
    <n v="93288296.730000004"/>
    <x v="2"/>
    <x v="1"/>
    <x v="1"/>
    <x v="8"/>
    <x v="4"/>
    <x v="1"/>
    <x v="4"/>
    <x v="1"/>
    <x v="1"/>
    <n v="22"/>
    <x v="0"/>
  </r>
  <r>
    <d v="2021-03-22T00:00:00"/>
    <x v="3"/>
    <x v="2"/>
    <x v="0"/>
    <n v="5314908559.6899996"/>
    <x v="3"/>
    <x v="2"/>
    <x v="0"/>
    <x v="9"/>
    <x v="4"/>
    <x v="1"/>
    <x v="4"/>
    <x v="1"/>
    <x v="1"/>
    <n v="22"/>
    <x v="0"/>
  </r>
  <r>
    <d v="2021-03-22T00:00:00"/>
    <x v="3"/>
    <x v="2"/>
    <x v="1"/>
    <n v="21941604949.970001"/>
    <x v="3"/>
    <x v="2"/>
    <x v="1"/>
    <x v="10"/>
    <x v="4"/>
    <x v="1"/>
    <x v="4"/>
    <x v="1"/>
    <x v="1"/>
    <n v="22"/>
    <x v="0"/>
  </r>
  <r>
    <d v="2021-03-22T00:00:00"/>
    <x v="3"/>
    <x v="1"/>
    <x v="0"/>
    <n v="41887984.369999997"/>
    <x v="3"/>
    <x v="1"/>
    <x v="0"/>
    <x v="11"/>
    <x v="4"/>
    <x v="1"/>
    <x v="4"/>
    <x v="1"/>
    <x v="1"/>
    <n v="22"/>
    <x v="0"/>
  </r>
  <r>
    <d v="2021-03-19T00:00:00"/>
    <x v="1"/>
    <x v="0"/>
    <x v="2"/>
    <n v="1623.99"/>
    <x v="1"/>
    <x v="0"/>
    <x v="2"/>
    <x v="2"/>
    <x v="4"/>
    <x v="1"/>
    <x v="4"/>
    <x v="1"/>
    <x v="1"/>
    <n v="19"/>
    <x v="0"/>
  </r>
  <r>
    <d v="2021-03-19T00:00:00"/>
    <x v="0"/>
    <x v="1"/>
    <x v="0"/>
    <n v="20225587.559999999"/>
    <x v="0"/>
    <x v="1"/>
    <x v="0"/>
    <x v="1"/>
    <x v="4"/>
    <x v="1"/>
    <x v="4"/>
    <x v="1"/>
    <x v="1"/>
    <n v="19"/>
    <x v="0"/>
  </r>
  <r>
    <d v="2021-03-19T00:00:00"/>
    <x v="2"/>
    <x v="1"/>
    <x v="2"/>
    <n v="46700.85"/>
    <x v="2"/>
    <x v="1"/>
    <x v="2"/>
    <x v="3"/>
    <x v="4"/>
    <x v="1"/>
    <x v="4"/>
    <x v="1"/>
    <x v="1"/>
    <n v="19"/>
    <x v="0"/>
  </r>
  <r>
    <d v="2021-03-19T00:00:00"/>
    <x v="3"/>
    <x v="3"/>
    <x v="1"/>
    <n v="60740.11"/>
    <x v="3"/>
    <x v="3"/>
    <x v="1"/>
    <x v="4"/>
    <x v="4"/>
    <x v="1"/>
    <x v="4"/>
    <x v="1"/>
    <x v="1"/>
    <n v="19"/>
    <x v="0"/>
  </r>
  <r>
    <d v="2021-03-19T00:00:00"/>
    <x v="0"/>
    <x v="1"/>
    <x v="1"/>
    <n v="87351515.439999998"/>
    <x v="0"/>
    <x v="1"/>
    <x v="1"/>
    <x v="5"/>
    <x v="4"/>
    <x v="1"/>
    <x v="4"/>
    <x v="1"/>
    <x v="1"/>
    <n v="19"/>
    <x v="0"/>
  </r>
  <r>
    <d v="2021-03-19T00:00:00"/>
    <x v="3"/>
    <x v="2"/>
    <x v="2"/>
    <n v="816688.03"/>
    <x v="3"/>
    <x v="2"/>
    <x v="2"/>
    <x v="6"/>
    <x v="4"/>
    <x v="1"/>
    <x v="4"/>
    <x v="1"/>
    <x v="1"/>
    <n v="19"/>
    <x v="0"/>
  </r>
  <r>
    <d v="2021-03-19T00:00:00"/>
    <x v="0"/>
    <x v="0"/>
    <x v="0"/>
    <n v="180"/>
    <x v="0"/>
    <x v="0"/>
    <x v="0"/>
    <x v="0"/>
    <x v="4"/>
    <x v="1"/>
    <x v="4"/>
    <x v="1"/>
    <x v="1"/>
    <n v="19"/>
    <x v="0"/>
  </r>
  <r>
    <d v="2021-03-19T00:00:00"/>
    <x v="3"/>
    <x v="3"/>
    <x v="0"/>
    <n v="1048648472.25"/>
    <x v="3"/>
    <x v="3"/>
    <x v="0"/>
    <x v="8"/>
    <x v="4"/>
    <x v="1"/>
    <x v="4"/>
    <x v="1"/>
    <x v="1"/>
    <n v="19"/>
    <x v="0"/>
  </r>
  <r>
    <d v="2021-03-19T00:00:00"/>
    <x v="2"/>
    <x v="1"/>
    <x v="0"/>
    <n v="106347838.33"/>
    <x v="2"/>
    <x v="1"/>
    <x v="0"/>
    <x v="7"/>
    <x v="4"/>
    <x v="1"/>
    <x v="4"/>
    <x v="1"/>
    <x v="1"/>
    <n v="19"/>
    <x v="0"/>
  </r>
  <r>
    <d v="2021-03-19T00:00:00"/>
    <x v="1"/>
    <x v="0"/>
    <x v="0"/>
    <n v="93145937.560000002"/>
    <x v="1"/>
    <x v="0"/>
    <x v="0"/>
    <x v="9"/>
    <x v="4"/>
    <x v="1"/>
    <x v="4"/>
    <x v="1"/>
    <x v="1"/>
    <n v="19"/>
    <x v="0"/>
  </r>
  <r>
    <d v="2021-03-19T00:00:00"/>
    <x v="1"/>
    <x v="0"/>
    <x v="1"/>
    <n v="203193849.21000001"/>
    <x v="1"/>
    <x v="0"/>
    <x v="1"/>
    <x v="10"/>
    <x v="4"/>
    <x v="1"/>
    <x v="4"/>
    <x v="1"/>
    <x v="1"/>
    <n v="19"/>
    <x v="0"/>
  </r>
  <r>
    <d v="2021-03-19T00:00:00"/>
    <x v="2"/>
    <x v="1"/>
    <x v="1"/>
    <n v="108478904.65000001"/>
    <x v="2"/>
    <x v="1"/>
    <x v="1"/>
    <x v="11"/>
    <x v="4"/>
    <x v="1"/>
    <x v="4"/>
    <x v="1"/>
    <x v="1"/>
    <n v="19"/>
    <x v="0"/>
  </r>
  <r>
    <d v="2021-03-19T00:00:00"/>
    <x v="3"/>
    <x v="2"/>
    <x v="0"/>
    <n v="391404899.73000002"/>
    <x v="3"/>
    <x v="2"/>
    <x v="0"/>
    <x v="12"/>
    <x v="4"/>
    <x v="1"/>
    <x v="4"/>
    <x v="1"/>
    <x v="1"/>
    <n v="19"/>
    <x v="0"/>
  </r>
  <r>
    <d v="2021-03-19T00:00:00"/>
    <x v="3"/>
    <x v="1"/>
    <x v="0"/>
    <n v="12703406.119999999"/>
    <x v="3"/>
    <x v="1"/>
    <x v="0"/>
    <x v="13"/>
    <x v="4"/>
    <x v="1"/>
    <x v="4"/>
    <x v="1"/>
    <x v="1"/>
    <n v="19"/>
    <x v="0"/>
  </r>
  <r>
    <d v="2021-03-19T00:00:00"/>
    <x v="3"/>
    <x v="2"/>
    <x v="1"/>
    <n v="12060489852.870001"/>
    <x v="3"/>
    <x v="2"/>
    <x v="1"/>
    <x v="14"/>
    <x v="4"/>
    <x v="1"/>
    <x v="4"/>
    <x v="1"/>
    <x v="1"/>
    <n v="19"/>
    <x v="0"/>
  </r>
  <r>
    <d v="2021-03-18T00:00:00"/>
    <x v="0"/>
    <x v="1"/>
    <x v="0"/>
    <n v="15406866.67"/>
    <x v="0"/>
    <x v="1"/>
    <x v="0"/>
    <x v="0"/>
    <x v="4"/>
    <x v="1"/>
    <x v="4"/>
    <x v="1"/>
    <x v="1"/>
    <n v="18"/>
    <x v="0"/>
  </r>
  <r>
    <d v="2021-03-18T00:00:00"/>
    <x v="2"/>
    <x v="1"/>
    <x v="2"/>
    <n v="19000"/>
    <x v="2"/>
    <x v="1"/>
    <x v="2"/>
    <x v="2"/>
    <x v="4"/>
    <x v="1"/>
    <x v="4"/>
    <x v="1"/>
    <x v="1"/>
    <n v="18"/>
    <x v="0"/>
  </r>
  <r>
    <d v="2021-03-18T00:00:00"/>
    <x v="2"/>
    <x v="1"/>
    <x v="0"/>
    <n v="80761385.269999996"/>
    <x v="2"/>
    <x v="1"/>
    <x v="0"/>
    <x v="6"/>
    <x v="4"/>
    <x v="1"/>
    <x v="4"/>
    <x v="1"/>
    <x v="1"/>
    <n v="18"/>
    <x v="0"/>
  </r>
  <r>
    <d v="2021-03-18T00:00:00"/>
    <x v="3"/>
    <x v="2"/>
    <x v="2"/>
    <n v="128280.59"/>
    <x v="3"/>
    <x v="2"/>
    <x v="2"/>
    <x v="5"/>
    <x v="4"/>
    <x v="1"/>
    <x v="4"/>
    <x v="1"/>
    <x v="1"/>
    <n v="18"/>
    <x v="0"/>
  </r>
  <r>
    <d v="2021-03-18T00:00:00"/>
    <x v="0"/>
    <x v="1"/>
    <x v="1"/>
    <n v="6370410.7199999997"/>
    <x v="0"/>
    <x v="1"/>
    <x v="1"/>
    <x v="4"/>
    <x v="4"/>
    <x v="1"/>
    <x v="4"/>
    <x v="1"/>
    <x v="1"/>
    <n v="18"/>
    <x v="0"/>
  </r>
  <r>
    <d v="2021-03-18T00:00:00"/>
    <x v="3"/>
    <x v="3"/>
    <x v="0"/>
    <n v="917596706.41999996"/>
    <x v="3"/>
    <x v="3"/>
    <x v="0"/>
    <x v="8"/>
    <x v="4"/>
    <x v="1"/>
    <x v="4"/>
    <x v="1"/>
    <x v="1"/>
    <n v="18"/>
    <x v="0"/>
  </r>
  <r>
    <d v="2021-03-18T00:00:00"/>
    <x v="1"/>
    <x v="0"/>
    <x v="1"/>
    <n v="394242847.58999997"/>
    <x v="1"/>
    <x v="0"/>
    <x v="1"/>
    <x v="9"/>
    <x v="4"/>
    <x v="1"/>
    <x v="4"/>
    <x v="1"/>
    <x v="1"/>
    <n v="18"/>
    <x v="0"/>
  </r>
  <r>
    <d v="2021-03-18T00:00:00"/>
    <x v="1"/>
    <x v="0"/>
    <x v="2"/>
    <n v="864.1"/>
    <x v="1"/>
    <x v="0"/>
    <x v="2"/>
    <x v="1"/>
    <x v="4"/>
    <x v="1"/>
    <x v="4"/>
    <x v="1"/>
    <x v="1"/>
    <n v="18"/>
    <x v="0"/>
  </r>
  <r>
    <d v="2021-03-18T00:00:00"/>
    <x v="3"/>
    <x v="3"/>
    <x v="1"/>
    <n v="4168.42"/>
    <x v="3"/>
    <x v="3"/>
    <x v="1"/>
    <x v="3"/>
    <x v="4"/>
    <x v="1"/>
    <x v="4"/>
    <x v="1"/>
    <x v="1"/>
    <n v="18"/>
    <x v="0"/>
  </r>
  <r>
    <d v="2021-03-18T00:00:00"/>
    <x v="1"/>
    <x v="0"/>
    <x v="0"/>
    <n v="86540813.629999995"/>
    <x v="1"/>
    <x v="0"/>
    <x v="0"/>
    <x v="7"/>
    <x v="4"/>
    <x v="1"/>
    <x v="4"/>
    <x v="1"/>
    <x v="1"/>
    <n v="18"/>
    <x v="0"/>
  </r>
  <r>
    <d v="2021-03-18T00:00:00"/>
    <x v="2"/>
    <x v="1"/>
    <x v="1"/>
    <n v="180438913.63"/>
    <x v="2"/>
    <x v="1"/>
    <x v="1"/>
    <x v="10"/>
    <x v="4"/>
    <x v="1"/>
    <x v="4"/>
    <x v="1"/>
    <x v="1"/>
    <n v="18"/>
    <x v="0"/>
  </r>
  <r>
    <d v="2021-03-18T00:00:00"/>
    <x v="3"/>
    <x v="2"/>
    <x v="0"/>
    <n v="362853255.69999999"/>
    <x v="3"/>
    <x v="2"/>
    <x v="0"/>
    <x v="11"/>
    <x v="4"/>
    <x v="1"/>
    <x v="4"/>
    <x v="1"/>
    <x v="1"/>
    <n v="18"/>
    <x v="0"/>
  </r>
  <r>
    <d v="2021-03-18T00:00:00"/>
    <x v="3"/>
    <x v="1"/>
    <x v="0"/>
    <n v="13111795.99"/>
    <x v="3"/>
    <x v="1"/>
    <x v="0"/>
    <x v="12"/>
    <x v="4"/>
    <x v="1"/>
    <x v="4"/>
    <x v="1"/>
    <x v="1"/>
    <n v="18"/>
    <x v="0"/>
  </r>
  <r>
    <d v="2021-03-18T00:00:00"/>
    <x v="3"/>
    <x v="2"/>
    <x v="1"/>
    <n v="4908951901.0900002"/>
    <x v="3"/>
    <x v="2"/>
    <x v="1"/>
    <x v="13"/>
    <x v="4"/>
    <x v="1"/>
    <x v="4"/>
    <x v="1"/>
    <x v="1"/>
    <n v="18"/>
    <x v="0"/>
  </r>
  <r>
    <d v="2021-03-17T00:00:00"/>
    <x v="1"/>
    <x v="0"/>
    <x v="2"/>
    <n v="643.12"/>
    <x v="1"/>
    <x v="0"/>
    <x v="2"/>
    <x v="1"/>
    <x v="4"/>
    <x v="1"/>
    <x v="4"/>
    <x v="1"/>
    <x v="1"/>
    <n v="17"/>
    <x v="0"/>
  </r>
  <r>
    <d v="2021-03-17T00:00:00"/>
    <x v="0"/>
    <x v="1"/>
    <x v="0"/>
    <n v="8718734.7200000007"/>
    <x v="0"/>
    <x v="1"/>
    <x v="0"/>
    <x v="0"/>
    <x v="4"/>
    <x v="1"/>
    <x v="4"/>
    <x v="1"/>
    <x v="1"/>
    <n v="17"/>
    <x v="0"/>
  </r>
  <r>
    <d v="2021-03-17T00:00:00"/>
    <x v="2"/>
    <x v="1"/>
    <x v="2"/>
    <n v="23350"/>
    <x v="2"/>
    <x v="1"/>
    <x v="2"/>
    <x v="2"/>
    <x v="4"/>
    <x v="1"/>
    <x v="4"/>
    <x v="1"/>
    <x v="1"/>
    <n v="17"/>
    <x v="0"/>
  </r>
  <r>
    <d v="2021-03-17T00:00:00"/>
    <x v="3"/>
    <x v="2"/>
    <x v="2"/>
    <n v="194117.79"/>
    <x v="3"/>
    <x v="2"/>
    <x v="2"/>
    <x v="4"/>
    <x v="4"/>
    <x v="1"/>
    <x v="4"/>
    <x v="1"/>
    <x v="1"/>
    <n v="17"/>
    <x v="0"/>
  </r>
  <r>
    <d v="2021-03-17T00:00:00"/>
    <x v="1"/>
    <x v="0"/>
    <x v="1"/>
    <n v="745320018.11000001"/>
    <x v="1"/>
    <x v="0"/>
    <x v="1"/>
    <x v="7"/>
    <x v="4"/>
    <x v="1"/>
    <x v="4"/>
    <x v="1"/>
    <x v="1"/>
    <n v="17"/>
    <x v="0"/>
  </r>
  <r>
    <d v="2021-03-17T00:00:00"/>
    <x v="1"/>
    <x v="0"/>
    <x v="0"/>
    <n v="92061053.040000007"/>
    <x v="1"/>
    <x v="0"/>
    <x v="0"/>
    <x v="8"/>
    <x v="4"/>
    <x v="1"/>
    <x v="4"/>
    <x v="1"/>
    <x v="1"/>
    <n v="17"/>
    <x v="0"/>
  </r>
  <r>
    <d v="2021-03-17T00:00:00"/>
    <x v="0"/>
    <x v="1"/>
    <x v="1"/>
    <n v="-77454.850000000006"/>
    <x v="0"/>
    <x v="1"/>
    <x v="1"/>
    <x v="3"/>
    <x v="4"/>
    <x v="1"/>
    <x v="4"/>
    <x v="1"/>
    <x v="1"/>
    <n v="17"/>
    <x v="1"/>
  </r>
  <r>
    <d v="2021-03-17T00:00:00"/>
    <x v="3"/>
    <x v="3"/>
    <x v="0"/>
    <n v="1350778254.4200001"/>
    <x v="3"/>
    <x v="3"/>
    <x v="0"/>
    <x v="5"/>
    <x v="4"/>
    <x v="1"/>
    <x v="4"/>
    <x v="1"/>
    <x v="1"/>
    <n v="17"/>
    <x v="0"/>
  </r>
  <r>
    <d v="2021-03-17T00:00:00"/>
    <x v="2"/>
    <x v="1"/>
    <x v="0"/>
    <n v="107750207.51000001"/>
    <x v="2"/>
    <x v="1"/>
    <x v="0"/>
    <x v="6"/>
    <x v="4"/>
    <x v="1"/>
    <x v="4"/>
    <x v="1"/>
    <x v="1"/>
    <n v="17"/>
    <x v="0"/>
  </r>
  <r>
    <d v="2021-03-17T00:00:00"/>
    <x v="2"/>
    <x v="1"/>
    <x v="1"/>
    <n v="229665434.93000001"/>
    <x v="2"/>
    <x v="1"/>
    <x v="1"/>
    <x v="9"/>
    <x v="4"/>
    <x v="1"/>
    <x v="4"/>
    <x v="1"/>
    <x v="1"/>
    <n v="17"/>
    <x v="0"/>
  </r>
  <r>
    <d v="2021-03-17T00:00:00"/>
    <x v="3"/>
    <x v="2"/>
    <x v="0"/>
    <n v="322583578.63"/>
    <x v="3"/>
    <x v="2"/>
    <x v="0"/>
    <x v="10"/>
    <x v="4"/>
    <x v="1"/>
    <x v="4"/>
    <x v="1"/>
    <x v="1"/>
    <n v="17"/>
    <x v="0"/>
  </r>
  <r>
    <d v="2021-03-17T00:00:00"/>
    <x v="3"/>
    <x v="1"/>
    <x v="0"/>
    <n v="12328594.43"/>
    <x v="3"/>
    <x v="1"/>
    <x v="0"/>
    <x v="11"/>
    <x v="4"/>
    <x v="1"/>
    <x v="4"/>
    <x v="1"/>
    <x v="1"/>
    <n v="17"/>
    <x v="0"/>
  </r>
  <r>
    <d v="2021-03-17T00:00:00"/>
    <x v="3"/>
    <x v="2"/>
    <x v="1"/>
    <n v="11080226596.040001"/>
    <x v="3"/>
    <x v="2"/>
    <x v="1"/>
    <x v="12"/>
    <x v="4"/>
    <x v="1"/>
    <x v="4"/>
    <x v="1"/>
    <x v="1"/>
    <n v="17"/>
    <x v="0"/>
  </r>
  <r>
    <d v="2021-03-16T00:00:00"/>
    <x v="0"/>
    <x v="1"/>
    <x v="0"/>
    <n v="7893953.79"/>
    <x v="0"/>
    <x v="1"/>
    <x v="0"/>
    <x v="1"/>
    <x v="4"/>
    <x v="1"/>
    <x v="4"/>
    <x v="1"/>
    <x v="1"/>
    <n v="16"/>
    <x v="0"/>
  </r>
  <r>
    <d v="2021-03-16T00:00:00"/>
    <x v="2"/>
    <x v="1"/>
    <x v="0"/>
    <n v="96768895.180000007"/>
    <x v="2"/>
    <x v="1"/>
    <x v="0"/>
    <x v="7"/>
    <x v="4"/>
    <x v="1"/>
    <x v="4"/>
    <x v="1"/>
    <x v="1"/>
    <n v="16"/>
    <x v="0"/>
  </r>
  <r>
    <d v="2021-03-16T00:00:00"/>
    <x v="3"/>
    <x v="3"/>
    <x v="0"/>
    <n v="802580648.62"/>
    <x v="3"/>
    <x v="3"/>
    <x v="0"/>
    <x v="8"/>
    <x v="4"/>
    <x v="1"/>
    <x v="4"/>
    <x v="1"/>
    <x v="1"/>
    <n v="16"/>
    <x v="0"/>
  </r>
  <r>
    <d v="2021-03-16T00:00:00"/>
    <x v="3"/>
    <x v="3"/>
    <x v="1"/>
    <n v="36719.5"/>
    <x v="3"/>
    <x v="3"/>
    <x v="1"/>
    <x v="3"/>
    <x v="4"/>
    <x v="1"/>
    <x v="4"/>
    <x v="1"/>
    <x v="1"/>
    <n v="16"/>
    <x v="0"/>
  </r>
  <r>
    <d v="2021-03-16T00:00:00"/>
    <x v="0"/>
    <x v="1"/>
    <x v="1"/>
    <n v="8044030.7599999998"/>
    <x v="0"/>
    <x v="1"/>
    <x v="1"/>
    <x v="4"/>
    <x v="4"/>
    <x v="1"/>
    <x v="4"/>
    <x v="1"/>
    <x v="1"/>
    <n v="16"/>
    <x v="0"/>
  </r>
  <r>
    <d v="2021-03-16T00:00:00"/>
    <x v="2"/>
    <x v="1"/>
    <x v="2"/>
    <n v="28709.43"/>
    <x v="2"/>
    <x v="1"/>
    <x v="2"/>
    <x v="5"/>
    <x v="4"/>
    <x v="1"/>
    <x v="4"/>
    <x v="1"/>
    <x v="1"/>
    <n v="16"/>
    <x v="0"/>
  </r>
  <r>
    <d v="2021-03-16T00:00:00"/>
    <x v="3"/>
    <x v="2"/>
    <x v="2"/>
    <n v="251093.6"/>
    <x v="3"/>
    <x v="2"/>
    <x v="2"/>
    <x v="6"/>
    <x v="4"/>
    <x v="1"/>
    <x v="4"/>
    <x v="1"/>
    <x v="1"/>
    <n v="16"/>
    <x v="0"/>
  </r>
  <r>
    <d v="2021-03-16T00:00:00"/>
    <x v="0"/>
    <x v="0"/>
    <x v="0"/>
    <n v="3180"/>
    <x v="0"/>
    <x v="0"/>
    <x v="0"/>
    <x v="0"/>
    <x v="4"/>
    <x v="1"/>
    <x v="4"/>
    <x v="1"/>
    <x v="1"/>
    <n v="16"/>
    <x v="0"/>
  </r>
  <r>
    <d v="2021-03-16T00:00:00"/>
    <x v="1"/>
    <x v="0"/>
    <x v="2"/>
    <n v="8079.11"/>
    <x v="1"/>
    <x v="0"/>
    <x v="2"/>
    <x v="2"/>
    <x v="4"/>
    <x v="1"/>
    <x v="4"/>
    <x v="1"/>
    <x v="1"/>
    <n v="16"/>
    <x v="0"/>
  </r>
  <r>
    <d v="2021-03-16T00:00:00"/>
    <x v="1"/>
    <x v="0"/>
    <x v="1"/>
    <n v="309205431.38"/>
    <x v="1"/>
    <x v="0"/>
    <x v="1"/>
    <x v="9"/>
    <x v="4"/>
    <x v="1"/>
    <x v="4"/>
    <x v="1"/>
    <x v="1"/>
    <n v="16"/>
    <x v="0"/>
  </r>
  <r>
    <d v="2021-03-16T00:00:00"/>
    <x v="1"/>
    <x v="0"/>
    <x v="0"/>
    <n v="95970345.430000007"/>
    <x v="1"/>
    <x v="0"/>
    <x v="0"/>
    <x v="10"/>
    <x v="4"/>
    <x v="1"/>
    <x v="4"/>
    <x v="1"/>
    <x v="1"/>
    <n v="16"/>
    <x v="0"/>
  </r>
  <r>
    <d v="2021-03-16T00:00:00"/>
    <x v="2"/>
    <x v="1"/>
    <x v="1"/>
    <n v="117536364.37"/>
    <x v="2"/>
    <x v="1"/>
    <x v="1"/>
    <x v="11"/>
    <x v="4"/>
    <x v="1"/>
    <x v="4"/>
    <x v="1"/>
    <x v="1"/>
    <n v="16"/>
    <x v="0"/>
  </r>
  <r>
    <d v="2021-03-16T00:00:00"/>
    <x v="3"/>
    <x v="2"/>
    <x v="0"/>
    <n v="419181500.55000001"/>
    <x v="3"/>
    <x v="2"/>
    <x v="0"/>
    <x v="12"/>
    <x v="4"/>
    <x v="1"/>
    <x v="4"/>
    <x v="1"/>
    <x v="1"/>
    <n v="16"/>
    <x v="0"/>
  </r>
  <r>
    <d v="2021-03-16T00:00:00"/>
    <x v="3"/>
    <x v="1"/>
    <x v="0"/>
    <n v="10415602.890000001"/>
    <x v="3"/>
    <x v="1"/>
    <x v="0"/>
    <x v="13"/>
    <x v="4"/>
    <x v="1"/>
    <x v="4"/>
    <x v="1"/>
    <x v="1"/>
    <n v="16"/>
    <x v="0"/>
  </r>
  <r>
    <d v="2021-03-16T00:00:00"/>
    <x v="3"/>
    <x v="2"/>
    <x v="1"/>
    <n v="23153866377.02"/>
    <x v="3"/>
    <x v="2"/>
    <x v="1"/>
    <x v="14"/>
    <x v="4"/>
    <x v="1"/>
    <x v="4"/>
    <x v="1"/>
    <x v="1"/>
    <n v="16"/>
    <x v="0"/>
  </r>
  <r>
    <d v="2021-03-15T00:00:00"/>
    <x v="1"/>
    <x v="0"/>
    <x v="2"/>
    <n v="1995.76"/>
    <x v="1"/>
    <x v="0"/>
    <x v="2"/>
    <x v="2"/>
    <x v="4"/>
    <x v="1"/>
    <x v="4"/>
    <x v="1"/>
    <x v="1"/>
    <n v="15"/>
    <x v="0"/>
  </r>
  <r>
    <d v="2021-03-15T00:00:00"/>
    <x v="2"/>
    <x v="1"/>
    <x v="0"/>
    <n v="80396976.439999998"/>
    <x v="2"/>
    <x v="1"/>
    <x v="0"/>
    <x v="7"/>
    <x v="4"/>
    <x v="1"/>
    <x v="4"/>
    <x v="1"/>
    <x v="1"/>
    <n v="15"/>
    <x v="0"/>
  </r>
  <r>
    <d v="2021-03-15T00:00:00"/>
    <x v="2"/>
    <x v="1"/>
    <x v="2"/>
    <n v="6800"/>
    <x v="2"/>
    <x v="1"/>
    <x v="2"/>
    <x v="3"/>
    <x v="4"/>
    <x v="1"/>
    <x v="4"/>
    <x v="1"/>
    <x v="1"/>
    <n v="15"/>
    <x v="0"/>
  </r>
  <r>
    <d v="2021-03-15T00:00:00"/>
    <x v="0"/>
    <x v="1"/>
    <x v="0"/>
    <n v="12519776.24"/>
    <x v="0"/>
    <x v="1"/>
    <x v="0"/>
    <x v="1"/>
    <x v="4"/>
    <x v="1"/>
    <x v="4"/>
    <x v="1"/>
    <x v="1"/>
    <n v="15"/>
    <x v="0"/>
  </r>
  <r>
    <d v="2021-03-15T00:00:00"/>
    <x v="0"/>
    <x v="1"/>
    <x v="1"/>
    <n v="19971036.789999999"/>
    <x v="0"/>
    <x v="1"/>
    <x v="1"/>
    <x v="4"/>
    <x v="4"/>
    <x v="1"/>
    <x v="4"/>
    <x v="1"/>
    <x v="1"/>
    <n v="15"/>
    <x v="0"/>
  </r>
  <r>
    <d v="2021-03-15T00:00:00"/>
    <x v="1"/>
    <x v="0"/>
    <x v="1"/>
    <n v="292964488.58999997"/>
    <x v="1"/>
    <x v="0"/>
    <x v="1"/>
    <x v="8"/>
    <x v="4"/>
    <x v="1"/>
    <x v="4"/>
    <x v="1"/>
    <x v="1"/>
    <n v="15"/>
    <x v="0"/>
  </r>
  <r>
    <d v="2021-03-15T00:00:00"/>
    <x v="1"/>
    <x v="0"/>
    <x v="0"/>
    <n v="68241744.829999998"/>
    <x v="1"/>
    <x v="0"/>
    <x v="0"/>
    <x v="9"/>
    <x v="4"/>
    <x v="1"/>
    <x v="4"/>
    <x v="1"/>
    <x v="1"/>
    <n v="15"/>
    <x v="0"/>
  </r>
  <r>
    <d v="2021-03-15T00:00:00"/>
    <x v="3"/>
    <x v="2"/>
    <x v="2"/>
    <n v="112821.49"/>
    <x v="3"/>
    <x v="2"/>
    <x v="2"/>
    <x v="5"/>
    <x v="4"/>
    <x v="1"/>
    <x v="4"/>
    <x v="1"/>
    <x v="1"/>
    <n v="15"/>
    <x v="0"/>
  </r>
  <r>
    <d v="2021-03-15T00:00:00"/>
    <x v="0"/>
    <x v="0"/>
    <x v="0"/>
    <n v="116.67"/>
    <x v="0"/>
    <x v="0"/>
    <x v="0"/>
    <x v="0"/>
    <x v="4"/>
    <x v="1"/>
    <x v="4"/>
    <x v="1"/>
    <x v="1"/>
    <n v="15"/>
    <x v="0"/>
  </r>
  <r>
    <d v="2021-03-15T00:00:00"/>
    <x v="3"/>
    <x v="3"/>
    <x v="0"/>
    <n v="2056970445.49"/>
    <x v="3"/>
    <x v="3"/>
    <x v="0"/>
    <x v="6"/>
    <x v="4"/>
    <x v="1"/>
    <x v="4"/>
    <x v="1"/>
    <x v="1"/>
    <n v="15"/>
    <x v="0"/>
  </r>
  <r>
    <d v="2021-03-15T00:00:00"/>
    <x v="2"/>
    <x v="1"/>
    <x v="1"/>
    <n v="81017409.989999995"/>
    <x v="2"/>
    <x v="1"/>
    <x v="1"/>
    <x v="10"/>
    <x v="4"/>
    <x v="1"/>
    <x v="4"/>
    <x v="1"/>
    <x v="1"/>
    <n v="15"/>
    <x v="0"/>
  </r>
  <r>
    <d v="2021-03-15T00:00:00"/>
    <x v="3"/>
    <x v="2"/>
    <x v="0"/>
    <n v="547319258"/>
    <x v="3"/>
    <x v="2"/>
    <x v="0"/>
    <x v="11"/>
    <x v="4"/>
    <x v="1"/>
    <x v="4"/>
    <x v="1"/>
    <x v="1"/>
    <n v="15"/>
    <x v="0"/>
  </r>
  <r>
    <d v="2021-03-15T00:00:00"/>
    <x v="3"/>
    <x v="2"/>
    <x v="1"/>
    <n v="37598949037.629997"/>
    <x v="3"/>
    <x v="2"/>
    <x v="1"/>
    <x v="12"/>
    <x v="4"/>
    <x v="1"/>
    <x v="4"/>
    <x v="1"/>
    <x v="1"/>
    <n v="15"/>
    <x v="0"/>
  </r>
  <r>
    <d v="2021-03-15T00:00:00"/>
    <x v="3"/>
    <x v="1"/>
    <x v="0"/>
    <n v="42289513.969999999"/>
    <x v="3"/>
    <x v="1"/>
    <x v="0"/>
    <x v="13"/>
    <x v="4"/>
    <x v="1"/>
    <x v="4"/>
    <x v="1"/>
    <x v="1"/>
    <n v="15"/>
    <x v="0"/>
  </r>
  <r>
    <d v="2021-03-12T00:00:00"/>
    <x v="1"/>
    <x v="0"/>
    <x v="2"/>
    <n v="3449.41"/>
    <x v="1"/>
    <x v="0"/>
    <x v="2"/>
    <x v="2"/>
    <x v="4"/>
    <x v="1"/>
    <x v="4"/>
    <x v="1"/>
    <x v="1"/>
    <n v="12"/>
    <x v="0"/>
  </r>
  <r>
    <d v="2021-03-12T00:00:00"/>
    <x v="0"/>
    <x v="1"/>
    <x v="0"/>
    <n v="12432981.189999999"/>
    <x v="0"/>
    <x v="1"/>
    <x v="0"/>
    <x v="1"/>
    <x v="4"/>
    <x v="1"/>
    <x v="4"/>
    <x v="1"/>
    <x v="1"/>
    <n v="12"/>
    <x v="0"/>
  </r>
  <r>
    <d v="2021-03-12T00:00:00"/>
    <x v="2"/>
    <x v="1"/>
    <x v="2"/>
    <n v="28837.85"/>
    <x v="2"/>
    <x v="1"/>
    <x v="2"/>
    <x v="3"/>
    <x v="4"/>
    <x v="1"/>
    <x v="4"/>
    <x v="1"/>
    <x v="1"/>
    <n v="12"/>
    <x v="0"/>
  </r>
  <r>
    <d v="2021-03-12T00:00:00"/>
    <x v="2"/>
    <x v="1"/>
    <x v="0"/>
    <n v="114156148.06"/>
    <x v="2"/>
    <x v="1"/>
    <x v="0"/>
    <x v="6"/>
    <x v="4"/>
    <x v="1"/>
    <x v="4"/>
    <x v="1"/>
    <x v="1"/>
    <n v="12"/>
    <x v="0"/>
  </r>
  <r>
    <d v="2021-03-12T00:00:00"/>
    <x v="3"/>
    <x v="3"/>
    <x v="0"/>
    <n v="1847069762.7"/>
    <x v="3"/>
    <x v="3"/>
    <x v="0"/>
    <x v="7"/>
    <x v="4"/>
    <x v="1"/>
    <x v="4"/>
    <x v="1"/>
    <x v="1"/>
    <n v="12"/>
    <x v="0"/>
  </r>
  <r>
    <d v="2021-03-12T00:00:00"/>
    <x v="0"/>
    <x v="1"/>
    <x v="1"/>
    <n v="7085338.4800000004"/>
    <x v="0"/>
    <x v="1"/>
    <x v="1"/>
    <x v="4"/>
    <x v="4"/>
    <x v="1"/>
    <x v="4"/>
    <x v="1"/>
    <x v="1"/>
    <n v="12"/>
    <x v="0"/>
  </r>
  <r>
    <d v="2021-03-12T00:00:00"/>
    <x v="1"/>
    <x v="0"/>
    <x v="1"/>
    <n v="222055485.28999999"/>
    <x v="1"/>
    <x v="0"/>
    <x v="1"/>
    <x v="9"/>
    <x v="4"/>
    <x v="1"/>
    <x v="4"/>
    <x v="1"/>
    <x v="1"/>
    <n v="12"/>
    <x v="0"/>
  </r>
  <r>
    <d v="2021-03-12T00:00:00"/>
    <x v="3"/>
    <x v="2"/>
    <x v="2"/>
    <n v="224406.43"/>
    <x v="3"/>
    <x v="2"/>
    <x v="2"/>
    <x v="5"/>
    <x v="4"/>
    <x v="1"/>
    <x v="4"/>
    <x v="1"/>
    <x v="1"/>
    <n v="12"/>
    <x v="0"/>
  </r>
  <r>
    <d v="2021-03-12T00:00:00"/>
    <x v="0"/>
    <x v="0"/>
    <x v="0"/>
    <n v="934.48"/>
    <x v="0"/>
    <x v="0"/>
    <x v="0"/>
    <x v="0"/>
    <x v="4"/>
    <x v="1"/>
    <x v="4"/>
    <x v="1"/>
    <x v="1"/>
    <n v="12"/>
    <x v="0"/>
  </r>
  <r>
    <d v="2021-03-12T00:00:00"/>
    <x v="1"/>
    <x v="0"/>
    <x v="0"/>
    <n v="78046854.349999994"/>
    <x v="1"/>
    <x v="0"/>
    <x v="0"/>
    <x v="8"/>
    <x v="4"/>
    <x v="1"/>
    <x v="4"/>
    <x v="1"/>
    <x v="1"/>
    <n v="12"/>
    <x v="0"/>
  </r>
  <r>
    <d v="2021-03-12T00:00:00"/>
    <x v="2"/>
    <x v="1"/>
    <x v="1"/>
    <n v="93311901.920000002"/>
    <x v="2"/>
    <x v="1"/>
    <x v="1"/>
    <x v="10"/>
    <x v="4"/>
    <x v="1"/>
    <x v="4"/>
    <x v="1"/>
    <x v="1"/>
    <n v="12"/>
    <x v="0"/>
  </r>
  <r>
    <d v="2021-03-12T00:00:00"/>
    <x v="3"/>
    <x v="2"/>
    <x v="0"/>
    <n v="620012597.37"/>
    <x v="3"/>
    <x v="2"/>
    <x v="0"/>
    <x v="11"/>
    <x v="4"/>
    <x v="1"/>
    <x v="4"/>
    <x v="1"/>
    <x v="1"/>
    <n v="12"/>
    <x v="0"/>
  </r>
  <r>
    <d v="2021-03-12T00:00:00"/>
    <x v="3"/>
    <x v="1"/>
    <x v="0"/>
    <n v="12272693.460000001"/>
    <x v="3"/>
    <x v="1"/>
    <x v="0"/>
    <x v="12"/>
    <x v="4"/>
    <x v="1"/>
    <x v="4"/>
    <x v="1"/>
    <x v="1"/>
    <n v="12"/>
    <x v="0"/>
  </r>
  <r>
    <d v="2021-03-12T00:00:00"/>
    <x v="3"/>
    <x v="2"/>
    <x v="1"/>
    <n v="13740467961.66"/>
    <x v="3"/>
    <x v="2"/>
    <x v="1"/>
    <x v="13"/>
    <x v="4"/>
    <x v="1"/>
    <x v="4"/>
    <x v="1"/>
    <x v="1"/>
    <n v="12"/>
    <x v="0"/>
  </r>
  <r>
    <d v="2021-03-11T00:00:00"/>
    <x v="0"/>
    <x v="0"/>
    <x v="0"/>
    <n v="179.48"/>
    <x v="0"/>
    <x v="0"/>
    <x v="0"/>
    <x v="0"/>
    <x v="4"/>
    <x v="1"/>
    <x v="4"/>
    <x v="1"/>
    <x v="1"/>
    <n v="11"/>
    <x v="0"/>
  </r>
  <r>
    <d v="2021-03-11T00:00:00"/>
    <x v="0"/>
    <x v="1"/>
    <x v="0"/>
    <n v="18678167.190000001"/>
    <x v="0"/>
    <x v="1"/>
    <x v="0"/>
    <x v="1"/>
    <x v="4"/>
    <x v="1"/>
    <x v="4"/>
    <x v="1"/>
    <x v="1"/>
    <n v="11"/>
    <x v="0"/>
  </r>
  <r>
    <d v="2021-03-11T00:00:00"/>
    <x v="0"/>
    <x v="1"/>
    <x v="1"/>
    <n v="5100658.9800000004"/>
    <x v="0"/>
    <x v="1"/>
    <x v="1"/>
    <x v="3"/>
    <x v="4"/>
    <x v="1"/>
    <x v="4"/>
    <x v="1"/>
    <x v="1"/>
    <n v="11"/>
    <x v="0"/>
  </r>
  <r>
    <d v="2021-03-11T00:00:00"/>
    <x v="3"/>
    <x v="3"/>
    <x v="0"/>
    <n v="1943506580.0699999"/>
    <x v="3"/>
    <x v="3"/>
    <x v="0"/>
    <x v="6"/>
    <x v="4"/>
    <x v="1"/>
    <x v="4"/>
    <x v="1"/>
    <x v="1"/>
    <n v="11"/>
    <x v="0"/>
  </r>
  <r>
    <d v="2021-03-11T00:00:00"/>
    <x v="3"/>
    <x v="2"/>
    <x v="2"/>
    <n v="139133.44"/>
    <x v="3"/>
    <x v="2"/>
    <x v="2"/>
    <x v="4"/>
    <x v="4"/>
    <x v="1"/>
    <x v="4"/>
    <x v="1"/>
    <x v="1"/>
    <n v="11"/>
    <x v="0"/>
  </r>
  <r>
    <d v="2021-03-11T00:00:00"/>
    <x v="1"/>
    <x v="0"/>
    <x v="2"/>
    <n v="18581.96"/>
    <x v="1"/>
    <x v="0"/>
    <x v="2"/>
    <x v="2"/>
    <x v="4"/>
    <x v="1"/>
    <x v="4"/>
    <x v="1"/>
    <x v="1"/>
    <n v="11"/>
    <x v="0"/>
  </r>
  <r>
    <d v="2021-03-11T00:00:00"/>
    <x v="2"/>
    <x v="1"/>
    <x v="0"/>
    <n v="77112798.480000004"/>
    <x v="2"/>
    <x v="1"/>
    <x v="0"/>
    <x v="5"/>
    <x v="4"/>
    <x v="1"/>
    <x v="4"/>
    <x v="1"/>
    <x v="1"/>
    <n v="11"/>
    <x v="0"/>
  </r>
  <r>
    <d v="2021-03-11T00:00:00"/>
    <x v="1"/>
    <x v="0"/>
    <x v="1"/>
    <n v="277826051.64999998"/>
    <x v="1"/>
    <x v="0"/>
    <x v="1"/>
    <x v="7"/>
    <x v="4"/>
    <x v="1"/>
    <x v="4"/>
    <x v="1"/>
    <x v="1"/>
    <n v="11"/>
    <x v="0"/>
  </r>
  <r>
    <d v="2021-03-11T00:00:00"/>
    <x v="1"/>
    <x v="0"/>
    <x v="0"/>
    <n v="95535350.620000005"/>
    <x v="1"/>
    <x v="0"/>
    <x v="0"/>
    <x v="8"/>
    <x v="4"/>
    <x v="1"/>
    <x v="4"/>
    <x v="1"/>
    <x v="1"/>
    <n v="11"/>
    <x v="0"/>
  </r>
  <r>
    <d v="2021-03-11T00:00:00"/>
    <x v="2"/>
    <x v="1"/>
    <x v="1"/>
    <n v="227173717.11000001"/>
    <x v="2"/>
    <x v="1"/>
    <x v="1"/>
    <x v="9"/>
    <x v="4"/>
    <x v="1"/>
    <x v="4"/>
    <x v="1"/>
    <x v="1"/>
    <n v="11"/>
    <x v="0"/>
  </r>
  <r>
    <d v="2021-03-11T00:00:00"/>
    <x v="3"/>
    <x v="2"/>
    <x v="0"/>
    <n v="363248876.45999998"/>
    <x v="3"/>
    <x v="2"/>
    <x v="0"/>
    <x v="10"/>
    <x v="4"/>
    <x v="1"/>
    <x v="4"/>
    <x v="1"/>
    <x v="1"/>
    <n v="11"/>
    <x v="0"/>
  </r>
  <r>
    <d v="2021-03-11T00:00:00"/>
    <x v="3"/>
    <x v="1"/>
    <x v="0"/>
    <n v="11968138.83"/>
    <x v="3"/>
    <x v="1"/>
    <x v="0"/>
    <x v="11"/>
    <x v="4"/>
    <x v="1"/>
    <x v="4"/>
    <x v="1"/>
    <x v="1"/>
    <n v="11"/>
    <x v="0"/>
  </r>
  <r>
    <d v="2021-03-11T00:00:00"/>
    <x v="3"/>
    <x v="2"/>
    <x v="1"/>
    <n v="6112855256.0200005"/>
    <x v="3"/>
    <x v="2"/>
    <x v="1"/>
    <x v="12"/>
    <x v="4"/>
    <x v="1"/>
    <x v="4"/>
    <x v="1"/>
    <x v="1"/>
    <n v="11"/>
    <x v="0"/>
  </r>
  <r>
    <d v="2021-03-10T00:00:00"/>
    <x v="1"/>
    <x v="0"/>
    <x v="2"/>
    <n v="4888.41"/>
    <x v="1"/>
    <x v="0"/>
    <x v="2"/>
    <x v="2"/>
    <x v="4"/>
    <x v="1"/>
    <x v="4"/>
    <x v="1"/>
    <x v="1"/>
    <n v="10"/>
    <x v="0"/>
  </r>
  <r>
    <d v="2021-03-10T00:00:00"/>
    <x v="0"/>
    <x v="1"/>
    <x v="0"/>
    <n v="14044542.74"/>
    <x v="0"/>
    <x v="1"/>
    <x v="0"/>
    <x v="1"/>
    <x v="4"/>
    <x v="1"/>
    <x v="4"/>
    <x v="1"/>
    <x v="1"/>
    <n v="10"/>
    <x v="0"/>
  </r>
  <r>
    <d v="2021-03-10T00:00:00"/>
    <x v="0"/>
    <x v="1"/>
    <x v="1"/>
    <n v="13284516.74"/>
    <x v="0"/>
    <x v="1"/>
    <x v="1"/>
    <x v="3"/>
    <x v="4"/>
    <x v="1"/>
    <x v="4"/>
    <x v="1"/>
    <x v="1"/>
    <n v="10"/>
    <x v="0"/>
  </r>
  <r>
    <d v="2021-03-10T00:00:00"/>
    <x v="1"/>
    <x v="0"/>
    <x v="1"/>
    <n v="748732278.5"/>
    <x v="1"/>
    <x v="0"/>
    <x v="1"/>
    <x v="9"/>
    <x v="4"/>
    <x v="1"/>
    <x v="4"/>
    <x v="1"/>
    <x v="1"/>
    <n v="10"/>
    <x v="0"/>
  </r>
  <r>
    <d v="2021-03-10T00:00:00"/>
    <x v="2"/>
    <x v="1"/>
    <x v="2"/>
    <n v="1505655.82"/>
    <x v="2"/>
    <x v="1"/>
    <x v="2"/>
    <x v="4"/>
    <x v="4"/>
    <x v="1"/>
    <x v="4"/>
    <x v="1"/>
    <x v="1"/>
    <n v="10"/>
    <x v="0"/>
  </r>
  <r>
    <d v="2021-03-10T00:00:00"/>
    <x v="3"/>
    <x v="2"/>
    <x v="2"/>
    <n v="128830.5"/>
    <x v="3"/>
    <x v="2"/>
    <x v="2"/>
    <x v="5"/>
    <x v="4"/>
    <x v="1"/>
    <x v="4"/>
    <x v="1"/>
    <x v="1"/>
    <n v="10"/>
    <x v="0"/>
  </r>
  <r>
    <d v="2021-03-10T00:00:00"/>
    <x v="0"/>
    <x v="0"/>
    <x v="0"/>
    <n v="294"/>
    <x v="0"/>
    <x v="0"/>
    <x v="0"/>
    <x v="0"/>
    <x v="4"/>
    <x v="1"/>
    <x v="4"/>
    <x v="1"/>
    <x v="1"/>
    <n v="10"/>
    <x v="0"/>
  </r>
  <r>
    <d v="2021-03-10T00:00:00"/>
    <x v="3"/>
    <x v="3"/>
    <x v="0"/>
    <n v="1589078169.72"/>
    <x v="3"/>
    <x v="3"/>
    <x v="0"/>
    <x v="7"/>
    <x v="4"/>
    <x v="1"/>
    <x v="4"/>
    <x v="1"/>
    <x v="1"/>
    <n v="10"/>
    <x v="0"/>
  </r>
  <r>
    <d v="2021-03-10T00:00:00"/>
    <x v="2"/>
    <x v="1"/>
    <x v="1"/>
    <n v="339077030.98000002"/>
    <x v="2"/>
    <x v="1"/>
    <x v="1"/>
    <x v="10"/>
    <x v="4"/>
    <x v="1"/>
    <x v="4"/>
    <x v="1"/>
    <x v="1"/>
    <n v="10"/>
    <x v="0"/>
  </r>
  <r>
    <d v="2021-03-10T00:00:00"/>
    <x v="2"/>
    <x v="1"/>
    <x v="0"/>
    <n v="92713186.010000005"/>
    <x v="2"/>
    <x v="1"/>
    <x v="0"/>
    <x v="6"/>
    <x v="4"/>
    <x v="1"/>
    <x v="4"/>
    <x v="1"/>
    <x v="1"/>
    <n v="10"/>
    <x v="0"/>
  </r>
  <r>
    <d v="2021-03-10T00:00:00"/>
    <x v="1"/>
    <x v="0"/>
    <x v="0"/>
    <n v="75232702.420000002"/>
    <x v="1"/>
    <x v="0"/>
    <x v="0"/>
    <x v="8"/>
    <x v="4"/>
    <x v="1"/>
    <x v="4"/>
    <x v="1"/>
    <x v="1"/>
    <n v="10"/>
    <x v="0"/>
  </r>
  <r>
    <d v="2021-03-10T00:00:00"/>
    <x v="3"/>
    <x v="2"/>
    <x v="0"/>
    <n v="426411651.19999999"/>
    <x v="3"/>
    <x v="2"/>
    <x v="0"/>
    <x v="11"/>
    <x v="4"/>
    <x v="1"/>
    <x v="4"/>
    <x v="1"/>
    <x v="1"/>
    <n v="10"/>
    <x v="0"/>
  </r>
  <r>
    <d v="2021-03-10T00:00:00"/>
    <x v="3"/>
    <x v="1"/>
    <x v="0"/>
    <n v="11184292.380000001"/>
    <x v="3"/>
    <x v="1"/>
    <x v="0"/>
    <x v="12"/>
    <x v="4"/>
    <x v="1"/>
    <x v="4"/>
    <x v="1"/>
    <x v="1"/>
    <n v="10"/>
    <x v="0"/>
  </r>
  <r>
    <d v="2021-03-10T00:00:00"/>
    <x v="3"/>
    <x v="2"/>
    <x v="1"/>
    <n v="10543942057.17"/>
    <x v="3"/>
    <x v="2"/>
    <x v="1"/>
    <x v="13"/>
    <x v="4"/>
    <x v="1"/>
    <x v="4"/>
    <x v="1"/>
    <x v="1"/>
    <n v="10"/>
    <x v="0"/>
  </r>
  <r>
    <d v="2021-03-09T00:00:00"/>
    <x v="1"/>
    <x v="0"/>
    <x v="2"/>
    <n v="35695.589999999997"/>
    <x v="1"/>
    <x v="0"/>
    <x v="2"/>
    <x v="2"/>
    <x v="4"/>
    <x v="1"/>
    <x v="4"/>
    <x v="1"/>
    <x v="1"/>
    <n v="9"/>
    <x v="0"/>
  </r>
  <r>
    <d v="2021-03-09T00:00:00"/>
    <x v="2"/>
    <x v="1"/>
    <x v="2"/>
    <n v="4820"/>
    <x v="2"/>
    <x v="1"/>
    <x v="2"/>
    <x v="3"/>
    <x v="4"/>
    <x v="1"/>
    <x v="4"/>
    <x v="1"/>
    <x v="1"/>
    <n v="9"/>
    <x v="0"/>
  </r>
  <r>
    <d v="2021-03-09T00:00:00"/>
    <x v="2"/>
    <x v="1"/>
    <x v="0"/>
    <n v="121869479.18000001"/>
    <x v="2"/>
    <x v="1"/>
    <x v="0"/>
    <x v="6"/>
    <x v="4"/>
    <x v="1"/>
    <x v="4"/>
    <x v="1"/>
    <x v="1"/>
    <n v="9"/>
    <x v="0"/>
  </r>
  <r>
    <d v="2021-03-09T00:00:00"/>
    <x v="3"/>
    <x v="3"/>
    <x v="0"/>
    <n v="15179519331.02"/>
    <x v="3"/>
    <x v="3"/>
    <x v="0"/>
    <x v="7"/>
    <x v="4"/>
    <x v="1"/>
    <x v="4"/>
    <x v="1"/>
    <x v="1"/>
    <n v="9"/>
    <x v="0"/>
  </r>
  <r>
    <d v="2021-03-09T00:00:00"/>
    <x v="0"/>
    <x v="1"/>
    <x v="1"/>
    <n v="15795816.43"/>
    <x v="0"/>
    <x v="1"/>
    <x v="1"/>
    <x v="4"/>
    <x v="4"/>
    <x v="1"/>
    <x v="4"/>
    <x v="1"/>
    <x v="1"/>
    <n v="9"/>
    <x v="0"/>
  </r>
  <r>
    <d v="2021-03-09T00:00:00"/>
    <x v="1"/>
    <x v="0"/>
    <x v="1"/>
    <n v="504883580.92000002"/>
    <x v="1"/>
    <x v="0"/>
    <x v="1"/>
    <x v="8"/>
    <x v="4"/>
    <x v="1"/>
    <x v="4"/>
    <x v="1"/>
    <x v="1"/>
    <n v="9"/>
    <x v="0"/>
  </r>
  <r>
    <d v="2021-03-09T00:00:00"/>
    <x v="0"/>
    <x v="1"/>
    <x v="0"/>
    <n v="23238084.559999999"/>
    <x v="0"/>
    <x v="1"/>
    <x v="0"/>
    <x v="1"/>
    <x v="4"/>
    <x v="1"/>
    <x v="4"/>
    <x v="1"/>
    <x v="1"/>
    <n v="9"/>
    <x v="0"/>
  </r>
  <r>
    <d v="2021-03-09T00:00:00"/>
    <x v="3"/>
    <x v="2"/>
    <x v="2"/>
    <n v="73455"/>
    <x v="3"/>
    <x v="2"/>
    <x v="2"/>
    <x v="5"/>
    <x v="4"/>
    <x v="1"/>
    <x v="4"/>
    <x v="1"/>
    <x v="1"/>
    <n v="9"/>
    <x v="0"/>
  </r>
  <r>
    <d v="2021-03-09T00:00:00"/>
    <x v="0"/>
    <x v="0"/>
    <x v="0"/>
    <n v="100"/>
    <x v="0"/>
    <x v="0"/>
    <x v="0"/>
    <x v="0"/>
    <x v="4"/>
    <x v="1"/>
    <x v="4"/>
    <x v="1"/>
    <x v="1"/>
    <n v="9"/>
    <x v="0"/>
  </r>
  <r>
    <d v="2021-03-09T00:00:00"/>
    <x v="1"/>
    <x v="0"/>
    <x v="0"/>
    <n v="63297932.960000001"/>
    <x v="1"/>
    <x v="0"/>
    <x v="0"/>
    <x v="9"/>
    <x v="4"/>
    <x v="1"/>
    <x v="4"/>
    <x v="1"/>
    <x v="1"/>
    <n v="9"/>
    <x v="0"/>
  </r>
  <r>
    <d v="2021-03-09T00:00:00"/>
    <x v="2"/>
    <x v="1"/>
    <x v="1"/>
    <n v="215010930.03"/>
    <x v="2"/>
    <x v="1"/>
    <x v="1"/>
    <x v="10"/>
    <x v="4"/>
    <x v="1"/>
    <x v="4"/>
    <x v="1"/>
    <x v="1"/>
    <n v="9"/>
    <x v="0"/>
  </r>
  <r>
    <d v="2021-03-09T00:00:00"/>
    <x v="3"/>
    <x v="1"/>
    <x v="0"/>
    <n v="10569420.24"/>
    <x v="3"/>
    <x v="1"/>
    <x v="0"/>
    <x v="11"/>
    <x v="4"/>
    <x v="1"/>
    <x v="4"/>
    <x v="1"/>
    <x v="1"/>
    <n v="9"/>
    <x v="0"/>
  </r>
  <r>
    <d v="2021-03-09T00:00:00"/>
    <x v="3"/>
    <x v="2"/>
    <x v="0"/>
    <n v="607005015.26999998"/>
    <x v="3"/>
    <x v="2"/>
    <x v="0"/>
    <x v="12"/>
    <x v="4"/>
    <x v="1"/>
    <x v="4"/>
    <x v="1"/>
    <x v="1"/>
    <n v="9"/>
    <x v="0"/>
  </r>
  <r>
    <d v="2021-03-09T00:00:00"/>
    <x v="3"/>
    <x v="2"/>
    <x v="1"/>
    <n v="3813237893.6300001"/>
    <x v="3"/>
    <x v="2"/>
    <x v="1"/>
    <x v="13"/>
    <x v="4"/>
    <x v="1"/>
    <x v="4"/>
    <x v="1"/>
    <x v="1"/>
    <n v="9"/>
    <x v="0"/>
  </r>
  <r>
    <d v="2021-03-08T00:00:00"/>
    <x v="0"/>
    <x v="1"/>
    <x v="0"/>
    <n v="11009123.789999999"/>
    <x v="0"/>
    <x v="1"/>
    <x v="0"/>
    <x v="0"/>
    <x v="4"/>
    <x v="1"/>
    <x v="4"/>
    <x v="1"/>
    <x v="1"/>
    <n v="8"/>
    <x v="0"/>
  </r>
  <r>
    <d v="2021-03-08T00:00:00"/>
    <x v="1"/>
    <x v="0"/>
    <x v="2"/>
    <n v="21206.74"/>
    <x v="1"/>
    <x v="0"/>
    <x v="2"/>
    <x v="1"/>
    <x v="4"/>
    <x v="1"/>
    <x v="4"/>
    <x v="1"/>
    <x v="1"/>
    <n v="8"/>
    <x v="0"/>
  </r>
  <r>
    <d v="2021-03-08T00:00:00"/>
    <x v="2"/>
    <x v="1"/>
    <x v="2"/>
    <n v="46245"/>
    <x v="2"/>
    <x v="1"/>
    <x v="2"/>
    <x v="2"/>
    <x v="4"/>
    <x v="1"/>
    <x v="4"/>
    <x v="1"/>
    <x v="1"/>
    <n v="8"/>
    <x v="0"/>
  </r>
  <r>
    <d v="2021-03-08T00:00:00"/>
    <x v="3"/>
    <x v="3"/>
    <x v="0"/>
    <n v="1904962100.5"/>
    <x v="3"/>
    <x v="3"/>
    <x v="0"/>
    <x v="5"/>
    <x v="4"/>
    <x v="1"/>
    <x v="4"/>
    <x v="1"/>
    <x v="1"/>
    <n v="8"/>
    <x v="0"/>
  </r>
  <r>
    <d v="2021-03-08T00:00:00"/>
    <x v="0"/>
    <x v="1"/>
    <x v="1"/>
    <n v="16920082.829999998"/>
    <x v="0"/>
    <x v="1"/>
    <x v="1"/>
    <x v="3"/>
    <x v="4"/>
    <x v="1"/>
    <x v="4"/>
    <x v="1"/>
    <x v="1"/>
    <n v="8"/>
    <x v="0"/>
  </r>
  <r>
    <d v="2021-03-08T00:00:00"/>
    <x v="1"/>
    <x v="0"/>
    <x v="1"/>
    <n v="717172070.45000005"/>
    <x v="1"/>
    <x v="0"/>
    <x v="1"/>
    <x v="7"/>
    <x v="4"/>
    <x v="1"/>
    <x v="4"/>
    <x v="1"/>
    <x v="1"/>
    <n v="8"/>
    <x v="0"/>
  </r>
  <r>
    <d v="2021-03-08T00:00:00"/>
    <x v="1"/>
    <x v="0"/>
    <x v="0"/>
    <n v="97121214.140000001"/>
    <x v="1"/>
    <x v="0"/>
    <x v="0"/>
    <x v="8"/>
    <x v="4"/>
    <x v="1"/>
    <x v="4"/>
    <x v="1"/>
    <x v="1"/>
    <n v="8"/>
    <x v="0"/>
  </r>
  <r>
    <d v="2021-03-08T00:00:00"/>
    <x v="3"/>
    <x v="2"/>
    <x v="2"/>
    <n v="278864.5"/>
    <x v="3"/>
    <x v="2"/>
    <x v="2"/>
    <x v="4"/>
    <x v="4"/>
    <x v="1"/>
    <x v="4"/>
    <x v="1"/>
    <x v="1"/>
    <n v="8"/>
    <x v="0"/>
  </r>
  <r>
    <d v="2021-03-08T00:00:00"/>
    <x v="2"/>
    <x v="1"/>
    <x v="0"/>
    <n v="93836834.680000007"/>
    <x v="2"/>
    <x v="1"/>
    <x v="0"/>
    <x v="6"/>
    <x v="4"/>
    <x v="1"/>
    <x v="4"/>
    <x v="1"/>
    <x v="1"/>
    <n v="8"/>
    <x v="0"/>
  </r>
  <r>
    <d v="2021-03-08T00:00:00"/>
    <x v="2"/>
    <x v="1"/>
    <x v="1"/>
    <n v="182572016.69999999"/>
    <x v="2"/>
    <x v="1"/>
    <x v="1"/>
    <x v="9"/>
    <x v="4"/>
    <x v="1"/>
    <x v="4"/>
    <x v="1"/>
    <x v="1"/>
    <n v="8"/>
    <x v="0"/>
  </r>
  <r>
    <d v="2021-03-08T00:00:00"/>
    <x v="3"/>
    <x v="2"/>
    <x v="0"/>
    <n v="491965598.87"/>
    <x v="3"/>
    <x v="2"/>
    <x v="0"/>
    <x v="10"/>
    <x v="4"/>
    <x v="1"/>
    <x v="4"/>
    <x v="1"/>
    <x v="1"/>
    <n v="8"/>
    <x v="0"/>
  </r>
  <r>
    <d v="2021-03-08T00:00:00"/>
    <x v="3"/>
    <x v="1"/>
    <x v="0"/>
    <n v="41985178.170000002"/>
    <x v="3"/>
    <x v="1"/>
    <x v="0"/>
    <x v="11"/>
    <x v="4"/>
    <x v="1"/>
    <x v="4"/>
    <x v="1"/>
    <x v="1"/>
    <n v="8"/>
    <x v="0"/>
  </r>
  <r>
    <d v="2021-03-08T00:00:00"/>
    <x v="3"/>
    <x v="2"/>
    <x v="1"/>
    <n v="28725098887.189999"/>
    <x v="3"/>
    <x v="2"/>
    <x v="1"/>
    <x v="12"/>
    <x v="4"/>
    <x v="1"/>
    <x v="4"/>
    <x v="1"/>
    <x v="1"/>
    <n v="8"/>
    <x v="0"/>
  </r>
  <r>
    <d v="2021-03-05T00:00:00"/>
    <x v="3"/>
    <x v="2"/>
    <x v="2"/>
    <n v="491634.2"/>
    <x v="3"/>
    <x v="2"/>
    <x v="2"/>
    <x v="5"/>
    <x v="4"/>
    <x v="1"/>
    <x v="4"/>
    <x v="1"/>
    <x v="1"/>
    <n v="5"/>
    <x v="0"/>
  </r>
  <r>
    <d v="2021-03-05T00:00:00"/>
    <x v="1"/>
    <x v="0"/>
    <x v="2"/>
    <n v="27010.41"/>
    <x v="1"/>
    <x v="0"/>
    <x v="2"/>
    <x v="2"/>
    <x v="4"/>
    <x v="1"/>
    <x v="4"/>
    <x v="1"/>
    <x v="1"/>
    <n v="5"/>
    <x v="0"/>
  </r>
  <r>
    <d v="2021-03-05T00:00:00"/>
    <x v="2"/>
    <x v="1"/>
    <x v="0"/>
    <n v="119622618.09999999"/>
    <x v="2"/>
    <x v="1"/>
    <x v="0"/>
    <x v="6"/>
    <x v="4"/>
    <x v="1"/>
    <x v="4"/>
    <x v="1"/>
    <x v="1"/>
    <n v="5"/>
    <x v="0"/>
  </r>
  <r>
    <d v="2021-03-05T00:00:00"/>
    <x v="0"/>
    <x v="1"/>
    <x v="1"/>
    <n v="13128177.289999999"/>
    <x v="0"/>
    <x v="1"/>
    <x v="1"/>
    <x v="3"/>
    <x v="4"/>
    <x v="1"/>
    <x v="4"/>
    <x v="1"/>
    <x v="1"/>
    <n v="5"/>
    <x v="0"/>
  </r>
  <r>
    <d v="2021-03-05T00:00:00"/>
    <x v="0"/>
    <x v="1"/>
    <x v="0"/>
    <n v="14885730.529999999"/>
    <x v="0"/>
    <x v="1"/>
    <x v="0"/>
    <x v="1"/>
    <x v="4"/>
    <x v="1"/>
    <x v="4"/>
    <x v="1"/>
    <x v="1"/>
    <n v="5"/>
    <x v="0"/>
  </r>
  <r>
    <d v="2021-03-05T00:00:00"/>
    <x v="1"/>
    <x v="0"/>
    <x v="1"/>
    <n v="281495826.38999999"/>
    <x v="1"/>
    <x v="0"/>
    <x v="1"/>
    <x v="9"/>
    <x v="4"/>
    <x v="1"/>
    <x v="4"/>
    <x v="1"/>
    <x v="1"/>
    <n v="5"/>
    <x v="0"/>
  </r>
  <r>
    <d v="2021-03-05T00:00:00"/>
    <x v="2"/>
    <x v="1"/>
    <x v="2"/>
    <n v="3618.19"/>
    <x v="2"/>
    <x v="1"/>
    <x v="2"/>
    <x v="4"/>
    <x v="4"/>
    <x v="1"/>
    <x v="4"/>
    <x v="1"/>
    <x v="1"/>
    <n v="5"/>
    <x v="0"/>
  </r>
  <r>
    <d v="2021-03-05T00:00:00"/>
    <x v="0"/>
    <x v="0"/>
    <x v="0"/>
    <n v="215.34"/>
    <x v="0"/>
    <x v="0"/>
    <x v="0"/>
    <x v="0"/>
    <x v="4"/>
    <x v="1"/>
    <x v="4"/>
    <x v="1"/>
    <x v="1"/>
    <n v="5"/>
    <x v="0"/>
  </r>
  <r>
    <d v="2021-03-05T00:00:00"/>
    <x v="3"/>
    <x v="3"/>
    <x v="0"/>
    <n v="778792465.63999999"/>
    <x v="3"/>
    <x v="3"/>
    <x v="0"/>
    <x v="7"/>
    <x v="4"/>
    <x v="1"/>
    <x v="4"/>
    <x v="1"/>
    <x v="1"/>
    <n v="5"/>
    <x v="0"/>
  </r>
  <r>
    <d v="2021-03-05T00:00:00"/>
    <x v="1"/>
    <x v="0"/>
    <x v="0"/>
    <n v="72231380.900000006"/>
    <x v="1"/>
    <x v="0"/>
    <x v="0"/>
    <x v="8"/>
    <x v="4"/>
    <x v="1"/>
    <x v="4"/>
    <x v="1"/>
    <x v="1"/>
    <n v="5"/>
    <x v="0"/>
  </r>
  <r>
    <d v="2021-03-05T00:00:00"/>
    <x v="2"/>
    <x v="1"/>
    <x v="1"/>
    <n v="171889452.74000001"/>
    <x v="2"/>
    <x v="1"/>
    <x v="1"/>
    <x v="10"/>
    <x v="4"/>
    <x v="1"/>
    <x v="4"/>
    <x v="1"/>
    <x v="1"/>
    <n v="5"/>
    <x v="0"/>
  </r>
  <r>
    <d v="2021-03-05T00:00:00"/>
    <x v="3"/>
    <x v="2"/>
    <x v="0"/>
    <n v="875321124.23000002"/>
    <x v="3"/>
    <x v="2"/>
    <x v="0"/>
    <x v="11"/>
    <x v="4"/>
    <x v="1"/>
    <x v="4"/>
    <x v="1"/>
    <x v="1"/>
    <n v="5"/>
    <x v="0"/>
  </r>
  <r>
    <d v="2021-03-05T00:00:00"/>
    <x v="3"/>
    <x v="1"/>
    <x v="0"/>
    <n v="13773255.439999999"/>
    <x v="3"/>
    <x v="1"/>
    <x v="0"/>
    <x v="12"/>
    <x v="4"/>
    <x v="1"/>
    <x v="4"/>
    <x v="1"/>
    <x v="1"/>
    <n v="5"/>
    <x v="0"/>
  </r>
  <r>
    <d v="2021-03-05T00:00:00"/>
    <x v="3"/>
    <x v="2"/>
    <x v="1"/>
    <n v="10968959795.120001"/>
    <x v="3"/>
    <x v="2"/>
    <x v="1"/>
    <x v="13"/>
    <x v="4"/>
    <x v="1"/>
    <x v="4"/>
    <x v="1"/>
    <x v="1"/>
    <n v="5"/>
    <x v="0"/>
  </r>
  <r>
    <d v="2021-03-04T00:00:00"/>
    <x v="3"/>
    <x v="3"/>
    <x v="0"/>
    <n v="970849298.61000001"/>
    <x v="3"/>
    <x v="3"/>
    <x v="0"/>
    <x v="5"/>
    <x v="4"/>
    <x v="1"/>
    <x v="4"/>
    <x v="1"/>
    <x v="1"/>
    <n v="4"/>
    <x v="0"/>
  </r>
  <r>
    <d v="2021-03-04T00:00:00"/>
    <x v="2"/>
    <x v="1"/>
    <x v="2"/>
    <n v="44650"/>
    <x v="2"/>
    <x v="1"/>
    <x v="2"/>
    <x v="3"/>
    <x v="4"/>
    <x v="1"/>
    <x v="4"/>
    <x v="1"/>
    <x v="1"/>
    <n v="4"/>
    <x v="0"/>
  </r>
  <r>
    <d v="2021-03-04T00:00:00"/>
    <x v="0"/>
    <x v="1"/>
    <x v="1"/>
    <n v="-2436183.37"/>
    <x v="0"/>
    <x v="1"/>
    <x v="1"/>
    <x v="2"/>
    <x v="4"/>
    <x v="1"/>
    <x v="4"/>
    <x v="1"/>
    <x v="1"/>
    <n v="4"/>
    <x v="1"/>
  </r>
  <r>
    <d v="2021-03-04T00:00:00"/>
    <x v="0"/>
    <x v="1"/>
    <x v="0"/>
    <n v="20930326.870000001"/>
    <x v="0"/>
    <x v="1"/>
    <x v="0"/>
    <x v="0"/>
    <x v="4"/>
    <x v="1"/>
    <x v="4"/>
    <x v="1"/>
    <x v="1"/>
    <n v="4"/>
    <x v="0"/>
  </r>
  <r>
    <d v="2021-03-04T00:00:00"/>
    <x v="3"/>
    <x v="2"/>
    <x v="2"/>
    <n v="352340"/>
    <x v="3"/>
    <x v="2"/>
    <x v="2"/>
    <x v="4"/>
    <x v="4"/>
    <x v="1"/>
    <x v="4"/>
    <x v="1"/>
    <x v="1"/>
    <n v="4"/>
    <x v="0"/>
  </r>
  <r>
    <d v="2021-03-04T00:00:00"/>
    <x v="1"/>
    <x v="0"/>
    <x v="2"/>
    <n v="70203.259999999995"/>
    <x v="1"/>
    <x v="0"/>
    <x v="2"/>
    <x v="1"/>
    <x v="4"/>
    <x v="1"/>
    <x v="4"/>
    <x v="1"/>
    <x v="1"/>
    <n v="4"/>
    <x v="0"/>
  </r>
  <r>
    <d v="2021-03-04T00:00:00"/>
    <x v="2"/>
    <x v="1"/>
    <x v="0"/>
    <n v="142865524.13"/>
    <x v="2"/>
    <x v="1"/>
    <x v="0"/>
    <x v="6"/>
    <x v="4"/>
    <x v="1"/>
    <x v="4"/>
    <x v="1"/>
    <x v="1"/>
    <n v="4"/>
    <x v="0"/>
  </r>
  <r>
    <d v="2021-03-04T00:00:00"/>
    <x v="1"/>
    <x v="0"/>
    <x v="1"/>
    <n v="536167644.60000002"/>
    <x v="1"/>
    <x v="0"/>
    <x v="1"/>
    <x v="7"/>
    <x v="4"/>
    <x v="1"/>
    <x v="4"/>
    <x v="1"/>
    <x v="1"/>
    <n v="4"/>
    <x v="0"/>
  </r>
  <r>
    <d v="2021-03-04T00:00:00"/>
    <x v="1"/>
    <x v="0"/>
    <x v="0"/>
    <n v="75876981.310000002"/>
    <x v="1"/>
    <x v="0"/>
    <x v="0"/>
    <x v="8"/>
    <x v="4"/>
    <x v="1"/>
    <x v="4"/>
    <x v="1"/>
    <x v="1"/>
    <n v="4"/>
    <x v="0"/>
  </r>
  <r>
    <d v="2021-03-04T00:00:00"/>
    <x v="2"/>
    <x v="1"/>
    <x v="1"/>
    <n v="113545091.81999999"/>
    <x v="2"/>
    <x v="1"/>
    <x v="1"/>
    <x v="9"/>
    <x v="4"/>
    <x v="1"/>
    <x v="4"/>
    <x v="1"/>
    <x v="1"/>
    <n v="4"/>
    <x v="0"/>
  </r>
  <r>
    <d v="2021-03-04T00:00:00"/>
    <x v="3"/>
    <x v="2"/>
    <x v="0"/>
    <n v="494865791.66000003"/>
    <x v="3"/>
    <x v="2"/>
    <x v="0"/>
    <x v="10"/>
    <x v="4"/>
    <x v="1"/>
    <x v="4"/>
    <x v="1"/>
    <x v="1"/>
    <n v="4"/>
    <x v="0"/>
  </r>
  <r>
    <d v="2021-03-04T00:00:00"/>
    <x v="3"/>
    <x v="1"/>
    <x v="0"/>
    <n v="13343813.560000001"/>
    <x v="3"/>
    <x v="1"/>
    <x v="0"/>
    <x v="11"/>
    <x v="4"/>
    <x v="1"/>
    <x v="4"/>
    <x v="1"/>
    <x v="1"/>
    <n v="4"/>
    <x v="0"/>
  </r>
  <r>
    <d v="2021-03-04T00:00:00"/>
    <x v="3"/>
    <x v="2"/>
    <x v="1"/>
    <n v="4850381422.29"/>
    <x v="3"/>
    <x v="2"/>
    <x v="1"/>
    <x v="12"/>
    <x v="4"/>
    <x v="1"/>
    <x v="4"/>
    <x v="1"/>
    <x v="1"/>
    <n v="4"/>
    <x v="0"/>
  </r>
  <r>
    <d v="2021-03-03T00:00:00"/>
    <x v="1"/>
    <x v="0"/>
    <x v="2"/>
    <n v="4781.5200000000004"/>
    <x v="1"/>
    <x v="0"/>
    <x v="2"/>
    <x v="1"/>
    <x v="4"/>
    <x v="1"/>
    <x v="4"/>
    <x v="1"/>
    <x v="1"/>
    <n v="3"/>
    <x v="0"/>
  </r>
  <r>
    <d v="2021-03-03T00:00:00"/>
    <x v="2"/>
    <x v="1"/>
    <x v="2"/>
    <n v="105145"/>
    <x v="2"/>
    <x v="1"/>
    <x v="2"/>
    <x v="2"/>
    <x v="4"/>
    <x v="1"/>
    <x v="4"/>
    <x v="1"/>
    <x v="1"/>
    <n v="3"/>
    <x v="0"/>
  </r>
  <r>
    <d v="2021-03-03T00:00:00"/>
    <x v="3"/>
    <x v="3"/>
    <x v="0"/>
    <n v="1791255075.51"/>
    <x v="3"/>
    <x v="3"/>
    <x v="0"/>
    <x v="6"/>
    <x v="4"/>
    <x v="1"/>
    <x v="4"/>
    <x v="1"/>
    <x v="1"/>
    <n v="3"/>
    <x v="0"/>
  </r>
  <r>
    <d v="2021-03-03T00:00:00"/>
    <x v="0"/>
    <x v="1"/>
    <x v="1"/>
    <n v="32061492.82"/>
    <x v="0"/>
    <x v="1"/>
    <x v="1"/>
    <x v="3"/>
    <x v="4"/>
    <x v="1"/>
    <x v="4"/>
    <x v="1"/>
    <x v="1"/>
    <n v="3"/>
    <x v="0"/>
  </r>
  <r>
    <d v="2021-03-03T00:00:00"/>
    <x v="0"/>
    <x v="1"/>
    <x v="0"/>
    <n v="21165919.210000001"/>
    <x v="0"/>
    <x v="1"/>
    <x v="0"/>
    <x v="0"/>
    <x v="4"/>
    <x v="1"/>
    <x v="4"/>
    <x v="1"/>
    <x v="1"/>
    <n v="3"/>
    <x v="0"/>
  </r>
  <r>
    <d v="2021-03-03T00:00:00"/>
    <x v="1"/>
    <x v="0"/>
    <x v="1"/>
    <n v="828274364.23000002"/>
    <x v="1"/>
    <x v="0"/>
    <x v="1"/>
    <x v="7"/>
    <x v="4"/>
    <x v="1"/>
    <x v="4"/>
    <x v="1"/>
    <x v="1"/>
    <n v="3"/>
    <x v="0"/>
  </r>
  <r>
    <d v="2021-03-03T00:00:00"/>
    <x v="3"/>
    <x v="2"/>
    <x v="2"/>
    <n v="840720.63"/>
    <x v="3"/>
    <x v="2"/>
    <x v="2"/>
    <x v="4"/>
    <x v="4"/>
    <x v="1"/>
    <x v="4"/>
    <x v="1"/>
    <x v="1"/>
    <n v="3"/>
    <x v="0"/>
  </r>
  <r>
    <d v="2021-03-03T00:00:00"/>
    <x v="2"/>
    <x v="1"/>
    <x v="0"/>
    <n v="95061125.950000003"/>
    <x v="2"/>
    <x v="1"/>
    <x v="0"/>
    <x v="5"/>
    <x v="4"/>
    <x v="1"/>
    <x v="4"/>
    <x v="1"/>
    <x v="1"/>
    <n v="3"/>
    <x v="0"/>
  </r>
  <r>
    <d v="2021-03-03T00:00:00"/>
    <x v="1"/>
    <x v="0"/>
    <x v="0"/>
    <n v="74076150.719999999"/>
    <x v="1"/>
    <x v="0"/>
    <x v="0"/>
    <x v="8"/>
    <x v="4"/>
    <x v="1"/>
    <x v="4"/>
    <x v="1"/>
    <x v="1"/>
    <n v="3"/>
    <x v="0"/>
  </r>
  <r>
    <d v="2021-03-03T00:00:00"/>
    <x v="2"/>
    <x v="1"/>
    <x v="1"/>
    <n v="474968757.27999997"/>
    <x v="2"/>
    <x v="1"/>
    <x v="1"/>
    <x v="9"/>
    <x v="4"/>
    <x v="1"/>
    <x v="4"/>
    <x v="1"/>
    <x v="1"/>
    <n v="3"/>
    <x v="0"/>
  </r>
  <r>
    <d v="2021-03-03T00:00:00"/>
    <x v="3"/>
    <x v="2"/>
    <x v="0"/>
    <n v="432652738.80000001"/>
    <x v="3"/>
    <x v="2"/>
    <x v="0"/>
    <x v="10"/>
    <x v="4"/>
    <x v="1"/>
    <x v="4"/>
    <x v="1"/>
    <x v="1"/>
    <n v="3"/>
    <x v="0"/>
  </r>
  <r>
    <d v="2021-03-03T00:00:00"/>
    <x v="3"/>
    <x v="1"/>
    <x v="0"/>
    <n v="12743360.1"/>
    <x v="3"/>
    <x v="1"/>
    <x v="0"/>
    <x v="11"/>
    <x v="4"/>
    <x v="1"/>
    <x v="4"/>
    <x v="1"/>
    <x v="1"/>
    <n v="3"/>
    <x v="0"/>
  </r>
  <r>
    <d v="2021-03-03T00:00:00"/>
    <x v="3"/>
    <x v="2"/>
    <x v="1"/>
    <n v="13606761607.35"/>
    <x v="3"/>
    <x v="2"/>
    <x v="1"/>
    <x v="12"/>
    <x v="4"/>
    <x v="1"/>
    <x v="4"/>
    <x v="1"/>
    <x v="1"/>
    <n v="3"/>
    <x v="0"/>
  </r>
  <r>
    <d v="2021-03-02T00:00:00"/>
    <x v="2"/>
    <x v="1"/>
    <x v="2"/>
    <n v="101807.81"/>
    <x v="2"/>
    <x v="1"/>
    <x v="2"/>
    <x v="3"/>
    <x v="4"/>
    <x v="1"/>
    <x v="4"/>
    <x v="1"/>
    <x v="1"/>
    <n v="2"/>
    <x v="0"/>
  </r>
  <r>
    <d v="2021-03-02T00:00:00"/>
    <x v="3"/>
    <x v="3"/>
    <x v="1"/>
    <n v="47963.13"/>
    <x v="3"/>
    <x v="3"/>
    <x v="1"/>
    <x v="1"/>
    <x v="4"/>
    <x v="1"/>
    <x v="4"/>
    <x v="1"/>
    <x v="1"/>
    <n v="2"/>
    <x v="0"/>
  </r>
  <r>
    <d v="2021-03-02T00:00:00"/>
    <x v="0"/>
    <x v="1"/>
    <x v="1"/>
    <n v="25246760.789999999"/>
    <x v="0"/>
    <x v="1"/>
    <x v="1"/>
    <x v="2"/>
    <x v="4"/>
    <x v="1"/>
    <x v="4"/>
    <x v="1"/>
    <x v="1"/>
    <n v="2"/>
    <x v="0"/>
  </r>
  <r>
    <d v="2021-03-02T00:00:00"/>
    <x v="1"/>
    <x v="0"/>
    <x v="0"/>
    <n v="49061883.82"/>
    <x v="1"/>
    <x v="0"/>
    <x v="0"/>
    <x v="8"/>
    <x v="4"/>
    <x v="1"/>
    <x v="4"/>
    <x v="1"/>
    <x v="1"/>
    <n v="2"/>
    <x v="0"/>
  </r>
  <r>
    <d v="2021-03-02T00:00:00"/>
    <x v="0"/>
    <x v="1"/>
    <x v="0"/>
    <n v="17766115.449999999"/>
    <x v="0"/>
    <x v="1"/>
    <x v="0"/>
    <x v="0"/>
    <x v="4"/>
    <x v="1"/>
    <x v="4"/>
    <x v="1"/>
    <x v="1"/>
    <n v="2"/>
    <x v="0"/>
  </r>
  <r>
    <d v="2021-03-02T00:00:00"/>
    <x v="3"/>
    <x v="2"/>
    <x v="2"/>
    <n v="293996"/>
    <x v="3"/>
    <x v="2"/>
    <x v="2"/>
    <x v="4"/>
    <x v="4"/>
    <x v="1"/>
    <x v="4"/>
    <x v="1"/>
    <x v="1"/>
    <n v="2"/>
    <x v="0"/>
  </r>
  <r>
    <d v="2021-03-02T00:00:00"/>
    <x v="3"/>
    <x v="3"/>
    <x v="0"/>
    <n v="856246765.17999995"/>
    <x v="3"/>
    <x v="3"/>
    <x v="0"/>
    <x v="6"/>
    <x v="4"/>
    <x v="1"/>
    <x v="4"/>
    <x v="1"/>
    <x v="1"/>
    <n v="2"/>
    <x v="0"/>
  </r>
  <r>
    <d v="2021-03-02T00:00:00"/>
    <x v="1"/>
    <x v="0"/>
    <x v="1"/>
    <n v="217774258.02000001"/>
    <x v="1"/>
    <x v="0"/>
    <x v="1"/>
    <x v="7"/>
    <x v="4"/>
    <x v="1"/>
    <x v="4"/>
    <x v="1"/>
    <x v="1"/>
    <n v="2"/>
    <x v="0"/>
  </r>
  <r>
    <d v="2021-03-02T00:00:00"/>
    <x v="2"/>
    <x v="1"/>
    <x v="0"/>
    <n v="123371491.23"/>
    <x v="2"/>
    <x v="1"/>
    <x v="0"/>
    <x v="5"/>
    <x v="4"/>
    <x v="1"/>
    <x v="4"/>
    <x v="1"/>
    <x v="1"/>
    <n v="2"/>
    <x v="0"/>
  </r>
  <r>
    <d v="2021-03-02T00:00:00"/>
    <x v="2"/>
    <x v="1"/>
    <x v="1"/>
    <n v="373858167.24000001"/>
    <x v="2"/>
    <x v="1"/>
    <x v="1"/>
    <x v="9"/>
    <x v="4"/>
    <x v="1"/>
    <x v="4"/>
    <x v="1"/>
    <x v="1"/>
    <n v="2"/>
    <x v="0"/>
  </r>
  <r>
    <d v="2021-03-02T00:00:00"/>
    <x v="3"/>
    <x v="2"/>
    <x v="0"/>
    <n v="464493615.60000002"/>
    <x v="3"/>
    <x v="2"/>
    <x v="0"/>
    <x v="10"/>
    <x v="4"/>
    <x v="1"/>
    <x v="4"/>
    <x v="1"/>
    <x v="1"/>
    <n v="2"/>
    <x v="0"/>
  </r>
  <r>
    <d v="2021-03-02T00:00:00"/>
    <x v="3"/>
    <x v="1"/>
    <x v="0"/>
    <n v="10903709.76"/>
    <x v="3"/>
    <x v="1"/>
    <x v="0"/>
    <x v="11"/>
    <x v="4"/>
    <x v="1"/>
    <x v="4"/>
    <x v="1"/>
    <x v="1"/>
    <n v="2"/>
    <x v="0"/>
  </r>
  <r>
    <d v="2021-03-02T00:00:00"/>
    <x v="3"/>
    <x v="2"/>
    <x v="1"/>
    <n v="8967995289.4899998"/>
    <x v="3"/>
    <x v="2"/>
    <x v="1"/>
    <x v="12"/>
    <x v="4"/>
    <x v="1"/>
    <x v="4"/>
    <x v="1"/>
    <x v="1"/>
    <n v="2"/>
    <x v="0"/>
  </r>
  <r>
    <d v="2021-03-01T00:00:00"/>
    <x v="0"/>
    <x v="1"/>
    <x v="0"/>
    <n v="6341265.7800000003"/>
    <x v="0"/>
    <x v="1"/>
    <x v="0"/>
    <x v="1"/>
    <x v="4"/>
    <x v="1"/>
    <x v="4"/>
    <x v="1"/>
    <x v="1"/>
    <n v="1"/>
    <x v="0"/>
  </r>
  <r>
    <d v="2021-03-01T00:00:00"/>
    <x v="1"/>
    <x v="0"/>
    <x v="2"/>
    <n v="9772.09"/>
    <x v="1"/>
    <x v="0"/>
    <x v="2"/>
    <x v="2"/>
    <x v="4"/>
    <x v="1"/>
    <x v="4"/>
    <x v="1"/>
    <x v="1"/>
    <n v="1"/>
    <x v="0"/>
  </r>
  <r>
    <d v="2021-03-01T00:00:00"/>
    <x v="3"/>
    <x v="3"/>
    <x v="0"/>
    <n v="4723898955.9099998"/>
    <x v="3"/>
    <x v="3"/>
    <x v="0"/>
    <x v="5"/>
    <x v="4"/>
    <x v="1"/>
    <x v="4"/>
    <x v="1"/>
    <x v="1"/>
    <n v="1"/>
    <x v="0"/>
  </r>
  <r>
    <d v="2021-03-01T00:00:00"/>
    <x v="0"/>
    <x v="1"/>
    <x v="1"/>
    <n v="14881100.34"/>
    <x v="0"/>
    <x v="1"/>
    <x v="1"/>
    <x v="3"/>
    <x v="4"/>
    <x v="1"/>
    <x v="4"/>
    <x v="1"/>
    <x v="1"/>
    <n v="1"/>
    <x v="0"/>
  </r>
  <r>
    <d v="2021-03-01T00:00:00"/>
    <x v="1"/>
    <x v="0"/>
    <x v="0"/>
    <n v="76991584.799999997"/>
    <x v="1"/>
    <x v="0"/>
    <x v="0"/>
    <x v="7"/>
    <x v="4"/>
    <x v="1"/>
    <x v="4"/>
    <x v="1"/>
    <x v="1"/>
    <n v="1"/>
    <x v="0"/>
  </r>
  <r>
    <d v="2021-03-01T00:00:00"/>
    <x v="0"/>
    <x v="0"/>
    <x v="0"/>
    <n v="-916.41"/>
    <x v="0"/>
    <x v="0"/>
    <x v="0"/>
    <x v="0"/>
    <x v="4"/>
    <x v="1"/>
    <x v="4"/>
    <x v="1"/>
    <x v="1"/>
    <n v="1"/>
    <x v="1"/>
  </r>
  <r>
    <d v="2021-03-01T00:00:00"/>
    <x v="2"/>
    <x v="1"/>
    <x v="0"/>
    <n v="53374471.039999999"/>
    <x v="2"/>
    <x v="1"/>
    <x v="0"/>
    <x v="6"/>
    <x v="4"/>
    <x v="1"/>
    <x v="4"/>
    <x v="1"/>
    <x v="1"/>
    <n v="1"/>
    <x v="0"/>
  </r>
  <r>
    <d v="2021-03-01T00:00:00"/>
    <x v="3"/>
    <x v="2"/>
    <x v="2"/>
    <n v="219653.1"/>
    <x v="3"/>
    <x v="2"/>
    <x v="2"/>
    <x v="4"/>
    <x v="4"/>
    <x v="1"/>
    <x v="4"/>
    <x v="1"/>
    <x v="1"/>
    <n v="1"/>
    <x v="0"/>
  </r>
  <r>
    <d v="2021-03-01T00:00:00"/>
    <x v="1"/>
    <x v="0"/>
    <x v="1"/>
    <n v="278743188.16000003"/>
    <x v="1"/>
    <x v="0"/>
    <x v="1"/>
    <x v="8"/>
    <x v="4"/>
    <x v="1"/>
    <x v="4"/>
    <x v="1"/>
    <x v="1"/>
    <n v="1"/>
    <x v="0"/>
  </r>
  <r>
    <d v="2021-03-01T00:00:00"/>
    <x v="2"/>
    <x v="1"/>
    <x v="1"/>
    <n v="329415467.79000002"/>
    <x v="2"/>
    <x v="1"/>
    <x v="1"/>
    <x v="9"/>
    <x v="4"/>
    <x v="1"/>
    <x v="4"/>
    <x v="1"/>
    <x v="1"/>
    <n v="1"/>
    <x v="0"/>
  </r>
  <r>
    <d v="2021-03-01T00:00:00"/>
    <x v="3"/>
    <x v="2"/>
    <x v="0"/>
    <n v="709949953.36000001"/>
    <x v="3"/>
    <x v="2"/>
    <x v="0"/>
    <x v="10"/>
    <x v="4"/>
    <x v="1"/>
    <x v="4"/>
    <x v="1"/>
    <x v="1"/>
    <n v="1"/>
    <x v="0"/>
  </r>
  <r>
    <d v="2021-03-01T00:00:00"/>
    <x v="3"/>
    <x v="2"/>
    <x v="1"/>
    <n v="43188897492.93"/>
    <x v="3"/>
    <x v="2"/>
    <x v="1"/>
    <x v="11"/>
    <x v="4"/>
    <x v="1"/>
    <x v="4"/>
    <x v="1"/>
    <x v="1"/>
    <n v="1"/>
    <x v="0"/>
  </r>
  <r>
    <d v="2021-03-01T00:00:00"/>
    <x v="3"/>
    <x v="1"/>
    <x v="0"/>
    <n v="44176018.090000004"/>
    <x v="3"/>
    <x v="1"/>
    <x v="0"/>
    <x v="12"/>
    <x v="4"/>
    <x v="1"/>
    <x v="4"/>
    <x v="1"/>
    <x v="1"/>
    <n v="1"/>
    <x v="0"/>
  </r>
  <r>
    <d v="2021-02-26T00:00:00"/>
    <x v="0"/>
    <x v="1"/>
    <x v="0"/>
    <n v="13261312.880000001"/>
    <x v="0"/>
    <x v="1"/>
    <x v="0"/>
    <x v="1"/>
    <x v="4"/>
    <x v="1"/>
    <x v="4"/>
    <x v="1"/>
    <x v="2"/>
    <n v="26"/>
    <x v="0"/>
  </r>
  <r>
    <d v="2021-02-26T00:00:00"/>
    <x v="1"/>
    <x v="0"/>
    <x v="2"/>
    <n v="11604.98"/>
    <x v="1"/>
    <x v="0"/>
    <x v="2"/>
    <x v="2"/>
    <x v="4"/>
    <x v="1"/>
    <x v="4"/>
    <x v="1"/>
    <x v="2"/>
    <n v="26"/>
    <x v="0"/>
  </r>
  <r>
    <d v="2021-02-26T00:00:00"/>
    <x v="3"/>
    <x v="3"/>
    <x v="1"/>
    <n v="82514.559999999998"/>
    <x v="3"/>
    <x v="3"/>
    <x v="1"/>
    <x v="3"/>
    <x v="4"/>
    <x v="1"/>
    <x v="4"/>
    <x v="1"/>
    <x v="2"/>
    <n v="26"/>
    <x v="0"/>
  </r>
  <r>
    <d v="2021-02-26T00:00:00"/>
    <x v="3"/>
    <x v="3"/>
    <x v="0"/>
    <n v="2354650064.52"/>
    <x v="3"/>
    <x v="3"/>
    <x v="0"/>
    <x v="8"/>
    <x v="4"/>
    <x v="1"/>
    <x v="4"/>
    <x v="1"/>
    <x v="2"/>
    <n v="26"/>
    <x v="0"/>
  </r>
  <r>
    <d v="2021-02-26T00:00:00"/>
    <x v="2"/>
    <x v="1"/>
    <x v="0"/>
    <n v="91447670.819999993"/>
    <x v="2"/>
    <x v="1"/>
    <x v="0"/>
    <x v="9"/>
    <x v="4"/>
    <x v="1"/>
    <x v="4"/>
    <x v="1"/>
    <x v="2"/>
    <n v="26"/>
    <x v="0"/>
  </r>
  <r>
    <d v="2021-02-26T00:00:00"/>
    <x v="0"/>
    <x v="1"/>
    <x v="1"/>
    <n v="14482031.689999999"/>
    <x v="0"/>
    <x v="1"/>
    <x v="1"/>
    <x v="5"/>
    <x v="4"/>
    <x v="1"/>
    <x v="4"/>
    <x v="1"/>
    <x v="2"/>
    <n v="26"/>
    <x v="0"/>
  </r>
  <r>
    <d v="2021-02-26T00:00:00"/>
    <x v="1"/>
    <x v="0"/>
    <x v="1"/>
    <n v="158598334.53999999"/>
    <x v="1"/>
    <x v="0"/>
    <x v="1"/>
    <x v="10"/>
    <x v="4"/>
    <x v="1"/>
    <x v="4"/>
    <x v="1"/>
    <x v="2"/>
    <n v="26"/>
    <x v="0"/>
  </r>
  <r>
    <d v="2021-02-26T00:00:00"/>
    <x v="2"/>
    <x v="1"/>
    <x v="2"/>
    <n v="63629.49"/>
    <x v="2"/>
    <x v="1"/>
    <x v="2"/>
    <x v="6"/>
    <x v="4"/>
    <x v="1"/>
    <x v="4"/>
    <x v="1"/>
    <x v="2"/>
    <n v="26"/>
    <x v="0"/>
  </r>
  <r>
    <d v="2021-02-26T00:00:00"/>
    <x v="3"/>
    <x v="2"/>
    <x v="2"/>
    <n v="1409517.99"/>
    <x v="3"/>
    <x v="2"/>
    <x v="2"/>
    <x v="7"/>
    <x v="4"/>
    <x v="1"/>
    <x v="4"/>
    <x v="1"/>
    <x v="2"/>
    <n v="26"/>
    <x v="0"/>
  </r>
  <r>
    <d v="2021-02-26T00:00:00"/>
    <x v="0"/>
    <x v="0"/>
    <x v="0"/>
    <n v="0"/>
    <x v="0"/>
    <x v="0"/>
    <x v="0"/>
    <x v="0"/>
    <x v="4"/>
    <x v="1"/>
    <x v="4"/>
    <x v="1"/>
    <x v="2"/>
    <n v="26"/>
    <x v="0"/>
  </r>
  <r>
    <d v="2021-02-26T00:00:00"/>
    <x v="0"/>
    <x v="0"/>
    <x v="1"/>
    <n v="-64502"/>
    <x v="0"/>
    <x v="0"/>
    <x v="1"/>
    <x v="4"/>
    <x v="4"/>
    <x v="1"/>
    <x v="4"/>
    <x v="1"/>
    <x v="2"/>
    <n v="26"/>
    <x v="1"/>
  </r>
  <r>
    <d v="2021-02-26T00:00:00"/>
    <x v="1"/>
    <x v="0"/>
    <x v="0"/>
    <n v="79848496.269999996"/>
    <x v="1"/>
    <x v="0"/>
    <x v="0"/>
    <x v="11"/>
    <x v="4"/>
    <x v="1"/>
    <x v="4"/>
    <x v="1"/>
    <x v="2"/>
    <n v="26"/>
    <x v="0"/>
  </r>
  <r>
    <d v="2021-02-26T00:00:00"/>
    <x v="2"/>
    <x v="1"/>
    <x v="1"/>
    <n v="101385304.45999999"/>
    <x v="2"/>
    <x v="1"/>
    <x v="1"/>
    <x v="12"/>
    <x v="4"/>
    <x v="1"/>
    <x v="4"/>
    <x v="1"/>
    <x v="2"/>
    <n v="26"/>
    <x v="0"/>
  </r>
  <r>
    <d v="2021-02-26T00:00:00"/>
    <x v="3"/>
    <x v="2"/>
    <x v="0"/>
    <n v="923957721.46000004"/>
    <x v="3"/>
    <x v="2"/>
    <x v="0"/>
    <x v="13"/>
    <x v="4"/>
    <x v="1"/>
    <x v="4"/>
    <x v="1"/>
    <x v="2"/>
    <n v="26"/>
    <x v="0"/>
  </r>
  <r>
    <d v="2021-02-26T00:00:00"/>
    <x v="3"/>
    <x v="1"/>
    <x v="0"/>
    <n v="12347261.609999999"/>
    <x v="3"/>
    <x v="1"/>
    <x v="0"/>
    <x v="14"/>
    <x v="4"/>
    <x v="1"/>
    <x v="4"/>
    <x v="1"/>
    <x v="2"/>
    <n v="26"/>
    <x v="0"/>
  </r>
  <r>
    <d v="2021-02-26T00:00:00"/>
    <x v="3"/>
    <x v="2"/>
    <x v="1"/>
    <n v="13501035557.58"/>
    <x v="3"/>
    <x v="2"/>
    <x v="1"/>
    <x v="15"/>
    <x v="4"/>
    <x v="1"/>
    <x v="4"/>
    <x v="1"/>
    <x v="2"/>
    <n v="26"/>
    <x v="0"/>
  </r>
  <r>
    <d v="2021-02-25T00:00:00"/>
    <x v="2"/>
    <x v="1"/>
    <x v="2"/>
    <n v="21690"/>
    <x v="2"/>
    <x v="1"/>
    <x v="2"/>
    <x v="3"/>
    <x v="4"/>
    <x v="1"/>
    <x v="4"/>
    <x v="1"/>
    <x v="2"/>
    <n v="25"/>
    <x v="0"/>
  </r>
  <r>
    <d v="2021-02-25T00:00:00"/>
    <x v="2"/>
    <x v="1"/>
    <x v="0"/>
    <n v="84426872.739999995"/>
    <x v="2"/>
    <x v="1"/>
    <x v="0"/>
    <x v="6"/>
    <x v="4"/>
    <x v="1"/>
    <x v="4"/>
    <x v="1"/>
    <x v="2"/>
    <n v="25"/>
    <x v="0"/>
  </r>
  <r>
    <d v="2021-02-25T00:00:00"/>
    <x v="0"/>
    <x v="1"/>
    <x v="1"/>
    <n v="27742380.59"/>
    <x v="0"/>
    <x v="1"/>
    <x v="1"/>
    <x v="4"/>
    <x v="4"/>
    <x v="1"/>
    <x v="4"/>
    <x v="1"/>
    <x v="2"/>
    <n v="25"/>
    <x v="0"/>
  </r>
  <r>
    <d v="2021-02-25T00:00:00"/>
    <x v="3"/>
    <x v="2"/>
    <x v="2"/>
    <n v="288325.99"/>
    <x v="3"/>
    <x v="2"/>
    <x v="2"/>
    <x v="5"/>
    <x v="4"/>
    <x v="1"/>
    <x v="4"/>
    <x v="1"/>
    <x v="2"/>
    <n v="25"/>
    <x v="0"/>
  </r>
  <r>
    <d v="2021-02-25T00:00:00"/>
    <x v="3"/>
    <x v="3"/>
    <x v="0"/>
    <n v="1548766349.23"/>
    <x v="3"/>
    <x v="3"/>
    <x v="0"/>
    <x v="7"/>
    <x v="4"/>
    <x v="1"/>
    <x v="4"/>
    <x v="1"/>
    <x v="2"/>
    <n v="25"/>
    <x v="0"/>
  </r>
  <r>
    <d v="2021-02-25T00:00:00"/>
    <x v="0"/>
    <x v="1"/>
    <x v="0"/>
    <n v="20817009.120000001"/>
    <x v="0"/>
    <x v="1"/>
    <x v="0"/>
    <x v="1"/>
    <x v="4"/>
    <x v="1"/>
    <x v="4"/>
    <x v="1"/>
    <x v="2"/>
    <n v="25"/>
    <x v="0"/>
  </r>
  <r>
    <d v="2021-02-25T00:00:00"/>
    <x v="1"/>
    <x v="0"/>
    <x v="2"/>
    <n v="4894.7700000000004"/>
    <x v="1"/>
    <x v="0"/>
    <x v="2"/>
    <x v="2"/>
    <x v="4"/>
    <x v="1"/>
    <x v="4"/>
    <x v="1"/>
    <x v="2"/>
    <n v="25"/>
    <x v="0"/>
  </r>
  <r>
    <d v="2021-02-25T00:00:00"/>
    <x v="0"/>
    <x v="0"/>
    <x v="0"/>
    <n v="300"/>
    <x v="0"/>
    <x v="0"/>
    <x v="0"/>
    <x v="0"/>
    <x v="4"/>
    <x v="1"/>
    <x v="4"/>
    <x v="1"/>
    <x v="2"/>
    <n v="25"/>
    <x v="0"/>
  </r>
  <r>
    <d v="2021-02-25T00:00:00"/>
    <x v="1"/>
    <x v="0"/>
    <x v="1"/>
    <n v="249322602.47"/>
    <x v="1"/>
    <x v="0"/>
    <x v="1"/>
    <x v="8"/>
    <x v="4"/>
    <x v="1"/>
    <x v="4"/>
    <x v="1"/>
    <x v="2"/>
    <n v="25"/>
    <x v="0"/>
  </r>
  <r>
    <d v="2021-02-25T00:00:00"/>
    <x v="1"/>
    <x v="0"/>
    <x v="0"/>
    <n v="73794270.840000004"/>
    <x v="1"/>
    <x v="0"/>
    <x v="0"/>
    <x v="9"/>
    <x v="4"/>
    <x v="1"/>
    <x v="4"/>
    <x v="1"/>
    <x v="2"/>
    <n v="25"/>
    <x v="0"/>
  </r>
  <r>
    <d v="2021-02-25T00:00:00"/>
    <x v="2"/>
    <x v="1"/>
    <x v="1"/>
    <n v="108327172.08"/>
    <x v="2"/>
    <x v="1"/>
    <x v="1"/>
    <x v="10"/>
    <x v="4"/>
    <x v="1"/>
    <x v="4"/>
    <x v="1"/>
    <x v="2"/>
    <n v="25"/>
    <x v="0"/>
  </r>
  <r>
    <d v="2021-02-25T00:00:00"/>
    <x v="3"/>
    <x v="2"/>
    <x v="0"/>
    <n v="613010618.98000002"/>
    <x v="3"/>
    <x v="2"/>
    <x v="0"/>
    <x v="11"/>
    <x v="4"/>
    <x v="1"/>
    <x v="4"/>
    <x v="1"/>
    <x v="2"/>
    <n v="25"/>
    <x v="0"/>
  </r>
  <r>
    <d v="2021-02-25T00:00:00"/>
    <x v="3"/>
    <x v="1"/>
    <x v="0"/>
    <n v="12819511.800000001"/>
    <x v="3"/>
    <x v="1"/>
    <x v="0"/>
    <x v="12"/>
    <x v="4"/>
    <x v="1"/>
    <x v="4"/>
    <x v="1"/>
    <x v="2"/>
    <n v="25"/>
    <x v="0"/>
  </r>
  <r>
    <d v="2021-02-25T00:00:00"/>
    <x v="3"/>
    <x v="2"/>
    <x v="1"/>
    <n v="4735202826.8699999"/>
    <x v="3"/>
    <x v="2"/>
    <x v="1"/>
    <x v="13"/>
    <x v="4"/>
    <x v="1"/>
    <x v="4"/>
    <x v="1"/>
    <x v="2"/>
    <n v="25"/>
    <x v="0"/>
  </r>
  <r>
    <d v="2021-02-24T00:00:00"/>
    <x v="1"/>
    <x v="0"/>
    <x v="2"/>
    <n v="5054.25"/>
    <x v="1"/>
    <x v="0"/>
    <x v="2"/>
    <x v="2"/>
    <x v="4"/>
    <x v="1"/>
    <x v="4"/>
    <x v="1"/>
    <x v="2"/>
    <n v="24"/>
    <x v="0"/>
  </r>
  <r>
    <d v="2021-02-24T00:00:00"/>
    <x v="2"/>
    <x v="1"/>
    <x v="0"/>
    <n v="118871989.95"/>
    <x v="2"/>
    <x v="1"/>
    <x v="0"/>
    <x v="7"/>
    <x v="4"/>
    <x v="1"/>
    <x v="4"/>
    <x v="1"/>
    <x v="2"/>
    <n v="24"/>
    <x v="0"/>
  </r>
  <r>
    <d v="2021-02-24T00:00:00"/>
    <x v="2"/>
    <x v="1"/>
    <x v="2"/>
    <n v="21490"/>
    <x v="2"/>
    <x v="1"/>
    <x v="2"/>
    <x v="3"/>
    <x v="4"/>
    <x v="1"/>
    <x v="4"/>
    <x v="1"/>
    <x v="2"/>
    <n v="24"/>
    <x v="0"/>
  </r>
  <r>
    <d v="2021-02-24T00:00:00"/>
    <x v="0"/>
    <x v="0"/>
    <x v="1"/>
    <n v="-41497.160000000003"/>
    <x v="0"/>
    <x v="0"/>
    <x v="1"/>
    <x v="4"/>
    <x v="4"/>
    <x v="1"/>
    <x v="4"/>
    <x v="1"/>
    <x v="2"/>
    <n v="24"/>
    <x v="1"/>
  </r>
  <r>
    <d v="2021-02-24T00:00:00"/>
    <x v="0"/>
    <x v="1"/>
    <x v="1"/>
    <n v="7984803.75"/>
    <x v="0"/>
    <x v="1"/>
    <x v="1"/>
    <x v="5"/>
    <x v="4"/>
    <x v="1"/>
    <x v="4"/>
    <x v="1"/>
    <x v="2"/>
    <n v="24"/>
    <x v="0"/>
  </r>
  <r>
    <d v="2021-02-24T00:00:00"/>
    <x v="1"/>
    <x v="0"/>
    <x v="0"/>
    <n v="112499336.83"/>
    <x v="1"/>
    <x v="0"/>
    <x v="0"/>
    <x v="10"/>
    <x v="4"/>
    <x v="1"/>
    <x v="4"/>
    <x v="1"/>
    <x v="2"/>
    <n v="24"/>
    <x v="0"/>
  </r>
  <r>
    <d v="2021-02-24T00:00:00"/>
    <x v="2"/>
    <x v="1"/>
    <x v="1"/>
    <n v="81447387.290000007"/>
    <x v="2"/>
    <x v="1"/>
    <x v="1"/>
    <x v="11"/>
    <x v="4"/>
    <x v="1"/>
    <x v="4"/>
    <x v="1"/>
    <x v="2"/>
    <n v="24"/>
    <x v="0"/>
  </r>
  <r>
    <d v="2021-02-24T00:00:00"/>
    <x v="3"/>
    <x v="2"/>
    <x v="2"/>
    <n v="453911.21"/>
    <x v="3"/>
    <x v="2"/>
    <x v="2"/>
    <x v="6"/>
    <x v="4"/>
    <x v="1"/>
    <x v="4"/>
    <x v="1"/>
    <x v="2"/>
    <n v="24"/>
    <x v="0"/>
  </r>
  <r>
    <d v="2021-02-24T00:00:00"/>
    <x v="0"/>
    <x v="1"/>
    <x v="0"/>
    <n v="11295375.24"/>
    <x v="0"/>
    <x v="1"/>
    <x v="0"/>
    <x v="1"/>
    <x v="4"/>
    <x v="1"/>
    <x v="4"/>
    <x v="1"/>
    <x v="2"/>
    <n v="24"/>
    <x v="0"/>
  </r>
  <r>
    <d v="2021-02-24T00:00:00"/>
    <x v="1"/>
    <x v="0"/>
    <x v="1"/>
    <n v="442679895.74000001"/>
    <x v="1"/>
    <x v="0"/>
    <x v="1"/>
    <x v="9"/>
    <x v="4"/>
    <x v="1"/>
    <x v="4"/>
    <x v="1"/>
    <x v="2"/>
    <n v="24"/>
    <x v="0"/>
  </r>
  <r>
    <d v="2021-02-24T00:00:00"/>
    <x v="0"/>
    <x v="0"/>
    <x v="0"/>
    <n v="50"/>
    <x v="0"/>
    <x v="0"/>
    <x v="0"/>
    <x v="0"/>
    <x v="4"/>
    <x v="1"/>
    <x v="4"/>
    <x v="1"/>
    <x v="2"/>
    <n v="24"/>
    <x v="0"/>
  </r>
  <r>
    <d v="2021-02-24T00:00:00"/>
    <x v="3"/>
    <x v="1"/>
    <x v="0"/>
    <n v="11598745.119999999"/>
    <x v="3"/>
    <x v="1"/>
    <x v="0"/>
    <x v="12"/>
    <x v="4"/>
    <x v="1"/>
    <x v="4"/>
    <x v="1"/>
    <x v="2"/>
    <n v="24"/>
    <x v="0"/>
  </r>
  <r>
    <d v="2021-02-24T00:00:00"/>
    <x v="3"/>
    <x v="2"/>
    <x v="0"/>
    <n v="363413177.68000001"/>
    <x v="3"/>
    <x v="2"/>
    <x v="0"/>
    <x v="13"/>
    <x v="4"/>
    <x v="1"/>
    <x v="4"/>
    <x v="1"/>
    <x v="2"/>
    <n v="24"/>
    <x v="0"/>
  </r>
  <r>
    <d v="2021-02-24T00:00:00"/>
    <x v="3"/>
    <x v="2"/>
    <x v="1"/>
    <n v="9939481041.6800003"/>
    <x v="3"/>
    <x v="2"/>
    <x v="1"/>
    <x v="14"/>
    <x v="4"/>
    <x v="1"/>
    <x v="4"/>
    <x v="1"/>
    <x v="2"/>
    <n v="24"/>
    <x v="0"/>
  </r>
  <r>
    <d v="2021-02-24T00:00:00"/>
    <x v="3"/>
    <x v="3"/>
    <x v="0"/>
    <n v="1261874982.8599999"/>
    <x v="3"/>
    <x v="3"/>
    <x v="0"/>
    <x v="8"/>
    <x v="4"/>
    <x v="1"/>
    <x v="4"/>
    <x v="1"/>
    <x v="2"/>
    <n v="24"/>
    <x v="0"/>
  </r>
  <r>
    <d v="2021-02-23T00:00:00"/>
    <x v="1"/>
    <x v="0"/>
    <x v="2"/>
    <n v="7480.64"/>
    <x v="1"/>
    <x v="0"/>
    <x v="2"/>
    <x v="2"/>
    <x v="4"/>
    <x v="1"/>
    <x v="4"/>
    <x v="1"/>
    <x v="2"/>
    <n v="23"/>
    <x v="0"/>
  </r>
  <r>
    <d v="2021-02-23T00:00:00"/>
    <x v="2"/>
    <x v="1"/>
    <x v="0"/>
    <n v="64551235.770000003"/>
    <x v="2"/>
    <x v="1"/>
    <x v="0"/>
    <x v="7"/>
    <x v="4"/>
    <x v="1"/>
    <x v="4"/>
    <x v="1"/>
    <x v="2"/>
    <n v="23"/>
    <x v="0"/>
  </r>
  <r>
    <d v="2021-02-23T00:00:00"/>
    <x v="2"/>
    <x v="1"/>
    <x v="2"/>
    <n v="10910.24"/>
    <x v="2"/>
    <x v="1"/>
    <x v="2"/>
    <x v="5"/>
    <x v="4"/>
    <x v="1"/>
    <x v="4"/>
    <x v="1"/>
    <x v="2"/>
    <n v="23"/>
    <x v="0"/>
  </r>
  <r>
    <d v="2021-02-23T00:00:00"/>
    <x v="3"/>
    <x v="3"/>
    <x v="0"/>
    <n v="902365143.26999998"/>
    <x v="3"/>
    <x v="3"/>
    <x v="0"/>
    <x v="8"/>
    <x v="4"/>
    <x v="1"/>
    <x v="4"/>
    <x v="1"/>
    <x v="2"/>
    <n v="23"/>
    <x v="0"/>
  </r>
  <r>
    <d v="2021-02-23T00:00:00"/>
    <x v="1"/>
    <x v="0"/>
    <x v="0"/>
    <n v="95959011.790000007"/>
    <x v="1"/>
    <x v="0"/>
    <x v="0"/>
    <x v="9"/>
    <x v="4"/>
    <x v="1"/>
    <x v="4"/>
    <x v="1"/>
    <x v="2"/>
    <n v="23"/>
    <x v="0"/>
  </r>
  <r>
    <d v="2021-02-23T00:00:00"/>
    <x v="1"/>
    <x v="0"/>
    <x v="1"/>
    <n v="120853517.34999999"/>
    <x v="1"/>
    <x v="0"/>
    <x v="1"/>
    <x v="10"/>
    <x v="4"/>
    <x v="1"/>
    <x v="4"/>
    <x v="1"/>
    <x v="2"/>
    <n v="23"/>
    <x v="0"/>
  </r>
  <r>
    <d v="2021-02-23T00:00:00"/>
    <x v="2"/>
    <x v="1"/>
    <x v="1"/>
    <n v="134197332.56999999"/>
    <x v="2"/>
    <x v="1"/>
    <x v="1"/>
    <x v="11"/>
    <x v="4"/>
    <x v="1"/>
    <x v="4"/>
    <x v="1"/>
    <x v="2"/>
    <n v="23"/>
    <x v="0"/>
  </r>
  <r>
    <d v="2021-02-23T00:00:00"/>
    <x v="0"/>
    <x v="1"/>
    <x v="0"/>
    <n v="8505038.5500000007"/>
    <x v="0"/>
    <x v="1"/>
    <x v="0"/>
    <x v="1"/>
    <x v="4"/>
    <x v="1"/>
    <x v="4"/>
    <x v="1"/>
    <x v="2"/>
    <n v="23"/>
    <x v="0"/>
  </r>
  <r>
    <d v="2021-02-23T00:00:00"/>
    <x v="0"/>
    <x v="0"/>
    <x v="0"/>
    <n v="862.78"/>
    <x v="0"/>
    <x v="0"/>
    <x v="0"/>
    <x v="0"/>
    <x v="4"/>
    <x v="1"/>
    <x v="4"/>
    <x v="1"/>
    <x v="2"/>
    <n v="23"/>
    <x v="0"/>
  </r>
  <r>
    <d v="2021-02-23T00:00:00"/>
    <x v="0"/>
    <x v="0"/>
    <x v="1"/>
    <n v="-7609"/>
    <x v="0"/>
    <x v="0"/>
    <x v="1"/>
    <x v="3"/>
    <x v="4"/>
    <x v="1"/>
    <x v="4"/>
    <x v="1"/>
    <x v="2"/>
    <n v="23"/>
    <x v="1"/>
  </r>
  <r>
    <d v="2021-02-23T00:00:00"/>
    <x v="0"/>
    <x v="1"/>
    <x v="1"/>
    <n v="12865244.77"/>
    <x v="0"/>
    <x v="1"/>
    <x v="1"/>
    <x v="4"/>
    <x v="4"/>
    <x v="1"/>
    <x v="4"/>
    <x v="1"/>
    <x v="2"/>
    <n v="23"/>
    <x v="0"/>
  </r>
  <r>
    <d v="2021-02-23T00:00:00"/>
    <x v="3"/>
    <x v="2"/>
    <x v="2"/>
    <n v="512993.03"/>
    <x v="3"/>
    <x v="2"/>
    <x v="2"/>
    <x v="6"/>
    <x v="4"/>
    <x v="1"/>
    <x v="4"/>
    <x v="1"/>
    <x v="2"/>
    <n v="23"/>
    <x v="0"/>
  </r>
  <r>
    <d v="2021-02-23T00:00:00"/>
    <x v="3"/>
    <x v="1"/>
    <x v="0"/>
    <n v="10053756.060000001"/>
    <x v="3"/>
    <x v="1"/>
    <x v="0"/>
    <x v="12"/>
    <x v="4"/>
    <x v="1"/>
    <x v="4"/>
    <x v="1"/>
    <x v="2"/>
    <n v="23"/>
    <x v="0"/>
  </r>
  <r>
    <d v="2021-02-23T00:00:00"/>
    <x v="3"/>
    <x v="2"/>
    <x v="0"/>
    <n v="5486403353.9200001"/>
    <x v="3"/>
    <x v="2"/>
    <x v="0"/>
    <x v="13"/>
    <x v="4"/>
    <x v="1"/>
    <x v="4"/>
    <x v="1"/>
    <x v="2"/>
    <n v="23"/>
    <x v="0"/>
  </r>
  <r>
    <d v="2021-02-23T00:00:00"/>
    <x v="3"/>
    <x v="2"/>
    <x v="1"/>
    <n v="3995281419.2399998"/>
    <x v="3"/>
    <x v="2"/>
    <x v="1"/>
    <x v="14"/>
    <x v="4"/>
    <x v="1"/>
    <x v="4"/>
    <x v="1"/>
    <x v="2"/>
    <n v="23"/>
    <x v="0"/>
  </r>
  <r>
    <d v="2021-02-22T00:00:00"/>
    <x v="3"/>
    <x v="2"/>
    <x v="2"/>
    <n v="335071.78999999998"/>
    <x v="3"/>
    <x v="2"/>
    <x v="2"/>
    <x v="5"/>
    <x v="4"/>
    <x v="1"/>
    <x v="4"/>
    <x v="1"/>
    <x v="2"/>
    <n v="22"/>
    <x v="0"/>
  </r>
  <r>
    <d v="2021-02-22T00:00:00"/>
    <x v="0"/>
    <x v="1"/>
    <x v="2"/>
    <n v="67"/>
    <x v="0"/>
    <x v="1"/>
    <x v="2"/>
    <x v="2"/>
    <x v="4"/>
    <x v="1"/>
    <x v="4"/>
    <x v="1"/>
    <x v="2"/>
    <n v="22"/>
    <x v="0"/>
  </r>
  <r>
    <d v="2021-02-22T00:00:00"/>
    <x v="2"/>
    <x v="1"/>
    <x v="0"/>
    <n v="56292752.140000001"/>
    <x v="2"/>
    <x v="1"/>
    <x v="0"/>
    <x v="6"/>
    <x v="4"/>
    <x v="1"/>
    <x v="4"/>
    <x v="1"/>
    <x v="2"/>
    <n v="22"/>
    <x v="0"/>
  </r>
  <r>
    <d v="2021-02-22T00:00:00"/>
    <x v="0"/>
    <x v="1"/>
    <x v="1"/>
    <n v="24581513.120000001"/>
    <x v="0"/>
    <x v="1"/>
    <x v="1"/>
    <x v="4"/>
    <x v="4"/>
    <x v="1"/>
    <x v="4"/>
    <x v="1"/>
    <x v="2"/>
    <n v="22"/>
    <x v="0"/>
  </r>
  <r>
    <d v="2021-02-22T00:00:00"/>
    <x v="1"/>
    <x v="0"/>
    <x v="1"/>
    <n v="164482835.52000001"/>
    <x v="1"/>
    <x v="0"/>
    <x v="1"/>
    <x v="8"/>
    <x v="4"/>
    <x v="1"/>
    <x v="4"/>
    <x v="1"/>
    <x v="2"/>
    <n v="22"/>
    <x v="0"/>
  </r>
  <r>
    <d v="2021-02-22T00:00:00"/>
    <x v="1"/>
    <x v="0"/>
    <x v="0"/>
    <n v="84995996.400000006"/>
    <x v="1"/>
    <x v="0"/>
    <x v="0"/>
    <x v="9"/>
    <x v="4"/>
    <x v="1"/>
    <x v="4"/>
    <x v="1"/>
    <x v="2"/>
    <n v="22"/>
    <x v="0"/>
  </r>
  <r>
    <d v="2021-02-22T00:00:00"/>
    <x v="0"/>
    <x v="1"/>
    <x v="0"/>
    <n v="11530886.08"/>
    <x v="0"/>
    <x v="1"/>
    <x v="0"/>
    <x v="1"/>
    <x v="4"/>
    <x v="1"/>
    <x v="4"/>
    <x v="1"/>
    <x v="2"/>
    <n v="22"/>
    <x v="0"/>
  </r>
  <r>
    <d v="2021-02-22T00:00:00"/>
    <x v="0"/>
    <x v="0"/>
    <x v="0"/>
    <n v="0"/>
    <x v="0"/>
    <x v="0"/>
    <x v="0"/>
    <x v="0"/>
    <x v="4"/>
    <x v="1"/>
    <x v="4"/>
    <x v="1"/>
    <x v="2"/>
    <n v="22"/>
    <x v="0"/>
  </r>
  <r>
    <d v="2021-02-22T00:00:00"/>
    <x v="0"/>
    <x v="0"/>
    <x v="1"/>
    <n v="-119888.24"/>
    <x v="0"/>
    <x v="0"/>
    <x v="1"/>
    <x v="3"/>
    <x v="4"/>
    <x v="1"/>
    <x v="4"/>
    <x v="1"/>
    <x v="2"/>
    <n v="22"/>
    <x v="1"/>
  </r>
  <r>
    <d v="2021-02-22T00:00:00"/>
    <x v="3"/>
    <x v="3"/>
    <x v="0"/>
    <n v="1782239422.1800001"/>
    <x v="3"/>
    <x v="3"/>
    <x v="0"/>
    <x v="7"/>
    <x v="4"/>
    <x v="1"/>
    <x v="4"/>
    <x v="1"/>
    <x v="2"/>
    <n v="22"/>
    <x v="0"/>
  </r>
  <r>
    <d v="2021-02-22T00:00:00"/>
    <x v="2"/>
    <x v="1"/>
    <x v="1"/>
    <n v="84867065.859999999"/>
    <x v="2"/>
    <x v="1"/>
    <x v="1"/>
    <x v="10"/>
    <x v="4"/>
    <x v="1"/>
    <x v="4"/>
    <x v="1"/>
    <x v="2"/>
    <n v="22"/>
    <x v="0"/>
  </r>
  <r>
    <d v="2021-02-22T00:00:00"/>
    <x v="3"/>
    <x v="2"/>
    <x v="0"/>
    <n v="570823315.13"/>
    <x v="3"/>
    <x v="2"/>
    <x v="0"/>
    <x v="11"/>
    <x v="4"/>
    <x v="1"/>
    <x v="4"/>
    <x v="1"/>
    <x v="2"/>
    <n v="22"/>
    <x v="0"/>
  </r>
  <r>
    <d v="2021-02-22T00:00:00"/>
    <x v="3"/>
    <x v="2"/>
    <x v="1"/>
    <n v="25635439431.759998"/>
    <x v="3"/>
    <x v="2"/>
    <x v="1"/>
    <x v="12"/>
    <x v="4"/>
    <x v="1"/>
    <x v="4"/>
    <x v="1"/>
    <x v="2"/>
    <n v="22"/>
    <x v="0"/>
  </r>
  <r>
    <d v="2021-02-22T00:00:00"/>
    <x v="3"/>
    <x v="1"/>
    <x v="0"/>
    <n v="40781975.539999999"/>
    <x v="3"/>
    <x v="1"/>
    <x v="0"/>
    <x v="13"/>
    <x v="4"/>
    <x v="1"/>
    <x v="4"/>
    <x v="1"/>
    <x v="2"/>
    <n v="22"/>
    <x v="0"/>
  </r>
  <r>
    <d v="2021-02-19T00:00:00"/>
    <x v="2"/>
    <x v="1"/>
    <x v="2"/>
    <n v="36522.32"/>
    <x v="2"/>
    <x v="1"/>
    <x v="2"/>
    <x v="3"/>
    <x v="4"/>
    <x v="1"/>
    <x v="4"/>
    <x v="1"/>
    <x v="2"/>
    <n v="19"/>
    <x v="0"/>
  </r>
  <r>
    <d v="2021-02-19T00:00:00"/>
    <x v="2"/>
    <x v="1"/>
    <x v="0"/>
    <n v="52239734.32"/>
    <x v="2"/>
    <x v="1"/>
    <x v="0"/>
    <x v="5"/>
    <x v="4"/>
    <x v="1"/>
    <x v="4"/>
    <x v="1"/>
    <x v="2"/>
    <n v="19"/>
    <x v="0"/>
  </r>
  <r>
    <d v="2021-02-19T00:00:00"/>
    <x v="0"/>
    <x v="1"/>
    <x v="1"/>
    <n v="45961638.350000001"/>
    <x v="0"/>
    <x v="1"/>
    <x v="1"/>
    <x v="2"/>
    <x v="4"/>
    <x v="1"/>
    <x v="4"/>
    <x v="1"/>
    <x v="2"/>
    <n v="19"/>
    <x v="0"/>
  </r>
  <r>
    <d v="2021-02-19T00:00:00"/>
    <x v="3"/>
    <x v="3"/>
    <x v="0"/>
    <n v="1418415990.1099999"/>
    <x v="3"/>
    <x v="3"/>
    <x v="0"/>
    <x v="6"/>
    <x v="4"/>
    <x v="1"/>
    <x v="4"/>
    <x v="1"/>
    <x v="2"/>
    <n v="19"/>
    <x v="0"/>
  </r>
  <r>
    <d v="2021-02-19T00:00:00"/>
    <x v="3"/>
    <x v="2"/>
    <x v="2"/>
    <n v="289528.63"/>
    <x v="3"/>
    <x v="2"/>
    <x v="2"/>
    <x v="4"/>
    <x v="4"/>
    <x v="1"/>
    <x v="4"/>
    <x v="1"/>
    <x v="2"/>
    <n v="19"/>
    <x v="0"/>
  </r>
  <r>
    <d v="2021-02-19T00:00:00"/>
    <x v="0"/>
    <x v="1"/>
    <x v="0"/>
    <n v="14737900.18"/>
    <x v="0"/>
    <x v="1"/>
    <x v="0"/>
    <x v="0"/>
    <x v="4"/>
    <x v="1"/>
    <x v="4"/>
    <x v="1"/>
    <x v="2"/>
    <n v="19"/>
    <x v="0"/>
  </r>
  <r>
    <d v="2021-02-19T00:00:00"/>
    <x v="1"/>
    <x v="0"/>
    <x v="2"/>
    <n v="2730.05"/>
    <x v="1"/>
    <x v="0"/>
    <x v="2"/>
    <x v="1"/>
    <x v="4"/>
    <x v="1"/>
    <x v="4"/>
    <x v="1"/>
    <x v="2"/>
    <n v="19"/>
    <x v="0"/>
  </r>
  <r>
    <d v="2021-02-19T00:00:00"/>
    <x v="2"/>
    <x v="1"/>
    <x v="1"/>
    <n v="58617920.200000003"/>
    <x v="2"/>
    <x v="1"/>
    <x v="1"/>
    <x v="7"/>
    <x v="4"/>
    <x v="1"/>
    <x v="4"/>
    <x v="1"/>
    <x v="2"/>
    <n v="19"/>
    <x v="0"/>
  </r>
  <r>
    <d v="2021-02-19T00:00:00"/>
    <x v="1"/>
    <x v="0"/>
    <x v="0"/>
    <n v="92759471.849999994"/>
    <x v="1"/>
    <x v="0"/>
    <x v="0"/>
    <x v="8"/>
    <x v="4"/>
    <x v="1"/>
    <x v="4"/>
    <x v="1"/>
    <x v="2"/>
    <n v="19"/>
    <x v="0"/>
  </r>
  <r>
    <d v="2021-02-19T00:00:00"/>
    <x v="1"/>
    <x v="0"/>
    <x v="1"/>
    <n v="55395195.57"/>
    <x v="1"/>
    <x v="0"/>
    <x v="1"/>
    <x v="9"/>
    <x v="4"/>
    <x v="1"/>
    <x v="4"/>
    <x v="1"/>
    <x v="2"/>
    <n v="19"/>
    <x v="0"/>
  </r>
  <r>
    <d v="2021-02-19T00:00:00"/>
    <x v="3"/>
    <x v="2"/>
    <x v="0"/>
    <n v="398787581.83999997"/>
    <x v="3"/>
    <x v="2"/>
    <x v="0"/>
    <x v="10"/>
    <x v="4"/>
    <x v="1"/>
    <x v="4"/>
    <x v="1"/>
    <x v="2"/>
    <n v="19"/>
    <x v="0"/>
  </r>
  <r>
    <d v="2021-02-19T00:00:00"/>
    <x v="3"/>
    <x v="1"/>
    <x v="0"/>
    <n v="10504098.51"/>
    <x v="3"/>
    <x v="1"/>
    <x v="0"/>
    <x v="11"/>
    <x v="4"/>
    <x v="1"/>
    <x v="4"/>
    <x v="1"/>
    <x v="2"/>
    <n v="19"/>
    <x v="0"/>
  </r>
  <r>
    <d v="2021-02-19T00:00:00"/>
    <x v="3"/>
    <x v="2"/>
    <x v="1"/>
    <n v="10145089573.68"/>
    <x v="3"/>
    <x v="2"/>
    <x v="1"/>
    <x v="12"/>
    <x v="4"/>
    <x v="1"/>
    <x v="4"/>
    <x v="1"/>
    <x v="2"/>
    <n v="19"/>
    <x v="0"/>
  </r>
  <r>
    <d v="2021-02-18T00:00:00"/>
    <x v="1"/>
    <x v="0"/>
    <x v="2"/>
    <n v="12060.2"/>
    <x v="1"/>
    <x v="0"/>
    <x v="2"/>
    <x v="2"/>
    <x v="4"/>
    <x v="1"/>
    <x v="4"/>
    <x v="1"/>
    <x v="2"/>
    <n v="18"/>
    <x v="0"/>
  </r>
  <r>
    <d v="2021-02-18T00:00:00"/>
    <x v="2"/>
    <x v="1"/>
    <x v="0"/>
    <n v="79670221.680000007"/>
    <x v="2"/>
    <x v="1"/>
    <x v="0"/>
    <x v="7"/>
    <x v="4"/>
    <x v="1"/>
    <x v="4"/>
    <x v="1"/>
    <x v="2"/>
    <n v="18"/>
    <x v="0"/>
  </r>
  <r>
    <d v="2021-02-18T00:00:00"/>
    <x v="2"/>
    <x v="1"/>
    <x v="2"/>
    <n v="32520"/>
    <x v="2"/>
    <x v="1"/>
    <x v="2"/>
    <x v="5"/>
    <x v="4"/>
    <x v="1"/>
    <x v="4"/>
    <x v="1"/>
    <x v="2"/>
    <n v="18"/>
    <x v="0"/>
  </r>
  <r>
    <d v="2021-02-18T00:00:00"/>
    <x v="0"/>
    <x v="1"/>
    <x v="1"/>
    <n v="13219605.789999999"/>
    <x v="0"/>
    <x v="1"/>
    <x v="1"/>
    <x v="4"/>
    <x v="4"/>
    <x v="1"/>
    <x v="4"/>
    <x v="1"/>
    <x v="2"/>
    <n v="18"/>
    <x v="0"/>
  </r>
  <r>
    <d v="2021-02-18T00:00:00"/>
    <x v="1"/>
    <x v="0"/>
    <x v="0"/>
    <n v="85278688.670000002"/>
    <x v="1"/>
    <x v="0"/>
    <x v="0"/>
    <x v="10"/>
    <x v="4"/>
    <x v="1"/>
    <x v="4"/>
    <x v="1"/>
    <x v="2"/>
    <n v="18"/>
    <x v="0"/>
  </r>
  <r>
    <d v="2021-02-18T00:00:00"/>
    <x v="3"/>
    <x v="2"/>
    <x v="2"/>
    <n v="207962.39"/>
    <x v="3"/>
    <x v="2"/>
    <x v="2"/>
    <x v="6"/>
    <x v="4"/>
    <x v="1"/>
    <x v="4"/>
    <x v="1"/>
    <x v="2"/>
    <n v="18"/>
    <x v="0"/>
  </r>
  <r>
    <d v="2021-02-18T00:00:00"/>
    <x v="0"/>
    <x v="0"/>
    <x v="0"/>
    <n v="1641.6"/>
    <x v="0"/>
    <x v="0"/>
    <x v="0"/>
    <x v="0"/>
    <x v="4"/>
    <x v="1"/>
    <x v="4"/>
    <x v="1"/>
    <x v="2"/>
    <n v="18"/>
    <x v="0"/>
  </r>
  <r>
    <d v="2021-02-18T00:00:00"/>
    <x v="0"/>
    <x v="1"/>
    <x v="0"/>
    <n v="15945909.58"/>
    <x v="0"/>
    <x v="1"/>
    <x v="0"/>
    <x v="1"/>
    <x v="4"/>
    <x v="1"/>
    <x v="4"/>
    <x v="1"/>
    <x v="2"/>
    <n v="18"/>
    <x v="0"/>
  </r>
  <r>
    <d v="2021-02-18T00:00:00"/>
    <x v="3"/>
    <x v="3"/>
    <x v="1"/>
    <n v="87592.52"/>
    <x v="3"/>
    <x v="3"/>
    <x v="1"/>
    <x v="3"/>
    <x v="4"/>
    <x v="1"/>
    <x v="4"/>
    <x v="1"/>
    <x v="2"/>
    <n v="18"/>
    <x v="0"/>
  </r>
  <r>
    <d v="2021-02-18T00:00:00"/>
    <x v="3"/>
    <x v="3"/>
    <x v="0"/>
    <n v="1492879774.3699999"/>
    <x v="3"/>
    <x v="3"/>
    <x v="0"/>
    <x v="8"/>
    <x v="4"/>
    <x v="1"/>
    <x v="4"/>
    <x v="1"/>
    <x v="2"/>
    <n v="18"/>
    <x v="0"/>
  </r>
  <r>
    <d v="2021-02-18T00:00:00"/>
    <x v="1"/>
    <x v="0"/>
    <x v="1"/>
    <n v="439942446.12"/>
    <x v="1"/>
    <x v="0"/>
    <x v="1"/>
    <x v="9"/>
    <x v="4"/>
    <x v="1"/>
    <x v="4"/>
    <x v="1"/>
    <x v="2"/>
    <n v="18"/>
    <x v="0"/>
  </r>
  <r>
    <d v="2021-02-18T00:00:00"/>
    <x v="2"/>
    <x v="1"/>
    <x v="1"/>
    <n v="336045331.31"/>
    <x v="2"/>
    <x v="1"/>
    <x v="1"/>
    <x v="11"/>
    <x v="4"/>
    <x v="1"/>
    <x v="4"/>
    <x v="1"/>
    <x v="2"/>
    <n v="18"/>
    <x v="0"/>
  </r>
  <r>
    <d v="2021-02-18T00:00:00"/>
    <x v="3"/>
    <x v="1"/>
    <x v="0"/>
    <n v="12530112.6"/>
    <x v="3"/>
    <x v="1"/>
    <x v="0"/>
    <x v="12"/>
    <x v="4"/>
    <x v="1"/>
    <x v="4"/>
    <x v="1"/>
    <x v="2"/>
    <n v="18"/>
    <x v="0"/>
  </r>
  <r>
    <d v="2021-02-18T00:00:00"/>
    <x v="3"/>
    <x v="2"/>
    <x v="0"/>
    <n v="302166671.27999997"/>
    <x v="3"/>
    <x v="2"/>
    <x v="0"/>
    <x v="13"/>
    <x v="4"/>
    <x v="1"/>
    <x v="4"/>
    <x v="1"/>
    <x v="2"/>
    <n v="18"/>
    <x v="0"/>
  </r>
  <r>
    <d v="2021-02-18T00:00:00"/>
    <x v="3"/>
    <x v="2"/>
    <x v="1"/>
    <n v="11397506297.860001"/>
    <x v="3"/>
    <x v="2"/>
    <x v="1"/>
    <x v="14"/>
    <x v="4"/>
    <x v="1"/>
    <x v="4"/>
    <x v="1"/>
    <x v="2"/>
    <n v="18"/>
    <x v="0"/>
  </r>
  <r>
    <d v="2021-02-17T00:00:00"/>
    <x v="3"/>
    <x v="2"/>
    <x v="2"/>
    <n v="492422.86"/>
    <x v="3"/>
    <x v="2"/>
    <x v="2"/>
    <x v="4"/>
    <x v="4"/>
    <x v="1"/>
    <x v="4"/>
    <x v="1"/>
    <x v="2"/>
    <n v="17"/>
    <x v="0"/>
  </r>
  <r>
    <d v="2021-02-17T00:00:00"/>
    <x v="0"/>
    <x v="1"/>
    <x v="1"/>
    <n v="13981142.75"/>
    <x v="0"/>
    <x v="1"/>
    <x v="1"/>
    <x v="3"/>
    <x v="4"/>
    <x v="1"/>
    <x v="4"/>
    <x v="1"/>
    <x v="2"/>
    <n v="17"/>
    <x v="0"/>
  </r>
  <r>
    <d v="2021-02-17T00:00:00"/>
    <x v="2"/>
    <x v="1"/>
    <x v="2"/>
    <n v="49946.73"/>
    <x v="2"/>
    <x v="1"/>
    <x v="2"/>
    <x v="2"/>
    <x v="4"/>
    <x v="1"/>
    <x v="4"/>
    <x v="1"/>
    <x v="2"/>
    <n v="17"/>
    <x v="0"/>
  </r>
  <r>
    <d v="2021-02-17T00:00:00"/>
    <x v="2"/>
    <x v="1"/>
    <x v="0"/>
    <n v="40745317.039999999"/>
    <x v="2"/>
    <x v="1"/>
    <x v="0"/>
    <x v="5"/>
    <x v="4"/>
    <x v="1"/>
    <x v="4"/>
    <x v="1"/>
    <x v="2"/>
    <n v="17"/>
    <x v="0"/>
  </r>
  <r>
    <d v="2021-02-17T00:00:00"/>
    <x v="0"/>
    <x v="0"/>
    <x v="0"/>
    <n v="100"/>
    <x v="0"/>
    <x v="0"/>
    <x v="0"/>
    <x v="0"/>
    <x v="4"/>
    <x v="1"/>
    <x v="4"/>
    <x v="1"/>
    <x v="2"/>
    <n v="17"/>
    <x v="0"/>
  </r>
  <r>
    <d v="2021-02-17T00:00:00"/>
    <x v="0"/>
    <x v="1"/>
    <x v="0"/>
    <n v="25586427.440000001"/>
    <x v="0"/>
    <x v="1"/>
    <x v="0"/>
    <x v="1"/>
    <x v="4"/>
    <x v="1"/>
    <x v="4"/>
    <x v="1"/>
    <x v="2"/>
    <n v="17"/>
    <x v="0"/>
  </r>
  <r>
    <d v="2021-02-17T00:00:00"/>
    <x v="3"/>
    <x v="3"/>
    <x v="0"/>
    <n v="1377553992.6300001"/>
    <x v="3"/>
    <x v="3"/>
    <x v="0"/>
    <x v="6"/>
    <x v="4"/>
    <x v="1"/>
    <x v="4"/>
    <x v="1"/>
    <x v="2"/>
    <n v="17"/>
    <x v="0"/>
  </r>
  <r>
    <d v="2021-02-17T00:00:00"/>
    <x v="1"/>
    <x v="0"/>
    <x v="1"/>
    <n v="165473083.47999999"/>
    <x v="1"/>
    <x v="0"/>
    <x v="1"/>
    <x v="7"/>
    <x v="4"/>
    <x v="1"/>
    <x v="4"/>
    <x v="1"/>
    <x v="2"/>
    <n v="17"/>
    <x v="0"/>
  </r>
  <r>
    <d v="2021-02-17T00:00:00"/>
    <x v="1"/>
    <x v="0"/>
    <x v="0"/>
    <n v="73917017.409999996"/>
    <x v="1"/>
    <x v="0"/>
    <x v="0"/>
    <x v="8"/>
    <x v="4"/>
    <x v="1"/>
    <x v="4"/>
    <x v="1"/>
    <x v="2"/>
    <n v="17"/>
    <x v="0"/>
  </r>
  <r>
    <d v="2021-02-17T00:00:00"/>
    <x v="2"/>
    <x v="1"/>
    <x v="1"/>
    <n v="35615477.359999999"/>
    <x v="2"/>
    <x v="1"/>
    <x v="1"/>
    <x v="9"/>
    <x v="4"/>
    <x v="1"/>
    <x v="4"/>
    <x v="1"/>
    <x v="2"/>
    <n v="17"/>
    <x v="0"/>
  </r>
  <r>
    <d v="2021-02-17T00:00:00"/>
    <x v="3"/>
    <x v="2"/>
    <x v="0"/>
    <n v="499211727.68000001"/>
    <x v="3"/>
    <x v="2"/>
    <x v="0"/>
    <x v="10"/>
    <x v="4"/>
    <x v="1"/>
    <x v="4"/>
    <x v="1"/>
    <x v="2"/>
    <n v="17"/>
    <x v="0"/>
  </r>
  <r>
    <d v="2021-02-17T00:00:00"/>
    <x v="3"/>
    <x v="1"/>
    <x v="0"/>
    <n v="10317272.23"/>
    <x v="3"/>
    <x v="1"/>
    <x v="0"/>
    <x v="11"/>
    <x v="4"/>
    <x v="1"/>
    <x v="4"/>
    <x v="1"/>
    <x v="2"/>
    <n v="17"/>
    <x v="0"/>
  </r>
  <r>
    <d v="2021-02-17T00:00:00"/>
    <x v="3"/>
    <x v="2"/>
    <x v="1"/>
    <n v="6645289849.6700001"/>
    <x v="3"/>
    <x v="2"/>
    <x v="1"/>
    <x v="12"/>
    <x v="4"/>
    <x v="1"/>
    <x v="4"/>
    <x v="1"/>
    <x v="2"/>
    <n v="17"/>
    <x v="0"/>
  </r>
  <r>
    <d v="2021-02-16T00:00:00"/>
    <x v="3"/>
    <x v="2"/>
    <x v="2"/>
    <n v="204459.37"/>
    <x v="3"/>
    <x v="2"/>
    <x v="2"/>
    <x v="5"/>
    <x v="4"/>
    <x v="1"/>
    <x v="4"/>
    <x v="1"/>
    <x v="2"/>
    <n v="16"/>
    <x v="0"/>
  </r>
  <r>
    <d v="2021-02-16T00:00:00"/>
    <x v="1"/>
    <x v="0"/>
    <x v="2"/>
    <n v="3663.61"/>
    <x v="1"/>
    <x v="0"/>
    <x v="2"/>
    <x v="2"/>
    <x v="4"/>
    <x v="1"/>
    <x v="4"/>
    <x v="1"/>
    <x v="2"/>
    <n v="16"/>
    <x v="0"/>
  </r>
  <r>
    <d v="2021-02-16T00:00:00"/>
    <x v="2"/>
    <x v="1"/>
    <x v="2"/>
    <n v="28687"/>
    <x v="2"/>
    <x v="1"/>
    <x v="2"/>
    <x v="3"/>
    <x v="4"/>
    <x v="1"/>
    <x v="4"/>
    <x v="1"/>
    <x v="2"/>
    <n v="16"/>
    <x v="0"/>
  </r>
  <r>
    <d v="2021-02-16T00:00:00"/>
    <x v="2"/>
    <x v="1"/>
    <x v="0"/>
    <n v="62640570.859999999"/>
    <x v="2"/>
    <x v="1"/>
    <x v="0"/>
    <x v="6"/>
    <x v="4"/>
    <x v="1"/>
    <x v="4"/>
    <x v="1"/>
    <x v="2"/>
    <n v="16"/>
    <x v="0"/>
  </r>
  <r>
    <d v="2021-02-16T00:00:00"/>
    <x v="0"/>
    <x v="1"/>
    <x v="1"/>
    <n v="862400.99"/>
    <x v="0"/>
    <x v="1"/>
    <x v="1"/>
    <x v="4"/>
    <x v="4"/>
    <x v="1"/>
    <x v="4"/>
    <x v="1"/>
    <x v="2"/>
    <n v="16"/>
    <x v="0"/>
  </r>
  <r>
    <d v="2021-02-16T00:00:00"/>
    <x v="0"/>
    <x v="0"/>
    <x v="0"/>
    <n v="418"/>
    <x v="0"/>
    <x v="0"/>
    <x v="0"/>
    <x v="0"/>
    <x v="4"/>
    <x v="1"/>
    <x v="4"/>
    <x v="1"/>
    <x v="2"/>
    <n v="16"/>
    <x v="0"/>
  </r>
  <r>
    <d v="2021-02-16T00:00:00"/>
    <x v="0"/>
    <x v="1"/>
    <x v="0"/>
    <n v="11698727.310000001"/>
    <x v="0"/>
    <x v="1"/>
    <x v="0"/>
    <x v="1"/>
    <x v="4"/>
    <x v="1"/>
    <x v="4"/>
    <x v="1"/>
    <x v="2"/>
    <n v="16"/>
    <x v="0"/>
  </r>
  <r>
    <d v="2021-02-16T00:00:00"/>
    <x v="3"/>
    <x v="3"/>
    <x v="0"/>
    <n v="3487437375.6799998"/>
    <x v="3"/>
    <x v="3"/>
    <x v="0"/>
    <x v="7"/>
    <x v="4"/>
    <x v="1"/>
    <x v="4"/>
    <x v="1"/>
    <x v="2"/>
    <n v="16"/>
    <x v="0"/>
  </r>
  <r>
    <d v="2021-02-16T00:00:00"/>
    <x v="1"/>
    <x v="0"/>
    <x v="1"/>
    <n v="201383631.83000001"/>
    <x v="1"/>
    <x v="0"/>
    <x v="1"/>
    <x v="8"/>
    <x v="4"/>
    <x v="1"/>
    <x v="4"/>
    <x v="1"/>
    <x v="2"/>
    <n v="16"/>
    <x v="0"/>
  </r>
  <r>
    <d v="2021-02-16T00:00:00"/>
    <x v="1"/>
    <x v="0"/>
    <x v="0"/>
    <n v="69642521.890000001"/>
    <x v="1"/>
    <x v="0"/>
    <x v="0"/>
    <x v="9"/>
    <x v="4"/>
    <x v="1"/>
    <x v="4"/>
    <x v="1"/>
    <x v="2"/>
    <n v="16"/>
    <x v="0"/>
  </r>
  <r>
    <d v="2021-02-16T00:00:00"/>
    <x v="2"/>
    <x v="1"/>
    <x v="1"/>
    <n v="178979344.53999999"/>
    <x v="2"/>
    <x v="1"/>
    <x v="1"/>
    <x v="10"/>
    <x v="4"/>
    <x v="1"/>
    <x v="4"/>
    <x v="1"/>
    <x v="2"/>
    <n v="16"/>
    <x v="0"/>
  </r>
  <r>
    <d v="2021-02-16T00:00:00"/>
    <x v="3"/>
    <x v="2"/>
    <x v="0"/>
    <n v="482004466.95999998"/>
    <x v="3"/>
    <x v="2"/>
    <x v="0"/>
    <x v="11"/>
    <x v="4"/>
    <x v="1"/>
    <x v="4"/>
    <x v="1"/>
    <x v="2"/>
    <n v="16"/>
    <x v="0"/>
  </r>
  <r>
    <d v="2021-02-16T00:00:00"/>
    <x v="3"/>
    <x v="2"/>
    <x v="1"/>
    <n v="35562015107.169998"/>
    <x v="3"/>
    <x v="2"/>
    <x v="1"/>
    <x v="12"/>
    <x v="4"/>
    <x v="1"/>
    <x v="4"/>
    <x v="1"/>
    <x v="2"/>
    <n v="16"/>
    <x v="0"/>
  </r>
  <r>
    <d v="2021-02-16T00:00:00"/>
    <x v="3"/>
    <x v="1"/>
    <x v="0"/>
    <n v="47209127.270000003"/>
    <x v="3"/>
    <x v="1"/>
    <x v="0"/>
    <x v="13"/>
    <x v="4"/>
    <x v="1"/>
    <x v="4"/>
    <x v="1"/>
    <x v="2"/>
    <n v="16"/>
    <x v="0"/>
  </r>
  <r>
    <d v="2021-02-12T00:00:00"/>
    <x v="1"/>
    <x v="0"/>
    <x v="2"/>
    <n v="9282.9500000000007"/>
    <x v="1"/>
    <x v="0"/>
    <x v="2"/>
    <x v="2"/>
    <x v="4"/>
    <x v="1"/>
    <x v="4"/>
    <x v="1"/>
    <x v="2"/>
    <n v="12"/>
    <x v="0"/>
  </r>
  <r>
    <d v="2021-02-12T00:00:00"/>
    <x v="2"/>
    <x v="1"/>
    <x v="2"/>
    <n v="7100"/>
    <x v="2"/>
    <x v="1"/>
    <x v="2"/>
    <x v="3"/>
    <x v="4"/>
    <x v="1"/>
    <x v="4"/>
    <x v="1"/>
    <x v="2"/>
    <n v="12"/>
    <x v="0"/>
  </r>
  <r>
    <d v="2021-02-12T00:00:00"/>
    <x v="0"/>
    <x v="1"/>
    <x v="0"/>
    <n v="14187218.99"/>
    <x v="0"/>
    <x v="1"/>
    <x v="0"/>
    <x v="1"/>
    <x v="4"/>
    <x v="1"/>
    <x v="4"/>
    <x v="1"/>
    <x v="2"/>
    <n v="12"/>
    <x v="0"/>
  </r>
  <r>
    <d v="2021-02-12T00:00:00"/>
    <x v="0"/>
    <x v="1"/>
    <x v="1"/>
    <n v="14723234.67"/>
    <x v="0"/>
    <x v="1"/>
    <x v="1"/>
    <x v="4"/>
    <x v="4"/>
    <x v="1"/>
    <x v="4"/>
    <x v="1"/>
    <x v="2"/>
    <n v="12"/>
    <x v="0"/>
  </r>
  <r>
    <d v="2021-02-12T00:00:00"/>
    <x v="3"/>
    <x v="2"/>
    <x v="2"/>
    <n v="603028.96"/>
    <x v="3"/>
    <x v="2"/>
    <x v="2"/>
    <x v="5"/>
    <x v="4"/>
    <x v="1"/>
    <x v="4"/>
    <x v="1"/>
    <x v="2"/>
    <n v="12"/>
    <x v="0"/>
  </r>
  <r>
    <d v="2021-02-12T00:00:00"/>
    <x v="3"/>
    <x v="3"/>
    <x v="0"/>
    <n v="1417258957.0799999"/>
    <x v="3"/>
    <x v="3"/>
    <x v="0"/>
    <x v="6"/>
    <x v="4"/>
    <x v="1"/>
    <x v="4"/>
    <x v="1"/>
    <x v="2"/>
    <n v="12"/>
    <x v="0"/>
  </r>
  <r>
    <d v="2021-02-12T00:00:00"/>
    <x v="2"/>
    <x v="1"/>
    <x v="0"/>
    <n v="122057516.59999999"/>
    <x v="2"/>
    <x v="1"/>
    <x v="0"/>
    <x v="7"/>
    <x v="4"/>
    <x v="1"/>
    <x v="4"/>
    <x v="1"/>
    <x v="2"/>
    <n v="12"/>
    <x v="0"/>
  </r>
  <r>
    <d v="2021-02-12T00:00:00"/>
    <x v="0"/>
    <x v="0"/>
    <x v="0"/>
    <n v="120"/>
    <x v="0"/>
    <x v="0"/>
    <x v="0"/>
    <x v="0"/>
    <x v="4"/>
    <x v="1"/>
    <x v="4"/>
    <x v="1"/>
    <x v="2"/>
    <n v="12"/>
    <x v="0"/>
  </r>
  <r>
    <d v="2021-02-12T00:00:00"/>
    <x v="1"/>
    <x v="0"/>
    <x v="1"/>
    <n v="109602023.66"/>
    <x v="1"/>
    <x v="0"/>
    <x v="1"/>
    <x v="8"/>
    <x v="4"/>
    <x v="1"/>
    <x v="4"/>
    <x v="1"/>
    <x v="2"/>
    <n v="12"/>
    <x v="0"/>
  </r>
  <r>
    <d v="2021-02-12T00:00:00"/>
    <x v="1"/>
    <x v="0"/>
    <x v="0"/>
    <n v="109845138.66"/>
    <x v="1"/>
    <x v="0"/>
    <x v="0"/>
    <x v="9"/>
    <x v="4"/>
    <x v="1"/>
    <x v="4"/>
    <x v="1"/>
    <x v="2"/>
    <n v="12"/>
    <x v="0"/>
  </r>
  <r>
    <d v="2021-02-12T00:00:00"/>
    <x v="2"/>
    <x v="1"/>
    <x v="1"/>
    <n v="131091497.48999999"/>
    <x v="2"/>
    <x v="1"/>
    <x v="1"/>
    <x v="10"/>
    <x v="4"/>
    <x v="1"/>
    <x v="4"/>
    <x v="1"/>
    <x v="2"/>
    <n v="12"/>
    <x v="0"/>
  </r>
  <r>
    <d v="2021-02-12T00:00:00"/>
    <x v="3"/>
    <x v="2"/>
    <x v="0"/>
    <n v="652420270.70000005"/>
    <x v="3"/>
    <x v="2"/>
    <x v="0"/>
    <x v="11"/>
    <x v="4"/>
    <x v="1"/>
    <x v="4"/>
    <x v="1"/>
    <x v="2"/>
    <n v="12"/>
    <x v="0"/>
  </r>
  <r>
    <d v="2021-02-12T00:00:00"/>
    <x v="3"/>
    <x v="1"/>
    <x v="0"/>
    <n v="11792200.140000001"/>
    <x v="3"/>
    <x v="1"/>
    <x v="0"/>
    <x v="12"/>
    <x v="4"/>
    <x v="1"/>
    <x v="4"/>
    <x v="1"/>
    <x v="2"/>
    <n v="12"/>
    <x v="0"/>
  </r>
  <r>
    <d v="2021-02-12T00:00:00"/>
    <x v="3"/>
    <x v="2"/>
    <x v="1"/>
    <n v="11651094839.92"/>
    <x v="3"/>
    <x v="2"/>
    <x v="1"/>
    <x v="13"/>
    <x v="4"/>
    <x v="1"/>
    <x v="4"/>
    <x v="1"/>
    <x v="2"/>
    <n v="12"/>
    <x v="0"/>
  </r>
  <r>
    <d v="2021-02-11T00:00:00"/>
    <x v="1"/>
    <x v="0"/>
    <x v="2"/>
    <n v="6109.09"/>
    <x v="1"/>
    <x v="0"/>
    <x v="2"/>
    <x v="1"/>
    <x v="4"/>
    <x v="1"/>
    <x v="4"/>
    <x v="1"/>
    <x v="2"/>
    <n v="11"/>
    <x v="0"/>
  </r>
  <r>
    <d v="2021-02-11T00:00:00"/>
    <x v="2"/>
    <x v="1"/>
    <x v="0"/>
    <n v="85663365.109999999"/>
    <x v="2"/>
    <x v="1"/>
    <x v="0"/>
    <x v="7"/>
    <x v="4"/>
    <x v="1"/>
    <x v="4"/>
    <x v="1"/>
    <x v="2"/>
    <n v="11"/>
    <x v="0"/>
  </r>
  <r>
    <d v="2021-02-11T00:00:00"/>
    <x v="3"/>
    <x v="3"/>
    <x v="1"/>
    <n v="393975.1"/>
    <x v="3"/>
    <x v="3"/>
    <x v="1"/>
    <x v="3"/>
    <x v="4"/>
    <x v="1"/>
    <x v="4"/>
    <x v="1"/>
    <x v="2"/>
    <n v="11"/>
    <x v="0"/>
  </r>
  <r>
    <d v="2021-02-11T00:00:00"/>
    <x v="0"/>
    <x v="1"/>
    <x v="1"/>
    <n v="9199978.0700000003"/>
    <x v="0"/>
    <x v="1"/>
    <x v="1"/>
    <x v="4"/>
    <x v="4"/>
    <x v="1"/>
    <x v="4"/>
    <x v="1"/>
    <x v="2"/>
    <n v="11"/>
    <x v="0"/>
  </r>
  <r>
    <d v="2021-02-11T00:00:00"/>
    <x v="1"/>
    <x v="0"/>
    <x v="1"/>
    <n v="220321337.33000001"/>
    <x v="1"/>
    <x v="0"/>
    <x v="1"/>
    <x v="9"/>
    <x v="4"/>
    <x v="1"/>
    <x v="4"/>
    <x v="1"/>
    <x v="2"/>
    <n v="11"/>
    <x v="0"/>
  </r>
  <r>
    <d v="2021-02-11T00:00:00"/>
    <x v="3"/>
    <x v="2"/>
    <x v="2"/>
    <n v="160397.64000000001"/>
    <x v="3"/>
    <x v="2"/>
    <x v="2"/>
    <x v="6"/>
    <x v="4"/>
    <x v="1"/>
    <x v="4"/>
    <x v="1"/>
    <x v="2"/>
    <n v="11"/>
    <x v="0"/>
  </r>
  <r>
    <d v="2021-02-11T00:00:00"/>
    <x v="2"/>
    <x v="1"/>
    <x v="2"/>
    <n v="-67381"/>
    <x v="2"/>
    <x v="1"/>
    <x v="2"/>
    <x v="5"/>
    <x v="4"/>
    <x v="1"/>
    <x v="4"/>
    <x v="1"/>
    <x v="2"/>
    <n v="11"/>
    <x v="1"/>
  </r>
  <r>
    <d v="2021-02-11T00:00:00"/>
    <x v="0"/>
    <x v="1"/>
    <x v="0"/>
    <n v="14714043.210000001"/>
    <x v="0"/>
    <x v="1"/>
    <x v="0"/>
    <x v="0"/>
    <x v="4"/>
    <x v="1"/>
    <x v="4"/>
    <x v="1"/>
    <x v="2"/>
    <n v="11"/>
    <x v="0"/>
  </r>
  <r>
    <d v="2021-02-11T00:00:00"/>
    <x v="0"/>
    <x v="0"/>
    <x v="1"/>
    <n v="19946994.219999999"/>
    <x v="0"/>
    <x v="0"/>
    <x v="1"/>
    <x v="2"/>
    <x v="4"/>
    <x v="1"/>
    <x v="4"/>
    <x v="1"/>
    <x v="2"/>
    <n v="11"/>
    <x v="0"/>
  </r>
  <r>
    <d v="2021-02-11T00:00:00"/>
    <x v="3"/>
    <x v="3"/>
    <x v="0"/>
    <n v="869910867.20000005"/>
    <x v="3"/>
    <x v="3"/>
    <x v="0"/>
    <x v="8"/>
    <x v="4"/>
    <x v="1"/>
    <x v="4"/>
    <x v="1"/>
    <x v="2"/>
    <n v="11"/>
    <x v="0"/>
  </r>
  <r>
    <d v="2021-02-11T00:00:00"/>
    <x v="1"/>
    <x v="0"/>
    <x v="0"/>
    <n v="80698595.890000001"/>
    <x v="1"/>
    <x v="0"/>
    <x v="0"/>
    <x v="10"/>
    <x v="4"/>
    <x v="1"/>
    <x v="4"/>
    <x v="1"/>
    <x v="2"/>
    <n v="11"/>
    <x v="0"/>
  </r>
  <r>
    <d v="2021-02-11T00:00:00"/>
    <x v="2"/>
    <x v="1"/>
    <x v="1"/>
    <n v="88458130.810000002"/>
    <x v="2"/>
    <x v="1"/>
    <x v="1"/>
    <x v="11"/>
    <x v="4"/>
    <x v="1"/>
    <x v="4"/>
    <x v="1"/>
    <x v="2"/>
    <n v="11"/>
    <x v="0"/>
  </r>
  <r>
    <d v="2021-02-11T00:00:00"/>
    <x v="3"/>
    <x v="2"/>
    <x v="0"/>
    <n v="468762874.88"/>
    <x v="3"/>
    <x v="2"/>
    <x v="0"/>
    <x v="12"/>
    <x v="4"/>
    <x v="1"/>
    <x v="4"/>
    <x v="1"/>
    <x v="2"/>
    <n v="11"/>
    <x v="0"/>
  </r>
  <r>
    <d v="2021-02-11T00:00:00"/>
    <x v="3"/>
    <x v="1"/>
    <x v="0"/>
    <n v="11781928.99"/>
    <x v="3"/>
    <x v="1"/>
    <x v="0"/>
    <x v="13"/>
    <x v="4"/>
    <x v="1"/>
    <x v="4"/>
    <x v="1"/>
    <x v="2"/>
    <n v="11"/>
    <x v="0"/>
  </r>
  <r>
    <d v="2021-02-11T00:00:00"/>
    <x v="3"/>
    <x v="2"/>
    <x v="1"/>
    <n v="4888158172.2700005"/>
    <x v="3"/>
    <x v="2"/>
    <x v="1"/>
    <x v="14"/>
    <x v="4"/>
    <x v="1"/>
    <x v="4"/>
    <x v="1"/>
    <x v="2"/>
    <n v="11"/>
    <x v="0"/>
  </r>
  <r>
    <d v="2021-02-10T00:00:00"/>
    <x v="1"/>
    <x v="0"/>
    <x v="2"/>
    <n v="11593.83"/>
    <x v="1"/>
    <x v="0"/>
    <x v="2"/>
    <x v="1"/>
    <x v="4"/>
    <x v="1"/>
    <x v="4"/>
    <x v="1"/>
    <x v="2"/>
    <n v="10"/>
    <x v="0"/>
  </r>
  <r>
    <d v="2021-02-10T00:00:00"/>
    <x v="3"/>
    <x v="3"/>
    <x v="1"/>
    <n v="2826.56"/>
    <x v="3"/>
    <x v="3"/>
    <x v="1"/>
    <x v="2"/>
    <x v="4"/>
    <x v="1"/>
    <x v="4"/>
    <x v="1"/>
    <x v="2"/>
    <n v="10"/>
    <x v="0"/>
  </r>
  <r>
    <d v="2021-02-10T00:00:00"/>
    <x v="2"/>
    <x v="1"/>
    <x v="0"/>
    <n v="131267272.11"/>
    <x v="2"/>
    <x v="1"/>
    <x v="0"/>
    <x v="6"/>
    <x v="4"/>
    <x v="1"/>
    <x v="4"/>
    <x v="1"/>
    <x v="2"/>
    <n v="10"/>
    <x v="0"/>
  </r>
  <r>
    <d v="2021-02-10T00:00:00"/>
    <x v="3"/>
    <x v="2"/>
    <x v="2"/>
    <n v="119253.6"/>
    <x v="3"/>
    <x v="2"/>
    <x v="2"/>
    <x v="5"/>
    <x v="4"/>
    <x v="1"/>
    <x v="4"/>
    <x v="1"/>
    <x v="2"/>
    <n v="10"/>
    <x v="0"/>
  </r>
  <r>
    <d v="2021-02-10T00:00:00"/>
    <x v="0"/>
    <x v="1"/>
    <x v="1"/>
    <n v="15047597.51"/>
    <x v="0"/>
    <x v="1"/>
    <x v="1"/>
    <x v="3"/>
    <x v="4"/>
    <x v="1"/>
    <x v="4"/>
    <x v="1"/>
    <x v="2"/>
    <n v="10"/>
    <x v="0"/>
  </r>
  <r>
    <d v="2021-02-10T00:00:00"/>
    <x v="3"/>
    <x v="3"/>
    <x v="0"/>
    <n v="913759130.41999996"/>
    <x v="3"/>
    <x v="3"/>
    <x v="0"/>
    <x v="7"/>
    <x v="4"/>
    <x v="1"/>
    <x v="4"/>
    <x v="1"/>
    <x v="2"/>
    <n v="10"/>
    <x v="0"/>
  </r>
  <r>
    <d v="2021-02-10T00:00:00"/>
    <x v="2"/>
    <x v="1"/>
    <x v="2"/>
    <n v="54530"/>
    <x v="2"/>
    <x v="1"/>
    <x v="2"/>
    <x v="4"/>
    <x v="4"/>
    <x v="1"/>
    <x v="4"/>
    <x v="1"/>
    <x v="2"/>
    <n v="10"/>
    <x v="0"/>
  </r>
  <r>
    <d v="2021-02-10T00:00:00"/>
    <x v="0"/>
    <x v="1"/>
    <x v="0"/>
    <n v="12710918.060000001"/>
    <x v="0"/>
    <x v="1"/>
    <x v="0"/>
    <x v="0"/>
    <x v="4"/>
    <x v="1"/>
    <x v="4"/>
    <x v="1"/>
    <x v="2"/>
    <n v="10"/>
    <x v="0"/>
  </r>
  <r>
    <d v="2021-02-10T00:00:00"/>
    <x v="2"/>
    <x v="1"/>
    <x v="1"/>
    <n v="163159548.21000001"/>
    <x v="2"/>
    <x v="1"/>
    <x v="1"/>
    <x v="9"/>
    <x v="4"/>
    <x v="1"/>
    <x v="4"/>
    <x v="1"/>
    <x v="2"/>
    <n v="10"/>
    <x v="0"/>
  </r>
  <r>
    <d v="2021-02-10T00:00:00"/>
    <x v="1"/>
    <x v="0"/>
    <x v="0"/>
    <n v="81756668.129999995"/>
    <x v="1"/>
    <x v="0"/>
    <x v="0"/>
    <x v="8"/>
    <x v="4"/>
    <x v="1"/>
    <x v="4"/>
    <x v="1"/>
    <x v="2"/>
    <n v="10"/>
    <x v="0"/>
  </r>
  <r>
    <d v="2021-02-10T00:00:00"/>
    <x v="1"/>
    <x v="0"/>
    <x v="1"/>
    <n v="415828685.38999999"/>
    <x v="1"/>
    <x v="0"/>
    <x v="1"/>
    <x v="10"/>
    <x v="4"/>
    <x v="1"/>
    <x v="4"/>
    <x v="1"/>
    <x v="2"/>
    <n v="10"/>
    <x v="0"/>
  </r>
  <r>
    <d v="2021-02-10T00:00:00"/>
    <x v="3"/>
    <x v="2"/>
    <x v="0"/>
    <n v="369076964.31999999"/>
    <x v="3"/>
    <x v="2"/>
    <x v="0"/>
    <x v="11"/>
    <x v="4"/>
    <x v="1"/>
    <x v="4"/>
    <x v="1"/>
    <x v="2"/>
    <n v="10"/>
    <x v="0"/>
  </r>
  <r>
    <d v="2021-02-10T00:00:00"/>
    <x v="3"/>
    <x v="1"/>
    <x v="0"/>
    <n v="10657853.73"/>
    <x v="3"/>
    <x v="1"/>
    <x v="0"/>
    <x v="12"/>
    <x v="4"/>
    <x v="1"/>
    <x v="4"/>
    <x v="1"/>
    <x v="2"/>
    <n v="10"/>
    <x v="0"/>
  </r>
  <r>
    <d v="2021-02-10T00:00:00"/>
    <x v="3"/>
    <x v="2"/>
    <x v="1"/>
    <n v="9267113469.9699993"/>
    <x v="3"/>
    <x v="2"/>
    <x v="1"/>
    <x v="13"/>
    <x v="4"/>
    <x v="1"/>
    <x v="4"/>
    <x v="1"/>
    <x v="2"/>
    <n v="10"/>
    <x v="0"/>
  </r>
  <r>
    <d v="2021-02-09T00:00:00"/>
    <x v="2"/>
    <x v="1"/>
    <x v="0"/>
    <n v="132007190.02"/>
    <x v="2"/>
    <x v="1"/>
    <x v="0"/>
    <x v="7"/>
    <x v="4"/>
    <x v="1"/>
    <x v="4"/>
    <x v="1"/>
    <x v="2"/>
    <n v="9"/>
    <x v="0"/>
  </r>
  <r>
    <d v="2021-02-09T00:00:00"/>
    <x v="3"/>
    <x v="3"/>
    <x v="0"/>
    <n v="1626496555.26"/>
    <x v="3"/>
    <x v="3"/>
    <x v="0"/>
    <x v="8"/>
    <x v="4"/>
    <x v="1"/>
    <x v="4"/>
    <x v="1"/>
    <x v="2"/>
    <n v="9"/>
    <x v="0"/>
  </r>
  <r>
    <d v="2021-02-09T00:00:00"/>
    <x v="2"/>
    <x v="1"/>
    <x v="2"/>
    <n v="142780.99"/>
    <x v="2"/>
    <x v="1"/>
    <x v="2"/>
    <x v="5"/>
    <x v="4"/>
    <x v="1"/>
    <x v="4"/>
    <x v="1"/>
    <x v="2"/>
    <n v="9"/>
    <x v="0"/>
  </r>
  <r>
    <d v="2021-02-09T00:00:00"/>
    <x v="0"/>
    <x v="0"/>
    <x v="1"/>
    <n v="6385230.0199999996"/>
    <x v="0"/>
    <x v="0"/>
    <x v="1"/>
    <x v="3"/>
    <x v="4"/>
    <x v="1"/>
    <x v="4"/>
    <x v="1"/>
    <x v="2"/>
    <n v="9"/>
    <x v="0"/>
  </r>
  <r>
    <d v="2021-02-09T00:00:00"/>
    <x v="0"/>
    <x v="1"/>
    <x v="1"/>
    <n v="17036595.239999998"/>
    <x v="0"/>
    <x v="1"/>
    <x v="1"/>
    <x v="4"/>
    <x v="4"/>
    <x v="1"/>
    <x v="4"/>
    <x v="1"/>
    <x v="2"/>
    <n v="9"/>
    <x v="0"/>
  </r>
  <r>
    <d v="2021-02-09T00:00:00"/>
    <x v="1"/>
    <x v="0"/>
    <x v="0"/>
    <n v="108557023.47"/>
    <x v="1"/>
    <x v="0"/>
    <x v="0"/>
    <x v="9"/>
    <x v="4"/>
    <x v="1"/>
    <x v="4"/>
    <x v="1"/>
    <x v="2"/>
    <n v="9"/>
    <x v="0"/>
  </r>
  <r>
    <d v="2021-02-09T00:00:00"/>
    <x v="3"/>
    <x v="2"/>
    <x v="2"/>
    <n v="80619.399999999994"/>
    <x v="3"/>
    <x v="2"/>
    <x v="2"/>
    <x v="6"/>
    <x v="4"/>
    <x v="1"/>
    <x v="4"/>
    <x v="1"/>
    <x v="2"/>
    <n v="9"/>
    <x v="0"/>
  </r>
  <r>
    <d v="2021-02-09T00:00:00"/>
    <x v="0"/>
    <x v="1"/>
    <x v="0"/>
    <n v="7717804.79"/>
    <x v="0"/>
    <x v="1"/>
    <x v="0"/>
    <x v="1"/>
    <x v="4"/>
    <x v="1"/>
    <x v="4"/>
    <x v="1"/>
    <x v="2"/>
    <n v="9"/>
    <x v="0"/>
  </r>
  <r>
    <d v="2021-02-09T00:00:00"/>
    <x v="0"/>
    <x v="0"/>
    <x v="0"/>
    <n v="24.29"/>
    <x v="0"/>
    <x v="0"/>
    <x v="0"/>
    <x v="0"/>
    <x v="4"/>
    <x v="1"/>
    <x v="4"/>
    <x v="1"/>
    <x v="2"/>
    <n v="9"/>
    <x v="0"/>
  </r>
  <r>
    <d v="2021-02-09T00:00:00"/>
    <x v="1"/>
    <x v="0"/>
    <x v="2"/>
    <n v="15392.52"/>
    <x v="1"/>
    <x v="0"/>
    <x v="2"/>
    <x v="2"/>
    <x v="4"/>
    <x v="1"/>
    <x v="4"/>
    <x v="1"/>
    <x v="2"/>
    <n v="9"/>
    <x v="0"/>
  </r>
  <r>
    <d v="2021-02-09T00:00:00"/>
    <x v="1"/>
    <x v="0"/>
    <x v="1"/>
    <n v="198425347.59"/>
    <x v="1"/>
    <x v="0"/>
    <x v="1"/>
    <x v="10"/>
    <x v="4"/>
    <x v="1"/>
    <x v="4"/>
    <x v="1"/>
    <x v="2"/>
    <n v="9"/>
    <x v="0"/>
  </r>
  <r>
    <d v="2021-02-09T00:00:00"/>
    <x v="2"/>
    <x v="1"/>
    <x v="1"/>
    <n v="164500365.06"/>
    <x v="2"/>
    <x v="1"/>
    <x v="1"/>
    <x v="11"/>
    <x v="4"/>
    <x v="1"/>
    <x v="4"/>
    <x v="1"/>
    <x v="2"/>
    <n v="9"/>
    <x v="0"/>
  </r>
  <r>
    <d v="2021-02-09T00:00:00"/>
    <x v="3"/>
    <x v="1"/>
    <x v="0"/>
    <n v="8842041.5"/>
    <x v="3"/>
    <x v="1"/>
    <x v="0"/>
    <x v="12"/>
    <x v="4"/>
    <x v="1"/>
    <x v="4"/>
    <x v="1"/>
    <x v="2"/>
    <n v="9"/>
    <x v="0"/>
  </r>
  <r>
    <d v="2021-02-09T00:00:00"/>
    <x v="3"/>
    <x v="2"/>
    <x v="0"/>
    <n v="654933030.26999998"/>
    <x v="3"/>
    <x v="2"/>
    <x v="0"/>
    <x v="13"/>
    <x v="4"/>
    <x v="1"/>
    <x v="4"/>
    <x v="1"/>
    <x v="2"/>
    <n v="9"/>
    <x v="0"/>
  </r>
  <r>
    <d v="2021-02-09T00:00:00"/>
    <x v="3"/>
    <x v="2"/>
    <x v="1"/>
    <n v="3006230021.4400001"/>
    <x v="3"/>
    <x v="2"/>
    <x v="1"/>
    <x v="14"/>
    <x v="4"/>
    <x v="1"/>
    <x v="4"/>
    <x v="1"/>
    <x v="2"/>
    <n v="9"/>
    <x v="0"/>
  </r>
  <r>
    <d v="2021-02-08T00:00:00"/>
    <x v="2"/>
    <x v="1"/>
    <x v="2"/>
    <n v="12750"/>
    <x v="2"/>
    <x v="1"/>
    <x v="2"/>
    <x v="2"/>
    <x v="4"/>
    <x v="1"/>
    <x v="4"/>
    <x v="1"/>
    <x v="2"/>
    <n v="8"/>
    <x v="0"/>
  </r>
  <r>
    <d v="2021-02-08T00:00:00"/>
    <x v="3"/>
    <x v="3"/>
    <x v="0"/>
    <n v="1019176703.92"/>
    <x v="3"/>
    <x v="3"/>
    <x v="0"/>
    <x v="7"/>
    <x v="4"/>
    <x v="1"/>
    <x v="4"/>
    <x v="1"/>
    <x v="2"/>
    <n v="8"/>
    <x v="0"/>
  </r>
  <r>
    <d v="2021-02-08T00:00:00"/>
    <x v="0"/>
    <x v="1"/>
    <x v="1"/>
    <n v="26567812.059999999"/>
    <x v="0"/>
    <x v="1"/>
    <x v="1"/>
    <x v="4"/>
    <x v="4"/>
    <x v="1"/>
    <x v="4"/>
    <x v="1"/>
    <x v="2"/>
    <n v="8"/>
    <x v="0"/>
  </r>
  <r>
    <d v="2021-02-08T00:00:00"/>
    <x v="3"/>
    <x v="2"/>
    <x v="2"/>
    <n v="563137.93000000005"/>
    <x v="3"/>
    <x v="2"/>
    <x v="2"/>
    <x v="5"/>
    <x v="4"/>
    <x v="1"/>
    <x v="4"/>
    <x v="1"/>
    <x v="2"/>
    <n v="8"/>
    <x v="0"/>
  </r>
  <r>
    <d v="2021-02-08T00:00:00"/>
    <x v="1"/>
    <x v="0"/>
    <x v="0"/>
    <n v="123601814.43000001"/>
    <x v="1"/>
    <x v="0"/>
    <x v="0"/>
    <x v="8"/>
    <x v="4"/>
    <x v="1"/>
    <x v="4"/>
    <x v="1"/>
    <x v="2"/>
    <n v="8"/>
    <x v="0"/>
  </r>
  <r>
    <d v="2021-02-08T00:00:00"/>
    <x v="1"/>
    <x v="0"/>
    <x v="2"/>
    <n v="12847.4"/>
    <x v="1"/>
    <x v="0"/>
    <x v="2"/>
    <x v="1"/>
    <x v="4"/>
    <x v="1"/>
    <x v="4"/>
    <x v="1"/>
    <x v="2"/>
    <n v="8"/>
    <x v="0"/>
  </r>
  <r>
    <d v="2021-02-08T00:00:00"/>
    <x v="0"/>
    <x v="1"/>
    <x v="0"/>
    <n v="15922461.57"/>
    <x v="0"/>
    <x v="1"/>
    <x v="0"/>
    <x v="0"/>
    <x v="4"/>
    <x v="1"/>
    <x v="4"/>
    <x v="1"/>
    <x v="2"/>
    <n v="8"/>
    <x v="0"/>
  </r>
  <r>
    <d v="2021-02-08T00:00:00"/>
    <x v="2"/>
    <x v="1"/>
    <x v="0"/>
    <n v="99971119.739999995"/>
    <x v="2"/>
    <x v="1"/>
    <x v="0"/>
    <x v="6"/>
    <x v="4"/>
    <x v="1"/>
    <x v="4"/>
    <x v="1"/>
    <x v="2"/>
    <n v="8"/>
    <x v="0"/>
  </r>
  <r>
    <d v="2021-02-08T00:00:00"/>
    <x v="2"/>
    <x v="1"/>
    <x v="1"/>
    <n v="239680163.22999999"/>
    <x v="2"/>
    <x v="1"/>
    <x v="1"/>
    <x v="9"/>
    <x v="4"/>
    <x v="1"/>
    <x v="4"/>
    <x v="1"/>
    <x v="2"/>
    <n v="8"/>
    <x v="0"/>
  </r>
  <r>
    <d v="2021-02-08T00:00:00"/>
    <x v="3"/>
    <x v="3"/>
    <x v="1"/>
    <n v="213072.25"/>
    <x v="3"/>
    <x v="3"/>
    <x v="1"/>
    <x v="3"/>
    <x v="4"/>
    <x v="1"/>
    <x v="4"/>
    <x v="1"/>
    <x v="2"/>
    <n v="8"/>
    <x v="0"/>
  </r>
  <r>
    <d v="2021-02-08T00:00:00"/>
    <x v="1"/>
    <x v="0"/>
    <x v="1"/>
    <n v="237600338.38"/>
    <x v="1"/>
    <x v="0"/>
    <x v="1"/>
    <x v="10"/>
    <x v="4"/>
    <x v="1"/>
    <x v="4"/>
    <x v="1"/>
    <x v="2"/>
    <n v="8"/>
    <x v="0"/>
  </r>
  <r>
    <d v="2021-02-08T00:00:00"/>
    <x v="3"/>
    <x v="2"/>
    <x v="0"/>
    <n v="545213809.47000003"/>
    <x v="3"/>
    <x v="2"/>
    <x v="0"/>
    <x v="11"/>
    <x v="4"/>
    <x v="1"/>
    <x v="4"/>
    <x v="1"/>
    <x v="2"/>
    <n v="8"/>
    <x v="0"/>
  </r>
  <r>
    <d v="2021-02-08T00:00:00"/>
    <x v="3"/>
    <x v="2"/>
    <x v="1"/>
    <n v="22461845928.169998"/>
    <x v="3"/>
    <x v="2"/>
    <x v="1"/>
    <x v="12"/>
    <x v="4"/>
    <x v="1"/>
    <x v="4"/>
    <x v="1"/>
    <x v="2"/>
    <n v="8"/>
    <x v="0"/>
  </r>
  <r>
    <d v="2021-02-08T00:00:00"/>
    <x v="3"/>
    <x v="1"/>
    <x v="0"/>
    <n v="43795316.439999998"/>
    <x v="3"/>
    <x v="1"/>
    <x v="0"/>
    <x v="13"/>
    <x v="4"/>
    <x v="1"/>
    <x v="4"/>
    <x v="1"/>
    <x v="2"/>
    <n v="8"/>
    <x v="0"/>
  </r>
  <r>
    <d v="2021-02-05T00:00:00"/>
    <x v="2"/>
    <x v="1"/>
    <x v="2"/>
    <n v="31749.94"/>
    <x v="2"/>
    <x v="1"/>
    <x v="2"/>
    <x v="3"/>
    <x v="4"/>
    <x v="1"/>
    <x v="4"/>
    <x v="1"/>
    <x v="2"/>
    <n v="5"/>
    <x v="0"/>
  </r>
  <r>
    <d v="2021-02-05T00:00:00"/>
    <x v="0"/>
    <x v="1"/>
    <x v="1"/>
    <n v="14061112.23"/>
    <x v="0"/>
    <x v="1"/>
    <x v="1"/>
    <x v="4"/>
    <x v="4"/>
    <x v="1"/>
    <x v="4"/>
    <x v="1"/>
    <x v="2"/>
    <n v="5"/>
    <x v="0"/>
  </r>
  <r>
    <d v="2021-02-05T00:00:00"/>
    <x v="3"/>
    <x v="2"/>
    <x v="2"/>
    <n v="377334.99"/>
    <x v="3"/>
    <x v="2"/>
    <x v="2"/>
    <x v="5"/>
    <x v="4"/>
    <x v="1"/>
    <x v="4"/>
    <x v="1"/>
    <x v="2"/>
    <n v="5"/>
    <x v="0"/>
  </r>
  <r>
    <d v="2021-02-05T00:00:00"/>
    <x v="1"/>
    <x v="0"/>
    <x v="2"/>
    <n v="20625.22"/>
    <x v="1"/>
    <x v="0"/>
    <x v="2"/>
    <x v="2"/>
    <x v="4"/>
    <x v="1"/>
    <x v="4"/>
    <x v="1"/>
    <x v="2"/>
    <n v="5"/>
    <x v="0"/>
  </r>
  <r>
    <d v="2021-02-05T00:00:00"/>
    <x v="0"/>
    <x v="1"/>
    <x v="0"/>
    <n v="17931937.030000001"/>
    <x v="0"/>
    <x v="1"/>
    <x v="0"/>
    <x v="1"/>
    <x v="4"/>
    <x v="1"/>
    <x v="4"/>
    <x v="1"/>
    <x v="2"/>
    <n v="5"/>
    <x v="0"/>
  </r>
  <r>
    <d v="2021-02-05T00:00:00"/>
    <x v="2"/>
    <x v="1"/>
    <x v="0"/>
    <n v="92131425.760000005"/>
    <x v="2"/>
    <x v="1"/>
    <x v="0"/>
    <x v="6"/>
    <x v="4"/>
    <x v="1"/>
    <x v="4"/>
    <x v="1"/>
    <x v="2"/>
    <n v="5"/>
    <x v="0"/>
  </r>
  <r>
    <d v="2021-02-05T00:00:00"/>
    <x v="0"/>
    <x v="0"/>
    <x v="0"/>
    <n v="90"/>
    <x v="0"/>
    <x v="0"/>
    <x v="0"/>
    <x v="0"/>
    <x v="4"/>
    <x v="1"/>
    <x v="4"/>
    <x v="1"/>
    <x v="2"/>
    <n v="5"/>
    <x v="0"/>
  </r>
  <r>
    <d v="2021-02-05T00:00:00"/>
    <x v="1"/>
    <x v="0"/>
    <x v="1"/>
    <n v="299100631.58999997"/>
    <x v="1"/>
    <x v="0"/>
    <x v="1"/>
    <x v="9"/>
    <x v="4"/>
    <x v="1"/>
    <x v="4"/>
    <x v="1"/>
    <x v="2"/>
    <n v="5"/>
    <x v="0"/>
  </r>
  <r>
    <d v="2021-02-05T00:00:00"/>
    <x v="3"/>
    <x v="3"/>
    <x v="0"/>
    <n v="1076812672.74"/>
    <x v="3"/>
    <x v="3"/>
    <x v="0"/>
    <x v="7"/>
    <x v="4"/>
    <x v="1"/>
    <x v="4"/>
    <x v="1"/>
    <x v="2"/>
    <n v="5"/>
    <x v="0"/>
  </r>
  <r>
    <d v="2021-02-05T00:00:00"/>
    <x v="1"/>
    <x v="0"/>
    <x v="0"/>
    <n v="87932223.829999998"/>
    <x v="1"/>
    <x v="0"/>
    <x v="0"/>
    <x v="8"/>
    <x v="4"/>
    <x v="1"/>
    <x v="4"/>
    <x v="1"/>
    <x v="2"/>
    <n v="5"/>
    <x v="0"/>
  </r>
  <r>
    <d v="2021-02-05T00:00:00"/>
    <x v="2"/>
    <x v="1"/>
    <x v="1"/>
    <n v="115600788.75"/>
    <x v="2"/>
    <x v="1"/>
    <x v="1"/>
    <x v="10"/>
    <x v="4"/>
    <x v="1"/>
    <x v="4"/>
    <x v="1"/>
    <x v="2"/>
    <n v="5"/>
    <x v="0"/>
  </r>
  <r>
    <d v="2021-02-05T00:00:00"/>
    <x v="3"/>
    <x v="2"/>
    <x v="0"/>
    <n v="461144592.91000003"/>
    <x v="3"/>
    <x v="2"/>
    <x v="0"/>
    <x v="11"/>
    <x v="4"/>
    <x v="1"/>
    <x v="4"/>
    <x v="1"/>
    <x v="2"/>
    <n v="5"/>
    <x v="0"/>
  </r>
  <r>
    <d v="2021-02-05T00:00:00"/>
    <x v="3"/>
    <x v="1"/>
    <x v="0"/>
    <n v="13534754.02"/>
    <x v="3"/>
    <x v="1"/>
    <x v="0"/>
    <x v="12"/>
    <x v="4"/>
    <x v="1"/>
    <x v="4"/>
    <x v="1"/>
    <x v="2"/>
    <n v="5"/>
    <x v="0"/>
  </r>
  <r>
    <d v="2021-02-05T00:00:00"/>
    <x v="3"/>
    <x v="2"/>
    <x v="1"/>
    <n v="8616548214.0699997"/>
    <x v="3"/>
    <x v="2"/>
    <x v="1"/>
    <x v="13"/>
    <x v="4"/>
    <x v="1"/>
    <x v="4"/>
    <x v="1"/>
    <x v="2"/>
    <n v="5"/>
    <x v="0"/>
  </r>
  <r>
    <d v="2021-02-04T00:00:00"/>
    <x v="1"/>
    <x v="0"/>
    <x v="2"/>
    <n v="3755.5"/>
    <x v="1"/>
    <x v="0"/>
    <x v="2"/>
    <x v="2"/>
    <x v="4"/>
    <x v="1"/>
    <x v="4"/>
    <x v="1"/>
    <x v="2"/>
    <n v="4"/>
    <x v="0"/>
  </r>
  <r>
    <d v="2021-02-04T00:00:00"/>
    <x v="2"/>
    <x v="1"/>
    <x v="2"/>
    <n v="50260"/>
    <x v="2"/>
    <x v="1"/>
    <x v="2"/>
    <x v="3"/>
    <x v="4"/>
    <x v="1"/>
    <x v="4"/>
    <x v="1"/>
    <x v="2"/>
    <n v="4"/>
    <x v="0"/>
  </r>
  <r>
    <d v="2021-02-04T00:00:00"/>
    <x v="3"/>
    <x v="3"/>
    <x v="0"/>
    <n v="1229229592.22"/>
    <x v="3"/>
    <x v="3"/>
    <x v="0"/>
    <x v="7"/>
    <x v="4"/>
    <x v="1"/>
    <x v="4"/>
    <x v="1"/>
    <x v="2"/>
    <n v="4"/>
    <x v="0"/>
  </r>
  <r>
    <d v="2021-02-04T00:00:00"/>
    <x v="0"/>
    <x v="1"/>
    <x v="1"/>
    <n v="19980636.210000001"/>
    <x v="0"/>
    <x v="1"/>
    <x v="1"/>
    <x v="4"/>
    <x v="4"/>
    <x v="1"/>
    <x v="4"/>
    <x v="1"/>
    <x v="2"/>
    <n v="4"/>
    <x v="0"/>
  </r>
  <r>
    <d v="2021-02-04T00:00:00"/>
    <x v="3"/>
    <x v="2"/>
    <x v="2"/>
    <n v="269807.37"/>
    <x v="3"/>
    <x v="2"/>
    <x v="2"/>
    <x v="5"/>
    <x v="4"/>
    <x v="1"/>
    <x v="4"/>
    <x v="1"/>
    <x v="2"/>
    <n v="4"/>
    <x v="0"/>
  </r>
  <r>
    <d v="2021-02-04T00:00:00"/>
    <x v="0"/>
    <x v="0"/>
    <x v="0"/>
    <n v="-317.33"/>
    <x v="0"/>
    <x v="0"/>
    <x v="0"/>
    <x v="0"/>
    <x v="4"/>
    <x v="1"/>
    <x v="4"/>
    <x v="1"/>
    <x v="2"/>
    <n v="4"/>
    <x v="1"/>
  </r>
  <r>
    <d v="2021-02-04T00:00:00"/>
    <x v="0"/>
    <x v="1"/>
    <x v="0"/>
    <n v="12845127.359999999"/>
    <x v="0"/>
    <x v="1"/>
    <x v="0"/>
    <x v="1"/>
    <x v="4"/>
    <x v="1"/>
    <x v="4"/>
    <x v="1"/>
    <x v="2"/>
    <n v="4"/>
    <x v="0"/>
  </r>
  <r>
    <d v="2021-02-04T00:00:00"/>
    <x v="1"/>
    <x v="0"/>
    <x v="1"/>
    <n v="368965794.12"/>
    <x v="1"/>
    <x v="0"/>
    <x v="1"/>
    <x v="9"/>
    <x v="4"/>
    <x v="1"/>
    <x v="4"/>
    <x v="1"/>
    <x v="2"/>
    <n v="4"/>
    <x v="0"/>
  </r>
  <r>
    <d v="2021-02-04T00:00:00"/>
    <x v="2"/>
    <x v="1"/>
    <x v="0"/>
    <n v="78027194.700000003"/>
    <x v="2"/>
    <x v="1"/>
    <x v="0"/>
    <x v="6"/>
    <x v="4"/>
    <x v="1"/>
    <x v="4"/>
    <x v="1"/>
    <x v="2"/>
    <n v="4"/>
    <x v="0"/>
  </r>
  <r>
    <d v="2021-02-04T00:00:00"/>
    <x v="1"/>
    <x v="0"/>
    <x v="0"/>
    <n v="78954648.359999999"/>
    <x v="1"/>
    <x v="0"/>
    <x v="0"/>
    <x v="8"/>
    <x v="4"/>
    <x v="1"/>
    <x v="4"/>
    <x v="1"/>
    <x v="2"/>
    <n v="4"/>
    <x v="0"/>
  </r>
  <r>
    <d v="2021-02-04T00:00:00"/>
    <x v="2"/>
    <x v="1"/>
    <x v="1"/>
    <n v="129406242.04000001"/>
    <x v="2"/>
    <x v="1"/>
    <x v="1"/>
    <x v="10"/>
    <x v="4"/>
    <x v="1"/>
    <x v="4"/>
    <x v="1"/>
    <x v="2"/>
    <n v="4"/>
    <x v="0"/>
  </r>
  <r>
    <d v="2021-02-04T00:00:00"/>
    <x v="3"/>
    <x v="1"/>
    <x v="0"/>
    <n v="13029366.890000001"/>
    <x v="3"/>
    <x v="1"/>
    <x v="0"/>
    <x v="11"/>
    <x v="4"/>
    <x v="1"/>
    <x v="4"/>
    <x v="1"/>
    <x v="2"/>
    <n v="4"/>
    <x v="0"/>
  </r>
  <r>
    <d v="2021-02-04T00:00:00"/>
    <x v="3"/>
    <x v="2"/>
    <x v="0"/>
    <n v="458641660.5"/>
    <x v="3"/>
    <x v="2"/>
    <x v="0"/>
    <x v="12"/>
    <x v="4"/>
    <x v="1"/>
    <x v="4"/>
    <x v="1"/>
    <x v="2"/>
    <n v="4"/>
    <x v="0"/>
  </r>
  <r>
    <d v="2021-02-04T00:00:00"/>
    <x v="3"/>
    <x v="2"/>
    <x v="1"/>
    <n v="4010023095.4200001"/>
    <x v="3"/>
    <x v="2"/>
    <x v="1"/>
    <x v="13"/>
    <x v="4"/>
    <x v="1"/>
    <x v="4"/>
    <x v="1"/>
    <x v="2"/>
    <n v="4"/>
    <x v="0"/>
  </r>
  <r>
    <d v="2021-02-03T00:00:00"/>
    <x v="2"/>
    <x v="1"/>
    <x v="0"/>
    <n v="141137893.84"/>
    <x v="2"/>
    <x v="1"/>
    <x v="0"/>
    <x v="5"/>
    <x v="4"/>
    <x v="1"/>
    <x v="4"/>
    <x v="1"/>
    <x v="2"/>
    <n v="3"/>
    <x v="0"/>
  </r>
  <r>
    <d v="2021-02-03T00:00:00"/>
    <x v="3"/>
    <x v="2"/>
    <x v="2"/>
    <n v="197598.99"/>
    <x v="3"/>
    <x v="2"/>
    <x v="2"/>
    <x v="4"/>
    <x v="4"/>
    <x v="1"/>
    <x v="4"/>
    <x v="1"/>
    <x v="2"/>
    <n v="3"/>
    <x v="0"/>
  </r>
  <r>
    <d v="2021-02-03T00:00:00"/>
    <x v="0"/>
    <x v="1"/>
    <x v="0"/>
    <n v="7421001.0499999998"/>
    <x v="0"/>
    <x v="1"/>
    <x v="0"/>
    <x v="1"/>
    <x v="4"/>
    <x v="1"/>
    <x v="4"/>
    <x v="1"/>
    <x v="2"/>
    <n v="3"/>
    <x v="0"/>
  </r>
  <r>
    <d v="2021-02-03T00:00:00"/>
    <x v="0"/>
    <x v="0"/>
    <x v="0"/>
    <n v="200"/>
    <x v="0"/>
    <x v="0"/>
    <x v="0"/>
    <x v="0"/>
    <x v="4"/>
    <x v="1"/>
    <x v="4"/>
    <x v="1"/>
    <x v="2"/>
    <n v="3"/>
    <x v="0"/>
  </r>
  <r>
    <d v="2021-02-03T00:00:00"/>
    <x v="1"/>
    <x v="0"/>
    <x v="2"/>
    <n v="8702.8799999999992"/>
    <x v="1"/>
    <x v="0"/>
    <x v="2"/>
    <x v="2"/>
    <x v="4"/>
    <x v="1"/>
    <x v="4"/>
    <x v="1"/>
    <x v="2"/>
    <n v="3"/>
    <x v="0"/>
  </r>
  <r>
    <d v="2021-02-03T00:00:00"/>
    <x v="0"/>
    <x v="1"/>
    <x v="1"/>
    <n v="39754245.789999999"/>
    <x v="0"/>
    <x v="1"/>
    <x v="1"/>
    <x v="3"/>
    <x v="4"/>
    <x v="1"/>
    <x v="4"/>
    <x v="1"/>
    <x v="2"/>
    <n v="3"/>
    <x v="0"/>
  </r>
  <r>
    <d v="2021-02-03T00:00:00"/>
    <x v="3"/>
    <x v="3"/>
    <x v="0"/>
    <n v="1974070943.8900001"/>
    <x v="3"/>
    <x v="3"/>
    <x v="0"/>
    <x v="6"/>
    <x v="4"/>
    <x v="1"/>
    <x v="4"/>
    <x v="1"/>
    <x v="2"/>
    <n v="3"/>
    <x v="0"/>
  </r>
  <r>
    <d v="2021-02-03T00:00:00"/>
    <x v="1"/>
    <x v="0"/>
    <x v="0"/>
    <n v="131027041.06"/>
    <x v="1"/>
    <x v="0"/>
    <x v="0"/>
    <x v="7"/>
    <x v="4"/>
    <x v="1"/>
    <x v="4"/>
    <x v="1"/>
    <x v="2"/>
    <n v="3"/>
    <x v="0"/>
  </r>
  <r>
    <d v="2021-02-03T00:00:00"/>
    <x v="1"/>
    <x v="0"/>
    <x v="1"/>
    <n v="624525212.37"/>
    <x v="1"/>
    <x v="0"/>
    <x v="1"/>
    <x v="8"/>
    <x v="4"/>
    <x v="1"/>
    <x v="4"/>
    <x v="1"/>
    <x v="2"/>
    <n v="3"/>
    <x v="0"/>
  </r>
  <r>
    <d v="2021-02-03T00:00:00"/>
    <x v="2"/>
    <x v="1"/>
    <x v="1"/>
    <n v="234025720.08000001"/>
    <x v="2"/>
    <x v="1"/>
    <x v="1"/>
    <x v="9"/>
    <x v="4"/>
    <x v="1"/>
    <x v="4"/>
    <x v="1"/>
    <x v="2"/>
    <n v="3"/>
    <x v="0"/>
  </r>
  <r>
    <d v="2021-02-03T00:00:00"/>
    <x v="3"/>
    <x v="2"/>
    <x v="0"/>
    <n v="481787424.85000002"/>
    <x v="3"/>
    <x v="2"/>
    <x v="0"/>
    <x v="10"/>
    <x v="4"/>
    <x v="1"/>
    <x v="4"/>
    <x v="1"/>
    <x v="2"/>
    <n v="3"/>
    <x v="0"/>
  </r>
  <r>
    <d v="2021-02-03T00:00:00"/>
    <x v="3"/>
    <x v="1"/>
    <x v="0"/>
    <n v="11879994.609999999"/>
    <x v="3"/>
    <x v="1"/>
    <x v="0"/>
    <x v="11"/>
    <x v="4"/>
    <x v="1"/>
    <x v="4"/>
    <x v="1"/>
    <x v="2"/>
    <n v="3"/>
    <x v="0"/>
  </r>
  <r>
    <d v="2021-02-03T00:00:00"/>
    <x v="3"/>
    <x v="2"/>
    <x v="1"/>
    <n v="12792627591.530001"/>
    <x v="3"/>
    <x v="2"/>
    <x v="1"/>
    <x v="12"/>
    <x v="4"/>
    <x v="1"/>
    <x v="4"/>
    <x v="1"/>
    <x v="2"/>
    <n v="3"/>
    <x v="0"/>
  </r>
  <r>
    <d v="2021-02-02T00:00:00"/>
    <x v="2"/>
    <x v="1"/>
    <x v="2"/>
    <n v="402110.69"/>
    <x v="2"/>
    <x v="1"/>
    <x v="2"/>
    <x v="3"/>
    <x v="4"/>
    <x v="1"/>
    <x v="4"/>
    <x v="1"/>
    <x v="2"/>
    <n v="2"/>
    <x v="0"/>
  </r>
  <r>
    <d v="2021-02-02T00:00:00"/>
    <x v="2"/>
    <x v="1"/>
    <x v="0"/>
    <n v="66959111.140000001"/>
    <x v="2"/>
    <x v="1"/>
    <x v="0"/>
    <x v="7"/>
    <x v="4"/>
    <x v="1"/>
    <x v="4"/>
    <x v="1"/>
    <x v="2"/>
    <n v="2"/>
    <x v="0"/>
  </r>
  <r>
    <d v="2021-02-02T00:00:00"/>
    <x v="0"/>
    <x v="1"/>
    <x v="1"/>
    <n v="17870960.719999999"/>
    <x v="0"/>
    <x v="1"/>
    <x v="1"/>
    <x v="5"/>
    <x v="4"/>
    <x v="1"/>
    <x v="4"/>
    <x v="1"/>
    <x v="2"/>
    <n v="2"/>
    <x v="0"/>
  </r>
  <r>
    <d v="2021-02-02T00:00:00"/>
    <x v="3"/>
    <x v="2"/>
    <x v="2"/>
    <n v="336109.98"/>
    <x v="3"/>
    <x v="2"/>
    <x v="2"/>
    <x v="6"/>
    <x v="4"/>
    <x v="1"/>
    <x v="4"/>
    <x v="1"/>
    <x v="2"/>
    <n v="2"/>
    <x v="0"/>
  </r>
  <r>
    <d v="2021-02-02T00:00:00"/>
    <x v="0"/>
    <x v="1"/>
    <x v="0"/>
    <n v="14162389.300000001"/>
    <x v="0"/>
    <x v="1"/>
    <x v="0"/>
    <x v="1"/>
    <x v="4"/>
    <x v="1"/>
    <x v="4"/>
    <x v="1"/>
    <x v="2"/>
    <n v="2"/>
    <x v="0"/>
  </r>
  <r>
    <d v="2021-02-02T00:00:00"/>
    <x v="0"/>
    <x v="0"/>
    <x v="0"/>
    <n v="2130"/>
    <x v="0"/>
    <x v="0"/>
    <x v="0"/>
    <x v="0"/>
    <x v="4"/>
    <x v="1"/>
    <x v="4"/>
    <x v="1"/>
    <x v="2"/>
    <n v="2"/>
    <x v="0"/>
  </r>
  <r>
    <d v="2021-02-02T00:00:00"/>
    <x v="1"/>
    <x v="0"/>
    <x v="2"/>
    <n v="8725.33"/>
    <x v="1"/>
    <x v="0"/>
    <x v="2"/>
    <x v="2"/>
    <x v="4"/>
    <x v="1"/>
    <x v="4"/>
    <x v="1"/>
    <x v="2"/>
    <n v="2"/>
    <x v="0"/>
  </r>
  <r>
    <d v="2021-02-02T00:00:00"/>
    <x v="3"/>
    <x v="3"/>
    <x v="1"/>
    <n v="7341.71"/>
    <x v="3"/>
    <x v="3"/>
    <x v="1"/>
    <x v="4"/>
    <x v="4"/>
    <x v="1"/>
    <x v="4"/>
    <x v="1"/>
    <x v="2"/>
    <n v="2"/>
    <x v="0"/>
  </r>
  <r>
    <d v="2021-02-02T00:00:00"/>
    <x v="3"/>
    <x v="3"/>
    <x v="0"/>
    <n v="1326051088.45"/>
    <x v="3"/>
    <x v="3"/>
    <x v="0"/>
    <x v="8"/>
    <x v="4"/>
    <x v="1"/>
    <x v="4"/>
    <x v="1"/>
    <x v="2"/>
    <n v="2"/>
    <x v="0"/>
  </r>
  <r>
    <d v="2021-02-02T00:00:00"/>
    <x v="1"/>
    <x v="0"/>
    <x v="0"/>
    <n v="87694210.530000001"/>
    <x v="1"/>
    <x v="0"/>
    <x v="0"/>
    <x v="9"/>
    <x v="4"/>
    <x v="1"/>
    <x v="4"/>
    <x v="1"/>
    <x v="2"/>
    <n v="2"/>
    <x v="0"/>
  </r>
  <r>
    <d v="2021-02-02T00:00:00"/>
    <x v="1"/>
    <x v="0"/>
    <x v="1"/>
    <n v="648481100.75999999"/>
    <x v="1"/>
    <x v="0"/>
    <x v="1"/>
    <x v="10"/>
    <x v="4"/>
    <x v="1"/>
    <x v="4"/>
    <x v="1"/>
    <x v="2"/>
    <n v="2"/>
    <x v="0"/>
  </r>
  <r>
    <d v="2021-02-02T00:00:00"/>
    <x v="2"/>
    <x v="1"/>
    <x v="1"/>
    <n v="130757565.05"/>
    <x v="2"/>
    <x v="1"/>
    <x v="1"/>
    <x v="11"/>
    <x v="4"/>
    <x v="1"/>
    <x v="4"/>
    <x v="1"/>
    <x v="2"/>
    <n v="2"/>
    <x v="0"/>
  </r>
  <r>
    <d v="2021-02-02T00:00:00"/>
    <x v="3"/>
    <x v="1"/>
    <x v="0"/>
    <n v="10061635.75"/>
    <x v="3"/>
    <x v="1"/>
    <x v="0"/>
    <x v="12"/>
    <x v="4"/>
    <x v="1"/>
    <x v="4"/>
    <x v="1"/>
    <x v="2"/>
    <n v="2"/>
    <x v="0"/>
  </r>
  <r>
    <d v="2021-02-02T00:00:00"/>
    <x v="3"/>
    <x v="2"/>
    <x v="0"/>
    <n v="975135918.37"/>
    <x v="3"/>
    <x v="2"/>
    <x v="0"/>
    <x v="13"/>
    <x v="4"/>
    <x v="1"/>
    <x v="4"/>
    <x v="1"/>
    <x v="2"/>
    <n v="2"/>
    <x v="0"/>
  </r>
  <r>
    <d v="2021-02-02T00:00:00"/>
    <x v="3"/>
    <x v="2"/>
    <x v="1"/>
    <n v="7502149993.8199997"/>
    <x v="3"/>
    <x v="2"/>
    <x v="1"/>
    <x v="14"/>
    <x v="4"/>
    <x v="1"/>
    <x v="4"/>
    <x v="1"/>
    <x v="2"/>
    <n v="2"/>
    <x v="0"/>
  </r>
  <r>
    <d v="2021-02-01T00:00:00"/>
    <x v="3"/>
    <x v="2"/>
    <x v="2"/>
    <n v="1518984.68"/>
    <x v="3"/>
    <x v="2"/>
    <x v="2"/>
    <x v="2"/>
    <x v="4"/>
    <x v="1"/>
    <x v="4"/>
    <x v="1"/>
    <x v="2"/>
    <n v="1"/>
    <x v="0"/>
  </r>
  <r>
    <d v="2021-02-01T00:00:00"/>
    <x v="2"/>
    <x v="1"/>
    <x v="0"/>
    <n v="117809104.51000001"/>
    <x v="2"/>
    <x v="1"/>
    <x v="0"/>
    <x v="3"/>
    <x v="4"/>
    <x v="1"/>
    <x v="4"/>
    <x v="1"/>
    <x v="2"/>
    <n v="1"/>
    <x v="0"/>
  </r>
  <r>
    <d v="2021-02-01T00:00:00"/>
    <x v="3"/>
    <x v="3"/>
    <x v="0"/>
    <n v="3754645553.6799998"/>
    <x v="3"/>
    <x v="3"/>
    <x v="0"/>
    <x v="4"/>
    <x v="4"/>
    <x v="1"/>
    <x v="4"/>
    <x v="1"/>
    <x v="2"/>
    <n v="1"/>
    <x v="0"/>
  </r>
  <r>
    <d v="2021-02-01T00:00:00"/>
    <x v="0"/>
    <x v="1"/>
    <x v="1"/>
    <n v="33014934.370000001"/>
    <x v="0"/>
    <x v="1"/>
    <x v="1"/>
    <x v="1"/>
    <x v="4"/>
    <x v="1"/>
    <x v="4"/>
    <x v="1"/>
    <x v="2"/>
    <n v="1"/>
    <x v="0"/>
  </r>
  <r>
    <d v="2021-02-01T00:00:00"/>
    <x v="0"/>
    <x v="1"/>
    <x v="0"/>
    <n v="29810348.789999999"/>
    <x v="0"/>
    <x v="1"/>
    <x v="0"/>
    <x v="0"/>
    <x v="4"/>
    <x v="1"/>
    <x v="4"/>
    <x v="1"/>
    <x v="2"/>
    <n v="1"/>
    <x v="0"/>
  </r>
  <r>
    <d v="2021-02-01T00:00:00"/>
    <x v="1"/>
    <x v="0"/>
    <x v="0"/>
    <n v="86956222.769999996"/>
    <x v="1"/>
    <x v="0"/>
    <x v="0"/>
    <x v="5"/>
    <x v="4"/>
    <x v="1"/>
    <x v="4"/>
    <x v="1"/>
    <x v="2"/>
    <n v="1"/>
    <x v="0"/>
  </r>
  <r>
    <d v="2021-02-01T00:00:00"/>
    <x v="2"/>
    <x v="1"/>
    <x v="1"/>
    <n v="231014738.12"/>
    <x v="2"/>
    <x v="1"/>
    <x v="1"/>
    <x v="6"/>
    <x v="4"/>
    <x v="1"/>
    <x v="4"/>
    <x v="1"/>
    <x v="2"/>
    <n v="1"/>
    <x v="0"/>
  </r>
  <r>
    <d v="2021-02-01T00:00:00"/>
    <x v="1"/>
    <x v="0"/>
    <x v="1"/>
    <n v="1074965048.95"/>
    <x v="1"/>
    <x v="0"/>
    <x v="1"/>
    <x v="7"/>
    <x v="4"/>
    <x v="1"/>
    <x v="4"/>
    <x v="1"/>
    <x v="2"/>
    <n v="1"/>
    <x v="0"/>
  </r>
  <r>
    <d v="2021-02-01T00:00:00"/>
    <x v="3"/>
    <x v="2"/>
    <x v="0"/>
    <n v="541646045.63"/>
    <x v="3"/>
    <x v="2"/>
    <x v="0"/>
    <x v="8"/>
    <x v="4"/>
    <x v="1"/>
    <x v="4"/>
    <x v="1"/>
    <x v="2"/>
    <n v="1"/>
    <x v="0"/>
  </r>
  <r>
    <d v="2021-02-01T00:00:00"/>
    <x v="3"/>
    <x v="1"/>
    <x v="0"/>
    <n v="46142300"/>
    <x v="3"/>
    <x v="1"/>
    <x v="0"/>
    <x v="9"/>
    <x v="4"/>
    <x v="1"/>
    <x v="4"/>
    <x v="1"/>
    <x v="2"/>
    <n v="1"/>
    <x v="0"/>
  </r>
  <r>
    <d v="2021-02-01T00:00:00"/>
    <x v="3"/>
    <x v="2"/>
    <x v="1"/>
    <n v="39646544553.379997"/>
    <x v="3"/>
    <x v="2"/>
    <x v="1"/>
    <x v="10"/>
    <x v="4"/>
    <x v="1"/>
    <x v="4"/>
    <x v="1"/>
    <x v="2"/>
    <n v="1"/>
    <x v="0"/>
  </r>
  <r>
    <d v="2021-01-29T00:00:00"/>
    <x v="3"/>
    <x v="2"/>
    <x v="2"/>
    <n v="578720.99"/>
    <x v="3"/>
    <x v="2"/>
    <x v="2"/>
    <x v="4"/>
    <x v="4"/>
    <x v="1"/>
    <x v="4"/>
    <x v="1"/>
    <x v="3"/>
    <n v="29"/>
    <x v="0"/>
  </r>
  <r>
    <d v="2021-01-29T00:00:00"/>
    <x v="1"/>
    <x v="0"/>
    <x v="2"/>
    <n v="671.84"/>
    <x v="1"/>
    <x v="0"/>
    <x v="2"/>
    <x v="1"/>
    <x v="4"/>
    <x v="1"/>
    <x v="4"/>
    <x v="1"/>
    <x v="3"/>
    <n v="29"/>
    <x v="0"/>
  </r>
  <r>
    <d v="2021-01-29T00:00:00"/>
    <x v="3"/>
    <x v="3"/>
    <x v="0"/>
    <n v="2845908895.8899999"/>
    <x v="3"/>
    <x v="3"/>
    <x v="0"/>
    <x v="5"/>
    <x v="4"/>
    <x v="1"/>
    <x v="4"/>
    <x v="1"/>
    <x v="3"/>
    <n v="29"/>
    <x v="0"/>
  </r>
  <r>
    <d v="2021-01-29T00:00:00"/>
    <x v="2"/>
    <x v="1"/>
    <x v="0"/>
    <n v="93047811.689999998"/>
    <x v="2"/>
    <x v="1"/>
    <x v="0"/>
    <x v="6"/>
    <x v="4"/>
    <x v="1"/>
    <x v="4"/>
    <x v="1"/>
    <x v="3"/>
    <n v="29"/>
    <x v="0"/>
  </r>
  <r>
    <d v="2021-01-29T00:00:00"/>
    <x v="0"/>
    <x v="1"/>
    <x v="1"/>
    <n v="33580029.18"/>
    <x v="0"/>
    <x v="1"/>
    <x v="1"/>
    <x v="3"/>
    <x v="4"/>
    <x v="1"/>
    <x v="4"/>
    <x v="1"/>
    <x v="3"/>
    <n v="29"/>
    <x v="0"/>
  </r>
  <r>
    <d v="2021-01-29T00:00:00"/>
    <x v="0"/>
    <x v="1"/>
    <x v="0"/>
    <n v="15351155.6"/>
    <x v="0"/>
    <x v="1"/>
    <x v="0"/>
    <x v="0"/>
    <x v="4"/>
    <x v="1"/>
    <x v="4"/>
    <x v="1"/>
    <x v="3"/>
    <n v="29"/>
    <x v="0"/>
  </r>
  <r>
    <d v="2021-01-29T00:00:00"/>
    <x v="1"/>
    <x v="0"/>
    <x v="0"/>
    <n v="100745257.25"/>
    <x v="1"/>
    <x v="0"/>
    <x v="0"/>
    <x v="7"/>
    <x v="4"/>
    <x v="1"/>
    <x v="4"/>
    <x v="1"/>
    <x v="3"/>
    <n v="29"/>
    <x v="0"/>
  </r>
  <r>
    <d v="2021-01-29T00:00:00"/>
    <x v="2"/>
    <x v="1"/>
    <x v="2"/>
    <n v="78849.740000000005"/>
    <x v="2"/>
    <x v="1"/>
    <x v="2"/>
    <x v="2"/>
    <x v="4"/>
    <x v="1"/>
    <x v="4"/>
    <x v="1"/>
    <x v="3"/>
    <n v="29"/>
    <x v="0"/>
  </r>
  <r>
    <d v="2021-01-29T00:00:00"/>
    <x v="2"/>
    <x v="1"/>
    <x v="1"/>
    <n v="108601359.37"/>
    <x v="2"/>
    <x v="1"/>
    <x v="1"/>
    <x v="8"/>
    <x v="4"/>
    <x v="1"/>
    <x v="4"/>
    <x v="1"/>
    <x v="3"/>
    <n v="29"/>
    <x v="0"/>
  </r>
  <r>
    <d v="2021-01-29T00:00:00"/>
    <x v="1"/>
    <x v="0"/>
    <x v="1"/>
    <n v="1383971593.4400001"/>
    <x v="1"/>
    <x v="0"/>
    <x v="1"/>
    <x v="9"/>
    <x v="4"/>
    <x v="1"/>
    <x v="4"/>
    <x v="1"/>
    <x v="3"/>
    <n v="29"/>
    <x v="0"/>
  </r>
  <r>
    <d v="2021-01-29T00:00:00"/>
    <x v="3"/>
    <x v="2"/>
    <x v="0"/>
    <n v="887926971.86000001"/>
    <x v="3"/>
    <x v="2"/>
    <x v="0"/>
    <x v="10"/>
    <x v="4"/>
    <x v="1"/>
    <x v="4"/>
    <x v="1"/>
    <x v="3"/>
    <n v="29"/>
    <x v="0"/>
  </r>
  <r>
    <d v="2021-01-29T00:00:00"/>
    <x v="3"/>
    <x v="1"/>
    <x v="0"/>
    <n v="12177380.880000001"/>
    <x v="3"/>
    <x v="1"/>
    <x v="0"/>
    <x v="11"/>
    <x v="4"/>
    <x v="1"/>
    <x v="4"/>
    <x v="1"/>
    <x v="3"/>
    <n v="29"/>
    <x v="0"/>
  </r>
  <r>
    <d v="2021-01-29T00:00:00"/>
    <x v="3"/>
    <x v="2"/>
    <x v="1"/>
    <n v="12013637447.940001"/>
    <x v="3"/>
    <x v="2"/>
    <x v="1"/>
    <x v="12"/>
    <x v="4"/>
    <x v="1"/>
    <x v="4"/>
    <x v="1"/>
    <x v="3"/>
    <n v="29"/>
    <x v="0"/>
  </r>
  <r>
    <d v="2021-01-28T00:00:00"/>
    <x v="2"/>
    <x v="1"/>
    <x v="2"/>
    <n v="65110"/>
    <x v="2"/>
    <x v="1"/>
    <x v="2"/>
    <x v="1"/>
    <x v="4"/>
    <x v="1"/>
    <x v="4"/>
    <x v="1"/>
    <x v="3"/>
    <n v="28"/>
    <x v="0"/>
  </r>
  <r>
    <d v="2021-01-28T00:00:00"/>
    <x v="2"/>
    <x v="1"/>
    <x v="0"/>
    <n v="158737898.78999999"/>
    <x v="2"/>
    <x v="1"/>
    <x v="0"/>
    <x v="4"/>
    <x v="4"/>
    <x v="1"/>
    <x v="4"/>
    <x v="1"/>
    <x v="3"/>
    <n v="28"/>
    <x v="0"/>
  </r>
  <r>
    <d v="2021-01-28T00:00:00"/>
    <x v="0"/>
    <x v="1"/>
    <x v="1"/>
    <n v="11695348.199999999"/>
    <x v="0"/>
    <x v="1"/>
    <x v="1"/>
    <x v="2"/>
    <x v="4"/>
    <x v="1"/>
    <x v="4"/>
    <x v="1"/>
    <x v="3"/>
    <n v="28"/>
    <x v="0"/>
  </r>
  <r>
    <d v="2021-01-28T00:00:00"/>
    <x v="0"/>
    <x v="1"/>
    <x v="0"/>
    <n v="22935544.969999999"/>
    <x v="0"/>
    <x v="1"/>
    <x v="0"/>
    <x v="0"/>
    <x v="4"/>
    <x v="1"/>
    <x v="4"/>
    <x v="1"/>
    <x v="3"/>
    <n v="28"/>
    <x v="0"/>
  </r>
  <r>
    <d v="2021-01-28T00:00:00"/>
    <x v="3"/>
    <x v="3"/>
    <x v="0"/>
    <n v="1936560613.21"/>
    <x v="3"/>
    <x v="3"/>
    <x v="0"/>
    <x v="5"/>
    <x v="4"/>
    <x v="1"/>
    <x v="4"/>
    <x v="1"/>
    <x v="3"/>
    <n v="28"/>
    <x v="0"/>
  </r>
  <r>
    <d v="2021-01-28T00:00:00"/>
    <x v="3"/>
    <x v="2"/>
    <x v="2"/>
    <n v="428053.6"/>
    <x v="3"/>
    <x v="2"/>
    <x v="2"/>
    <x v="3"/>
    <x v="4"/>
    <x v="1"/>
    <x v="4"/>
    <x v="1"/>
    <x v="3"/>
    <n v="28"/>
    <x v="0"/>
  </r>
  <r>
    <d v="2021-01-28T00:00:00"/>
    <x v="1"/>
    <x v="0"/>
    <x v="0"/>
    <n v="74563929.799999997"/>
    <x v="1"/>
    <x v="0"/>
    <x v="0"/>
    <x v="6"/>
    <x v="4"/>
    <x v="1"/>
    <x v="4"/>
    <x v="1"/>
    <x v="3"/>
    <n v="28"/>
    <x v="0"/>
  </r>
  <r>
    <d v="2021-01-28T00:00:00"/>
    <x v="1"/>
    <x v="0"/>
    <x v="1"/>
    <n v="3515047290.77"/>
    <x v="1"/>
    <x v="0"/>
    <x v="1"/>
    <x v="7"/>
    <x v="4"/>
    <x v="1"/>
    <x v="4"/>
    <x v="1"/>
    <x v="3"/>
    <n v="28"/>
    <x v="0"/>
  </r>
  <r>
    <d v="2021-01-28T00:00:00"/>
    <x v="2"/>
    <x v="1"/>
    <x v="1"/>
    <n v="212538643.38999999"/>
    <x v="2"/>
    <x v="1"/>
    <x v="1"/>
    <x v="8"/>
    <x v="4"/>
    <x v="1"/>
    <x v="4"/>
    <x v="1"/>
    <x v="3"/>
    <n v="28"/>
    <x v="0"/>
  </r>
  <r>
    <d v="2021-01-28T00:00:00"/>
    <x v="3"/>
    <x v="2"/>
    <x v="0"/>
    <n v="494355553.20999998"/>
    <x v="3"/>
    <x v="2"/>
    <x v="0"/>
    <x v="9"/>
    <x v="4"/>
    <x v="1"/>
    <x v="4"/>
    <x v="1"/>
    <x v="3"/>
    <n v="28"/>
    <x v="0"/>
  </r>
  <r>
    <d v="2021-01-28T00:00:00"/>
    <x v="3"/>
    <x v="1"/>
    <x v="0"/>
    <n v="12993330.4"/>
    <x v="3"/>
    <x v="1"/>
    <x v="0"/>
    <x v="10"/>
    <x v="4"/>
    <x v="1"/>
    <x v="4"/>
    <x v="1"/>
    <x v="3"/>
    <n v="28"/>
    <x v="0"/>
  </r>
  <r>
    <d v="2021-01-28T00:00:00"/>
    <x v="3"/>
    <x v="2"/>
    <x v="1"/>
    <n v="3983125564.5100002"/>
    <x v="3"/>
    <x v="2"/>
    <x v="1"/>
    <x v="11"/>
    <x v="4"/>
    <x v="1"/>
    <x v="4"/>
    <x v="1"/>
    <x v="3"/>
    <n v="28"/>
    <x v="0"/>
  </r>
  <r>
    <d v="2021-01-27T00:00:00"/>
    <x v="3"/>
    <x v="2"/>
    <x v="2"/>
    <n v="524349.59"/>
    <x v="3"/>
    <x v="2"/>
    <x v="2"/>
    <x v="3"/>
    <x v="4"/>
    <x v="1"/>
    <x v="4"/>
    <x v="1"/>
    <x v="3"/>
    <n v="27"/>
    <x v="0"/>
  </r>
  <r>
    <d v="2021-01-27T00:00:00"/>
    <x v="2"/>
    <x v="1"/>
    <x v="0"/>
    <n v="113264282.17"/>
    <x v="2"/>
    <x v="1"/>
    <x v="0"/>
    <x v="4"/>
    <x v="4"/>
    <x v="1"/>
    <x v="4"/>
    <x v="1"/>
    <x v="3"/>
    <n v="27"/>
    <x v="0"/>
  </r>
  <r>
    <d v="2021-01-27T00:00:00"/>
    <x v="3"/>
    <x v="3"/>
    <x v="0"/>
    <n v="838354726.39999998"/>
    <x v="3"/>
    <x v="3"/>
    <x v="0"/>
    <x v="5"/>
    <x v="4"/>
    <x v="1"/>
    <x v="4"/>
    <x v="1"/>
    <x v="3"/>
    <n v="27"/>
    <x v="0"/>
  </r>
  <r>
    <d v="2021-01-27T00:00:00"/>
    <x v="0"/>
    <x v="1"/>
    <x v="0"/>
    <n v="8111576.54"/>
    <x v="0"/>
    <x v="1"/>
    <x v="0"/>
    <x v="0"/>
    <x v="4"/>
    <x v="1"/>
    <x v="4"/>
    <x v="1"/>
    <x v="3"/>
    <n v="27"/>
    <x v="0"/>
  </r>
  <r>
    <d v="2021-01-27T00:00:00"/>
    <x v="0"/>
    <x v="1"/>
    <x v="1"/>
    <n v="11308468.300000001"/>
    <x v="0"/>
    <x v="1"/>
    <x v="1"/>
    <x v="2"/>
    <x v="4"/>
    <x v="1"/>
    <x v="4"/>
    <x v="1"/>
    <x v="3"/>
    <n v="27"/>
    <x v="0"/>
  </r>
  <r>
    <d v="2021-01-27T00:00:00"/>
    <x v="1"/>
    <x v="0"/>
    <x v="2"/>
    <n v="567.96"/>
    <x v="1"/>
    <x v="0"/>
    <x v="2"/>
    <x v="1"/>
    <x v="4"/>
    <x v="1"/>
    <x v="4"/>
    <x v="1"/>
    <x v="3"/>
    <n v="27"/>
    <x v="0"/>
  </r>
  <r>
    <d v="2021-01-27T00:00:00"/>
    <x v="1"/>
    <x v="0"/>
    <x v="0"/>
    <n v="79838005.069999993"/>
    <x v="1"/>
    <x v="0"/>
    <x v="0"/>
    <x v="6"/>
    <x v="4"/>
    <x v="1"/>
    <x v="4"/>
    <x v="1"/>
    <x v="3"/>
    <n v="27"/>
    <x v="0"/>
  </r>
  <r>
    <d v="2021-01-27T00:00:00"/>
    <x v="2"/>
    <x v="1"/>
    <x v="1"/>
    <n v="310964463.31"/>
    <x v="2"/>
    <x v="1"/>
    <x v="1"/>
    <x v="7"/>
    <x v="4"/>
    <x v="1"/>
    <x v="4"/>
    <x v="1"/>
    <x v="3"/>
    <n v="27"/>
    <x v="0"/>
  </r>
  <r>
    <d v="2021-01-27T00:00:00"/>
    <x v="1"/>
    <x v="0"/>
    <x v="1"/>
    <n v="4755907896.3900003"/>
    <x v="1"/>
    <x v="0"/>
    <x v="1"/>
    <x v="8"/>
    <x v="4"/>
    <x v="1"/>
    <x v="4"/>
    <x v="1"/>
    <x v="3"/>
    <n v="27"/>
    <x v="0"/>
  </r>
  <r>
    <d v="2021-01-27T00:00:00"/>
    <x v="3"/>
    <x v="1"/>
    <x v="0"/>
    <n v="10862057.32"/>
    <x v="3"/>
    <x v="1"/>
    <x v="0"/>
    <x v="9"/>
    <x v="4"/>
    <x v="1"/>
    <x v="4"/>
    <x v="1"/>
    <x v="3"/>
    <n v="27"/>
    <x v="0"/>
  </r>
  <r>
    <d v="2021-01-27T00:00:00"/>
    <x v="3"/>
    <x v="2"/>
    <x v="0"/>
    <n v="400221870.26999998"/>
    <x v="3"/>
    <x v="2"/>
    <x v="0"/>
    <x v="10"/>
    <x v="4"/>
    <x v="1"/>
    <x v="4"/>
    <x v="1"/>
    <x v="3"/>
    <n v="27"/>
    <x v="0"/>
  </r>
  <r>
    <d v="2021-01-27T00:00:00"/>
    <x v="3"/>
    <x v="2"/>
    <x v="1"/>
    <n v="10916301268.77"/>
    <x v="3"/>
    <x v="2"/>
    <x v="1"/>
    <x v="11"/>
    <x v="4"/>
    <x v="1"/>
    <x v="4"/>
    <x v="1"/>
    <x v="3"/>
    <n v="27"/>
    <x v="0"/>
  </r>
  <r>
    <d v="2021-01-26T00:00:00"/>
    <x v="1"/>
    <x v="0"/>
    <x v="2"/>
    <n v="269.33"/>
    <x v="1"/>
    <x v="0"/>
    <x v="2"/>
    <x v="2"/>
    <x v="4"/>
    <x v="1"/>
    <x v="4"/>
    <x v="1"/>
    <x v="3"/>
    <n v="26"/>
    <x v="0"/>
  </r>
  <r>
    <d v="2021-01-26T00:00:00"/>
    <x v="2"/>
    <x v="1"/>
    <x v="2"/>
    <n v="2137861.59"/>
    <x v="2"/>
    <x v="1"/>
    <x v="2"/>
    <x v="3"/>
    <x v="4"/>
    <x v="1"/>
    <x v="4"/>
    <x v="1"/>
    <x v="3"/>
    <n v="26"/>
    <x v="0"/>
  </r>
  <r>
    <d v="2021-01-26T00:00:00"/>
    <x v="3"/>
    <x v="3"/>
    <x v="0"/>
    <n v="953123740.83000004"/>
    <x v="3"/>
    <x v="3"/>
    <x v="0"/>
    <x v="7"/>
    <x v="4"/>
    <x v="1"/>
    <x v="4"/>
    <x v="1"/>
    <x v="3"/>
    <n v="26"/>
    <x v="0"/>
  </r>
  <r>
    <d v="2021-01-26T00:00:00"/>
    <x v="0"/>
    <x v="1"/>
    <x v="0"/>
    <n v="15687837.27"/>
    <x v="0"/>
    <x v="1"/>
    <x v="0"/>
    <x v="1"/>
    <x v="4"/>
    <x v="1"/>
    <x v="4"/>
    <x v="1"/>
    <x v="3"/>
    <n v="26"/>
    <x v="0"/>
  </r>
  <r>
    <d v="2021-01-26T00:00:00"/>
    <x v="0"/>
    <x v="1"/>
    <x v="1"/>
    <n v="45681574.079999998"/>
    <x v="0"/>
    <x v="1"/>
    <x v="1"/>
    <x v="4"/>
    <x v="4"/>
    <x v="1"/>
    <x v="4"/>
    <x v="1"/>
    <x v="3"/>
    <n v="26"/>
    <x v="0"/>
  </r>
  <r>
    <d v="2021-01-26T00:00:00"/>
    <x v="3"/>
    <x v="2"/>
    <x v="2"/>
    <n v="1673666.09"/>
    <x v="3"/>
    <x v="2"/>
    <x v="2"/>
    <x v="5"/>
    <x v="4"/>
    <x v="1"/>
    <x v="4"/>
    <x v="1"/>
    <x v="3"/>
    <n v="26"/>
    <x v="0"/>
  </r>
  <r>
    <d v="2021-01-26T00:00:00"/>
    <x v="2"/>
    <x v="1"/>
    <x v="0"/>
    <n v="81722319.780000001"/>
    <x v="2"/>
    <x v="1"/>
    <x v="0"/>
    <x v="6"/>
    <x v="4"/>
    <x v="1"/>
    <x v="4"/>
    <x v="1"/>
    <x v="3"/>
    <n v="26"/>
    <x v="0"/>
  </r>
  <r>
    <d v="2021-01-26T00:00:00"/>
    <x v="0"/>
    <x v="0"/>
    <x v="0"/>
    <n v="7559.19"/>
    <x v="0"/>
    <x v="0"/>
    <x v="0"/>
    <x v="0"/>
    <x v="4"/>
    <x v="1"/>
    <x v="4"/>
    <x v="1"/>
    <x v="3"/>
    <n v="26"/>
    <x v="0"/>
  </r>
  <r>
    <d v="2021-01-26T00:00:00"/>
    <x v="1"/>
    <x v="0"/>
    <x v="0"/>
    <n v="106829721.34"/>
    <x v="1"/>
    <x v="0"/>
    <x v="0"/>
    <x v="8"/>
    <x v="4"/>
    <x v="1"/>
    <x v="4"/>
    <x v="1"/>
    <x v="3"/>
    <n v="26"/>
    <x v="0"/>
  </r>
  <r>
    <d v="2021-01-26T00:00:00"/>
    <x v="1"/>
    <x v="0"/>
    <x v="1"/>
    <n v="4756124564.9499998"/>
    <x v="1"/>
    <x v="0"/>
    <x v="1"/>
    <x v="9"/>
    <x v="4"/>
    <x v="1"/>
    <x v="4"/>
    <x v="1"/>
    <x v="3"/>
    <n v="26"/>
    <x v="0"/>
  </r>
  <r>
    <d v="2021-01-26T00:00:00"/>
    <x v="2"/>
    <x v="1"/>
    <x v="1"/>
    <n v="164759633.30000001"/>
    <x v="2"/>
    <x v="1"/>
    <x v="1"/>
    <x v="10"/>
    <x v="4"/>
    <x v="1"/>
    <x v="4"/>
    <x v="1"/>
    <x v="3"/>
    <n v="26"/>
    <x v="0"/>
  </r>
  <r>
    <d v="2021-01-26T00:00:00"/>
    <x v="3"/>
    <x v="1"/>
    <x v="0"/>
    <n v="9066343.4800000004"/>
    <x v="3"/>
    <x v="1"/>
    <x v="0"/>
    <x v="11"/>
    <x v="4"/>
    <x v="1"/>
    <x v="4"/>
    <x v="1"/>
    <x v="3"/>
    <n v="26"/>
    <x v="0"/>
  </r>
  <r>
    <d v="2021-01-26T00:00:00"/>
    <x v="3"/>
    <x v="2"/>
    <x v="0"/>
    <n v="5346203478.9499998"/>
    <x v="3"/>
    <x v="2"/>
    <x v="0"/>
    <x v="12"/>
    <x v="4"/>
    <x v="1"/>
    <x v="4"/>
    <x v="1"/>
    <x v="3"/>
    <n v="26"/>
    <x v="0"/>
  </r>
  <r>
    <d v="2021-01-26T00:00:00"/>
    <x v="3"/>
    <x v="2"/>
    <x v="1"/>
    <n v="5043002675.3800001"/>
    <x v="3"/>
    <x v="2"/>
    <x v="1"/>
    <x v="13"/>
    <x v="4"/>
    <x v="1"/>
    <x v="4"/>
    <x v="1"/>
    <x v="3"/>
    <n v="26"/>
    <x v="0"/>
  </r>
  <r>
    <d v="2021-01-25T00:00:00"/>
    <x v="3"/>
    <x v="2"/>
    <x v="2"/>
    <n v="540540.89"/>
    <x v="3"/>
    <x v="2"/>
    <x v="2"/>
    <x v="4"/>
    <x v="4"/>
    <x v="1"/>
    <x v="4"/>
    <x v="1"/>
    <x v="3"/>
    <n v="25"/>
    <x v="0"/>
  </r>
  <r>
    <d v="2021-01-25T00:00:00"/>
    <x v="2"/>
    <x v="1"/>
    <x v="0"/>
    <n v="84225165.040000007"/>
    <x v="2"/>
    <x v="1"/>
    <x v="0"/>
    <x v="5"/>
    <x v="4"/>
    <x v="1"/>
    <x v="4"/>
    <x v="1"/>
    <x v="3"/>
    <n v="25"/>
    <x v="0"/>
  </r>
  <r>
    <d v="2021-01-25T00:00:00"/>
    <x v="0"/>
    <x v="1"/>
    <x v="0"/>
    <n v="14399024.800000001"/>
    <x v="0"/>
    <x v="1"/>
    <x v="0"/>
    <x v="1"/>
    <x v="4"/>
    <x v="1"/>
    <x v="4"/>
    <x v="1"/>
    <x v="3"/>
    <n v="25"/>
    <x v="0"/>
  </r>
  <r>
    <d v="2021-01-25T00:00:00"/>
    <x v="1"/>
    <x v="0"/>
    <x v="0"/>
    <n v="112371403.76000001"/>
    <x v="1"/>
    <x v="0"/>
    <x v="0"/>
    <x v="7"/>
    <x v="4"/>
    <x v="1"/>
    <x v="4"/>
    <x v="1"/>
    <x v="3"/>
    <n v="25"/>
    <x v="0"/>
  </r>
  <r>
    <d v="2021-01-25T00:00:00"/>
    <x v="0"/>
    <x v="1"/>
    <x v="1"/>
    <n v="68470124.879999995"/>
    <x v="0"/>
    <x v="1"/>
    <x v="1"/>
    <x v="2"/>
    <x v="4"/>
    <x v="1"/>
    <x v="4"/>
    <x v="1"/>
    <x v="3"/>
    <n v="25"/>
    <x v="0"/>
  </r>
  <r>
    <d v="2021-01-25T00:00:00"/>
    <x v="2"/>
    <x v="1"/>
    <x v="2"/>
    <n v="16550"/>
    <x v="2"/>
    <x v="1"/>
    <x v="2"/>
    <x v="3"/>
    <x v="4"/>
    <x v="1"/>
    <x v="4"/>
    <x v="1"/>
    <x v="3"/>
    <n v="25"/>
    <x v="0"/>
  </r>
  <r>
    <d v="2021-01-25T00:00:00"/>
    <x v="0"/>
    <x v="0"/>
    <x v="0"/>
    <n v="621.91"/>
    <x v="0"/>
    <x v="0"/>
    <x v="0"/>
    <x v="0"/>
    <x v="4"/>
    <x v="1"/>
    <x v="4"/>
    <x v="1"/>
    <x v="3"/>
    <n v="25"/>
    <x v="0"/>
  </r>
  <r>
    <d v="2021-01-25T00:00:00"/>
    <x v="3"/>
    <x v="3"/>
    <x v="0"/>
    <n v="1792473924.8199999"/>
    <x v="3"/>
    <x v="3"/>
    <x v="0"/>
    <x v="6"/>
    <x v="4"/>
    <x v="1"/>
    <x v="4"/>
    <x v="1"/>
    <x v="3"/>
    <n v="25"/>
    <x v="0"/>
  </r>
  <r>
    <d v="2021-01-25T00:00:00"/>
    <x v="1"/>
    <x v="0"/>
    <x v="1"/>
    <n v="7256136335.0299997"/>
    <x v="1"/>
    <x v="0"/>
    <x v="1"/>
    <x v="8"/>
    <x v="4"/>
    <x v="1"/>
    <x v="4"/>
    <x v="1"/>
    <x v="3"/>
    <n v="25"/>
    <x v="0"/>
  </r>
  <r>
    <d v="2021-01-25T00:00:00"/>
    <x v="2"/>
    <x v="1"/>
    <x v="1"/>
    <n v="527011247.94"/>
    <x v="2"/>
    <x v="1"/>
    <x v="1"/>
    <x v="9"/>
    <x v="4"/>
    <x v="1"/>
    <x v="4"/>
    <x v="1"/>
    <x v="3"/>
    <n v="25"/>
    <x v="0"/>
  </r>
  <r>
    <d v="2021-01-25T00:00:00"/>
    <x v="3"/>
    <x v="2"/>
    <x v="0"/>
    <n v="461448232.35000002"/>
    <x v="3"/>
    <x v="2"/>
    <x v="0"/>
    <x v="10"/>
    <x v="4"/>
    <x v="1"/>
    <x v="4"/>
    <x v="1"/>
    <x v="3"/>
    <n v="25"/>
    <x v="0"/>
  </r>
  <r>
    <d v="2021-01-25T00:00:00"/>
    <x v="3"/>
    <x v="2"/>
    <x v="1"/>
    <n v="21745220970.259998"/>
    <x v="3"/>
    <x v="2"/>
    <x v="1"/>
    <x v="11"/>
    <x v="4"/>
    <x v="1"/>
    <x v="4"/>
    <x v="1"/>
    <x v="3"/>
    <n v="25"/>
    <x v="0"/>
  </r>
  <r>
    <d v="2021-01-25T00:00:00"/>
    <x v="3"/>
    <x v="1"/>
    <x v="0"/>
    <n v="41191792.020000003"/>
    <x v="3"/>
    <x v="1"/>
    <x v="0"/>
    <x v="12"/>
    <x v="4"/>
    <x v="1"/>
    <x v="4"/>
    <x v="1"/>
    <x v="3"/>
    <n v="25"/>
    <x v="0"/>
  </r>
  <r>
    <d v="2021-01-22T00:00:00"/>
    <x v="0"/>
    <x v="1"/>
    <x v="0"/>
    <n v="18118879.57"/>
    <x v="0"/>
    <x v="1"/>
    <x v="0"/>
    <x v="0"/>
    <x v="4"/>
    <x v="1"/>
    <x v="4"/>
    <x v="1"/>
    <x v="3"/>
    <n v="22"/>
    <x v="0"/>
  </r>
  <r>
    <d v="2021-01-22T00:00:00"/>
    <x v="0"/>
    <x v="1"/>
    <x v="1"/>
    <n v="21627384.07"/>
    <x v="0"/>
    <x v="1"/>
    <x v="1"/>
    <x v="3"/>
    <x v="4"/>
    <x v="1"/>
    <x v="4"/>
    <x v="1"/>
    <x v="3"/>
    <n v="22"/>
    <x v="0"/>
  </r>
  <r>
    <d v="2021-01-22T00:00:00"/>
    <x v="1"/>
    <x v="0"/>
    <x v="0"/>
    <n v="112072918.67"/>
    <x v="1"/>
    <x v="0"/>
    <x v="0"/>
    <x v="7"/>
    <x v="4"/>
    <x v="1"/>
    <x v="4"/>
    <x v="1"/>
    <x v="3"/>
    <n v="22"/>
    <x v="0"/>
  </r>
  <r>
    <d v="2021-01-22T00:00:00"/>
    <x v="3"/>
    <x v="2"/>
    <x v="2"/>
    <n v="545915.81999999995"/>
    <x v="3"/>
    <x v="2"/>
    <x v="2"/>
    <x v="4"/>
    <x v="4"/>
    <x v="1"/>
    <x v="4"/>
    <x v="1"/>
    <x v="3"/>
    <n v="22"/>
    <x v="0"/>
  </r>
  <r>
    <d v="2021-01-22T00:00:00"/>
    <x v="2"/>
    <x v="1"/>
    <x v="2"/>
    <n v="14814.46"/>
    <x v="2"/>
    <x v="1"/>
    <x v="2"/>
    <x v="2"/>
    <x v="4"/>
    <x v="1"/>
    <x v="4"/>
    <x v="1"/>
    <x v="3"/>
    <n v="22"/>
    <x v="0"/>
  </r>
  <r>
    <d v="2021-01-22T00:00:00"/>
    <x v="2"/>
    <x v="1"/>
    <x v="0"/>
    <n v="122125755.90000001"/>
    <x v="2"/>
    <x v="1"/>
    <x v="0"/>
    <x v="5"/>
    <x v="4"/>
    <x v="1"/>
    <x v="4"/>
    <x v="1"/>
    <x v="3"/>
    <n v="22"/>
    <x v="0"/>
  </r>
  <r>
    <d v="2021-01-22T00:00:00"/>
    <x v="3"/>
    <x v="3"/>
    <x v="2"/>
    <n v="2154.12"/>
    <x v="3"/>
    <x v="3"/>
    <x v="2"/>
    <x v="1"/>
    <x v="4"/>
    <x v="1"/>
    <x v="4"/>
    <x v="1"/>
    <x v="3"/>
    <n v="22"/>
    <x v="0"/>
  </r>
  <r>
    <d v="2021-01-22T00:00:00"/>
    <x v="3"/>
    <x v="3"/>
    <x v="0"/>
    <n v="1709381036.2"/>
    <x v="3"/>
    <x v="3"/>
    <x v="0"/>
    <x v="6"/>
    <x v="4"/>
    <x v="1"/>
    <x v="4"/>
    <x v="1"/>
    <x v="3"/>
    <n v="22"/>
    <x v="0"/>
  </r>
  <r>
    <d v="2021-01-22T00:00:00"/>
    <x v="1"/>
    <x v="0"/>
    <x v="1"/>
    <n v="7515601828.71"/>
    <x v="1"/>
    <x v="0"/>
    <x v="1"/>
    <x v="8"/>
    <x v="4"/>
    <x v="1"/>
    <x v="4"/>
    <x v="1"/>
    <x v="3"/>
    <n v="22"/>
    <x v="0"/>
  </r>
  <r>
    <d v="2021-01-22T00:00:00"/>
    <x v="2"/>
    <x v="1"/>
    <x v="1"/>
    <n v="165651457.74000001"/>
    <x v="2"/>
    <x v="1"/>
    <x v="1"/>
    <x v="9"/>
    <x v="4"/>
    <x v="1"/>
    <x v="4"/>
    <x v="1"/>
    <x v="3"/>
    <n v="22"/>
    <x v="0"/>
  </r>
  <r>
    <d v="2021-01-22T00:00:00"/>
    <x v="3"/>
    <x v="2"/>
    <x v="0"/>
    <n v="340101917.49000001"/>
    <x v="3"/>
    <x v="2"/>
    <x v="0"/>
    <x v="10"/>
    <x v="4"/>
    <x v="1"/>
    <x v="4"/>
    <x v="1"/>
    <x v="3"/>
    <n v="22"/>
    <x v="0"/>
  </r>
  <r>
    <d v="2021-01-22T00:00:00"/>
    <x v="3"/>
    <x v="1"/>
    <x v="0"/>
    <n v="11835513.59"/>
    <x v="3"/>
    <x v="1"/>
    <x v="0"/>
    <x v="11"/>
    <x v="4"/>
    <x v="1"/>
    <x v="4"/>
    <x v="1"/>
    <x v="3"/>
    <n v="22"/>
    <x v="0"/>
  </r>
  <r>
    <d v="2021-01-22T00:00:00"/>
    <x v="3"/>
    <x v="2"/>
    <x v="1"/>
    <n v="11813537469.629999"/>
    <x v="3"/>
    <x v="2"/>
    <x v="1"/>
    <x v="12"/>
    <x v="4"/>
    <x v="1"/>
    <x v="4"/>
    <x v="1"/>
    <x v="3"/>
    <n v="22"/>
    <x v="0"/>
  </r>
  <r>
    <d v="2021-01-21T00:00:00"/>
    <x v="2"/>
    <x v="1"/>
    <x v="0"/>
    <n v="89543092.420000002"/>
    <x v="2"/>
    <x v="1"/>
    <x v="0"/>
    <x v="6"/>
    <x v="4"/>
    <x v="1"/>
    <x v="4"/>
    <x v="1"/>
    <x v="3"/>
    <n v="21"/>
    <x v="0"/>
  </r>
  <r>
    <d v="2021-01-21T00:00:00"/>
    <x v="0"/>
    <x v="1"/>
    <x v="0"/>
    <n v="15022630.85"/>
    <x v="0"/>
    <x v="1"/>
    <x v="0"/>
    <x v="1"/>
    <x v="4"/>
    <x v="1"/>
    <x v="4"/>
    <x v="1"/>
    <x v="3"/>
    <n v="21"/>
    <x v="0"/>
  </r>
  <r>
    <d v="2021-01-21T00:00:00"/>
    <x v="3"/>
    <x v="3"/>
    <x v="1"/>
    <n v="43266.77"/>
    <x v="3"/>
    <x v="3"/>
    <x v="1"/>
    <x v="2"/>
    <x v="4"/>
    <x v="1"/>
    <x v="4"/>
    <x v="1"/>
    <x v="3"/>
    <n v="21"/>
    <x v="0"/>
  </r>
  <r>
    <d v="2021-01-21T00:00:00"/>
    <x v="2"/>
    <x v="1"/>
    <x v="2"/>
    <n v="7460"/>
    <x v="2"/>
    <x v="1"/>
    <x v="2"/>
    <x v="4"/>
    <x v="4"/>
    <x v="1"/>
    <x v="4"/>
    <x v="1"/>
    <x v="3"/>
    <n v="21"/>
    <x v="0"/>
  </r>
  <r>
    <d v="2021-01-21T00:00:00"/>
    <x v="3"/>
    <x v="3"/>
    <x v="0"/>
    <n v="1358042358.51"/>
    <x v="3"/>
    <x v="3"/>
    <x v="0"/>
    <x v="8"/>
    <x v="4"/>
    <x v="1"/>
    <x v="4"/>
    <x v="1"/>
    <x v="3"/>
    <n v="21"/>
    <x v="0"/>
  </r>
  <r>
    <d v="2021-01-21T00:00:00"/>
    <x v="0"/>
    <x v="1"/>
    <x v="1"/>
    <n v="21665676.050000001"/>
    <x v="0"/>
    <x v="1"/>
    <x v="1"/>
    <x v="3"/>
    <x v="4"/>
    <x v="1"/>
    <x v="4"/>
    <x v="1"/>
    <x v="3"/>
    <n v="21"/>
    <x v="0"/>
  </r>
  <r>
    <d v="2021-01-21T00:00:00"/>
    <x v="3"/>
    <x v="2"/>
    <x v="2"/>
    <n v="515113.22"/>
    <x v="3"/>
    <x v="2"/>
    <x v="2"/>
    <x v="5"/>
    <x v="4"/>
    <x v="1"/>
    <x v="4"/>
    <x v="1"/>
    <x v="3"/>
    <n v="21"/>
    <x v="0"/>
  </r>
  <r>
    <d v="2021-01-21T00:00:00"/>
    <x v="0"/>
    <x v="0"/>
    <x v="0"/>
    <n v="100"/>
    <x v="0"/>
    <x v="0"/>
    <x v="0"/>
    <x v="0"/>
    <x v="4"/>
    <x v="1"/>
    <x v="4"/>
    <x v="1"/>
    <x v="3"/>
    <n v="21"/>
    <x v="0"/>
  </r>
  <r>
    <d v="2021-01-21T00:00:00"/>
    <x v="1"/>
    <x v="0"/>
    <x v="0"/>
    <n v="75826480.719999999"/>
    <x v="1"/>
    <x v="0"/>
    <x v="0"/>
    <x v="7"/>
    <x v="4"/>
    <x v="1"/>
    <x v="4"/>
    <x v="1"/>
    <x v="3"/>
    <n v="21"/>
    <x v="0"/>
  </r>
  <r>
    <d v="2021-01-21T00:00:00"/>
    <x v="1"/>
    <x v="0"/>
    <x v="1"/>
    <n v="8462680688.5100002"/>
    <x v="1"/>
    <x v="0"/>
    <x v="1"/>
    <x v="9"/>
    <x v="4"/>
    <x v="1"/>
    <x v="4"/>
    <x v="1"/>
    <x v="3"/>
    <n v="21"/>
    <x v="0"/>
  </r>
  <r>
    <d v="2021-01-21T00:00:00"/>
    <x v="2"/>
    <x v="1"/>
    <x v="1"/>
    <n v="438758973.72000003"/>
    <x v="2"/>
    <x v="1"/>
    <x v="1"/>
    <x v="10"/>
    <x v="4"/>
    <x v="1"/>
    <x v="4"/>
    <x v="1"/>
    <x v="3"/>
    <n v="21"/>
    <x v="0"/>
  </r>
  <r>
    <d v="2021-01-21T00:00:00"/>
    <x v="3"/>
    <x v="1"/>
    <x v="0"/>
    <n v="12154921.07"/>
    <x v="3"/>
    <x v="1"/>
    <x v="0"/>
    <x v="11"/>
    <x v="4"/>
    <x v="1"/>
    <x v="4"/>
    <x v="1"/>
    <x v="3"/>
    <n v="21"/>
    <x v="0"/>
  </r>
  <r>
    <d v="2021-01-21T00:00:00"/>
    <x v="3"/>
    <x v="2"/>
    <x v="0"/>
    <n v="301771066.83999997"/>
    <x v="3"/>
    <x v="2"/>
    <x v="0"/>
    <x v="12"/>
    <x v="4"/>
    <x v="1"/>
    <x v="4"/>
    <x v="1"/>
    <x v="3"/>
    <n v="21"/>
    <x v="0"/>
  </r>
  <r>
    <d v="2021-01-21T00:00:00"/>
    <x v="3"/>
    <x v="2"/>
    <x v="1"/>
    <n v="8600827719.4599991"/>
    <x v="3"/>
    <x v="2"/>
    <x v="1"/>
    <x v="13"/>
    <x v="4"/>
    <x v="1"/>
    <x v="4"/>
    <x v="1"/>
    <x v="3"/>
    <n v="21"/>
    <x v="0"/>
  </r>
  <r>
    <d v="2021-01-20T00:00:00"/>
    <x v="2"/>
    <x v="1"/>
    <x v="2"/>
    <n v="79024.289999999994"/>
    <x v="2"/>
    <x v="1"/>
    <x v="2"/>
    <x v="2"/>
    <x v="4"/>
    <x v="1"/>
    <x v="4"/>
    <x v="1"/>
    <x v="3"/>
    <n v="20"/>
    <x v="0"/>
  </r>
  <r>
    <d v="2021-01-20T00:00:00"/>
    <x v="0"/>
    <x v="1"/>
    <x v="0"/>
    <n v="15535194.560000001"/>
    <x v="0"/>
    <x v="1"/>
    <x v="0"/>
    <x v="1"/>
    <x v="4"/>
    <x v="1"/>
    <x v="4"/>
    <x v="1"/>
    <x v="3"/>
    <n v="20"/>
    <x v="0"/>
  </r>
  <r>
    <d v="2021-01-20T00:00:00"/>
    <x v="3"/>
    <x v="3"/>
    <x v="0"/>
    <n v="1585579696.54"/>
    <x v="3"/>
    <x v="3"/>
    <x v="0"/>
    <x v="6"/>
    <x v="4"/>
    <x v="1"/>
    <x v="4"/>
    <x v="1"/>
    <x v="3"/>
    <n v="20"/>
    <x v="0"/>
  </r>
  <r>
    <d v="2021-01-20T00:00:00"/>
    <x v="0"/>
    <x v="1"/>
    <x v="1"/>
    <n v="15298654.34"/>
    <x v="0"/>
    <x v="1"/>
    <x v="1"/>
    <x v="3"/>
    <x v="4"/>
    <x v="1"/>
    <x v="4"/>
    <x v="1"/>
    <x v="3"/>
    <n v="20"/>
    <x v="0"/>
  </r>
  <r>
    <d v="2021-01-20T00:00:00"/>
    <x v="1"/>
    <x v="0"/>
    <x v="0"/>
    <n v="96544279.769999996"/>
    <x v="1"/>
    <x v="0"/>
    <x v="0"/>
    <x v="7"/>
    <x v="4"/>
    <x v="1"/>
    <x v="4"/>
    <x v="1"/>
    <x v="3"/>
    <n v="20"/>
    <x v="0"/>
  </r>
  <r>
    <d v="2021-01-20T00:00:00"/>
    <x v="3"/>
    <x v="2"/>
    <x v="2"/>
    <n v="789288.73"/>
    <x v="3"/>
    <x v="2"/>
    <x v="2"/>
    <x v="4"/>
    <x v="4"/>
    <x v="1"/>
    <x v="4"/>
    <x v="1"/>
    <x v="3"/>
    <n v="20"/>
    <x v="0"/>
  </r>
  <r>
    <d v="2021-01-20T00:00:00"/>
    <x v="0"/>
    <x v="0"/>
    <x v="0"/>
    <n v="2211.6"/>
    <x v="0"/>
    <x v="0"/>
    <x v="0"/>
    <x v="0"/>
    <x v="4"/>
    <x v="1"/>
    <x v="4"/>
    <x v="1"/>
    <x v="3"/>
    <n v="20"/>
    <x v="0"/>
  </r>
  <r>
    <d v="2021-01-20T00:00:00"/>
    <x v="2"/>
    <x v="1"/>
    <x v="0"/>
    <n v="83631222.930000007"/>
    <x v="2"/>
    <x v="1"/>
    <x v="0"/>
    <x v="5"/>
    <x v="4"/>
    <x v="1"/>
    <x v="4"/>
    <x v="1"/>
    <x v="3"/>
    <n v="20"/>
    <x v="0"/>
  </r>
  <r>
    <d v="2021-01-20T00:00:00"/>
    <x v="1"/>
    <x v="0"/>
    <x v="1"/>
    <n v="19366798969.529999"/>
    <x v="1"/>
    <x v="0"/>
    <x v="1"/>
    <x v="8"/>
    <x v="4"/>
    <x v="1"/>
    <x v="4"/>
    <x v="1"/>
    <x v="3"/>
    <n v="20"/>
    <x v="0"/>
  </r>
  <r>
    <d v="2021-01-20T00:00:00"/>
    <x v="2"/>
    <x v="1"/>
    <x v="1"/>
    <n v="233041264.80000001"/>
    <x v="2"/>
    <x v="1"/>
    <x v="1"/>
    <x v="9"/>
    <x v="4"/>
    <x v="1"/>
    <x v="4"/>
    <x v="1"/>
    <x v="3"/>
    <n v="20"/>
    <x v="0"/>
  </r>
  <r>
    <d v="2021-01-20T00:00:00"/>
    <x v="3"/>
    <x v="1"/>
    <x v="0"/>
    <n v="11626964.16"/>
    <x v="3"/>
    <x v="1"/>
    <x v="0"/>
    <x v="10"/>
    <x v="4"/>
    <x v="1"/>
    <x v="4"/>
    <x v="1"/>
    <x v="3"/>
    <n v="20"/>
    <x v="0"/>
  </r>
  <r>
    <d v="2021-01-20T00:00:00"/>
    <x v="3"/>
    <x v="2"/>
    <x v="0"/>
    <n v="743162395.60000002"/>
    <x v="3"/>
    <x v="2"/>
    <x v="0"/>
    <x v="11"/>
    <x v="4"/>
    <x v="1"/>
    <x v="4"/>
    <x v="1"/>
    <x v="3"/>
    <n v="20"/>
    <x v="0"/>
  </r>
  <r>
    <d v="2021-01-20T00:00:00"/>
    <x v="3"/>
    <x v="2"/>
    <x v="1"/>
    <n v="4728973556.9499998"/>
    <x v="3"/>
    <x v="2"/>
    <x v="1"/>
    <x v="12"/>
    <x v="4"/>
    <x v="1"/>
    <x v="4"/>
    <x v="1"/>
    <x v="3"/>
    <n v="20"/>
    <x v="0"/>
  </r>
  <r>
    <d v="2021-01-19T00:00:00"/>
    <x v="3"/>
    <x v="2"/>
    <x v="2"/>
    <n v="338349.15"/>
    <x v="3"/>
    <x v="2"/>
    <x v="2"/>
    <x v="3"/>
    <x v="4"/>
    <x v="1"/>
    <x v="4"/>
    <x v="1"/>
    <x v="3"/>
    <n v="19"/>
    <x v="0"/>
  </r>
  <r>
    <d v="2021-01-19T00:00:00"/>
    <x v="2"/>
    <x v="1"/>
    <x v="0"/>
    <n v="87102118.019999996"/>
    <x v="2"/>
    <x v="1"/>
    <x v="0"/>
    <x v="4"/>
    <x v="4"/>
    <x v="1"/>
    <x v="4"/>
    <x v="1"/>
    <x v="3"/>
    <n v="19"/>
    <x v="0"/>
  </r>
  <r>
    <d v="2021-01-19T00:00:00"/>
    <x v="3"/>
    <x v="3"/>
    <x v="0"/>
    <n v="2135004182.3299999"/>
    <x v="3"/>
    <x v="3"/>
    <x v="0"/>
    <x v="5"/>
    <x v="4"/>
    <x v="1"/>
    <x v="4"/>
    <x v="1"/>
    <x v="3"/>
    <n v="19"/>
    <x v="0"/>
  </r>
  <r>
    <d v="2021-01-19T00:00:00"/>
    <x v="0"/>
    <x v="1"/>
    <x v="0"/>
    <n v="12002719.43"/>
    <x v="0"/>
    <x v="1"/>
    <x v="0"/>
    <x v="1"/>
    <x v="4"/>
    <x v="1"/>
    <x v="4"/>
    <x v="1"/>
    <x v="3"/>
    <n v="19"/>
    <x v="0"/>
  </r>
  <r>
    <d v="2021-01-19T00:00:00"/>
    <x v="0"/>
    <x v="1"/>
    <x v="1"/>
    <n v="29659606.07"/>
    <x v="0"/>
    <x v="1"/>
    <x v="1"/>
    <x v="2"/>
    <x v="4"/>
    <x v="1"/>
    <x v="4"/>
    <x v="1"/>
    <x v="3"/>
    <n v="19"/>
    <x v="0"/>
  </r>
  <r>
    <d v="2021-01-19T00:00:00"/>
    <x v="0"/>
    <x v="0"/>
    <x v="0"/>
    <n v="450"/>
    <x v="0"/>
    <x v="0"/>
    <x v="0"/>
    <x v="0"/>
    <x v="4"/>
    <x v="1"/>
    <x v="4"/>
    <x v="1"/>
    <x v="3"/>
    <n v="19"/>
    <x v="0"/>
  </r>
  <r>
    <d v="2021-01-19T00:00:00"/>
    <x v="1"/>
    <x v="0"/>
    <x v="0"/>
    <n v="72345743.579999998"/>
    <x v="1"/>
    <x v="0"/>
    <x v="0"/>
    <x v="6"/>
    <x v="4"/>
    <x v="1"/>
    <x v="4"/>
    <x v="1"/>
    <x v="3"/>
    <n v="19"/>
    <x v="0"/>
  </r>
  <r>
    <d v="2021-01-19T00:00:00"/>
    <x v="1"/>
    <x v="0"/>
    <x v="1"/>
    <n v="3578557287.9499998"/>
    <x v="1"/>
    <x v="0"/>
    <x v="1"/>
    <x v="7"/>
    <x v="4"/>
    <x v="1"/>
    <x v="4"/>
    <x v="1"/>
    <x v="3"/>
    <n v="19"/>
    <x v="0"/>
  </r>
  <r>
    <d v="2021-01-19T00:00:00"/>
    <x v="2"/>
    <x v="1"/>
    <x v="1"/>
    <n v="132405513.81"/>
    <x v="2"/>
    <x v="1"/>
    <x v="1"/>
    <x v="8"/>
    <x v="4"/>
    <x v="1"/>
    <x v="4"/>
    <x v="1"/>
    <x v="3"/>
    <n v="19"/>
    <x v="0"/>
  </r>
  <r>
    <d v="2021-01-19T00:00:00"/>
    <x v="3"/>
    <x v="2"/>
    <x v="0"/>
    <n v="408782830.41000003"/>
    <x v="3"/>
    <x v="2"/>
    <x v="0"/>
    <x v="9"/>
    <x v="4"/>
    <x v="1"/>
    <x v="4"/>
    <x v="1"/>
    <x v="3"/>
    <n v="19"/>
    <x v="0"/>
  </r>
  <r>
    <d v="2021-01-19T00:00:00"/>
    <x v="3"/>
    <x v="1"/>
    <x v="0"/>
    <n v="51850119.170000002"/>
    <x v="3"/>
    <x v="1"/>
    <x v="0"/>
    <x v="10"/>
    <x v="4"/>
    <x v="1"/>
    <x v="4"/>
    <x v="1"/>
    <x v="3"/>
    <n v="19"/>
    <x v="0"/>
  </r>
  <r>
    <d v="2021-01-19T00:00:00"/>
    <x v="3"/>
    <x v="2"/>
    <x v="1"/>
    <n v="37932480153.419998"/>
    <x v="3"/>
    <x v="2"/>
    <x v="1"/>
    <x v="11"/>
    <x v="4"/>
    <x v="1"/>
    <x v="4"/>
    <x v="1"/>
    <x v="3"/>
    <n v="19"/>
    <x v="0"/>
  </r>
  <r>
    <d v="2021-01-15T00:00:00"/>
    <x v="2"/>
    <x v="1"/>
    <x v="2"/>
    <n v="59605.58"/>
    <x v="2"/>
    <x v="1"/>
    <x v="2"/>
    <x v="3"/>
    <x v="4"/>
    <x v="1"/>
    <x v="4"/>
    <x v="1"/>
    <x v="3"/>
    <n v="15"/>
    <x v="0"/>
  </r>
  <r>
    <d v="2021-01-15T00:00:00"/>
    <x v="0"/>
    <x v="1"/>
    <x v="0"/>
    <n v="23318468.510000002"/>
    <x v="0"/>
    <x v="1"/>
    <x v="0"/>
    <x v="1"/>
    <x v="4"/>
    <x v="1"/>
    <x v="4"/>
    <x v="1"/>
    <x v="3"/>
    <n v="15"/>
    <x v="0"/>
  </r>
  <r>
    <d v="2021-01-15T00:00:00"/>
    <x v="0"/>
    <x v="1"/>
    <x v="1"/>
    <n v="14113419.65"/>
    <x v="0"/>
    <x v="1"/>
    <x v="1"/>
    <x v="4"/>
    <x v="4"/>
    <x v="1"/>
    <x v="4"/>
    <x v="1"/>
    <x v="3"/>
    <n v="15"/>
    <x v="0"/>
  </r>
  <r>
    <d v="2021-01-15T00:00:00"/>
    <x v="1"/>
    <x v="0"/>
    <x v="0"/>
    <n v="74924835.269999996"/>
    <x v="1"/>
    <x v="0"/>
    <x v="0"/>
    <x v="8"/>
    <x v="4"/>
    <x v="1"/>
    <x v="4"/>
    <x v="1"/>
    <x v="3"/>
    <n v="15"/>
    <x v="0"/>
  </r>
  <r>
    <d v="2021-01-15T00:00:00"/>
    <x v="3"/>
    <x v="2"/>
    <x v="2"/>
    <n v="502079.6"/>
    <x v="3"/>
    <x v="2"/>
    <x v="2"/>
    <x v="5"/>
    <x v="4"/>
    <x v="1"/>
    <x v="4"/>
    <x v="1"/>
    <x v="3"/>
    <n v="15"/>
    <x v="0"/>
  </r>
  <r>
    <d v="2021-01-15T00:00:00"/>
    <x v="0"/>
    <x v="0"/>
    <x v="0"/>
    <n v="1800"/>
    <x v="0"/>
    <x v="0"/>
    <x v="0"/>
    <x v="0"/>
    <x v="4"/>
    <x v="1"/>
    <x v="4"/>
    <x v="1"/>
    <x v="3"/>
    <n v="15"/>
    <x v="0"/>
  </r>
  <r>
    <d v="2021-01-15T00:00:00"/>
    <x v="3"/>
    <x v="3"/>
    <x v="2"/>
    <n v="159190.84"/>
    <x v="3"/>
    <x v="3"/>
    <x v="2"/>
    <x v="2"/>
    <x v="4"/>
    <x v="1"/>
    <x v="4"/>
    <x v="1"/>
    <x v="3"/>
    <n v="15"/>
    <x v="0"/>
  </r>
  <r>
    <d v="2021-01-15T00:00:00"/>
    <x v="3"/>
    <x v="3"/>
    <x v="0"/>
    <n v="1743240185.21"/>
    <x v="3"/>
    <x v="3"/>
    <x v="0"/>
    <x v="7"/>
    <x v="4"/>
    <x v="1"/>
    <x v="4"/>
    <x v="1"/>
    <x v="3"/>
    <n v="15"/>
    <x v="0"/>
  </r>
  <r>
    <d v="2021-01-15T00:00:00"/>
    <x v="2"/>
    <x v="1"/>
    <x v="0"/>
    <n v="73268279.060000002"/>
    <x v="2"/>
    <x v="1"/>
    <x v="0"/>
    <x v="6"/>
    <x v="4"/>
    <x v="1"/>
    <x v="4"/>
    <x v="1"/>
    <x v="3"/>
    <n v="15"/>
    <x v="0"/>
  </r>
  <r>
    <d v="2021-01-15T00:00:00"/>
    <x v="1"/>
    <x v="0"/>
    <x v="1"/>
    <n v="1672318631.53"/>
    <x v="1"/>
    <x v="0"/>
    <x v="1"/>
    <x v="9"/>
    <x v="4"/>
    <x v="1"/>
    <x v="4"/>
    <x v="1"/>
    <x v="3"/>
    <n v="15"/>
    <x v="0"/>
  </r>
  <r>
    <d v="2021-01-15T00:00:00"/>
    <x v="2"/>
    <x v="1"/>
    <x v="1"/>
    <n v="300578265.32999998"/>
    <x v="2"/>
    <x v="1"/>
    <x v="1"/>
    <x v="10"/>
    <x v="4"/>
    <x v="1"/>
    <x v="4"/>
    <x v="1"/>
    <x v="3"/>
    <n v="15"/>
    <x v="0"/>
  </r>
  <r>
    <d v="2021-01-15T00:00:00"/>
    <x v="3"/>
    <x v="2"/>
    <x v="0"/>
    <n v="527142252.06"/>
    <x v="3"/>
    <x v="2"/>
    <x v="0"/>
    <x v="11"/>
    <x v="4"/>
    <x v="1"/>
    <x v="4"/>
    <x v="1"/>
    <x v="3"/>
    <n v="15"/>
    <x v="0"/>
  </r>
  <r>
    <d v="2021-01-15T00:00:00"/>
    <x v="3"/>
    <x v="1"/>
    <x v="0"/>
    <n v="13165865.68"/>
    <x v="3"/>
    <x v="1"/>
    <x v="0"/>
    <x v="12"/>
    <x v="4"/>
    <x v="1"/>
    <x v="4"/>
    <x v="1"/>
    <x v="3"/>
    <n v="15"/>
    <x v="0"/>
  </r>
  <r>
    <d v="2021-01-15T00:00:00"/>
    <x v="3"/>
    <x v="2"/>
    <x v="1"/>
    <n v="38707608752.449997"/>
    <x v="3"/>
    <x v="2"/>
    <x v="1"/>
    <x v="13"/>
    <x v="4"/>
    <x v="1"/>
    <x v="4"/>
    <x v="1"/>
    <x v="3"/>
    <n v="15"/>
    <x v="0"/>
  </r>
  <r>
    <d v="2021-01-14T00:00:00"/>
    <x v="2"/>
    <x v="1"/>
    <x v="2"/>
    <n v="17085"/>
    <x v="2"/>
    <x v="1"/>
    <x v="2"/>
    <x v="1"/>
    <x v="4"/>
    <x v="1"/>
    <x v="4"/>
    <x v="1"/>
    <x v="3"/>
    <n v="14"/>
    <x v="0"/>
  </r>
  <r>
    <d v="2021-01-14T00:00:00"/>
    <x v="0"/>
    <x v="1"/>
    <x v="0"/>
    <n v="27555862.609999999"/>
    <x v="0"/>
    <x v="1"/>
    <x v="0"/>
    <x v="0"/>
    <x v="4"/>
    <x v="1"/>
    <x v="4"/>
    <x v="1"/>
    <x v="3"/>
    <n v="14"/>
    <x v="0"/>
  </r>
  <r>
    <d v="2021-01-14T00:00:00"/>
    <x v="2"/>
    <x v="1"/>
    <x v="0"/>
    <n v="70669612.680000007"/>
    <x v="2"/>
    <x v="1"/>
    <x v="0"/>
    <x v="5"/>
    <x v="4"/>
    <x v="1"/>
    <x v="4"/>
    <x v="1"/>
    <x v="3"/>
    <n v="14"/>
    <x v="0"/>
  </r>
  <r>
    <d v="2021-01-14T00:00:00"/>
    <x v="3"/>
    <x v="3"/>
    <x v="0"/>
    <n v="1906545271.3099999"/>
    <x v="3"/>
    <x v="3"/>
    <x v="0"/>
    <x v="7"/>
    <x v="4"/>
    <x v="1"/>
    <x v="4"/>
    <x v="1"/>
    <x v="3"/>
    <n v="14"/>
    <x v="0"/>
  </r>
  <r>
    <d v="2021-01-14T00:00:00"/>
    <x v="0"/>
    <x v="1"/>
    <x v="1"/>
    <n v="23542591.5"/>
    <x v="0"/>
    <x v="1"/>
    <x v="1"/>
    <x v="3"/>
    <x v="4"/>
    <x v="1"/>
    <x v="4"/>
    <x v="1"/>
    <x v="3"/>
    <n v="14"/>
    <x v="0"/>
  </r>
  <r>
    <d v="2021-01-14T00:00:00"/>
    <x v="3"/>
    <x v="2"/>
    <x v="2"/>
    <n v="303432.18"/>
    <x v="3"/>
    <x v="2"/>
    <x v="2"/>
    <x v="4"/>
    <x v="4"/>
    <x v="1"/>
    <x v="4"/>
    <x v="1"/>
    <x v="3"/>
    <n v="14"/>
    <x v="0"/>
  </r>
  <r>
    <d v="2021-01-14T00:00:00"/>
    <x v="3"/>
    <x v="3"/>
    <x v="1"/>
    <n v="1341614.52"/>
    <x v="3"/>
    <x v="3"/>
    <x v="1"/>
    <x v="2"/>
    <x v="4"/>
    <x v="1"/>
    <x v="4"/>
    <x v="1"/>
    <x v="3"/>
    <n v="14"/>
    <x v="0"/>
  </r>
  <r>
    <d v="2021-01-14T00:00:00"/>
    <x v="1"/>
    <x v="0"/>
    <x v="0"/>
    <n v="64759095.920000002"/>
    <x v="1"/>
    <x v="0"/>
    <x v="0"/>
    <x v="6"/>
    <x v="4"/>
    <x v="1"/>
    <x v="4"/>
    <x v="1"/>
    <x v="3"/>
    <n v="14"/>
    <x v="0"/>
  </r>
  <r>
    <d v="2021-01-14T00:00:00"/>
    <x v="1"/>
    <x v="0"/>
    <x v="1"/>
    <n v="2507801111.04"/>
    <x v="1"/>
    <x v="0"/>
    <x v="1"/>
    <x v="8"/>
    <x v="4"/>
    <x v="1"/>
    <x v="4"/>
    <x v="1"/>
    <x v="3"/>
    <n v="14"/>
    <x v="0"/>
  </r>
  <r>
    <d v="2021-01-14T00:00:00"/>
    <x v="2"/>
    <x v="1"/>
    <x v="1"/>
    <n v="255754965.06"/>
    <x v="2"/>
    <x v="1"/>
    <x v="1"/>
    <x v="9"/>
    <x v="4"/>
    <x v="1"/>
    <x v="4"/>
    <x v="1"/>
    <x v="3"/>
    <n v="14"/>
    <x v="0"/>
  </r>
  <r>
    <d v="2021-01-14T00:00:00"/>
    <x v="3"/>
    <x v="1"/>
    <x v="0"/>
    <n v="12672059.6"/>
    <x v="3"/>
    <x v="1"/>
    <x v="0"/>
    <x v="10"/>
    <x v="4"/>
    <x v="1"/>
    <x v="4"/>
    <x v="1"/>
    <x v="3"/>
    <n v="14"/>
    <x v="0"/>
  </r>
  <r>
    <d v="2021-01-14T00:00:00"/>
    <x v="3"/>
    <x v="2"/>
    <x v="0"/>
    <n v="542946362.38999999"/>
    <x v="3"/>
    <x v="2"/>
    <x v="0"/>
    <x v="11"/>
    <x v="4"/>
    <x v="1"/>
    <x v="4"/>
    <x v="1"/>
    <x v="3"/>
    <n v="14"/>
    <x v="0"/>
  </r>
  <r>
    <d v="2021-01-14T00:00:00"/>
    <x v="3"/>
    <x v="2"/>
    <x v="1"/>
    <n v="11467913999.629999"/>
    <x v="3"/>
    <x v="2"/>
    <x v="1"/>
    <x v="12"/>
    <x v="4"/>
    <x v="1"/>
    <x v="4"/>
    <x v="1"/>
    <x v="3"/>
    <n v="14"/>
    <x v="0"/>
  </r>
  <r>
    <d v="2021-01-13T00:00:00"/>
    <x v="3"/>
    <x v="2"/>
    <x v="2"/>
    <n v="403413.54"/>
    <x v="3"/>
    <x v="2"/>
    <x v="2"/>
    <x v="4"/>
    <x v="4"/>
    <x v="1"/>
    <x v="4"/>
    <x v="1"/>
    <x v="3"/>
    <n v="13"/>
    <x v="0"/>
  </r>
  <r>
    <d v="2021-01-13T00:00:00"/>
    <x v="2"/>
    <x v="1"/>
    <x v="2"/>
    <n v="32065"/>
    <x v="2"/>
    <x v="1"/>
    <x v="2"/>
    <x v="1"/>
    <x v="4"/>
    <x v="1"/>
    <x v="4"/>
    <x v="1"/>
    <x v="3"/>
    <n v="13"/>
    <x v="0"/>
  </r>
  <r>
    <d v="2021-01-13T00:00:00"/>
    <x v="0"/>
    <x v="1"/>
    <x v="0"/>
    <n v="19957706.440000001"/>
    <x v="0"/>
    <x v="1"/>
    <x v="0"/>
    <x v="0"/>
    <x v="4"/>
    <x v="1"/>
    <x v="4"/>
    <x v="1"/>
    <x v="3"/>
    <n v="13"/>
    <x v="0"/>
  </r>
  <r>
    <d v="2021-01-13T00:00:00"/>
    <x v="3"/>
    <x v="3"/>
    <x v="1"/>
    <n v="1162252.6100000001"/>
    <x v="3"/>
    <x v="3"/>
    <x v="1"/>
    <x v="2"/>
    <x v="4"/>
    <x v="1"/>
    <x v="4"/>
    <x v="1"/>
    <x v="3"/>
    <n v="13"/>
    <x v="0"/>
  </r>
  <r>
    <d v="2021-01-13T00:00:00"/>
    <x v="1"/>
    <x v="0"/>
    <x v="0"/>
    <n v="98520648.329999998"/>
    <x v="1"/>
    <x v="0"/>
    <x v="0"/>
    <x v="7"/>
    <x v="4"/>
    <x v="1"/>
    <x v="4"/>
    <x v="1"/>
    <x v="3"/>
    <n v="13"/>
    <x v="0"/>
  </r>
  <r>
    <d v="2021-01-13T00:00:00"/>
    <x v="0"/>
    <x v="1"/>
    <x v="1"/>
    <n v="-1445505.32"/>
    <x v="0"/>
    <x v="1"/>
    <x v="1"/>
    <x v="3"/>
    <x v="4"/>
    <x v="1"/>
    <x v="4"/>
    <x v="1"/>
    <x v="3"/>
    <n v="13"/>
    <x v="1"/>
  </r>
  <r>
    <d v="2021-01-13T00:00:00"/>
    <x v="3"/>
    <x v="3"/>
    <x v="0"/>
    <n v="930683740.41999996"/>
    <x v="3"/>
    <x v="3"/>
    <x v="0"/>
    <x v="6"/>
    <x v="4"/>
    <x v="1"/>
    <x v="4"/>
    <x v="1"/>
    <x v="3"/>
    <n v="13"/>
    <x v="0"/>
  </r>
  <r>
    <d v="2021-01-13T00:00:00"/>
    <x v="2"/>
    <x v="1"/>
    <x v="0"/>
    <n v="83923771.760000005"/>
    <x v="2"/>
    <x v="1"/>
    <x v="0"/>
    <x v="5"/>
    <x v="4"/>
    <x v="1"/>
    <x v="4"/>
    <x v="1"/>
    <x v="3"/>
    <n v="13"/>
    <x v="0"/>
  </r>
  <r>
    <d v="2021-01-13T00:00:00"/>
    <x v="1"/>
    <x v="0"/>
    <x v="1"/>
    <n v="3439668524.8600001"/>
    <x v="1"/>
    <x v="0"/>
    <x v="1"/>
    <x v="8"/>
    <x v="4"/>
    <x v="1"/>
    <x v="4"/>
    <x v="1"/>
    <x v="3"/>
    <n v="13"/>
    <x v="0"/>
  </r>
  <r>
    <d v="2021-01-13T00:00:00"/>
    <x v="2"/>
    <x v="1"/>
    <x v="1"/>
    <n v="174714366.34"/>
    <x v="2"/>
    <x v="1"/>
    <x v="1"/>
    <x v="9"/>
    <x v="4"/>
    <x v="1"/>
    <x v="4"/>
    <x v="1"/>
    <x v="3"/>
    <n v="13"/>
    <x v="0"/>
  </r>
  <r>
    <d v="2021-01-13T00:00:00"/>
    <x v="3"/>
    <x v="1"/>
    <x v="0"/>
    <n v="12134386.07"/>
    <x v="3"/>
    <x v="1"/>
    <x v="0"/>
    <x v="10"/>
    <x v="4"/>
    <x v="1"/>
    <x v="4"/>
    <x v="1"/>
    <x v="3"/>
    <n v="13"/>
    <x v="0"/>
  </r>
  <r>
    <d v="2021-01-13T00:00:00"/>
    <x v="3"/>
    <x v="2"/>
    <x v="0"/>
    <n v="371619500.97000003"/>
    <x v="3"/>
    <x v="2"/>
    <x v="0"/>
    <x v="11"/>
    <x v="4"/>
    <x v="1"/>
    <x v="4"/>
    <x v="1"/>
    <x v="3"/>
    <n v="13"/>
    <x v="0"/>
  </r>
  <r>
    <d v="2021-01-13T00:00:00"/>
    <x v="3"/>
    <x v="2"/>
    <x v="1"/>
    <n v="12419149762.65"/>
    <x v="3"/>
    <x v="2"/>
    <x v="1"/>
    <x v="12"/>
    <x v="4"/>
    <x v="1"/>
    <x v="4"/>
    <x v="1"/>
    <x v="3"/>
    <n v="13"/>
    <x v="0"/>
  </r>
  <r>
    <d v="2021-01-12T00:00:00"/>
    <x v="2"/>
    <x v="1"/>
    <x v="0"/>
    <n v="79852001.599999994"/>
    <x v="2"/>
    <x v="1"/>
    <x v="0"/>
    <x v="5"/>
    <x v="4"/>
    <x v="1"/>
    <x v="4"/>
    <x v="1"/>
    <x v="3"/>
    <n v="12"/>
    <x v="0"/>
  </r>
  <r>
    <d v="2021-01-12T00:00:00"/>
    <x v="0"/>
    <x v="1"/>
    <x v="0"/>
    <n v="11844023.890000001"/>
    <x v="0"/>
    <x v="1"/>
    <x v="0"/>
    <x v="1"/>
    <x v="4"/>
    <x v="1"/>
    <x v="4"/>
    <x v="1"/>
    <x v="3"/>
    <n v="12"/>
    <x v="0"/>
  </r>
  <r>
    <d v="2021-01-12T00:00:00"/>
    <x v="2"/>
    <x v="1"/>
    <x v="2"/>
    <n v="470014.9"/>
    <x v="2"/>
    <x v="1"/>
    <x v="2"/>
    <x v="2"/>
    <x v="4"/>
    <x v="1"/>
    <x v="4"/>
    <x v="1"/>
    <x v="3"/>
    <n v="12"/>
    <x v="0"/>
  </r>
  <r>
    <d v="2021-01-12T00:00:00"/>
    <x v="3"/>
    <x v="2"/>
    <x v="2"/>
    <n v="332230.08"/>
    <x v="3"/>
    <x v="2"/>
    <x v="2"/>
    <x v="4"/>
    <x v="4"/>
    <x v="1"/>
    <x v="4"/>
    <x v="1"/>
    <x v="3"/>
    <n v="12"/>
    <x v="0"/>
  </r>
  <r>
    <d v="2021-01-12T00:00:00"/>
    <x v="0"/>
    <x v="0"/>
    <x v="0"/>
    <n v="370"/>
    <x v="0"/>
    <x v="0"/>
    <x v="0"/>
    <x v="0"/>
    <x v="4"/>
    <x v="1"/>
    <x v="4"/>
    <x v="1"/>
    <x v="3"/>
    <n v="12"/>
    <x v="0"/>
  </r>
  <r>
    <d v="2021-01-12T00:00:00"/>
    <x v="3"/>
    <x v="3"/>
    <x v="0"/>
    <n v="2061480451.78"/>
    <x v="3"/>
    <x v="3"/>
    <x v="0"/>
    <x v="6"/>
    <x v="4"/>
    <x v="1"/>
    <x v="4"/>
    <x v="1"/>
    <x v="3"/>
    <n v="12"/>
    <x v="0"/>
  </r>
  <r>
    <d v="2021-01-12T00:00:00"/>
    <x v="0"/>
    <x v="1"/>
    <x v="1"/>
    <n v="1212647.29"/>
    <x v="0"/>
    <x v="1"/>
    <x v="1"/>
    <x v="3"/>
    <x v="4"/>
    <x v="1"/>
    <x v="4"/>
    <x v="1"/>
    <x v="3"/>
    <n v="12"/>
    <x v="0"/>
  </r>
  <r>
    <d v="2021-01-12T00:00:00"/>
    <x v="1"/>
    <x v="0"/>
    <x v="0"/>
    <n v="66059035.93"/>
    <x v="1"/>
    <x v="0"/>
    <x v="0"/>
    <x v="7"/>
    <x v="4"/>
    <x v="1"/>
    <x v="4"/>
    <x v="1"/>
    <x v="3"/>
    <n v="12"/>
    <x v="0"/>
  </r>
  <r>
    <d v="2021-01-12T00:00:00"/>
    <x v="1"/>
    <x v="0"/>
    <x v="1"/>
    <n v="2569553431.5700002"/>
    <x v="1"/>
    <x v="0"/>
    <x v="1"/>
    <x v="8"/>
    <x v="4"/>
    <x v="1"/>
    <x v="4"/>
    <x v="1"/>
    <x v="3"/>
    <n v="12"/>
    <x v="0"/>
  </r>
  <r>
    <d v="2021-01-12T00:00:00"/>
    <x v="2"/>
    <x v="1"/>
    <x v="1"/>
    <n v="117589578.73999999"/>
    <x v="2"/>
    <x v="1"/>
    <x v="1"/>
    <x v="9"/>
    <x v="4"/>
    <x v="1"/>
    <x v="4"/>
    <x v="1"/>
    <x v="3"/>
    <n v="12"/>
    <x v="0"/>
  </r>
  <r>
    <d v="2021-01-12T00:00:00"/>
    <x v="3"/>
    <x v="1"/>
    <x v="0"/>
    <n v="9652392.9299999997"/>
    <x v="3"/>
    <x v="1"/>
    <x v="0"/>
    <x v="10"/>
    <x v="4"/>
    <x v="1"/>
    <x v="4"/>
    <x v="1"/>
    <x v="3"/>
    <n v="12"/>
    <x v="0"/>
  </r>
  <r>
    <d v="2021-01-12T00:00:00"/>
    <x v="3"/>
    <x v="2"/>
    <x v="0"/>
    <n v="550727664.67999995"/>
    <x v="3"/>
    <x v="2"/>
    <x v="0"/>
    <x v="11"/>
    <x v="4"/>
    <x v="1"/>
    <x v="4"/>
    <x v="1"/>
    <x v="3"/>
    <n v="12"/>
    <x v="0"/>
  </r>
  <r>
    <d v="2021-01-12T00:00:00"/>
    <x v="3"/>
    <x v="2"/>
    <x v="1"/>
    <n v="5156831089.3000002"/>
    <x v="3"/>
    <x v="2"/>
    <x v="1"/>
    <x v="12"/>
    <x v="4"/>
    <x v="1"/>
    <x v="4"/>
    <x v="1"/>
    <x v="3"/>
    <n v="12"/>
    <x v="0"/>
  </r>
  <r>
    <d v="2021-01-11T00:00:00"/>
    <x v="2"/>
    <x v="1"/>
    <x v="0"/>
    <n v="78682930.950000003"/>
    <x v="2"/>
    <x v="1"/>
    <x v="0"/>
    <x v="5"/>
    <x v="4"/>
    <x v="1"/>
    <x v="4"/>
    <x v="1"/>
    <x v="3"/>
    <n v="11"/>
    <x v="0"/>
  </r>
  <r>
    <d v="2021-01-11T00:00:00"/>
    <x v="0"/>
    <x v="1"/>
    <x v="0"/>
    <n v="20720951.629999999"/>
    <x v="0"/>
    <x v="1"/>
    <x v="0"/>
    <x v="1"/>
    <x v="4"/>
    <x v="1"/>
    <x v="4"/>
    <x v="1"/>
    <x v="3"/>
    <n v="11"/>
    <x v="0"/>
  </r>
  <r>
    <d v="2021-01-11T00:00:00"/>
    <x v="2"/>
    <x v="1"/>
    <x v="2"/>
    <n v="35310"/>
    <x v="2"/>
    <x v="1"/>
    <x v="2"/>
    <x v="2"/>
    <x v="4"/>
    <x v="1"/>
    <x v="4"/>
    <x v="1"/>
    <x v="3"/>
    <n v="11"/>
    <x v="0"/>
  </r>
  <r>
    <d v="2021-01-11T00:00:00"/>
    <x v="3"/>
    <x v="3"/>
    <x v="0"/>
    <n v="1433060519.1800001"/>
    <x v="3"/>
    <x v="3"/>
    <x v="0"/>
    <x v="6"/>
    <x v="4"/>
    <x v="1"/>
    <x v="4"/>
    <x v="1"/>
    <x v="3"/>
    <n v="11"/>
    <x v="0"/>
  </r>
  <r>
    <d v="2021-01-11T00:00:00"/>
    <x v="0"/>
    <x v="1"/>
    <x v="1"/>
    <n v="17518392.109999999"/>
    <x v="0"/>
    <x v="1"/>
    <x v="1"/>
    <x v="3"/>
    <x v="4"/>
    <x v="1"/>
    <x v="4"/>
    <x v="1"/>
    <x v="3"/>
    <n v="11"/>
    <x v="0"/>
  </r>
  <r>
    <d v="2021-01-11T00:00:00"/>
    <x v="1"/>
    <x v="0"/>
    <x v="0"/>
    <n v="61051060.009999998"/>
    <x v="1"/>
    <x v="0"/>
    <x v="0"/>
    <x v="7"/>
    <x v="4"/>
    <x v="1"/>
    <x v="4"/>
    <x v="1"/>
    <x v="3"/>
    <n v="11"/>
    <x v="0"/>
  </r>
  <r>
    <d v="2021-01-11T00:00:00"/>
    <x v="3"/>
    <x v="2"/>
    <x v="2"/>
    <n v="340064.62"/>
    <x v="3"/>
    <x v="2"/>
    <x v="2"/>
    <x v="4"/>
    <x v="4"/>
    <x v="1"/>
    <x v="4"/>
    <x v="1"/>
    <x v="3"/>
    <n v="11"/>
    <x v="0"/>
  </r>
  <r>
    <d v="2021-01-11T00:00:00"/>
    <x v="0"/>
    <x v="0"/>
    <x v="0"/>
    <n v="-91.46"/>
    <x v="0"/>
    <x v="0"/>
    <x v="0"/>
    <x v="0"/>
    <x v="4"/>
    <x v="1"/>
    <x v="4"/>
    <x v="1"/>
    <x v="3"/>
    <n v="11"/>
    <x v="1"/>
  </r>
  <r>
    <d v="2021-01-11T00:00:00"/>
    <x v="1"/>
    <x v="0"/>
    <x v="1"/>
    <n v="1501805840.1199999"/>
    <x v="1"/>
    <x v="0"/>
    <x v="1"/>
    <x v="8"/>
    <x v="4"/>
    <x v="1"/>
    <x v="4"/>
    <x v="1"/>
    <x v="3"/>
    <n v="11"/>
    <x v="0"/>
  </r>
  <r>
    <d v="2021-01-11T00:00:00"/>
    <x v="2"/>
    <x v="1"/>
    <x v="1"/>
    <n v="187551050"/>
    <x v="2"/>
    <x v="1"/>
    <x v="1"/>
    <x v="9"/>
    <x v="4"/>
    <x v="1"/>
    <x v="4"/>
    <x v="1"/>
    <x v="3"/>
    <n v="11"/>
    <x v="0"/>
  </r>
  <r>
    <d v="2021-01-11T00:00:00"/>
    <x v="3"/>
    <x v="2"/>
    <x v="0"/>
    <n v="415712365.25"/>
    <x v="3"/>
    <x v="2"/>
    <x v="0"/>
    <x v="10"/>
    <x v="4"/>
    <x v="1"/>
    <x v="4"/>
    <x v="1"/>
    <x v="3"/>
    <n v="11"/>
    <x v="0"/>
  </r>
  <r>
    <d v="2021-01-11T00:00:00"/>
    <x v="3"/>
    <x v="1"/>
    <x v="0"/>
    <n v="42399671.380000003"/>
    <x v="3"/>
    <x v="1"/>
    <x v="0"/>
    <x v="11"/>
    <x v="4"/>
    <x v="1"/>
    <x v="4"/>
    <x v="1"/>
    <x v="3"/>
    <n v="11"/>
    <x v="0"/>
  </r>
  <r>
    <d v="2021-01-11T00:00:00"/>
    <x v="3"/>
    <x v="2"/>
    <x v="1"/>
    <n v="22928559697.779999"/>
    <x v="3"/>
    <x v="2"/>
    <x v="1"/>
    <x v="12"/>
    <x v="4"/>
    <x v="1"/>
    <x v="4"/>
    <x v="1"/>
    <x v="3"/>
    <n v="11"/>
    <x v="0"/>
  </r>
  <r>
    <d v="2021-01-08T00:00:00"/>
    <x v="2"/>
    <x v="1"/>
    <x v="0"/>
    <n v="83246002.200000003"/>
    <x v="2"/>
    <x v="1"/>
    <x v="0"/>
    <x v="5"/>
    <x v="4"/>
    <x v="1"/>
    <x v="4"/>
    <x v="1"/>
    <x v="3"/>
    <n v="8"/>
    <x v="0"/>
  </r>
  <r>
    <d v="2021-01-08T00:00:00"/>
    <x v="0"/>
    <x v="1"/>
    <x v="0"/>
    <n v="16260009.32"/>
    <x v="0"/>
    <x v="1"/>
    <x v="0"/>
    <x v="1"/>
    <x v="4"/>
    <x v="1"/>
    <x v="4"/>
    <x v="1"/>
    <x v="3"/>
    <n v="8"/>
    <x v="0"/>
  </r>
  <r>
    <d v="2021-01-08T00:00:00"/>
    <x v="1"/>
    <x v="0"/>
    <x v="0"/>
    <n v="60024915.079999998"/>
    <x v="1"/>
    <x v="0"/>
    <x v="0"/>
    <x v="7"/>
    <x v="4"/>
    <x v="1"/>
    <x v="4"/>
    <x v="1"/>
    <x v="3"/>
    <n v="8"/>
    <x v="0"/>
  </r>
  <r>
    <d v="2021-01-08T00:00:00"/>
    <x v="2"/>
    <x v="1"/>
    <x v="2"/>
    <n v="15448.96"/>
    <x v="2"/>
    <x v="1"/>
    <x v="2"/>
    <x v="3"/>
    <x v="4"/>
    <x v="1"/>
    <x v="4"/>
    <x v="1"/>
    <x v="3"/>
    <n v="8"/>
    <x v="0"/>
  </r>
  <r>
    <d v="2021-01-08T00:00:00"/>
    <x v="0"/>
    <x v="1"/>
    <x v="1"/>
    <n v="19128643.550000001"/>
    <x v="0"/>
    <x v="1"/>
    <x v="1"/>
    <x v="2"/>
    <x v="4"/>
    <x v="1"/>
    <x v="4"/>
    <x v="1"/>
    <x v="3"/>
    <n v="8"/>
    <x v="0"/>
  </r>
  <r>
    <d v="2021-01-08T00:00:00"/>
    <x v="3"/>
    <x v="2"/>
    <x v="2"/>
    <n v="580578.78"/>
    <x v="3"/>
    <x v="2"/>
    <x v="2"/>
    <x v="4"/>
    <x v="4"/>
    <x v="1"/>
    <x v="4"/>
    <x v="1"/>
    <x v="3"/>
    <n v="8"/>
    <x v="0"/>
  </r>
  <r>
    <d v="2021-01-08T00:00:00"/>
    <x v="0"/>
    <x v="0"/>
    <x v="0"/>
    <n v="1933.62"/>
    <x v="0"/>
    <x v="0"/>
    <x v="0"/>
    <x v="0"/>
    <x v="4"/>
    <x v="1"/>
    <x v="4"/>
    <x v="1"/>
    <x v="3"/>
    <n v="8"/>
    <x v="0"/>
  </r>
  <r>
    <d v="2021-01-08T00:00:00"/>
    <x v="3"/>
    <x v="3"/>
    <x v="0"/>
    <n v="1295634724.75"/>
    <x v="3"/>
    <x v="3"/>
    <x v="0"/>
    <x v="6"/>
    <x v="4"/>
    <x v="1"/>
    <x v="4"/>
    <x v="1"/>
    <x v="3"/>
    <n v="8"/>
    <x v="0"/>
  </r>
  <r>
    <d v="2021-01-08T00:00:00"/>
    <x v="1"/>
    <x v="0"/>
    <x v="1"/>
    <n v="1364979019.55"/>
    <x v="1"/>
    <x v="0"/>
    <x v="1"/>
    <x v="8"/>
    <x v="4"/>
    <x v="1"/>
    <x v="4"/>
    <x v="1"/>
    <x v="3"/>
    <n v="8"/>
    <x v="0"/>
  </r>
  <r>
    <d v="2021-01-08T00:00:00"/>
    <x v="2"/>
    <x v="1"/>
    <x v="1"/>
    <n v="96235882.040000007"/>
    <x v="2"/>
    <x v="1"/>
    <x v="1"/>
    <x v="9"/>
    <x v="4"/>
    <x v="1"/>
    <x v="4"/>
    <x v="1"/>
    <x v="3"/>
    <n v="8"/>
    <x v="0"/>
  </r>
  <r>
    <d v="2021-01-08T00:00:00"/>
    <x v="3"/>
    <x v="1"/>
    <x v="0"/>
    <n v="13480568.439999999"/>
    <x v="3"/>
    <x v="1"/>
    <x v="0"/>
    <x v="10"/>
    <x v="4"/>
    <x v="1"/>
    <x v="4"/>
    <x v="1"/>
    <x v="3"/>
    <n v="8"/>
    <x v="0"/>
  </r>
  <r>
    <d v="2021-01-08T00:00:00"/>
    <x v="3"/>
    <x v="2"/>
    <x v="0"/>
    <n v="479341515.32999998"/>
    <x v="3"/>
    <x v="2"/>
    <x v="0"/>
    <x v="11"/>
    <x v="4"/>
    <x v="1"/>
    <x v="4"/>
    <x v="1"/>
    <x v="3"/>
    <n v="8"/>
    <x v="0"/>
  </r>
  <r>
    <d v="2021-01-08T00:00:00"/>
    <x v="3"/>
    <x v="2"/>
    <x v="1"/>
    <n v="10554007161.07"/>
    <x v="3"/>
    <x v="2"/>
    <x v="1"/>
    <x v="12"/>
    <x v="4"/>
    <x v="1"/>
    <x v="4"/>
    <x v="1"/>
    <x v="3"/>
    <n v="8"/>
    <x v="0"/>
  </r>
  <r>
    <d v="2021-01-07T00:00:00"/>
    <x v="2"/>
    <x v="1"/>
    <x v="0"/>
    <n v="94759374.989999995"/>
    <x v="2"/>
    <x v="1"/>
    <x v="0"/>
    <x v="5"/>
    <x v="4"/>
    <x v="1"/>
    <x v="4"/>
    <x v="1"/>
    <x v="3"/>
    <n v="7"/>
    <x v="0"/>
  </r>
  <r>
    <d v="2021-01-07T00:00:00"/>
    <x v="0"/>
    <x v="1"/>
    <x v="1"/>
    <n v="16190225.59"/>
    <x v="0"/>
    <x v="1"/>
    <x v="1"/>
    <x v="3"/>
    <x v="4"/>
    <x v="1"/>
    <x v="4"/>
    <x v="1"/>
    <x v="3"/>
    <n v="7"/>
    <x v="0"/>
  </r>
  <r>
    <d v="2021-01-07T00:00:00"/>
    <x v="0"/>
    <x v="1"/>
    <x v="0"/>
    <n v="16088885.109999999"/>
    <x v="0"/>
    <x v="1"/>
    <x v="0"/>
    <x v="0"/>
    <x v="4"/>
    <x v="1"/>
    <x v="4"/>
    <x v="1"/>
    <x v="3"/>
    <n v="7"/>
    <x v="0"/>
  </r>
  <r>
    <d v="2021-01-07T00:00:00"/>
    <x v="3"/>
    <x v="2"/>
    <x v="2"/>
    <n v="382221.06"/>
    <x v="3"/>
    <x v="2"/>
    <x v="2"/>
    <x v="4"/>
    <x v="4"/>
    <x v="1"/>
    <x v="4"/>
    <x v="1"/>
    <x v="3"/>
    <n v="7"/>
    <x v="0"/>
  </r>
  <r>
    <d v="2021-01-07T00:00:00"/>
    <x v="1"/>
    <x v="0"/>
    <x v="0"/>
    <n v="86129981.519999996"/>
    <x v="1"/>
    <x v="0"/>
    <x v="0"/>
    <x v="6"/>
    <x v="4"/>
    <x v="1"/>
    <x v="4"/>
    <x v="1"/>
    <x v="3"/>
    <n v="7"/>
    <x v="0"/>
  </r>
  <r>
    <d v="2021-01-07T00:00:00"/>
    <x v="3"/>
    <x v="3"/>
    <x v="0"/>
    <n v="1492072564.75"/>
    <x v="3"/>
    <x v="3"/>
    <x v="0"/>
    <x v="7"/>
    <x v="4"/>
    <x v="1"/>
    <x v="4"/>
    <x v="1"/>
    <x v="3"/>
    <n v="7"/>
    <x v="0"/>
  </r>
  <r>
    <d v="2021-01-07T00:00:00"/>
    <x v="1"/>
    <x v="0"/>
    <x v="1"/>
    <n v="1249447438.5999999"/>
    <x v="1"/>
    <x v="0"/>
    <x v="1"/>
    <x v="8"/>
    <x v="4"/>
    <x v="1"/>
    <x v="4"/>
    <x v="1"/>
    <x v="3"/>
    <n v="7"/>
    <x v="0"/>
  </r>
  <r>
    <d v="2021-01-07T00:00:00"/>
    <x v="2"/>
    <x v="1"/>
    <x v="2"/>
    <n v="81395"/>
    <x v="2"/>
    <x v="1"/>
    <x v="2"/>
    <x v="1"/>
    <x v="4"/>
    <x v="1"/>
    <x v="4"/>
    <x v="1"/>
    <x v="3"/>
    <n v="7"/>
    <x v="0"/>
  </r>
  <r>
    <d v="2021-01-07T00:00:00"/>
    <x v="3"/>
    <x v="3"/>
    <x v="1"/>
    <n v="2858.89"/>
    <x v="3"/>
    <x v="3"/>
    <x v="1"/>
    <x v="2"/>
    <x v="4"/>
    <x v="1"/>
    <x v="4"/>
    <x v="1"/>
    <x v="3"/>
    <n v="7"/>
    <x v="0"/>
  </r>
  <r>
    <d v="2021-01-07T00:00:00"/>
    <x v="2"/>
    <x v="1"/>
    <x v="1"/>
    <n v="70010119.329999998"/>
    <x v="2"/>
    <x v="1"/>
    <x v="1"/>
    <x v="9"/>
    <x v="4"/>
    <x v="1"/>
    <x v="4"/>
    <x v="1"/>
    <x v="3"/>
    <n v="7"/>
    <x v="0"/>
  </r>
  <r>
    <d v="2021-01-07T00:00:00"/>
    <x v="3"/>
    <x v="1"/>
    <x v="0"/>
    <n v="13810091.029999999"/>
    <x v="3"/>
    <x v="1"/>
    <x v="0"/>
    <x v="10"/>
    <x v="4"/>
    <x v="1"/>
    <x v="4"/>
    <x v="1"/>
    <x v="3"/>
    <n v="7"/>
    <x v="0"/>
  </r>
  <r>
    <d v="2021-01-07T00:00:00"/>
    <x v="3"/>
    <x v="2"/>
    <x v="0"/>
    <n v="604922483.38"/>
    <x v="3"/>
    <x v="2"/>
    <x v="0"/>
    <x v="11"/>
    <x v="4"/>
    <x v="1"/>
    <x v="4"/>
    <x v="1"/>
    <x v="3"/>
    <n v="7"/>
    <x v="0"/>
  </r>
  <r>
    <d v="2021-01-07T00:00:00"/>
    <x v="3"/>
    <x v="2"/>
    <x v="1"/>
    <n v="4390009816.5100002"/>
    <x v="3"/>
    <x v="2"/>
    <x v="1"/>
    <x v="12"/>
    <x v="4"/>
    <x v="1"/>
    <x v="4"/>
    <x v="1"/>
    <x v="3"/>
    <n v="7"/>
    <x v="0"/>
  </r>
  <r>
    <d v="2021-01-06T00:00:00"/>
    <x v="3"/>
    <x v="2"/>
    <x v="2"/>
    <n v="391379"/>
    <x v="3"/>
    <x v="2"/>
    <x v="2"/>
    <x v="4"/>
    <x v="4"/>
    <x v="1"/>
    <x v="4"/>
    <x v="1"/>
    <x v="3"/>
    <n v="6"/>
    <x v="0"/>
  </r>
  <r>
    <d v="2021-01-06T00:00:00"/>
    <x v="0"/>
    <x v="1"/>
    <x v="0"/>
    <n v="32346741.32"/>
    <x v="0"/>
    <x v="1"/>
    <x v="0"/>
    <x v="0"/>
    <x v="4"/>
    <x v="1"/>
    <x v="4"/>
    <x v="1"/>
    <x v="3"/>
    <n v="6"/>
    <x v="0"/>
  </r>
  <r>
    <d v="2021-01-06T00:00:00"/>
    <x v="2"/>
    <x v="1"/>
    <x v="0"/>
    <n v="106152397.01000001"/>
    <x v="2"/>
    <x v="1"/>
    <x v="0"/>
    <x v="5"/>
    <x v="4"/>
    <x v="1"/>
    <x v="4"/>
    <x v="1"/>
    <x v="3"/>
    <n v="6"/>
    <x v="0"/>
  </r>
  <r>
    <d v="2021-01-06T00:00:00"/>
    <x v="2"/>
    <x v="1"/>
    <x v="2"/>
    <n v="-185"/>
    <x v="2"/>
    <x v="1"/>
    <x v="2"/>
    <x v="3"/>
    <x v="4"/>
    <x v="1"/>
    <x v="4"/>
    <x v="1"/>
    <x v="3"/>
    <n v="6"/>
    <x v="1"/>
  </r>
  <r>
    <d v="2021-01-06T00:00:00"/>
    <x v="3"/>
    <x v="3"/>
    <x v="0"/>
    <n v="1547289907.29"/>
    <x v="3"/>
    <x v="3"/>
    <x v="0"/>
    <x v="6"/>
    <x v="4"/>
    <x v="1"/>
    <x v="4"/>
    <x v="1"/>
    <x v="3"/>
    <n v="6"/>
    <x v="0"/>
  </r>
  <r>
    <d v="2021-01-06T00:00:00"/>
    <x v="0"/>
    <x v="1"/>
    <x v="1"/>
    <n v="20858182.039999999"/>
    <x v="0"/>
    <x v="1"/>
    <x v="1"/>
    <x v="2"/>
    <x v="4"/>
    <x v="1"/>
    <x v="4"/>
    <x v="1"/>
    <x v="3"/>
    <n v="6"/>
    <x v="0"/>
  </r>
  <r>
    <d v="2021-01-06T00:00:00"/>
    <x v="3"/>
    <x v="3"/>
    <x v="1"/>
    <n v="44333.97"/>
    <x v="3"/>
    <x v="3"/>
    <x v="1"/>
    <x v="1"/>
    <x v="4"/>
    <x v="1"/>
    <x v="4"/>
    <x v="1"/>
    <x v="3"/>
    <n v="6"/>
    <x v="0"/>
  </r>
  <r>
    <d v="2021-01-06T00:00:00"/>
    <x v="1"/>
    <x v="0"/>
    <x v="0"/>
    <n v="79428598.239999995"/>
    <x v="1"/>
    <x v="0"/>
    <x v="0"/>
    <x v="7"/>
    <x v="4"/>
    <x v="1"/>
    <x v="4"/>
    <x v="1"/>
    <x v="3"/>
    <n v="6"/>
    <x v="0"/>
  </r>
  <r>
    <d v="2021-01-06T00:00:00"/>
    <x v="1"/>
    <x v="0"/>
    <x v="1"/>
    <n v="2134368626.8900001"/>
    <x v="1"/>
    <x v="0"/>
    <x v="1"/>
    <x v="8"/>
    <x v="4"/>
    <x v="1"/>
    <x v="4"/>
    <x v="1"/>
    <x v="3"/>
    <n v="6"/>
    <x v="0"/>
  </r>
  <r>
    <d v="2021-01-06T00:00:00"/>
    <x v="2"/>
    <x v="1"/>
    <x v="1"/>
    <n v="235105001.81999999"/>
    <x v="2"/>
    <x v="1"/>
    <x v="1"/>
    <x v="9"/>
    <x v="4"/>
    <x v="1"/>
    <x v="4"/>
    <x v="1"/>
    <x v="3"/>
    <n v="6"/>
    <x v="0"/>
  </r>
  <r>
    <d v="2021-01-06T00:00:00"/>
    <x v="3"/>
    <x v="1"/>
    <x v="0"/>
    <n v="13544241.34"/>
    <x v="3"/>
    <x v="1"/>
    <x v="0"/>
    <x v="10"/>
    <x v="4"/>
    <x v="1"/>
    <x v="4"/>
    <x v="1"/>
    <x v="3"/>
    <n v="6"/>
    <x v="0"/>
  </r>
  <r>
    <d v="2021-01-06T00:00:00"/>
    <x v="3"/>
    <x v="2"/>
    <x v="0"/>
    <n v="475921264.68000001"/>
    <x v="3"/>
    <x v="2"/>
    <x v="0"/>
    <x v="11"/>
    <x v="4"/>
    <x v="1"/>
    <x v="4"/>
    <x v="1"/>
    <x v="3"/>
    <n v="6"/>
    <x v="0"/>
  </r>
  <r>
    <d v="2021-01-06T00:00:00"/>
    <x v="3"/>
    <x v="2"/>
    <x v="1"/>
    <n v="14026661212.49"/>
    <x v="3"/>
    <x v="2"/>
    <x v="1"/>
    <x v="12"/>
    <x v="4"/>
    <x v="1"/>
    <x v="4"/>
    <x v="1"/>
    <x v="3"/>
    <n v="6"/>
    <x v="0"/>
  </r>
  <r>
    <d v="2021-01-05T00:00:00"/>
    <x v="0"/>
    <x v="1"/>
    <x v="0"/>
    <n v="15209947.67"/>
    <x v="0"/>
    <x v="1"/>
    <x v="0"/>
    <x v="1"/>
    <x v="4"/>
    <x v="1"/>
    <x v="4"/>
    <x v="1"/>
    <x v="3"/>
    <n v="5"/>
    <x v="0"/>
  </r>
  <r>
    <d v="2021-01-05T00:00:00"/>
    <x v="2"/>
    <x v="1"/>
    <x v="2"/>
    <n v="60237.15"/>
    <x v="2"/>
    <x v="1"/>
    <x v="2"/>
    <x v="2"/>
    <x v="4"/>
    <x v="1"/>
    <x v="4"/>
    <x v="1"/>
    <x v="3"/>
    <n v="5"/>
    <x v="0"/>
  </r>
  <r>
    <d v="2021-01-05T00:00:00"/>
    <x v="2"/>
    <x v="1"/>
    <x v="0"/>
    <n v="92068177.340000004"/>
    <x v="2"/>
    <x v="1"/>
    <x v="0"/>
    <x v="5"/>
    <x v="4"/>
    <x v="1"/>
    <x v="4"/>
    <x v="1"/>
    <x v="3"/>
    <n v="5"/>
    <x v="0"/>
  </r>
  <r>
    <d v="2021-01-05T00:00:00"/>
    <x v="3"/>
    <x v="3"/>
    <x v="0"/>
    <n v="1546598501.46"/>
    <x v="3"/>
    <x v="3"/>
    <x v="0"/>
    <x v="6"/>
    <x v="4"/>
    <x v="1"/>
    <x v="4"/>
    <x v="1"/>
    <x v="3"/>
    <n v="5"/>
    <x v="0"/>
  </r>
  <r>
    <d v="2021-01-05T00:00:00"/>
    <x v="0"/>
    <x v="1"/>
    <x v="1"/>
    <n v="37540537.649999999"/>
    <x v="0"/>
    <x v="1"/>
    <x v="1"/>
    <x v="3"/>
    <x v="4"/>
    <x v="1"/>
    <x v="4"/>
    <x v="1"/>
    <x v="3"/>
    <n v="5"/>
    <x v="0"/>
  </r>
  <r>
    <d v="2021-01-05T00:00:00"/>
    <x v="1"/>
    <x v="0"/>
    <x v="0"/>
    <n v="76508154.010000005"/>
    <x v="1"/>
    <x v="0"/>
    <x v="0"/>
    <x v="7"/>
    <x v="4"/>
    <x v="1"/>
    <x v="4"/>
    <x v="1"/>
    <x v="3"/>
    <n v="5"/>
    <x v="0"/>
  </r>
  <r>
    <d v="2021-01-05T00:00:00"/>
    <x v="1"/>
    <x v="0"/>
    <x v="1"/>
    <n v="934781106.58000004"/>
    <x v="1"/>
    <x v="0"/>
    <x v="1"/>
    <x v="8"/>
    <x v="4"/>
    <x v="1"/>
    <x v="4"/>
    <x v="1"/>
    <x v="3"/>
    <n v="5"/>
    <x v="0"/>
  </r>
  <r>
    <d v="2021-01-05T00:00:00"/>
    <x v="3"/>
    <x v="2"/>
    <x v="2"/>
    <n v="902320.12"/>
    <x v="3"/>
    <x v="2"/>
    <x v="2"/>
    <x v="4"/>
    <x v="4"/>
    <x v="1"/>
    <x v="4"/>
    <x v="1"/>
    <x v="3"/>
    <n v="5"/>
    <x v="0"/>
  </r>
  <r>
    <d v="2021-01-05T00:00:00"/>
    <x v="0"/>
    <x v="0"/>
    <x v="0"/>
    <n v="1745"/>
    <x v="0"/>
    <x v="0"/>
    <x v="0"/>
    <x v="0"/>
    <x v="4"/>
    <x v="1"/>
    <x v="4"/>
    <x v="1"/>
    <x v="3"/>
    <n v="5"/>
    <x v="0"/>
  </r>
  <r>
    <d v="2021-01-05T00:00:00"/>
    <x v="2"/>
    <x v="1"/>
    <x v="1"/>
    <n v="91214415.370000005"/>
    <x v="2"/>
    <x v="1"/>
    <x v="1"/>
    <x v="9"/>
    <x v="4"/>
    <x v="1"/>
    <x v="4"/>
    <x v="1"/>
    <x v="3"/>
    <n v="5"/>
    <x v="0"/>
  </r>
  <r>
    <d v="2021-01-05T00:00:00"/>
    <x v="3"/>
    <x v="1"/>
    <x v="0"/>
    <n v="9874123.4800000004"/>
    <x v="3"/>
    <x v="1"/>
    <x v="0"/>
    <x v="10"/>
    <x v="4"/>
    <x v="1"/>
    <x v="4"/>
    <x v="1"/>
    <x v="3"/>
    <n v="5"/>
    <x v="0"/>
  </r>
  <r>
    <d v="2021-01-05T00:00:00"/>
    <x v="3"/>
    <x v="2"/>
    <x v="0"/>
    <n v="664520451.11000001"/>
    <x v="3"/>
    <x v="2"/>
    <x v="0"/>
    <x v="11"/>
    <x v="4"/>
    <x v="1"/>
    <x v="4"/>
    <x v="1"/>
    <x v="3"/>
    <n v="5"/>
    <x v="0"/>
  </r>
  <r>
    <d v="2021-01-05T00:00:00"/>
    <x v="3"/>
    <x v="2"/>
    <x v="1"/>
    <n v="6697493131.5600004"/>
    <x v="3"/>
    <x v="2"/>
    <x v="1"/>
    <x v="12"/>
    <x v="4"/>
    <x v="1"/>
    <x v="4"/>
    <x v="1"/>
    <x v="3"/>
    <n v="5"/>
    <x v="0"/>
  </r>
  <r>
    <d v="2021-01-04T00:00:00"/>
    <x v="2"/>
    <x v="1"/>
    <x v="0"/>
    <n v="90578882.239999995"/>
    <x v="2"/>
    <x v="1"/>
    <x v="0"/>
    <x v="4"/>
    <x v="4"/>
    <x v="1"/>
    <x v="4"/>
    <x v="1"/>
    <x v="3"/>
    <n v="4"/>
    <x v="0"/>
  </r>
  <r>
    <d v="2021-01-04T00:00:00"/>
    <x v="0"/>
    <x v="1"/>
    <x v="0"/>
    <n v="12318509.83"/>
    <x v="0"/>
    <x v="1"/>
    <x v="0"/>
    <x v="0"/>
    <x v="4"/>
    <x v="1"/>
    <x v="4"/>
    <x v="1"/>
    <x v="3"/>
    <n v="4"/>
    <x v="0"/>
  </r>
  <r>
    <d v="2021-01-04T00:00:00"/>
    <x v="2"/>
    <x v="1"/>
    <x v="2"/>
    <n v="225615.18"/>
    <x v="2"/>
    <x v="1"/>
    <x v="2"/>
    <x v="2"/>
    <x v="4"/>
    <x v="1"/>
    <x v="4"/>
    <x v="1"/>
    <x v="3"/>
    <n v="4"/>
    <x v="0"/>
  </r>
  <r>
    <d v="2021-01-04T00:00:00"/>
    <x v="1"/>
    <x v="0"/>
    <x v="0"/>
    <n v="54645563.960000001"/>
    <x v="1"/>
    <x v="0"/>
    <x v="0"/>
    <x v="6"/>
    <x v="4"/>
    <x v="1"/>
    <x v="4"/>
    <x v="1"/>
    <x v="3"/>
    <n v="4"/>
    <x v="0"/>
  </r>
  <r>
    <d v="2021-01-04T00:00:00"/>
    <x v="1"/>
    <x v="0"/>
    <x v="1"/>
    <n v="409215311.26999998"/>
    <x v="1"/>
    <x v="0"/>
    <x v="1"/>
    <x v="7"/>
    <x v="4"/>
    <x v="1"/>
    <x v="4"/>
    <x v="1"/>
    <x v="3"/>
    <n v="4"/>
    <x v="0"/>
  </r>
  <r>
    <d v="2021-01-04T00:00:00"/>
    <x v="0"/>
    <x v="1"/>
    <x v="1"/>
    <n v="19848432.68"/>
    <x v="0"/>
    <x v="1"/>
    <x v="1"/>
    <x v="1"/>
    <x v="4"/>
    <x v="1"/>
    <x v="4"/>
    <x v="1"/>
    <x v="3"/>
    <n v="4"/>
    <x v="0"/>
  </r>
  <r>
    <d v="2021-01-04T00:00:00"/>
    <x v="3"/>
    <x v="2"/>
    <x v="2"/>
    <n v="1499358"/>
    <x v="3"/>
    <x v="2"/>
    <x v="2"/>
    <x v="3"/>
    <x v="4"/>
    <x v="1"/>
    <x v="4"/>
    <x v="1"/>
    <x v="3"/>
    <n v="4"/>
    <x v="0"/>
  </r>
  <r>
    <d v="2021-01-04T00:00:00"/>
    <x v="3"/>
    <x v="3"/>
    <x v="0"/>
    <n v="3000432800.1100001"/>
    <x v="3"/>
    <x v="3"/>
    <x v="0"/>
    <x v="5"/>
    <x v="4"/>
    <x v="1"/>
    <x v="4"/>
    <x v="1"/>
    <x v="3"/>
    <n v="4"/>
    <x v="0"/>
  </r>
  <r>
    <d v="2021-01-04T00:00:00"/>
    <x v="2"/>
    <x v="1"/>
    <x v="1"/>
    <n v="351641714.04000002"/>
    <x v="2"/>
    <x v="1"/>
    <x v="1"/>
    <x v="8"/>
    <x v="4"/>
    <x v="1"/>
    <x v="4"/>
    <x v="1"/>
    <x v="3"/>
    <n v="4"/>
    <x v="0"/>
  </r>
  <r>
    <d v="2021-01-04T00:00:00"/>
    <x v="3"/>
    <x v="2"/>
    <x v="0"/>
    <n v="765711944.00999999"/>
    <x v="3"/>
    <x v="2"/>
    <x v="0"/>
    <x v="9"/>
    <x v="4"/>
    <x v="1"/>
    <x v="4"/>
    <x v="1"/>
    <x v="3"/>
    <n v="4"/>
    <x v="0"/>
  </r>
  <r>
    <d v="2021-01-04T00:00:00"/>
    <x v="3"/>
    <x v="2"/>
    <x v="1"/>
    <n v="46099961803.489998"/>
    <x v="3"/>
    <x v="2"/>
    <x v="1"/>
    <x v="10"/>
    <x v="4"/>
    <x v="1"/>
    <x v="4"/>
    <x v="1"/>
    <x v="3"/>
    <n v="4"/>
    <x v="0"/>
  </r>
  <r>
    <d v="2021-01-04T00:00:00"/>
    <x v="3"/>
    <x v="1"/>
    <x v="0"/>
    <n v="46317137.93"/>
    <x v="3"/>
    <x v="1"/>
    <x v="0"/>
    <x v="11"/>
    <x v="4"/>
    <x v="1"/>
    <x v="4"/>
    <x v="1"/>
    <x v="3"/>
    <n v="4"/>
    <x v="0"/>
  </r>
  <r>
    <d v="2020-12-31T00:00:00"/>
    <x v="2"/>
    <x v="1"/>
    <x v="0"/>
    <n v="87085707.480000004"/>
    <x v="2"/>
    <x v="1"/>
    <x v="0"/>
    <x v="5"/>
    <x v="4"/>
    <x v="2"/>
    <x v="5"/>
    <x v="2"/>
    <x v="4"/>
    <n v="31"/>
    <x v="0"/>
  </r>
  <r>
    <d v="2020-12-31T00:00:00"/>
    <x v="0"/>
    <x v="1"/>
    <x v="0"/>
    <n v="10964567.48"/>
    <x v="0"/>
    <x v="1"/>
    <x v="0"/>
    <x v="1"/>
    <x v="4"/>
    <x v="2"/>
    <x v="5"/>
    <x v="2"/>
    <x v="4"/>
    <n v="31"/>
    <x v="0"/>
  </r>
  <r>
    <d v="2020-12-31T00:00:00"/>
    <x v="2"/>
    <x v="1"/>
    <x v="2"/>
    <n v="275815"/>
    <x v="2"/>
    <x v="1"/>
    <x v="2"/>
    <x v="2"/>
    <x v="4"/>
    <x v="2"/>
    <x v="5"/>
    <x v="2"/>
    <x v="4"/>
    <n v="31"/>
    <x v="0"/>
  </r>
  <r>
    <d v="2020-12-31T00:00:00"/>
    <x v="3"/>
    <x v="3"/>
    <x v="0"/>
    <n v="3684914396.5500002"/>
    <x v="3"/>
    <x v="3"/>
    <x v="0"/>
    <x v="6"/>
    <x v="4"/>
    <x v="2"/>
    <x v="5"/>
    <x v="2"/>
    <x v="4"/>
    <n v="31"/>
    <x v="0"/>
  </r>
  <r>
    <d v="2020-12-31T00:00:00"/>
    <x v="0"/>
    <x v="1"/>
    <x v="1"/>
    <n v="13599305.77"/>
    <x v="0"/>
    <x v="1"/>
    <x v="1"/>
    <x v="3"/>
    <x v="4"/>
    <x v="2"/>
    <x v="5"/>
    <x v="2"/>
    <x v="4"/>
    <n v="31"/>
    <x v="0"/>
  </r>
  <r>
    <d v="2020-12-31T00:00:00"/>
    <x v="3"/>
    <x v="2"/>
    <x v="2"/>
    <n v="769131.66"/>
    <x v="3"/>
    <x v="2"/>
    <x v="2"/>
    <x v="4"/>
    <x v="4"/>
    <x v="2"/>
    <x v="5"/>
    <x v="2"/>
    <x v="4"/>
    <n v="31"/>
    <x v="0"/>
  </r>
  <r>
    <d v="2020-12-31T00:00:00"/>
    <x v="0"/>
    <x v="0"/>
    <x v="0"/>
    <n v="60"/>
    <x v="0"/>
    <x v="0"/>
    <x v="0"/>
    <x v="0"/>
    <x v="4"/>
    <x v="2"/>
    <x v="5"/>
    <x v="2"/>
    <x v="4"/>
    <n v="31"/>
    <x v="0"/>
  </r>
  <r>
    <d v="2020-12-31T00:00:00"/>
    <x v="1"/>
    <x v="0"/>
    <x v="0"/>
    <n v="86596777.709999993"/>
    <x v="1"/>
    <x v="0"/>
    <x v="0"/>
    <x v="7"/>
    <x v="4"/>
    <x v="2"/>
    <x v="5"/>
    <x v="2"/>
    <x v="4"/>
    <n v="31"/>
    <x v="0"/>
  </r>
  <r>
    <d v="2020-12-31T00:00:00"/>
    <x v="1"/>
    <x v="0"/>
    <x v="1"/>
    <n v="713416349.29999995"/>
    <x v="1"/>
    <x v="0"/>
    <x v="1"/>
    <x v="8"/>
    <x v="4"/>
    <x v="2"/>
    <x v="5"/>
    <x v="2"/>
    <x v="4"/>
    <n v="31"/>
    <x v="0"/>
  </r>
  <r>
    <d v="2020-12-31T00:00:00"/>
    <x v="2"/>
    <x v="1"/>
    <x v="1"/>
    <n v="20370931.039999999"/>
    <x v="2"/>
    <x v="1"/>
    <x v="1"/>
    <x v="9"/>
    <x v="4"/>
    <x v="2"/>
    <x v="5"/>
    <x v="2"/>
    <x v="4"/>
    <n v="31"/>
    <x v="0"/>
  </r>
  <r>
    <d v="2020-12-31T00:00:00"/>
    <x v="3"/>
    <x v="1"/>
    <x v="0"/>
    <n v="16245106.73"/>
    <x v="3"/>
    <x v="1"/>
    <x v="0"/>
    <x v="10"/>
    <x v="4"/>
    <x v="2"/>
    <x v="5"/>
    <x v="2"/>
    <x v="4"/>
    <n v="31"/>
    <x v="0"/>
  </r>
  <r>
    <d v="2020-12-31T00:00:00"/>
    <x v="3"/>
    <x v="2"/>
    <x v="0"/>
    <n v="766305005.17999995"/>
    <x v="3"/>
    <x v="2"/>
    <x v="0"/>
    <x v="11"/>
    <x v="4"/>
    <x v="2"/>
    <x v="5"/>
    <x v="2"/>
    <x v="4"/>
    <n v="31"/>
    <x v="0"/>
  </r>
  <r>
    <d v="2020-12-31T00:00:00"/>
    <x v="3"/>
    <x v="2"/>
    <x v="1"/>
    <n v="15247168038.68"/>
    <x v="3"/>
    <x v="2"/>
    <x v="1"/>
    <x v="12"/>
    <x v="4"/>
    <x v="2"/>
    <x v="5"/>
    <x v="2"/>
    <x v="4"/>
    <n v="31"/>
    <x v="0"/>
  </r>
  <r>
    <d v="2020-12-30T00:00:00"/>
    <x v="3"/>
    <x v="3"/>
    <x v="0"/>
    <n v="2645715425.1300001"/>
    <x v="3"/>
    <x v="3"/>
    <x v="0"/>
    <x v="6"/>
    <x v="4"/>
    <x v="2"/>
    <x v="5"/>
    <x v="2"/>
    <x v="4"/>
    <n v="30"/>
    <x v="0"/>
  </r>
  <r>
    <d v="2020-12-30T00:00:00"/>
    <x v="0"/>
    <x v="1"/>
    <x v="0"/>
    <n v="17727169.210000001"/>
    <x v="0"/>
    <x v="1"/>
    <x v="0"/>
    <x v="1"/>
    <x v="4"/>
    <x v="2"/>
    <x v="5"/>
    <x v="2"/>
    <x v="4"/>
    <n v="30"/>
    <x v="0"/>
  </r>
  <r>
    <d v="2020-12-30T00:00:00"/>
    <x v="2"/>
    <x v="1"/>
    <x v="2"/>
    <n v="132164.79999999999"/>
    <x v="2"/>
    <x v="1"/>
    <x v="2"/>
    <x v="3"/>
    <x v="4"/>
    <x v="2"/>
    <x v="5"/>
    <x v="2"/>
    <x v="4"/>
    <n v="30"/>
    <x v="0"/>
  </r>
  <r>
    <d v="2020-12-30T00:00:00"/>
    <x v="3"/>
    <x v="2"/>
    <x v="2"/>
    <n v="799673.99"/>
    <x v="3"/>
    <x v="2"/>
    <x v="2"/>
    <x v="4"/>
    <x v="4"/>
    <x v="2"/>
    <x v="5"/>
    <x v="2"/>
    <x v="4"/>
    <n v="30"/>
    <x v="0"/>
  </r>
  <r>
    <d v="2020-12-30T00:00:00"/>
    <x v="0"/>
    <x v="1"/>
    <x v="1"/>
    <n v="10219383.5"/>
    <x v="0"/>
    <x v="1"/>
    <x v="1"/>
    <x v="2"/>
    <x v="4"/>
    <x v="2"/>
    <x v="5"/>
    <x v="2"/>
    <x v="4"/>
    <n v="30"/>
    <x v="0"/>
  </r>
  <r>
    <d v="2020-12-30T00:00:00"/>
    <x v="2"/>
    <x v="1"/>
    <x v="0"/>
    <n v="99077658.959999993"/>
    <x v="2"/>
    <x v="1"/>
    <x v="0"/>
    <x v="5"/>
    <x v="4"/>
    <x v="2"/>
    <x v="5"/>
    <x v="2"/>
    <x v="4"/>
    <n v="30"/>
    <x v="0"/>
  </r>
  <r>
    <d v="2020-12-30T00:00:00"/>
    <x v="0"/>
    <x v="0"/>
    <x v="0"/>
    <n v="392.36"/>
    <x v="0"/>
    <x v="0"/>
    <x v="0"/>
    <x v="0"/>
    <x v="4"/>
    <x v="2"/>
    <x v="5"/>
    <x v="2"/>
    <x v="4"/>
    <n v="30"/>
    <x v="0"/>
  </r>
  <r>
    <d v="2020-12-30T00:00:00"/>
    <x v="1"/>
    <x v="0"/>
    <x v="0"/>
    <n v="94915620.420000002"/>
    <x v="1"/>
    <x v="0"/>
    <x v="0"/>
    <x v="7"/>
    <x v="4"/>
    <x v="2"/>
    <x v="5"/>
    <x v="2"/>
    <x v="4"/>
    <n v="30"/>
    <x v="0"/>
  </r>
  <r>
    <d v="2020-12-30T00:00:00"/>
    <x v="1"/>
    <x v="0"/>
    <x v="1"/>
    <n v="1394170978.9400001"/>
    <x v="1"/>
    <x v="0"/>
    <x v="1"/>
    <x v="8"/>
    <x v="4"/>
    <x v="2"/>
    <x v="5"/>
    <x v="2"/>
    <x v="4"/>
    <n v="30"/>
    <x v="0"/>
  </r>
  <r>
    <d v="2020-12-30T00:00:00"/>
    <x v="2"/>
    <x v="1"/>
    <x v="1"/>
    <n v="292885598.44999999"/>
    <x v="2"/>
    <x v="1"/>
    <x v="1"/>
    <x v="9"/>
    <x v="4"/>
    <x v="2"/>
    <x v="5"/>
    <x v="2"/>
    <x v="4"/>
    <n v="30"/>
    <x v="0"/>
  </r>
  <r>
    <d v="2020-12-30T00:00:00"/>
    <x v="3"/>
    <x v="2"/>
    <x v="0"/>
    <n v="541807419.30999994"/>
    <x v="3"/>
    <x v="2"/>
    <x v="0"/>
    <x v="10"/>
    <x v="4"/>
    <x v="2"/>
    <x v="5"/>
    <x v="2"/>
    <x v="4"/>
    <n v="30"/>
    <x v="0"/>
  </r>
  <r>
    <d v="2020-12-30T00:00:00"/>
    <x v="3"/>
    <x v="1"/>
    <x v="0"/>
    <n v="12870813.560000001"/>
    <x v="3"/>
    <x v="1"/>
    <x v="0"/>
    <x v="11"/>
    <x v="4"/>
    <x v="2"/>
    <x v="5"/>
    <x v="2"/>
    <x v="4"/>
    <n v="30"/>
    <x v="0"/>
  </r>
  <r>
    <d v="2020-12-30T00:00:00"/>
    <x v="3"/>
    <x v="2"/>
    <x v="1"/>
    <n v="14584580517.629999"/>
    <x v="3"/>
    <x v="2"/>
    <x v="1"/>
    <x v="12"/>
    <x v="4"/>
    <x v="2"/>
    <x v="5"/>
    <x v="2"/>
    <x v="4"/>
    <n v="30"/>
    <x v="0"/>
  </r>
  <r>
    <d v="2020-12-29T00:00:00"/>
    <x v="2"/>
    <x v="1"/>
    <x v="0"/>
    <n v="92726943.980000004"/>
    <x v="2"/>
    <x v="1"/>
    <x v="0"/>
    <x v="7"/>
    <x v="4"/>
    <x v="2"/>
    <x v="5"/>
    <x v="2"/>
    <x v="4"/>
    <n v="29"/>
    <x v="0"/>
  </r>
  <r>
    <d v="2020-12-29T00:00:00"/>
    <x v="3"/>
    <x v="3"/>
    <x v="0"/>
    <n v="2661557221.5900002"/>
    <x v="3"/>
    <x v="3"/>
    <x v="0"/>
    <x v="8"/>
    <x v="4"/>
    <x v="2"/>
    <x v="5"/>
    <x v="2"/>
    <x v="4"/>
    <n v="29"/>
    <x v="0"/>
  </r>
  <r>
    <d v="2020-12-29T00:00:00"/>
    <x v="0"/>
    <x v="1"/>
    <x v="0"/>
    <n v="10795442.5"/>
    <x v="0"/>
    <x v="1"/>
    <x v="0"/>
    <x v="1"/>
    <x v="4"/>
    <x v="2"/>
    <x v="5"/>
    <x v="2"/>
    <x v="4"/>
    <n v="29"/>
    <x v="0"/>
  </r>
  <r>
    <d v="2020-12-29T00:00:00"/>
    <x v="2"/>
    <x v="1"/>
    <x v="2"/>
    <n v="2002157.16"/>
    <x v="2"/>
    <x v="1"/>
    <x v="2"/>
    <x v="5"/>
    <x v="4"/>
    <x v="2"/>
    <x v="5"/>
    <x v="2"/>
    <x v="4"/>
    <n v="29"/>
    <x v="0"/>
  </r>
  <r>
    <d v="2020-12-29T00:00:00"/>
    <x v="3"/>
    <x v="3"/>
    <x v="1"/>
    <n v="313294.69"/>
    <x v="3"/>
    <x v="3"/>
    <x v="1"/>
    <x v="3"/>
    <x v="4"/>
    <x v="2"/>
    <x v="5"/>
    <x v="2"/>
    <x v="4"/>
    <n v="29"/>
    <x v="0"/>
  </r>
  <r>
    <d v="2020-12-29T00:00:00"/>
    <x v="1"/>
    <x v="0"/>
    <x v="1"/>
    <n v="397939994.06999999"/>
    <x v="1"/>
    <x v="0"/>
    <x v="1"/>
    <x v="10"/>
    <x v="4"/>
    <x v="2"/>
    <x v="5"/>
    <x v="2"/>
    <x v="4"/>
    <n v="29"/>
    <x v="0"/>
  </r>
  <r>
    <d v="2020-12-29T00:00:00"/>
    <x v="3"/>
    <x v="2"/>
    <x v="2"/>
    <n v="579810.86"/>
    <x v="3"/>
    <x v="2"/>
    <x v="2"/>
    <x v="6"/>
    <x v="4"/>
    <x v="2"/>
    <x v="5"/>
    <x v="2"/>
    <x v="4"/>
    <n v="29"/>
    <x v="0"/>
  </r>
  <r>
    <d v="2020-12-29T00:00:00"/>
    <x v="0"/>
    <x v="1"/>
    <x v="2"/>
    <n v="77.44"/>
    <x v="0"/>
    <x v="1"/>
    <x v="2"/>
    <x v="2"/>
    <x v="4"/>
    <x v="2"/>
    <x v="5"/>
    <x v="2"/>
    <x v="4"/>
    <n v="29"/>
    <x v="0"/>
  </r>
  <r>
    <d v="2020-12-29T00:00:00"/>
    <x v="0"/>
    <x v="0"/>
    <x v="0"/>
    <n v="687.48"/>
    <x v="0"/>
    <x v="0"/>
    <x v="0"/>
    <x v="0"/>
    <x v="4"/>
    <x v="2"/>
    <x v="5"/>
    <x v="2"/>
    <x v="4"/>
    <n v="29"/>
    <x v="0"/>
  </r>
  <r>
    <d v="2020-12-29T00:00:00"/>
    <x v="1"/>
    <x v="0"/>
    <x v="0"/>
    <n v="57023217.229999997"/>
    <x v="1"/>
    <x v="0"/>
    <x v="0"/>
    <x v="9"/>
    <x v="4"/>
    <x v="2"/>
    <x v="5"/>
    <x v="2"/>
    <x v="4"/>
    <n v="29"/>
    <x v="0"/>
  </r>
  <r>
    <d v="2020-12-29T00:00:00"/>
    <x v="0"/>
    <x v="1"/>
    <x v="1"/>
    <n v="18020353.050000001"/>
    <x v="0"/>
    <x v="1"/>
    <x v="1"/>
    <x v="4"/>
    <x v="4"/>
    <x v="2"/>
    <x v="5"/>
    <x v="2"/>
    <x v="4"/>
    <n v="29"/>
    <x v="0"/>
  </r>
  <r>
    <d v="2020-12-29T00:00:00"/>
    <x v="2"/>
    <x v="1"/>
    <x v="1"/>
    <n v="294636405.64999998"/>
    <x v="2"/>
    <x v="1"/>
    <x v="1"/>
    <x v="11"/>
    <x v="4"/>
    <x v="2"/>
    <x v="5"/>
    <x v="2"/>
    <x v="4"/>
    <n v="29"/>
    <x v="0"/>
  </r>
  <r>
    <d v="2020-12-29T00:00:00"/>
    <x v="3"/>
    <x v="2"/>
    <x v="0"/>
    <n v="719701796.70000005"/>
    <x v="3"/>
    <x v="2"/>
    <x v="0"/>
    <x v="12"/>
    <x v="4"/>
    <x v="2"/>
    <x v="5"/>
    <x v="2"/>
    <x v="4"/>
    <n v="29"/>
    <x v="0"/>
  </r>
  <r>
    <d v="2020-12-29T00:00:00"/>
    <x v="3"/>
    <x v="1"/>
    <x v="0"/>
    <n v="8617342.8200000003"/>
    <x v="3"/>
    <x v="1"/>
    <x v="0"/>
    <x v="13"/>
    <x v="4"/>
    <x v="2"/>
    <x v="5"/>
    <x v="2"/>
    <x v="4"/>
    <n v="29"/>
    <x v="0"/>
  </r>
  <r>
    <d v="2020-12-29T00:00:00"/>
    <x v="3"/>
    <x v="2"/>
    <x v="1"/>
    <n v="6526680951.9300003"/>
    <x v="3"/>
    <x v="2"/>
    <x v="1"/>
    <x v="14"/>
    <x v="4"/>
    <x v="2"/>
    <x v="5"/>
    <x v="2"/>
    <x v="4"/>
    <n v="29"/>
    <x v="0"/>
  </r>
  <r>
    <d v="2020-12-28T00:00:00"/>
    <x v="0"/>
    <x v="1"/>
    <x v="0"/>
    <n v="13290518.42"/>
    <x v="0"/>
    <x v="1"/>
    <x v="0"/>
    <x v="0"/>
    <x v="4"/>
    <x v="2"/>
    <x v="5"/>
    <x v="2"/>
    <x v="4"/>
    <n v="28"/>
    <x v="0"/>
  </r>
  <r>
    <d v="2020-12-28T00:00:00"/>
    <x v="2"/>
    <x v="1"/>
    <x v="0"/>
    <n v="1821286.97"/>
    <x v="2"/>
    <x v="1"/>
    <x v="0"/>
    <x v="4"/>
    <x v="4"/>
    <x v="2"/>
    <x v="5"/>
    <x v="2"/>
    <x v="4"/>
    <n v="28"/>
    <x v="0"/>
  </r>
  <r>
    <d v="2020-12-28T00:00:00"/>
    <x v="3"/>
    <x v="3"/>
    <x v="0"/>
    <n v="1665383347.54"/>
    <x v="3"/>
    <x v="3"/>
    <x v="0"/>
    <x v="5"/>
    <x v="4"/>
    <x v="2"/>
    <x v="5"/>
    <x v="2"/>
    <x v="4"/>
    <n v="28"/>
    <x v="0"/>
  </r>
  <r>
    <d v="2020-12-28T00:00:00"/>
    <x v="2"/>
    <x v="1"/>
    <x v="2"/>
    <n v="-270"/>
    <x v="2"/>
    <x v="1"/>
    <x v="2"/>
    <x v="2"/>
    <x v="4"/>
    <x v="2"/>
    <x v="5"/>
    <x v="2"/>
    <x v="4"/>
    <n v="28"/>
    <x v="1"/>
  </r>
  <r>
    <d v="2020-12-28T00:00:00"/>
    <x v="0"/>
    <x v="1"/>
    <x v="1"/>
    <n v="-6794.58"/>
    <x v="0"/>
    <x v="1"/>
    <x v="1"/>
    <x v="1"/>
    <x v="4"/>
    <x v="2"/>
    <x v="5"/>
    <x v="2"/>
    <x v="4"/>
    <n v="28"/>
    <x v="1"/>
  </r>
  <r>
    <d v="2020-12-28T00:00:00"/>
    <x v="1"/>
    <x v="0"/>
    <x v="0"/>
    <n v="78215065.75"/>
    <x v="1"/>
    <x v="0"/>
    <x v="0"/>
    <x v="6"/>
    <x v="4"/>
    <x v="2"/>
    <x v="5"/>
    <x v="2"/>
    <x v="4"/>
    <n v="28"/>
    <x v="0"/>
  </r>
  <r>
    <d v="2020-12-28T00:00:00"/>
    <x v="3"/>
    <x v="2"/>
    <x v="2"/>
    <n v="318192"/>
    <x v="3"/>
    <x v="2"/>
    <x v="2"/>
    <x v="3"/>
    <x v="4"/>
    <x v="2"/>
    <x v="5"/>
    <x v="2"/>
    <x v="4"/>
    <n v="28"/>
    <x v="0"/>
  </r>
  <r>
    <d v="2020-12-28T00:00:00"/>
    <x v="1"/>
    <x v="0"/>
    <x v="1"/>
    <n v="392764318.97000003"/>
    <x v="1"/>
    <x v="0"/>
    <x v="1"/>
    <x v="7"/>
    <x v="4"/>
    <x v="2"/>
    <x v="5"/>
    <x v="2"/>
    <x v="4"/>
    <n v="28"/>
    <x v="0"/>
  </r>
  <r>
    <d v="2020-12-28T00:00:00"/>
    <x v="2"/>
    <x v="1"/>
    <x v="1"/>
    <n v="-4578273.72"/>
    <x v="2"/>
    <x v="1"/>
    <x v="1"/>
    <x v="8"/>
    <x v="4"/>
    <x v="2"/>
    <x v="5"/>
    <x v="2"/>
    <x v="4"/>
    <n v="28"/>
    <x v="1"/>
  </r>
  <r>
    <d v="2020-12-28T00:00:00"/>
    <x v="3"/>
    <x v="2"/>
    <x v="0"/>
    <n v="301023595.74000001"/>
    <x v="3"/>
    <x v="2"/>
    <x v="0"/>
    <x v="9"/>
    <x v="4"/>
    <x v="2"/>
    <x v="5"/>
    <x v="2"/>
    <x v="4"/>
    <n v="28"/>
    <x v="0"/>
  </r>
  <r>
    <d v="2020-12-28T00:00:00"/>
    <x v="3"/>
    <x v="1"/>
    <x v="0"/>
    <n v="28945913.489999998"/>
    <x v="3"/>
    <x v="1"/>
    <x v="0"/>
    <x v="10"/>
    <x v="4"/>
    <x v="2"/>
    <x v="5"/>
    <x v="2"/>
    <x v="4"/>
    <n v="28"/>
    <x v="0"/>
  </r>
  <r>
    <d v="2020-12-28T00:00:00"/>
    <x v="3"/>
    <x v="2"/>
    <x v="1"/>
    <n v="24016720394.490002"/>
    <x v="3"/>
    <x v="2"/>
    <x v="1"/>
    <x v="11"/>
    <x v="4"/>
    <x v="2"/>
    <x v="5"/>
    <x v="2"/>
    <x v="4"/>
    <n v="28"/>
    <x v="0"/>
  </r>
  <r>
    <d v="2020-12-24T00:00:00"/>
    <x v="3"/>
    <x v="2"/>
    <x v="2"/>
    <n v="3587293.08"/>
    <x v="3"/>
    <x v="2"/>
    <x v="2"/>
    <x v="4"/>
    <x v="4"/>
    <x v="2"/>
    <x v="5"/>
    <x v="2"/>
    <x v="4"/>
    <n v="24"/>
    <x v="0"/>
  </r>
  <r>
    <d v="2020-12-24T00:00:00"/>
    <x v="2"/>
    <x v="1"/>
    <x v="0"/>
    <n v="97499220.650000006"/>
    <x v="2"/>
    <x v="1"/>
    <x v="0"/>
    <x v="5"/>
    <x v="4"/>
    <x v="2"/>
    <x v="5"/>
    <x v="2"/>
    <x v="4"/>
    <n v="24"/>
    <x v="0"/>
  </r>
  <r>
    <d v="2020-12-24T00:00:00"/>
    <x v="0"/>
    <x v="1"/>
    <x v="0"/>
    <n v="13135433.880000001"/>
    <x v="0"/>
    <x v="1"/>
    <x v="0"/>
    <x v="0"/>
    <x v="4"/>
    <x v="2"/>
    <x v="5"/>
    <x v="2"/>
    <x v="4"/>
    <n v="24"/>
    <x v="0"/>
  </r>
  <r>
    <d v="2020-12-24T00:00:00"/>
    <x v="1"/>
    <x v="0"/>
    <x v="0"/>
    <n v="66297970.619999997"/>
    <x v="1"/>
    <x v="0"/>
    <x v="0"/>
    <x v="6"/>
    <x v="4"/>
    <x v="2"/>
    <x v="5"/>
    <x v="2"/>
    <x v="4"/>
    <n v="24"/>
    <x v="0"/>
  </r>
  <r>
    <d v="2020-12-24T00:00:00"/>
    <x v="1"/>
    <x v="0"/>
    <x v="1"/>
    <n v="509415266.42000002"/>
    <x v="1"/>
    <x v="0"/>
    <x v="1"/>
    <x v="8"/>
    <x v="4"/>
    <x v="2"/>
    <x v="5"/>
    <x v="2"/>
    <x v="4"/>
    <n v="24"/>
    <x v="0"/>
  </r>
  <r>
    <d v="2020-12-24T00:00:00"/>
    <x v="0"/>
    <x v="1"/>
    <x v="1"/>
    <n v="5246987.76"/>
    <x v="0"/>
    <x v="1"/>
    <x v="1"/>
    <x v="3"/>
    <x v="4"/>
    <x v="2"/>
    <x v="5"/>
    <x v="2"/>
    <x v="4"/>
    <n v="24"/>
    <x v="0"/>
  </r>
  <r>
    <d v="2020-12-24T00:00:00"/>
    <x v="2"/>
    <x v="1"/>
    <x v="2"/>
    <n v="279667.59999999998"/>
    <x v="2"/>
    <x v="1"/>
    <x v="2"/>
    <x v="1"/>
    <x v="4"/>
    <x v="2"/>
    <x v="5"/>
    <x v="2"/>
    <x v="4"/>
    <n v="24"/>
    <x v="0"/>
  </r>
  <r>
    <d v="2020-12-24T00:00:00"/>
    <x v="3"/>
    <x v="3"/>
    <x v="1"/>
    <n v="-7251.69"/>
    <x v="3"/>
    <x v="3"/>
    <x v="1"/>
    <x v="2"/>
    <x v="4"/>
    <x v="2"/>
    <x v="5"/>
    <x v="2"/>
    <x v="4"/>
    <n v="24"/>
    <x v="1"/>
  </r>
  <r>
    <d v="2020-12-24T00:00:00"/>
    <x v="3"/>
    <x v="3"/>
    <x v="0"/>
    <n v="979721308.87"/>
    <x v="3"/>
    <x v="3"/>
    <x v="0"/>
    <x v="7"/>
    <x v="4"/>
    <x v="2"/>
    <x v="5"/>
    <x v="2"/>
    <x v="4"/>
    <n v="24"/>
    <x v="0"/>
  </r>
  <r>
    <d v="2020-12-24T00:00:00"/>
    <x v="2"/>
    <x v="1"/>
    <x v="1"/>
    <n v="134849909.37"/>
    <x v="2"/>
    <x v="1"/>
    <x v="1"/>
    <x v="9"/>
    <x v="4"/>
    <x v="2"/>
    <x v="5"/>
    <x v="2"/>
    <x v="4"/>
    <n v="24"/>
    <x v="0"/>
  </r>
  <r>
    <d v="2020-12-24T00:00:00"/>
    <x v="3"/>
    <x v="1"/>
    <x v="0"/>
    <n v="17357406.260000002"/>
    <x v="3"/>
    <x v="1"/>
    <x v="0"/>
    <x v="10"/>
    <x v="4"/>
    <x v="2"/>
    <x v="5"/>
    <x v="2"/>
    <x v="4"/>
    <n v="24"/>
    <x v="0"/>
  </r>
  <r>
    <d v="2020-12-24T00:00:00"/>
    <x v="3"/>
    <x v="2"/>
    <x v="0"/>
    <n v="382122146.87"/>
    <x v="3"/>
    <x v="2"/>
    <x v="0"/>
    <x v="11"/>
    <x v="4"/>
    <x v="2"/>
    <x v="5"/>
    <x v="2"/>
    <x v="4"/>
    <n v="24"/>
    <x v="0"/>
  </r>
  <r>
    <d v="2020-12-24T00:00:00"/>
    <x v="3"/>
    <x v="2"/>
    <x v="1"/>
    <n v="11747147684.27"/>
    <x v="3"/>
    <x v="2"/>
    <x v="1"/>
    <x v="12"/>
    <x v="4"/>
    <x v="2"/>
    <x v="5"/>
    <x v="2"/>
    <x v="4"/>
    <n v="24"/>
    <x v="0"/>
  </r>
  <r>
    <d v="2020-12-23T00:00:00"/>
    <x v="3"/>
    <x v="2"/>
    <x v="2"/>
    <n v="645741.27"/>
    <x v="3"/>
    <x v="2"/>
    <x v="2"/>
    <x v="5"/>
    <x v="4"/>
    <x v="2"/>
    <x v="5"/>
    <x v="2"/>
    <x v="4"/>
    <n v="23"/>
    <x v="0"/>
  </r>
  <r>
    <d v="2020-12-23T00:00:00"/>
    <x v="3"/>
    <x v="3"/>
    <x v="0"/>
    <n v="2347316241.6999998"/>
    <x v="3"/>
    <x v="3"/>
    <x v="0"/>
    <x v="7"/>
    <x v="4"/>
    <x v="2"/>
    <x v="5"/>
    <x v="2"/>
    <x v="4"/>
    <n v="23"/>
    <x v="0"/>
  </r>
  <r>
    <d v="2020-12-23T00:00:00"/>
    <x v="0"/>
    <x v="1"/>
    <x v="0"/>
    <n v="19052917.890000001"/>
    <x v="0"/>
    <x v="1"/>
    <x v="0"/>
    <x v="1"/>
    <x v="4"/>
    <x v="2"/>
    <x v="5"/>
    <x v="2"/>
    <x v="4"/>
    <n v="23"/>
    <x v="0"/>
  </r>
  <r>
    <d v="2020-12-23T00:00:00"/>
    <x v="2"/>
    <x v="1"/>
    <x v="2"/>
    <n v="24905"/>
    <x v="2"/>
    <x v="1"/>
    <x v="2"/>
    <x v="4"/>
    <x v="4"/>
    <x v="2"/>
    <x v="5"/>
    <x v="2"/>
    <x v="4"/>
    <n v="23"/>
    <x v="0"/>
  </r>
  <r>
    <d v="2020-12-23T00:00:00"/>
    <x v="1"/>
    <x v="0"/>
    <x v="0"/>
    <n v="81991689.469999999"/>
    <x v="1"/>
    <x v="0"/>
    <x v="0"/>
    <x v="8"/>
    <x v="4"/>
    <x v="2"/>
    <x v="5"/>
    <x v="2"/>
    <x v="4"/>
    <n v="23"/>
    <x v="0"/>
  </r>
  <r>
    <d v="2020-12-23T00:00:00"/>
    <x v="1"/>
    <x v="0"/>
    <x v="1"/>
    <n v="899878113.75"/>
    <x v="1"/>
    <x v="0"/>
    <x v="1"/>
    <x v="9"/>
    <x v="4"/>
    <x v="2"/>
    <x v="5"/>
    <x v="2"/>
    <x v="4"/>
    <n v="23"/>
    <x v="0"/>
  </r>
  <r>
    <d v="2020-12-23T00:00:00"/>
    <x v="0"/>
    <x v="1"/>
    <x v="1"/>
    <n v="10767902.27"/>
    <x v="0"/>
    <x v="1"/>
    <x v="1"/>
    <x v="3"/>
    <x v="4"/>
    <x v="2"/>
    <x v="5"/>
    <x v="2"/>
    <x v="4"/>
    <n v="23"/>
    <x v="0"/>
  </r>
  <r>
    <d v="2020-12-23T00:00:00"/>
    <x v="0"/>
    <x v="0"/>
    <x v="0"/>
    <n v="50"/>
    <x v="0"/>
    <x v="0"/>
    <x v="0"/>
    <x v="0"/>
    <x v="4"/>
    <x v="2"/>
    <x v="5"/>
    <x v="2"/>
    <x v="4"/>
    <n v="23"/>
    <x v="0"/>
  </r>
  <r>
    <d v="2020-12-23T00:00:00"/>
    <x v="3"/>
    <x v="3"/>
    <x v="1"/>
    <n v="5665.11"/>
    <x v="3"/>
    <x v="3"/>
    <x v="1"/>
    <x v="2"/>
    <x v="4"/>
    <x v="2"/>
    <x v="5"/>
    <x v="2"/>
    <x v="4"/>
    <n v="23"/>
    <x v="0"/>
  </r>
  <r>
    <d v="2020-12-23T00:00:00"/>
    <x v="2"/>
    <x v="1"/>
    <x v="0"/>
    <n v="74955251.790000007"/>
    <x v="2"/>
    <x v="1"/>
    <x v="0"/>
    <x v="6"/>
    <x v="4"/>
    <x v="2"/>
    <x v="5"/>
    <x v="2"/>
    <x v="4"/>
    <n v="23"/>
    <x v="0"/>
  </r>
  <r>
    <d v="2020-12-23T00:00:00"/>
    <x v="2"/>
    <x v="1"/>
    <x v="1"/>
    <n v="224962171.37"/>
    <x v="2"/>
    <x v="1"/>
    <x v="1"/>
    <x v="10"/>
    <x v="4"/>
    <x v="2"/>
    <x v="5"/>
    <x v="2"/>
    <x v="4"/>
    <n v="23"/>
    <x v="0"/>
  </r>
  <r>
    <d v="2020-12-23T00:00:00"/>
    <x v="3"/>
    <x v="1"/>
    <x v="0"/>
    <n v="16571008.289999999"/>
    <x v="3"/>
    <x v="1"/>
    <x v="0"/>
    <x v="11"/>
    <x v="4"/>
    <x v="2"/>
    <x v="5"/>
    <x v="2"/>
    <x v="4"/>
    <n v="23"/>
    <x v="0"/>
  </r>
  <r>
    <d v="2020-12-23T00:00:00"/>
    <x v="3"/>
    <x v="2"/>
    <x v="0"/>
    <n v="439560083.10000002"/>
    <x v="3"/>
    <x v="2"/>
    <x v="0"/>
    <x v="12"/>
    <x v="4"/>
    <x v="2"/>
    <x v="5"/>
    <x v="2"/>
    <x v="4"/>
    <n v="23"/>
    <x v="0"/>
  </r>
  <r>
    <d v="2020-12-23T00:00:00"/>
    <x v="3"/>
    <x v="2"/>
    <x v="1"/>
    <n v="14077627631.93"/>
    <x v="3"/>
    <x v="2"/>
    <x v="1"/>
    <x v="13"/>
    <x v="4"/>
    <x v="2"/>
    <x v="5"/>
    <x v="2"/>
    <x v="4"/>
    <n v="23"/>
    <x v="0"/>
  </r>
  <r>
    <d v="2020-12-22T00:00:00"/>
    <x v="2"/>
    <x v="1"/>
    <x v="0"/>
    <n v="75086402.930000007"/>
    <x v="2"/>
    <x v="1"/>
    <x v="0"/>
    <x v="5"/>
    <x v="4"/>
    <x v="2"/>
    <x v="5"/>
    <x v="2"/>
    <x v="4"/>
    <n v="22"/>
    <x v="0"/>
  </r>
  <r>
    <d v="2020-12-22T00:00:00"/>
    <x v="2"/>
    <x v="1"/>
    <x v="2"/>
    <n v="67905"/>
    <x v="2"/>
    <x v="1"/>
    <x v="2"/>
    <x v="3"/>
    <x v="4"/>
    <x v="2"/>
    <x v="5"/>
    <x v="2"/>
    <x v="4"/>
    <n v="22"/>
    <x v="0"/>
  </r>
  <r>
    <d v="2020-12-22T00:00:00"/>
    <x v="0"/>
    <x v="1"/>
    <x v="0"/>
    <n v="16335642.65"/>
    <x v="0"/>
    <x v="1"/>
    <x v="0"/>
    <x v="1"/>
    <x v="4"/>
    <x v="2"/>
    <x v="5"/>
    <x v="2"/>
    <x v="4"/>
    <n v="22"/>
    <x v="0"/>
  </r>
  <r>
    <d v="2020-12-22T00:00:00"/>
    <x v="0"/>
    <x v="1"/>
    <x v="1"/>
    <n v="6198333.1500000004"/>
    <x v="0"/>
    <x v="1"/>
    <x v="1"/>
    <x v="2"/>
    <x v="4"/>
    <x v="2"/>
    <x v="5"/>
    <x v="2"/>
    <x v="4"/>
    <n v="22"/>
    <x v="0"/>
  </r>
  <r>
    <d v="2020-12-22T00:00:00"/>
    <x v="1"/>
    <x v="0"/>
    <x v="1"/>
    <n v="391437834.61000001"/>
    <x v="1"/>
    <x v="0"/>
    <x v="1"/>
    <x v="8"/>
    <x v="4"/>
    <x v="2"/>
    <x v="5"/>
    <x v="2"/>
    <x v="4"/>
    <n v="22"/>
    <x v="0"/>
  </r>
  <r>
    <d v="2020-12-22T00:00:00"/>
    <x v="3"/>
    <x v="3"/>
    <x v="0"/>
    <n v="1562775768.28"/>
    <x v="3"/>
    <x v="3"/>
    <x v="0"/>
    <x v="6"/>
    <x v="4"/>
    <x v="2"/>
    <x v="5"/>
    <x v="2"/>
    <x v="4"/>
    <n v="22"/>
    <x v="0"/>
  </r>
  <r>
    <d v="2020-12-22T00:00:00"/>
    <x v="0"/>
    <x v="0"/>
    <x v="0"/>
    <n v="-469.22"/>
    <x v="0"/>
    <x v="0"/>
    <x v="0"/>
    <x v="0"/>
    <x v="4"/>
    <x v="2"/>
    <x v="5"/>
    <x v="2"/>
    <x v="4"/>
    <n v="22"/>
    <x v="1"/>
  </r>
  <r>
    <d v="2020-12-22T00:00:00"/>
    <x v="1"/>
    <x v="0"/>
    <x v="0"/>
    <n v="73769887.760000005"/>
    <x v="1"/>
    <x v="0"/>
    <x v="0"/>
    <x v="7"/>
    <x v="4"/>
    <x v="2"/>
    <x v="5"/>
    <x v="2"/>
    <x v="4"/>
    <n v="22"/>
    <x v="0"/>
  </r>
  <r>
    <d v="2020-12-22T00:00:00"/>
    <x v="3"/>
    <x v="2"/>
    <x v="2"/>
    <n v="1918471.51"/>
    <x v="3"/>
    <x v="2"/>
    <x v="2"/>
    <x v="4"/>
    <x v="4"/>
    <x v="2"/>
    <x v="5"/>
    <x v="2"/>
    <x v="4"/>
    <n v="22"/>
    <x v="0"/>
  </r>
  <r>
    <d v="2020-12-22T00:00:00"/>
    <x v="2"/>
    <x v="1"/>
    <x v="1"/>
    <n v="64109985.600000001"/>
    <x v="2"/>
    <x v="1"/>
    <x v="1"/>
    <x v="9"/>
    <x v="4"/>
    <x v="2"/>
    <x v="5"/>
    <x v="2"/>
    <x v="4"/>
    <n v="22"/>
    <x v="0"/>
  </r>
  <r>
    <d v="2020-12-22T00:00:00"/>
    <x v="3"/>
    <x v="1"/>
    <x v="0"/>
    <n v="13262464.9"/>
    <x v="3"/>
    <x v="1"/>
    <x v="0"/>
    <x v="10"/>
    <x v="4"/>
    <x v="2"/>
    <x v="5"/>
    <x v="2"/>
    <x v="4"/>
    <n v="22"/>
    <x v="0"/>
  </r>
  <r>
    <d v="2020-12-22T00:00:00"/>
    <x v="3"/>
    <x v="2"/>
    <x v="0"/>
    <n v="5325328328.8699999"/>
    <x v="3"/>
    <x v="2"/>
    <x v="0"/>
    <x v="11"/>
    <x v="4"/>
    <x v="2"/>
    <x v="5"/>
    <x v="2"/>
    <x v="4"/>
    <n v="22"/>
    <x v="0"/>
  </r>
  <r>
    <d v="2020-12-22T00:00:00"/>
    <x v="3"/>
    <x v="2"/>
    <x v="1"/>
    <n v="5195733287.6700001"/>
    <x v="3"/>
    <x v="2"/>
    <x v="1"/>
    <x v="12"/>
    <x v="4"/>
    <x v="2"/>
    <x v="5"/>
    <x v="2"/>
    <x v="4"/>
    <n v="22"/>
    <x v="0"/>
  </r>
  <r>
    <d v="2020-12-21T00:00:00"/>
    <x v="2"/>
    <x v="1"/>
    <x v="0"/>
    <n v="81639214.819999993"/>
    <x v="2"/>
    <x v="1"/>
    <x v="0"/>
    <x v="7"/>
    <x v="4"/>
    <x v="2"/>
    <x v="5"/>
    <x v="2"/>
    <x v="4"/>
    <n v="21"/>
    <x v="0"/>
  </r>
  <r>
    <d v="2020-12-21T00:00:00"/>
    <x v="0"/>
    <x v="1"/>
    <x v="0"/>
    <n v="18922306.879999999"/>
    <x v="0"/>
    <x v="1"/>
    <x v="0"/>
    <x v="1"/>
    <x v="4"/>
    <x v="2"/>
    <x v="5"/>
    <x v="2"/>
    <x v="4"/>
    <n v="21"/>
    <x v="0"/>
  </r>
  <r>
    <d v="2020-12-21T00:00:00"/>
    <x v="3"/>
    <x v="3"/>
    <x v="0"/>
    <n v="3281159080.6799998"/>
    <x v="3"/>
    <x v="3"/>
    <x v="0"/>
    <x v="8"/>
    <x v="4"/>
    <x v="2"/>
    <x v="5"/>
    <x v="2"/>
    <x v="4"/>
    <n v="21"/>
    <x v="0"/>
  </r>
  <r>
    <d v="2020-12-21T00:00:00"/>
    <x v="3"/>
    <x v="3"/>
    <x v="1"/>
    <n v="10700"/>
    <x v="3"/>
    <x v="3"/>
    <x v="1"/>
    <x v="3"/>
    <x v="4"/>
    <x v="2"/>
    <x v="5"/>
    <x v="2"/>
    <x v="4"/>
    <n v="21"/>
    <x v="0"/>
  </r>
  <r>
    <d v="2020-12-21T00:00:00"/>
    <x v="1"/>
    <x v="0"/>
    <x v="1"/>
    <n v="219915198.66999999"/>
    <x v="1"/>
    <x v="0"/>
    <x v="1"/>
    <x v="9"/>
    <x v="4"/>
    <x v="2"/>
    <x v="5"/>
    <x v="2"/>
    <x v="4"/>
    <n v="21"/>
    <x v="0"/>
  </r>
  <r>
    <d v="2020-12-21T00:00:00"/>
    <x v="1"/>
    <x v="0"/>
    <x v="0"/>
    <n v="66831548.009999998"/>
    <x v="1"/>
    <x v="0"/>
    <x v="0"/>
    <x v="10"/>
    <x v="4"/>
    <x v="2"/>
    <x v="5"/>
    <x v="2"/>
    <x v="4"/>
    <n v="21"/>
    <x v="0"/>
  </r>
  <r>
    <d v="2020-12-21T00:00:00"/>
    <x v="0"/>
    <x v="1"/>
    <x v="1"/>
    <n v="6432878.7400000002"/>
    <x v="0"/>
    <x v="1"/>
    <x v="1"/>
    <x v="4"/>
    <x v="4"/>
    <x v="2"/>
    <x v="5"/>
    <x v="2"/>
    <x v="4"/>
    <n v="21"/>
    <x v="0"/>
  </r>
  <r>
    <d v="2020-12-21T00:00:00"/>
    <x v="2"/>
    <x v="1"/>
    <x v="2"/>
    <n v="53435.54"/>
    <x v="2"/>
    <x v="1"/>
    <x v="2"/>
    <x v="5"/>
    <x v="4"/>
    <x v="2"/>
    <x v="5"/>
    <x v="2"/>
    <x v="4"/>
    <n v="21"/>
    <x v="0"/>
  </r>
  <r>
    <d v="2020-12-21T00:00:00"/>
    <x v="3"/>
    <x v="2"/>
    <x v="2"/>
    <n v="560636.68999999994"/>
    <x v="3"/>
    <x v="2"/>
    <x v="2"/>
    <x v="6"/>
    <x v="4"/>
    <x v="2"/>
    <x v="5"/>
    <x v="2"/>
    <x v="4"/>
    <n v="21"/>
    <x v="0"/>
  </r>
  <r>
    <d v="2020-12-21T00:00:00"/>
    <x v="0"/>
    <x v="0"/>
    <x v="0"/>
    <n v="2200"/>
    <x v="0"/>
    <x v="0"/>
    <x v="0"/>
    <x v="0"/>
    <x v="4"/>
    <x v="2"/>
    <x v="5"/>
    <x v="2"/>
    <x v="4"/>
    <n v="21"/>
    <x v="0"/>
  </r>
  <r>
    <d v="2020-12-21T00:00:00"/>
    <x v="1"/>
    <x v="0"/>
    <x v="2"/>
    <n v="193.46"/>
    <x v="1"/>
    <x v="0"/>
    <x v="2"/>
    <x v="2"/>
    <x v="4"/>
    <x v="2"/>
    <x v="5"/>
    <x v="2"/>
    <x v="4"/>
    <n v="21"/>
    <x v="0"/>
  </r>
  <r>
    <d v="2020-12-21T00:00:00"/>
    <x v="2"/>
    <x v="1"/>
    <x v="1"/>
    <n v="151357447.91999999"/>
    <x v="2"/>
    <x v="1"/>
    <x v="1"/>
    <x v="11"/>
    <x v="4"/>
    <x v="2"/>
    <x v="5"/>
    <x v="2"/>
    <x v="4"/>
    <n v="21"/>
    <x v="0"/>
  </r>
  <r>
    <d v="2020-12-21T00:00:00"/>
    <x v="3"/>
    <x v="2"/>
    <x v="0"/>
    <n v="633684754.78999996"/>
    <x v="3"/>
    <x v="2"/>
    <x v="0"/>
    <x v="12"/>
    <x v="4"/>
    <x v="2"/>
    <x v="5"/>
    <x v="2"/>
    <x v="4"/>
    <n v="21"/>
    <x v="0"/>
  </r>
  <r>
    <d v="2020-12-21T00:00:00"/>
    <x v="3"/>
    <x v="1"/>
    <x v="0"/>
    <n v="43792217.409999996"/>
    <x v="3"/>
    <x v="1"/>
    <x v="0"/>
    <x v="13"/>
    <x v="4"/>
    <x v="2"/>
    <x v="5"/>
    <x v="2"/>
    <x v="4"/>
    <n v="21"/>
    <x v="0"/>
  </r>
  <r>
    <d v="2020-12-21T00:00:00"/>
    <x v="3"/>
    <x v="2"/>
    <x v="1"/>
    <n v="19976958057.220001"/>
    <x v="3"/>
    <x v="2"/>
    <x v="1"/>
    <x v="14"/>
    <x v="4"/>
    <x v="2"/>
    <x v="5"/>
    <x v="2"/>
    <x v="4"/>
    <n v="21"/>
    <x v="0"/>
  </r>
  <r>
    <d v="2020-12-18T00:00:00"/>
    <x v="2"/>
    <x v="1"/>
    <x v="2"/>
    <n v="59156.79"/>
    <x v="2"/>
    <x v="1"/>
    <x v="2"/>
    <x v="3"/>
    <x v="4"/>
    <x v="2"/>
    <x v="5"/>
    <x v="2"/>
    <x v="4"/>
    <n v="18"/>
    <x v="0"/>
  </r>
  <r>
    <d v="2020-12-18T00:00:00"/>
    <x v="3"/>
    <x v="2"/>
    <x v="2"/>
    <n v="554792.42000000004"/>
    <x v="3"/>
    <x v="2"/>
    <x v="2"/>
    <x v="5"/>
    <x v="4"/>
    <x v="2"/>
    <x v="5"/>
    <x v="2"/>
    <x v="4"/>
    <n v="18"/>
    <x v="0"/>
  </r>
  <r>
    <d v="2020-12-18T00:00:00"/>
    <x v="1"/>
    <x v="0"/>
    <x v="1"/>
    <n v="308587284.87"/>
    <x v="1"/>
    <x v="0"/>
    <x v="1"/>
    <x v="8"/>
    <x v="4"/>
    <x v="2"/>
    <x v="5"/>
    <x v="2"/>
    <x v="4"/>
    <n v="18"/>
    <x v="0"/>
  </r>
  <r>
    <d v="2020-12-18T00:00:00"/>
    <x v="0"/>
    <x v="1"/>
    <x v="1"/>
    <n v="5988980.9299999997"/>
    <x v="0"/>
    <x v="1"/>
    <x v="1"/>
    <x v="4"/>
    <x v="4"/>
    <x v="2"/>
    <x v="5"/>
    <x v="2"/>
    <x v="4"/>
    <n v="18"/>
    <x v="0"/>
  </r>
  <r>
    <d v="2020-12-18T00:00:00"/>
    <x v="0"/>
    <x v="1"/>
    <x v="0"/>
    <n v="13975326.01"/>
    <x v="0"/>
    <x v="1"/>
    <x v="0"/>
    <x v="1"/>
    <x v="4"/>
    <x v="2"/>
    <x v="5"/>
    <x v="2"/>
    <x v="4"/>
    <n v="18"/>
    <x v="0"/>
  </r>
  <r>
    <d v="2020-12-18T00:00:00"/>
    <x v="2"/>
    <x v="1"/>
    <x v="0"/>
    <n v="80076229.379999995"/>
    <x v="2"/>
    <x v="1"/>
    <x v="0"/>
    <x v="6"/>
    <x v="4"/>
    <x v="2"/>
    <x v="5"/>
    <x v="2"/>
    <x v="4"/>
    <n v="18"/>
    <x v="0"/>
  </r>
  <r>
    <d v="2020-12-18T00:00:00"/>
    <x v="0"/>
    <x v="0"/>
    <x v="0"/>
    <n v="1500"/>
    <x v="0"/>
    <x v="0"/>
    <x v="0"/>
    <x v="0"/>
    <x v="4"/>
    <x v="2"/>
    <x v="5"/>
    <x v="2"/>
    <x v="4"/>
    <n v="18"/>
    <x v="0"/>
  </r>
  <r>
    <d v="2020-12-18T00:00:00"/>
    <x v="1"/>
    <x v="0"/>
    <x v="2"/>
    <n v="2226.54"/>
    <x v="1"/>
    <x v="0"/>
    <x v="2"/>
    <x v="2"/>
    <x v="4"/>
    <x v="2"/>
    <x v="5"/>
    <x v="2"/>
    <x v="4"/>
    <n v="18"/>
    <x v="0"/>
  </r>
  <r>
    <d v="2020-12-18T00:00:00"/>
    <x v="1"/>
    <x v="0"/>
    <x v="0"/>
    <n v="94009802.739999995"/>
    <x v="1"/>
    <x v="0"/>
    <x v="0"/>
    <x v="7"/>
    <x v="4"/>
    <x v="2"/>
    <x v="5"/>
    <x v="2"/>
    <x v="4"/>
    <n v="18"/>
    <x v="0"/>
  </r>
  <r>
    <d v="2020-12-18T00:00:00"/>
    <x v="3"/>
    <x v="3"/>
    <x v="0"/>
    <n v="1381559086.24"/>
    <x v="3"/>
    <x v="3"/>
    <x v="0"/>
    <x v="9"/>
    <x v="4"/>
    <x v="2"/>
    <x v="5"/>
    <x v="2"/>
    <x v="4"/>
    <n v="18"/>
    <x v="0"/>
  </r>
  <r>
    <d v="2020-12-18T00:00:00"/>
    <x v="2"/>
    <x v="1"/>
    <x v="1"/>
    <n v="59021168.409999996"/>
    <x v="2"/>
    <x v="1"/>
    <x v="1"/>
    <x v="10"/>
    <x v="4"/>
    <x v="2"/>
    <x v="5"/>
    <x v="2"/>
    <x v="4"/>
    <n v="18"/>
    <x v="0"/>
  </r>
  <r>
    <d v="2020-12-18T00:00:00"/>
    <x v="3"/>
    <x v="1"/>
    <x v="0"/>
    <n v="13380801.279999999"/>
    <x v="3"/>
    <x v="1"/>
    <x v="0"/>
    <x v="11"/>
    <x v="4"/>
    <x v="2"/>
    <x v="5"/>
    <x v="2"/>
    <x v="4"/>
    <n v="18"/>
    <x v="0"/>
  </r>
  <r>
    <d v="2020-12-18T00:00:00"/>
    <x v="3"/>
    <x v="2"/>
    <x v="0"/>
    <n v="344357802.30000001"/>
    <x v="3"/>
    <x v="2"/>
    <x v="0"/>
    <x v="12"/>
    <x v="4"/>
    <x v="2"/>
    <x v="5"/>
    <x v="2"/>
    <x v="4"/>
    <n v="18"/>
    <x v="0"/>
  </r>
  <r>
    <d v="2020-12-18T00:00:00"/>
    <x v="3"/>
    <x v="2"/>
    <x v="1"/>
    <n v="12132791469.48"/>
    <x v="3"/>
    <x v="2"/>
    <x v="1"/>
    <x v="13"/>
    <x v="4"/>
    <x v="2"/>
    <x v="5"/>
    <x v="2"/>
    <x v="4"/>
    <n v="18"/>
    <x v="0"/>
  </r>
  <r>
    <d v="2020-12-17T00:00:00"/>
    <x v="3"/>
    <x v="2"/>
    <x v="2"/>
    <n v="458171.65"/>
    <x v="3"/>
    <x v="2"/>
    <x v="2"/>
    <x v="6"/>
    <x v="4"/>
    <x v="2"/>
    <x v="5"/>
    <x v="2"/>
    <x v="4"/>
    <n v="17"/>
    <x v="0"/>
  </r>
  <r>
    <d v="2020-12-17T00:00:00"/>
    <x v="3"/>
    <x v="3"/>
    <x v="0"/>
    <n v="2125630587.1099999"/>
    <x v="3"/>
    <x v="3"/>
    <x v="0"/>
    <x v="8"/>
    <x v="4"/>
    <x v="2"/>
    <x v="5"/>
    <x v="2"/>
    <x v="4"/>
    <n v="17"/>
    <x v="0"/>
  </r>
  <r>
    <d v="2020-12-17T00:00:00"/>
    <x v="1"/>
    <x v="0"/>
    <x v="1"/>
    <n v="402974005.89999998"/>
    <x v="1"/>
    <x v="0"/>
    <x v="1"/>
    <x v="9"/>
    <x v="4"/>
    <x v="2"/>
    <x v="5"/>
    <x v="2"/>
    <x v="4"/>
    <n v="17"/>
    <x v="0"/>
  </r>
  <r>
    <d v="2020-12-17T00:00:00"/>
    <x v="0"/>
    <x v="1"/>
    <x v="1"/>
    <n v="18877118.77"/>
    <x v="0"/>
    <x v="1"/>
    <x v="1"/>
    <x v="5"/>
    <x v="4"/>
    <x v="2"/>
    <x v="5"/>
    <x v="2"/>
    <x v="4"/>
    <n v="17"/>
    <x v="0"/>
  </r>
  <r>
    <d v="2020-12-17T00:00:00"/>
    <x v="0"/>
    <x v="1"/>
    <x v="0"/>
    <n v="43924132.420000002"/>
    <x v="0"/>
    <x v="1"/>
    <x v="0"/>
    <x v="1"/>
    <x v="4"/>
    <x v="2"/>
    <x v="5"/>
    <x v="2"/>
    <x v="4"/>
    <n v="17"/>
    <x v="0"/>
  </r>
  <r>
    <d v="2020-12-17T00:00:00"/>
    <x v="2"/>
    <x v="1"/>
    <x v="2"/>
    <n v="15775"/>
    <x v="2"/>
    <x v="1"/>
    <x v="2"/>
    <x v="3"/>
    <x v="4"/>
    <x v="2"/>
    <x v="5"/>
    <x v="2"/>
    <x v="4"/>
    <n v="17"/>
    <x v="0"/>
  </r>
  <r>
    <d v="2020-12-17T00:00:00"/>
    <x v="1"/>
    <x v="0"/>
    <x v="2"/>
    <n v="565.59"/>
    <x v="1"/>
    <x v="0"/>
    <x v="2"/>
    <x v="2"/>
    <x v="4"/>
    <x v="2"/>
    <x v="5"/>
    <x v="2"/>
    <x v="4"/>
    <n v="17"/>
    <x v="0"/>
  </r>
  <r>
    <d v="2020-12-17T00:00:00"/>
    <x v="0"/>
    <x v="0"/>
    <x v="0"/>
    <n v="20"/>
    <x v="0"/>
    <x v="0"/>
    <x v="0"/>
    <x v="0"/>
    <x v="4"/>
    <x v="2"/>
    <x v="5"/>
    <x v="2"/>
    <x v="4"/>
    <n v="17"/>
    <x v="0"/>
  </r>
  <r>
    <d v="2020-12-17T00:00:00"/>
    <x v="3"/>
    <x v="3"/>
    <x v="1"/>
    <n v="3535.75"/>
    <x v="3"/>
    <x v="3"/>
    <x v="1"/>
    <x v="4"/>
    <x v="4"/>
    <x v="2"/>
    <x v="5"/>
    <x v="2"/>
    <x v="4"/>
    <n v="17"/>
    <x v="0"/>
  </r>
  <r>
    <d v="2020-12-17T00:00:00"/>
    <x v="1"/>
    <x v="0"/>
    <x v="0"/>
    <n v="77643617.439999998"/>
    <x v="1"/>
    <x v="0"/>
    <x v="0"/>
    <x v="10"/>
    <x v="4"/>
    <x v="2"/>
    <x v="5"/>
    <x v="2"/>
    <x v="4"/>
    <n v="17"/>
    <x v="0"/>
  </r>
  <r>
    <d v="2020-12-17T00:00:00"/>
    <x v="2"/>
    <x v="1"/>
    <x v="0"/>
    <n v="67501712.939999998"/>
    <x v="2"/>
    <x v="1"/>
    <x v="0"/>
    <x v="7"/>
    <x v="4"/>
    <x v="2"/>
    <x v="5"/>
    <x v="2"/>
    <x v="4"/>
    <n v="17"/>
    <x v="0"/>
  </r>
  <r>
    <d v="2020-12-17T00:00:00"/>
    <x v="2"/>
    <x v="1"/>
    <x v="1"/>
    <n v="161251525.49000001"/>
    <x v="2"/>
    <x v="1"/>
    <x v="1"/>
    <x v="11"/>
    <x v="4"/>
    <x v="2"/>
    <x v="5"/>
    <x v="2"/>
    <x v="4"/>
    <n v="17"/>
    <x v="0"/>
  </r>
  <r>
    <d v="2020-12-17T00:00:00"/>
    <x v="3"/>
    <x v="1"/>
    <x v="0"/>
    <n v="13755473.74"/>
    <x v="3"/>
    <x v="1"/>
    <x v="0"/>
    <x v="12"/>
    <x v="4"/>
    <x v="2"/>
    <x v="5"/>
    <x v="2"/>
    <x v="4"/>
    <n v="17"/>
    <x v="0"/>
  </r>
  <r>
    <d v="2020-12-17T00:00:00"/>
    <x v="3"/>
    <x v="2"/>
    <x v="0"/>
    <n v="302013673.39999998"/>
    <x v="3"/>
    <x v="2"/>
    <x v="0"/>
    <x v="13"/>
    <x v="4"/>
    <x v="2"/>
    <x v="5"/>
    <x v="2"/>
    <x v="4"/>
    <n v="17"/>
    <x v="0"/>
  </r>
  <r>
    <d v="2020-12-17T00:00:00"/>
    <x v="3"/>
    <x v="2"/>
    <x v="1"/>
    <n v="5526939718.6999998"/>
    <x v="3"/>
    <x v="2"/>
    <x v="1"/>
    <x v="14"/>
    <x v="4"/>
    <x v="2"/>
    <x v="5"/>
    <x v="2"/>
    <x v="4"/>
    <n v="17"/>
    <x v="0"/>
  </r>
  <r>
    <d v="2020-12-16T00:00:00"/>
    <x v="0"/>
    <x v="1"/>
    <x v="0"/>
    <n v="19399396.149999999"/>
    <x v="0"/>
    <x v="1"/>
    <x v="0"/>
    <x v="1"/>
    <x v="4"/>
    <x v="2"/>
    <x v="5"/>
    <x v="2"/>
    <x v="4"/>
    <n v="16"/>
    <x v="0"/>
  </r>
  <r>
    <d v="2020-12-16T00:00:00"/>
    <x v="1"/>
    <x v="0"/>
    <x v="2"/>
    <n v="1743.96"/>
    <x v="1"/>
    <x v="0"/>
    <x v="2"/>
    <x v="2"/>
    <x v="4"/>
    <x v="2"/>
    <x v="5"/>
    <x v="2"/>
    <x v="4"/>
    <n v="16"/>
    <x v="0"/>
  </r>
  <r>
    <d v="2020-12-16T00:00:00"/>
    <x v="2"/>
    <x v="1"/>
    <x v="2"/>
    <n v="57625"/>
    <x v="2"/>
    <x v="1"/>
    <x v="2"/>
    <x v="3"/>
    <x v="4"/>
    <x v="2"/>
    <x v="5"/>
    <x v="2"/>
    <x v="4"/>
    <n v="16"/>
    <x v="0"/>
  </r>
  <r>
    <d v="2020-12-16T00:00:00"/>
    <x v="2"/>
    <x v="1"/>
    <x v="0"/>
    <n v="102879119.25"/>
    <x v="2"/>
    <x v="1"/>
    <x v="0"/>
    <x v="6"/>
    <x v="4"/>
    <x v="2"/>
    <x v="5"/>
    <x v="2"/>
    <x v="4"/>
    <n v="16"/>
    <x v="0"/>
  </r>
  <r>
    <d v="2020-12-16T00:00:00"/>
    <x v="3"/>
    <x v="3"/>
    <x v="0"/>
    <n v="1541045367.4200001"/>
    <x v="3"/>
    <x v="3"/>
    <x v="0"/>
    <x v="7"/>
    <x v="4"/>
    <x v="2"/>
    <x v="5"/>
    <x v="2"/>
    <x v="4"/>
    <n v="16"/>
    <x v="0"/>
  </r>
  <r>
    <d v="2020-12-16T00:00:00"/>
    <x v="3"/>
    <x v="2"/>
    <x v="2"/>
    <n v="192028.99"/>
    <x v="3"/>
    <x v="2"/>
    <x v="2"/>
    <x v="5"/>
    <x v="4"/>
    <x v="2"/>
    <x v="5"/>
    <x v="2"/>
    <x v="4"/>
    <n v="16"/>
    <x v="0"/>
  </r>
  <r>
    <d v="2020-12-16T00:00:00"/>
    <x v="0"/>
    <x v="1"/>
    <x v="1"/>
    <n v="7895215.9699999997"/>
    <x v="0"/>
    <x v="1"/>
    <x v="1"/>
    <x v="4"/>
    <x v="4"/>
    <x v="2"/>
    <x v="5"/>
    <x v="2"/>
    <x v="4"/>
    <n v="16"/>
    <x v="0"/>
  </r>
  <r>
    <d v="2020-12-16T00:00:00"/>
    <x v="0"/>
    <x v="0"/>
    <x v="0"/>
    <n v="0"/>
    <x v="0"/>
    <x v="0"/>
    <x v="0"/>
    <x v="0"/>
    <x v="4"/>
    <x v="2"/>
    <x v="5"/>
    <x v="2"/>
    <x v="4"/>
    <n v="16"/>
    <x v="0"/>
  </r>
  <r>
    <d v="2020-12-16T00:00:00"/>
    <x v="1"/>
    <x v="0"/>
    <x v="0"/>
    <n v="94271746.200000003"/>
    <x v="1"/>
    <x v="0"/>
    <x v="0"/>
    <x v="8"/>
    <x v="4"/>
    <x v="2"/>
    <x v="5"/>
    <x v="2"/>
    <x v="4"/>
    <n v="16"/>
    <x v="0"/>
  </r>
  <r>
    <d v="2020-12-16T00:00:00"/>
    <x v="1"/>
    <x v="0"/>
    <x v="1"/>
    <n v="620084756.95000005"/>
    <x v="1"/>
    <x v="0"/>
    <x v="1"/>
    <x v="9"/>
    <x v="4"/>
    <x v="2"/>
    <x v="5"/>
    <x v="2"/>
    <x v="4"/>
    <n v="16"/>
    <x v="0"/>
  </r>
  <r>
    <d v="2020-12-16T00:00:00"/>
    <x v="2"/>
    <x v="1"/>
    <x v="1"/>
    <n v="613674499.05999994"/>
    <x v="2"/>
    <x v="1"/>
    <x v="1"/>
    <x v="10"/>
    <x v="4"/>
    <x v="2"/>
    <x v="5"/>
    <x v="2"/>
    <x v="4"/>
    <n v="16"/>
    <x v="0"/>
  </r>
  <r>
    <d v="2020-12-16T00:00:00"/>
    <x v="3"/>
    <x v="1"/>
    <x v="0"/>
    <n v="14417604.119999999"/>
    <x v="3"/>
    <x v="1"/>
    <x v="0"/>
    <x v="11"/>
    <x v="4"/>
    <x v="2"/>
    <x v="5"/>
    <x v="2"/>
    <x v="4"/>
    <n v="16"/>
    <x v="0"/>
  </r>
  <r>
    <d v="2020-12-16T00:00:00"/>
    <x v="3"/>
    <x v="2"/>
    <x v="0"/>
    <n v="390346269.91000003"/>
    <x v="3"/>
    <x v="2"/>
    <x v="0"/>
    <x v="12"/>
    <x v="4"/>
    <x v="2"/>
    <x v="5"/>
    <x v="2"/>
    <x v="4"/>
    <n v="16"/>
    <x v="0"/>
  </r>
  <r>
    <d v="2020-12-16T00:00:00"/>
    <x v="3"/>
    <x v="2"/>
    <x v="1"/>
    <n v="23285212265.470001"/>
    <x v="3"/>
    <x v="2"/>
    <x v="1"/>
    <x v="13"/>
    <x v="4"/>
    <x v="2"/>
    <x v="5"/>
    <x v="2"/>
    <x v="4"/>
    <n v="16"/>
    <x v="0"/>
  </r>
  <r>
    <d v="2020-12-15T00:00:00"/>
    <x v="3"/>
    <x v="2"/>
    <x v="2"/>
    <n v="132520.39000000001"/>
    <x v="3"/>
    <x v="2"/>
    <x v="2"/>
    <x v="6"/>
    <x v="4"/>
    <x v="2"/>
    <x v="5"/>
    <x v="2"/>
    <x v="4"/>
    <n v="15"/>
    <x v="0"/>
  </r>
  <r>
    <d v="2020-12-15T00:00:00"/>
    <x v="0"/>
    <x v="1"/>
    <x v="0"/>
    <n v="37147073.829999998"/>
    <x v="0"/>
    <x v="1"/>
    <x v="0"/>
    <x v="1"/>
    <x v="4"/>
    <x v="2"/>
    <x v="5"/>
    <x v="2"/>
    <x v="4"/>
    <n v="15"/>
    <x v="0"/>
  </r>
  <r>
    <d v="2020-12-15T00:00:00"/>
    <x v="2"/>
    <x v="1"/>
    <x v="0"/>
    <n v="93201877.170000002"/>
    <x v="2"/>
    <x v="1"/>
    <x v="0"/>
    <x v="7"/>
    <x v="4"/>
    <x v="2"/>
    <x v="5"/>
    <x v="2"/>
    <x v="4"/>
    <n v="15"/>
    <x v="0"/>
  </r>
  <r>
    <d v="2020-12-15T00:00:00"/>
    <x v="2"/>
    <x v="1"/>
    <x v="2"/>
    <n v="61744.95"/>
    <x v="2"/>
    <x v="1"/>
    <x v="2"/>
    <x v="3"/>
    <x v="4"/>
    <x v="2"/>
    <x v="5"/>
    <x v="2"/>
    <x v="4"/>
    <n v="15"/>
    <x v="0"/>
  </r>
  <r>
    <d v="2020-12-15T00:00:00"/>
    <x v="0"/>
    <x v="1"/>
    <x v="1"/>
    <n v="11000652.640000001"/>
    <x v="0"/>
    <x v="1"/>
    <x v="1"/>
    <x v="5"/>
    <x v="4"/>
    <x v="2"/>
    <x v="5"/>
    <x v="2"/>
    <x v="4"/>
    <n v="15"/>
    <x v="0"/>
  </r>
  <r>
    <d v="2020-12-15T00:00:00"/>
    <x v="1"/>
    <x v="0"/>
    <x v="1"/>
    <n v="214532950.75"/>
    <x v="1"/>
    <x v="0"/>
    <x v="1"/>
    <x v="9"/>
    <x v="4"/>
    <x v="2"/>
    <x v="5"/>
    <x v="2"/>
    <x v="4"/>
    <n v="15"/>
    <x v="0"/>
  </r>
  <r>
    <d v="2020-12-15T00:00:00"/>
    <x v="1"/>
    <x v="0"/>
    <x v="0"/>
    <n v="63997802.259999998"/>
    <x v="1"/>
    <x v="0"/>
    <x v="0"/>
    <x v="10"/>
    <x v="4"/>
    <x v="2"/>
    <x v="5"/>
    <x v="2"/>
    <x v="4"/>
    <n v="15"/>
    <x v="0"/>
  </r>
  <r>
    <d v="2020-12-15T00:00:00"/>
    <x v="1"/>
    <x v="0"/>
    <x v="2"/>
    <n v="6907.41"/>
    <x v="1"/>
    <x v="0"/>
    <x v="2"/>
    <x v="2"/>
    <x v="4"/>
    <x v="2"/>
    <x v="5"/>
    <x v="2"/>
    <x v="4"/>
    <n v="15"/>
    <x v="0"/>
  </r>
  <r>
    <d v="2020-12-15T00:00:00"/>
    <x v="3"/>
    <x v="3"/>
    <x v="0"/>
    <n v="1764207112.28"/>
    <x v="3"/>
    <x v="3"/>
    <x v="0"/>
    <x v="8"/>
    <x v="4"/>
    <x v="2"/>
    <x v="5"/>
    <x v="2"/>
    <x v="4"/>
    <n v="15"/>
    <x v="0"/>
  </r>
  <r>
    <d v="2020-12-15T00:00:00"/>
    <x v="0"/>
    <x v="0"/>
    <x v="0"/>
    <n v="2124"/>
    <x v="0"/>
    <x v="0"/>
    <x v="0"/>
    <x v="0"/>
    <x v="4"/>
    <x v="2"/>
    <x v="5"/>
    <x v="2"/>
    <x v="4"/>
    <n v="15"/>
    <x v="0"/>
  </r>
  <r>
    <d v="2020-12-15T00:00:00"/>
    <x v="3"/>
    <x v="3"/>
    <x v="1"/>
    <n v="1100"/>
    <x v="3"/>
    <x v="3"/>
    <x v="1"/>
    <x v="4"/>
    <x v="4"/>
    <x v="2"/>
    <x v="5"/>
    <x v="2"/>
    <x v="4"/>
    <n v="15"/>
    <x v="0"/>
  </r>
  <r>
    <d v="2020-12-15T00:00:00"/>
    <x v="3"/>
    <x v="1"/>
    <x v="0"/>
    <n v="9548177.2100000009"/>
    <x v="3"/>
    <x v="1"/>
    <x v="0"/>
    <x v="11"/>
    <x v="4"/>
    <x v="2"/>
    <x v="5"/>
    <x v="2"/>
    <x v="4"/>
    <n v="15"/>
    <x v="0"/>
  </r>
  <r>
    <d v="2020-12-15T00:00:00"/>
    <x v="2"/>
    <x v="1"/>
    <x v="1"/>
    <n v="100093401.25"/>
    <x v="2"/>
    <x v="1"/>
    <x v="1"/>
    <x v="12"/>
    <x v="4"/>
    <x v="2"/>
    <x v="5"/>
    <x v="2"/>
    <x v="4"/>
    <n v="15"/>
    <x v="0"/>
  </r>
  <r>
    <d v="2020-12-15T00:00:00"/>
    <x v="3"/>
    <x v="2"/>
    <x v="0"/>
    <n v="587924810.41999996"/>
    <x v="3"/>
    <x v="2"/>
    <x v="0"/>
    <x v="13"/>
    <x v="4"/>
    <x v="2"/>
    <x v="5"/>
    <x v="2"/>
    <x v="4"/>
    <n v="15"/>
    <x v="0"/>
  </r>
  <r>
    <d v="2020-12-15T00:00:00"/>
    <x v="3"/>
    <x v="2"/>
    <x v="1"/>
    <n v="46917790573.860001"/>
    <x v="3"/>
    <x v="2"/>
    <x v="1"/>
    <x v="14"/>
    <x v="4"/>
    <x v="2"/>
    <x v="5"/>
    <x v="2"/>
    <x v="4"/>
    <n v="15"/>
    <x v="0"/>
  </r>
  <r>
    <d v="2020-12-14T00:00:00"/>
    <x v="0"/>
    <x v="1"/>
    <x v="0"/>
    <n v="12680741.609999999"/>
    <x v="0"/>
    <x v="1"/>
    <x v="0"/>
    <x v="1"/>
    <x v="4"/>
    <x v="2"/>
    <x v="5"/>
    <x v="2"/>
    <x v="4"/>
    <n v="14"/>
    <x v="0"/>
  </r>
  <r>
    <d v="2020-12-14T00:00:00"/>
    <x v="3"/>
    <x v="2"/>
    <x v="2"/>
    <n v="280553.69"/>
    <x v="3"/>
    <x v="2"/>
    <x v="2"/>
    <x v="5"/>
    <x v="4"/>
    <x v="2"/>
    <x v="5"/>
    <x v="2"/>
    <x v="4"/>
    <n v="14"/>
    <x v="0"/>
  </r>
  <r>
    <d v="2020-12-14T00:00:00"/>
    <x v="2"/>
    <x v="1"/>
    <x v="2"/>
    <n v="29030"/>
    <x v="2"/>
    <x v="1"/>
    <x v="2"/>
    <x v="3"/>
    <x v="4"/>
    <x v="2"/>
    <x v="5"/>
    <x v="2"/>
    <x v="4"/>
    <n v="14"/>
    <x v="0"/>
  </r>
  <r>
    <d v="2020-12-14T00:00:00"/>
    <x v="2"/>
    <x v="1"/>
    <x v="0"/>
    <n v="84618497.299999997"/>
    <x v="2"/>
    <x v="1"/>
    <x v="0"/>
    <x v="6"/>
    <x v="4"/>
    <x v="2"/>
    <x v="5"/>
    <x v="2"/>
    <x v="4"/>
    <n v="14"/>
    <x v="0"/>
  </r>
  <r>
    <d v="2020-12-14T00:00:00"/>
    <x v="1"/>
    <x v="0"/>
    <x v="0"/>
    <n v="66621728.039999999"/>
    <x v="1"/>
    <x v="0"/>
    <x v="0"/>
    <x v="8"/>
    <x v="4"/>
    <x v="2"/>
    <x v="5"/>
    <x v="2"/>
    <x v="4"/>
    <n v="14"/>
    <x v="0"/>
  </r>
  <r>
    <d v="2020-12-14T00:00:00"/>
    <x v="0"/>
    <x v="1"/>
    <x v="1"/>
    <n v="4843606.8099999996"/>
    <x v="0"/>
    <x v="1"/>
    <x v="1"/>
    <x v="4"/>
    <x v="4"/>
    <x v="2"/>
    <x v="5"/>
    <x v="2"/>
    <x v="4"/>
    <n v="14"/>
    <x v="0"/>
  </r>
  <r>
    <d v="2020-12-14T00:00:00"/>
    <x v="1"/>
    <x v="0"/>
    <x v="1"/>
    <n v="136418659.16999999"/>
    <x v="1"/>
    <x v="0"/>
    <x v="1"/>
    <x v="9"/>
    <x v="4"/>
    <x v="2"/>
    <x v="5"/>
    <x v="2"/>
    <x v="4"/>
    <n v="14"/>
    <x v="0"/>
  </r>
  <r>
    <d v="2020-12-14T00:00:00"/>
    <x v="0"/>
    <x v="0"/>
    <x v="0"/>
    <n v="165.58"/>
    <x v="0"/>
    <x v="0"/>
    <x v="0"/>
    <x v="0"/>
    <x v="4"/>
    <x v="2"/>
    <x v="5"/>
    <x v="2"/>
    <x v="4"/>
    <n v="14"/>
    <x v="0"/>
  </r>
  <r>
    <d v="2020-12-14T00:00:00"/>
    <x v="3"/>
    <x v="3"/>
    <x v="0"/>
    <n v="2130164922.98"/>
    <x v="3"/>
    <x v="3"/>
    <x v="0"/>
    <x v="7"/>
    <x v="4"/>
    <x v="2"/>
    <x v="5"/>
    <x v="2"/>
    <x v="4"/>
    <n v="14"/>
    <x v="0"/>
  </r>
  <r>
    <d v="2020-12-14T00:00:00"/>
    <x v="1"/>
    <x v="0"/>
    <x v="2"/>
    <n v="1459.38"/>
    <x v="1"/>
    <x v="0"/>
    <x v="2"/>
    <x v="2"/>
    <x v="4"/>
    <x v="2"/>
    <x v="5"/>
    <x v="2"/>
    <x v="4"/>
    <n v="14"/>
    <x v="0"/>
  </r>
  <r>
    <d v="2020-12-14T00:00:00"/>
    <x v="2"/>
    <x v="1"/>
    <x v="1"/>
    <n v="160253285.74000001"/>
    <x v="2"/>
    <x v="1"/>
    <x v="1"/>
    <x v="10"/>
    <x v="4"/>
    <x v="2"/>
    <x v="5"/>
    <x v="2"/>
    <x v="4"/>
    <n v="14"/>
    <x v="0"/>
  </r>
  <r>
    <d v="2020-12-14T00:00:00"/>
    <x v="3"/>
    <x v="2"/>
    <x v="0"/>
    <n v="584569888.67999995"/>
    <x v="3"/>
    <x v="2"/>
    <x v="0"/>
    <x v="11"/>
    <x v="4"/>
    <x v="2"/>
    <x v="5"/>
    <x v="2"/>
    <x v="4"/>
    <n v="14"/>
    <x v="0"/>
  </r>
  <r>
    <d v="2020-12-14T00:00:00"/>
    <x v="3"/>
    <x v="1"/>
    <x v="0"/>
    <n v="40361738.479999997"/>
    <x v="3"/>
    <x v="1"/>
    <x v="0"/>
    <x v="12"/>
    <x v="4"/>
    <x v="2"/>
    <x v="5"/>
    <x v="2"/>
    <x v="4"/>
    <n v="14"/>
    <x v="0"/>
  </r>
  <r>
    <d v="2020-12-14T00:00:00"/>
    <x v="3"/>
    <x v="2"/>
    <x v="1"/>
    <n v="30009053862.27"/>
    <x v="3"/>
    <x v="2"/>
    <x v="1"/>
    <x v="13"/>
    <x v="4"/>
    <x v="2"/>
    <x v="5"/>
    <x v="2"/>
    <x v="4"/>
    <n v="14"/>
    <x v="0"/>
  </r>
  <r>
    <d v="2020-12-11T00:00:00"/>
    <x v="1"/>
    <x v="0"/>
    <x v="2"/>
    <n v="7913.25"/>
    <x v="1"/>
    <x v="0"/>
    <x v="2"/>
    <x v="1"/>
    <x v="4"/>
    <x v="2"/>
    <x v="5"/>
    <x v="2"/>
    <x v="4"/>
    <n v="11"/>
    <x v="0"/>
  </r>
  <r>
    <d v="2020-12-11T00:00:00"/>
    <x v="0"/>
    <x v="1"/>
    <x v="0"/>
    <n v="18710226.16"/>
    <x v="0"/>
    <x v="1"/>
    <x v="0"/>
    <x v="0"/>
    <x v="4"/>
    <x v="2"/>
    <x v="5"/>
    <x v="2"/>
    <x v="4"/>
    <n v="11"/>
    <x v="0"/>
  </r>
  <r>
    <d v="2020-12-11T00:00:00"/>
    <x v="3"/>
    <x v="3"/>
    <x v="0"/>
    <n v="2330927034.29"/>
    <x v="3"/>
    <x v="3"/>
    <x v="0"/>
    <x v="7"/>
    <x v="4"/>
    <x v="2"/>
    <x v="5"/>
    <x v="2"/>
    <x v="4"/>
    <n v="11"/>
    <x v="0"/>
  </r>
  <r>
    <d v="2020-12-11T00:00:00"/>
    <x v="1"/>
    <x v="0"/>
    <x v="0"/>
    <n v="65785321.149999999"/>
    <x v="1"/>
    <x v="0"/>
    <x v="0"/>
    <x v="8"/>
    <x v="4"/>
    <x v="2"/>
    <x v="5"/>
    <x v="2"/>
    <x v="4"/>
    <n v="11"/>
    <x v="0"/>
  </r>
  <r>
    <d v="2020-12-11T00:00:00"/>
    <x v="0"/>
    <x v="1"/>
    <x v="1"/>
    <n v="25535572.210000001"/>
    <x v="0"/>
    <x v="1"/>
    <x v="1"/>
    <x v="4"/>
    <x v="4"/>
    <x v="2"/>
    <x v="5"/>
    <x v="2"/>
    <x v="4"/>
    <n v="11"/>
    <x v="0"/>
  </r>
  <r>
    <d v="2020-12-11T00:00:00"/>
    <x v="1"/>
    <x v="0"/>
    <x v="1"/>
    <n v="96338568.530000001"/>
    <x v="1"/>
    <x v="0"/>
    <x v="1"/>
    <x v="9"/>
    <x v="4"/>
    <x v="2"/>
    <x v="5"/>
    <x v="2"/>
    <x v="4"/>
    <n v="11"/>
    <x v="0"/>
  </r>
  <r>
    <d v="2020-12-11T00:00:00"/>
    <x v="3"/>
    <x v="2"/>
    <x v="2"/>
    <n v="421923.69"/>
    <x v="3"/>
    <x v="2"/>
    <x v="2"/>
    <x v="5"/>
    <x v="4"/>
    <x v="2"/>
    <x v="5"/>
    <x v="2"/>
    <x v="4"/>
    <n v="11"/>
    <x v="0"/>
  </r>
  <r>
    <d v="2020-12-11T00:00:00"/>
    <x v="2"/>
    <x v="1"/>
    <x v="2"/>
    <n v="6714.31"/>
    <x v="2"/>
    <x v="1"/>
    <x v="2"/>
    <x v="2"/>
    <x v="4"/>
    <x v="2"/>
    <x v="5"/>
    <x v="2"/>
    <x v="4"/>
    <n v="11"/>
    <x v="0"/>
  </r>
  <r>
    <d v="2020-12-11T00:00:00"/>
    <x v="2"/>
    <x v="1"/>
    <x v="0"/>
    <n v="61777960.5"/>
    <x v="2"/>
    <x v="1"/>
    <x v="0"/>
    <x v="6"/>
    <x v="4"/>
    <x v="2"/>
    <x v="5"/>
    <x v="2"/>
    <x v="4"/>
    <n v="11"/>
    <x v="0"/>
  </r>
  <r>
    <d v="2020-12-11T00:00:00"/>
    <x v="3"/>
    <x v="3"/>
    <x v="1"/>
    <n v="1114764.23"/>
    <x v="3"/>
    <x v="3"/>
    <x v="1"/>
    <x v="3"/>
    <x v="4"/>
    <x v="2"/>
    <x v="5"/>
    <x v="2"/>
    <x v="4"/>
    <n v="11"/>
    <x v="0"/>
  </r>
  <r>
    <d v="2020-12-11T00:00:00"/>
    <x v="2"/>
    <x v="1"/>
    <x v="1"/>
    <n v="370580339.32999998"/>
    <x v="2"/>
    <x v="1"/>
    <x v="1"/>
    <x v="10"/>
    <x v="4"/>
    <x v="2"/>
    <x v="5"/>
    <x v="2"/>
    <x v="4"/>
    <n v="11"/>
    <x v="0"/>
  </r>
  <r>
    <d v="2020-12-11T00:00:00"/>
    <x v="3"/>
    <x v="1"/>
    <x v="0"/>
    <n v="12410007.25"/>
    <x v="3"/>
    <x v="1"/>
    <x v="0"/>
    <x v="11"/>
    <x v="4"/>
    <x v="2"/>
    <x v="5"/>
    <x v="2"/>
    <x v="4"/>
    <n v="11"/>
    <x v="0"/>
  </r>
  <r>
    <d v="2020-12-11T00:00:00"/>
    <x v="3"/>
    <x v="2"/>
    <x v="0"/>
    <n v="412035450.25"/>
    <x v="3"/>
    <x v="2"/>
    <x v="0"/>
    <x v="12"/>
    <x v="4"/>
    <x v="2"/>
    <x v="5"/>
    <x v="2"/>
    <x v="4"/>
    <n v="11"/>
    <x v="0"/>
  </r>
  <r>
    <d v="2020-12-11T00:00:00"/>
    <x v="3"/>
    <x v="2"/>
    <x v="1"/>
    <n v="15000065692.629999"/>
    <x v="3"/>
    <x v="2"/>
    <x v="1"/>
    <x v="13"/>
    <x v="4"/>
    <x v="2"/>
    <x v="5"/>
    <x v="2"/>
    <x v="4"/>
    <n v="11"/>
    <x v="0"/>
  </r>
  <r>
    <d v="2020-12-10T00:00:00"/>
    <x v="2"/>
    <x v="1"/>
    <x v="2"/>
    <n v="5255"/>
    <x v="2"/>
    <x v="1"/>
    <x v="2"/>
    <x v="2"/>
    <x v="4"/>
    <x v="2"/>
    <x v="5"/>
    <x v="2"/>
    <x v="4"/>
    <n v="10"/>
    <x v="0"/>
  </r>
  <r>
    <d v="2020-12-10T00:00:00"/>
    <x v="1"/>
    <x v="0"/>
    <x v="2"/>
    <n v="22023.42"/>
    <x v="1"/>
    <x v="0"/>
    <x v="2"/>
    <x v="3"/>
    <x v="4"/>
    <x v="2"/>
    <x v="5"/>
    <x v="2"/>
    <x v="4"/>
    <n v="10"/>
    <x v="0"/>
  </r>
  <r>
    <d v="2020-12-10T00:00:00"/>
    <x v="0"/>
    <x v="1"/>
    <x v="0"/>
    <n v="26467695.41"/>
    <x v="0"/>
    <x v="1"/>
    <x v="0"/>
    <x v="1"/>
    <x v="4"/>
    <x v="2"/>
    <x v="5"/>
    <x v="2"/>
    <x v="4"/>
    <n v="10"/>
    <x v="0"/>
  </r>
  <r>
    <d v="2020-12-10T00:00:00"/>
    <x v="1"/>
    <x v="0"/>
    <x v="0"/>
    <n v="61663856.509999998"/>
    <x v="1"/>
    <x v="0"/>
    <x v="0"/>
    <x v="8"/>
    <x v="4"/>
    <x v="2"/>
    <x v="5"/>
    <x v="2"/>
    <x v="4"/>
    <n v="10"/>
    <x v="0"/>
  </r>
  <r>
    <d v="2020-12-10T00:00:00"/>
    <x v="3"/>
    <x v="3"/>
    <x v="1"/>
    <n v="618197.1"/>
    <x v="3"/>
    <x v="3"/>
    <x v="1"/>
    <x v="4"/>
    <x v="4"/>
    <x v="2"/>
    <x v="5"/>
    <x v="2"/>
    <x v="4"/>
    <n v="10"/>
    <x v="0"/>
  </r>
  <r>
    <d v="2020-12-10T00:00:00"/>
    <x v="0"/>
    <x v="1"/>
    <x v="1"/>
    <n v="21042125.120000001"/>
    <x v="0"/>
    <x v="1"/>
    <x v="1"/>
    <x v="5"/>
    <x v="4"/>
    <x v="2"/>
    <x v="5"/>
    <x v="2"/>
    <x v="4"/>
    <n v="10"/>
    <x v="0"/>
  </r>
  <r>
    <d v="2020-12-10T00:00:00"/>
    <x v="3"/>
    <x v="3"/>
    <x v="0"/>
    <n v="1473303479.3699999"/>
    <x v="3"/>
    <x v="3"/>
    <x v="0"/>
    <x v="10"/>
    <x v="4"/>
    <x v="2"/>
    <x v="5"/>
    <x v="2"/>
    <x v="4"/>
    <n v="10"/>
    <x v="0"/>
  </r>
  <r>
    <d v="2020-12-10T00:00:00"/>
    <x v="3"/>
    <x v="2"/>
    <x v="2"/>
    <n v="200732.55"/>
    <x v="3"/>
    <x v="2"/>
    <x v="2"/>
    <x v="6"/>
    <x v="4"/>
    <x v="2"/>
    <x v="5"/>
    <x v="2"/>
    <x v="4"/>
    <n v="10"/>
    <x v="0"/>
  </r>
  <r>
    <d v="2020-12-10T00:00:00"/>
    <x v="0"/>
    <x v="0"/>
    <x v="0"/>
    <n v="50"/>
    <x v="0"/>
    <x v="0"/>
    <x v="0"/>
    <x v="0"/>
    <x v="4"/>
    <x v="2"/>
    <x v="5"/>
    <x v="2"/>
    <x v="4"/>
    <n v="10"/>
    <x v="0"/>
  </r>
  <r>
    <d v="2020-12-10T00:00:00"/>
    <x v="2"/>
    <x v="1"/>
    <x v="0"/>
    <n v="65782382.039999999"/>
    <x v="2"/>
    <x v="1"/>
    <x v="0"/>
    <x v="7"/>
    <x v="4"/>
    <x v="2"/>
    <x v="5"/>
    <x v="2"/>
    <x v="4"/>
    <n v="10"/>
    <x v="0"/>
  </r>
  <r>
    <d v="2020-12-10T00:00:00"/>
    <x v="1"/>
    <x v="0"/>
    <x v="1"/>
    <n v="242770458.30000001"/>
    <x v="1"/>
    <x v="0"/>
    <x v="1"/>
    <x v="9"/>
    <x v="4"/>
    <x v="2"/>
    <x v="5"/>
    <x v="2"/>
    <x v="4"/>
    <n v="10"/>
    <x v="0"/>
  </r>
  <r>
    <d v="2020-12-10T00:00:00"/>
    <x v="2"/>
    <x v="1"/>
    <x v="1"/>
    <n v="238189943.49000001"/>
    <x v="2"/>
    <x v="1"/>
    <x v="1"/>
    <x v="11"/>
    <x v="4"/>
    <x v="2"/>
    <x v="5"/>
    <x v="2"/>
    <x v="4"/>
    <n v="10"/>
    <x v="0"/>
  </r>
  <r>
    <d v="2020-12-10T00:00:00"/>
    <x v="3"/>
    <x v="2"/>
    <x v="0"/>
    <n v="342447446.19"/>
    <x v="3"/>
    <x v="2"/>
    <x v="0"/>
    <x v="12"/>
    <x v="4"/>
    <x v="2"/>
    <x v="5"/>
    <x v="2"/>
    <x v="4"/>
    <n v="10"/>
    <x v="0"/>
  </r>
  <r>
    <d v="2020-12-10T00:00:00"/>
    <x v="3"/>
    <x v="1"/>
    <x v="0"/>
    <n v="11963921.74"/>
    <x v="3"/>
    <x v="1"/>
    <x v="0"/>
    <x v="13"/>
    <x v="4"/>
    <x v="2"/>
    <x v="5"/>
    <x v="2"/>
    <x v="4"/>
    <n v="10"/>
    <x v="0"/>
  </r>
  <r>
    <d v="2020-12-10T00:00:00"/>
    <x v="3"/>
    <x v="2"/>
    <x v="1"/>
    <n v="6949928013.4700003"/>
    <x v="3"/>
    <x v="2"/>
    <x v="1"/>
    <x v="14"/>
    <x v="4"/>
    <x v="2"/>
    <x v="5"/>
    <x v="2"/>
    <x v="4"/>
    <n v="10"/>
    <x v="0"/>
  </r>
  <r>
    <d v="2020-12-09T00:00:00"/>
    <x v="1"/>
    <x v="0"/>
    <x v="2"/>
    <n v="5459.53"/>
    <x v="1"/>
    <x v="0"/>
    <x v="2"/>
    <x v="1"/>
    <x v="4"/>
    <x v="2"/>
    <x v="5"/>
    <x v="2"/>
    <x v="4"/>
    <n v="9"/>
    <x v="0"/>
  </r>
  <r>
    <d v="2020-12-09T00:00:00"/>
    <x v="2"/>
    <x v="1"/>
    <x v="0"/>
    <n v="75120176.129999995"/>
    <x v="2"/>
    <x v="1"/>
    <x v="0"/>
    <x v="5"/>
    <x v="4"/>
    <x v="2"/>
    <x v="5"/>
    <x v="2"/>
    <x v="4"/>
    <n v="9"/>
    <x v="0"/>
  </r>
  <r>
    <d v="2020-12-09T00:00:00"/>
    <x v="0"/>
    <x v="1"/>
    <x v="0"/>
    <n v="15115705.92"/>
    <x v="0"/>
    <x v="1"/>
    <x v="0"/>
    <x v="0"/>
    <x v="4"/>
    <x v="2"/>
    <x v="5"/>
    <x v="2"/>
    <x v="4"/>
    <n v="9"/>
    <x v="0"/>
  </r>
  <r>
    <d v="2020-12-09T00:00:00"/>
    <x v="3"/>
    <x v="3"/>
    <x v="0"/>
    <n v="949372967.00999999"/>
    <x v="3"/>
    <x v="3"/>
    <x v="0"/>
    <x v="6"/>
    <x v="4"/>
    <x v="2"/>
    <x v="5"/>
    <x v="2"/>
    <x v="4"/>
    <n v="9"/>
    <x v="0"/>
  </r>
  <r>
    <d v="2020-12-09T00:00:00"/>
    <x v="0"/>
    <x v="0"/>
    <x v="1"/>
    <n v="-99.97"/>
    <x v="0"/>
    <x v="0"/>
    <x v="1"/>
    <x v="2"/>
    <x v="4"/>
    <x v="2"/>
    <x v="5"/>
    <x v="2"/>
    <x v="4"/>
    <n v="9"/>
    <x v="1"/>
  </r>
  <r>
    <d v="2020-12-09T00:00:00"/>
    <x v="0"/>
    <x v="1"/>
    <x v="1"/>
    <n v="30480771.559999999"/>
    <x v="0"/>
    <x v="1"/>
    <x v="1"/>
    <x v="3"/>
    <x v="4"/>
    <x v="2"/>
    <x v="5"/>
    <x v="2"/>
    <x v="4"/>
    <n v="9"/>
    <x v="0"/>
  </r>
  <r>
    <d v="2020-12-09T00:00:00"/>
    <x v="1"/>
    <x v="0"/>
    <x v="1"/>
    <n v="535298891.05000001"/>
    <x v="1"/>
    <x v="0"/>
    <x v="1"/>
    <x v="8"/>
    <x v="4"/>
    <x v="2"/>
    <x v="5"/>
    <x v="2"/>
    <x v="4"/>
    <n v="9"/>
    <x v="0"/>
  </r>
  <r>
    <d v="2020-12-09T00:00:00"/>
    <x v="3"/>
    <x v="2"/>
    <x v="2"/>
    <n v="338552"/>
    <x v="3"/>
    <x v="2"/>
    <x v="2"/>
    <x v="4"/>
    <x v="4"/>
    <x v="2"/>
    <x v="5"/>
    <x v="2"/>
    <x v="4"/>
    <n v="9"/>
    <x v="0"/>
  </r>
  <r>
    <d v="2020-12-09T00:00:00"/>
    <x v="1"/>
    <x v="0"/>
    <x v="0"/>
    <n v="71063092.469999999"/>
    <x v="1"/>
    <x v="0"/>
    <x v="0"/>
    <x v="7"/>
    <x v="4"/>
    <x v="2"/>
    <x v="5"/>
    <x v="2"/>
    <x v="4"/>
    <n v="9"/>
    <x v="0"/>
  </r>
  <r>
    <d v="2020-12-09T00:00:00"/>
    <x v="2"/>
    <x v="1"/>
    <x v="1"/>
    <n v="127680171.67"/>
    <x v="2"/>
    <x v="1"/>
    <x v="1"/>
    <x v="9"/>
    <x v="4"/>
    <x v="2"/>
    <x v="5"/>
    <x v="2"/>
    <x v="4"/>
    <n v="9"/>
    <x v="0"/>
  </r>
  <r>
    <d v="2020-12-09T00:00:00"/>
    <x v="3"/>
    <x v="2"/>
    <x v="0"/>
    <n v="416179420.18000001"/>
    <x v="3"/>
    <x v="2"/>
    <x v="0"/>
    <x v="10"/>
    <x v="4"/>
    <x v="2"/>
    <x v="5"/>
    <x v="2"/>
    <x v="4"/>
    <n v="9"/>
    <x v="0"/>
  </r>
  <r>
    <d v="2020-12-09T00:00:00"/>
    <x v="3"/>
    <x v="2"/>
    <x v="1"/>
    <n v="9378616369.5699997"/>
    <x v="3"/>
    <x v="2"/>
    <x v="1"/>
    <x v="11"/>
    <x v="4"/>
    <x v="2"/>
    <x v="5"/>
    <x v="2"/>
    <x v="4"/>
    <n v="9"/>
    <x v="0"/>
  </r>
  <r>
    <d v="2020-12-09T00:00:00"/>
    <x v="3"/>
    <x v="1"/>
    <x v="0"/>
    <n v="12238517.050000001"/>
    <x v="3"/>
    <x v="1"/>
    <x v="0"/>
    <x v="12"/>
    <x v="4"/>
    <x v="2"/>
    <x v="5"/>
    <x v="2"/>
    <x v="4"/>
    <n v="9"/>
    <x v="0"/>
  </r>
  <r>
    <d v="2020-12-08T00:00:00"/>
    <x v="2"/>
    <x v="1"/>
    <x v="0"/>
    <n v="92745867.540000007"/>
    <x v="2"/>
    <x v="1"/>
    <x v="0"/>
    <x v="6"/>
    <x v="4"/>
    <x v="2"/>
    <x v="5"/>
    <x v="2"/>
    <x v="4"/>
    <n v="8"/>
    <x v="0"/>
  </r>
  <r>
    <d v="2020-12-08T00:00:00"/>
    <x v="3"/>
    <x v="3"/>
    <x v="0"/>
    <n v="991855452.11000001"/>
    <x v="3"/>
    <x v="3"/>
    <x v="0"/>
    <x v="7"/>
    <x v="4"/>
    <x v="2"/>
    <x v="5"/>
    <x v="2"/>
    <x v="4"/>
    <n v="8"/>
    <x v="0"/>
  </r>
  <r>
    <d v="2020-12-08T00:00:00"/>
    <x v="0"/>
    <x v="1"/>
    <x v="1"/>
    <n v="16836306.41"/>
    <x v="0"/>
    <x v="1"/>
    <x v="1"/>
    <x v="4"/>
    <x v="4"/>
    <x v="2"/>
    <x v="5"/>
    <x v="2"/>
    <x v="4"/>
    <n v="8"/>
    <x v="0"/>
  </r>
  <r>
    <d v="2020-12-08T00:00:00"/>
    <x v="1"/>
    <x v="0"/>
    <x v="1"/>
    <n v="333264207.18000001"/>
    <x v="1"/>
    <x v="0"/>
    <x v="1"/>
    <x v="9"/>
    <x v="4"/>
    <x v="2"/>
    <x v="5"/>
    <x v="2"/>
    <x v="4"/>
    <n v="8"/>
    <x v="0"/>
  </r>
  <r>
    <d v="2020-12-08T00:00:00"/>
    <x v="3"/>
    <x v="2"/>
    <x v="2"/>
    <n v="491386.59"/>
    <x v="3"/>
    <x v="2"/>
    <x v="2"/>
    <x v="5"/>
    <x v="4"/>
    <x v="2"/>
    <x v="5"/>
    <x v="2"/>
    <x v="4"/>
    <n v="8"/>
    <x v="0"/>
  </r>
  <r>
    <d v="2020-12-08T00:00:00"/>
    <x v="2"/>
    <x v="1"/>
    <x v="2"/>
    <n v="87370.45"/>
    <x v="2"/>
    <x v="1"/>
    <x v="2"/>
    <x v="2"/>
    <x v="4"/>
    <x v="2"/>
    <x v="5"/>
    <x v="2"/>
    <x v="4"/>
    <n v="8"/>
    <x v="0"/>
  </r>
  <r>
    <d v="2020-12-08T00:00:00"/>
    <x v="0"/>
    <x v="1"/>
    <x v="0"/>
    <n v="13378733.16"/>
    <x v="0"/>
    <x v="1"/>
    <x v="0"/>
    <x v="1"/>
    <x v="4"/>
    <x v="2"/>
    <x v="5"/>
    <x v="2"/>
    <x v="4"/>
    <n v="8"/>
    <x v="0"/>
  </r>
  <r>
    <d v="2020-12-08T00:00:00"/>
    <x v="0"/>
    <x v="0"/>
    <x v="0"/>
    <n v="4489.7"/>
    <x v="0"/>
    <x v="0"/>
    <x v="0"/>
    <x v="0"/>
    <x v="4"/>
    <x v="2"/>
    <x v="5"/>
    <x v="2"/>
    <x v="4"/>
    <n v="8"/>
    <x v="0"/>
  </r>
  <r>
    <d v="2020-12-08T00:00:00"/>
    <x v="1"/>
    <x v="0"/>
    <x v="2"/>
    <n v="34856.93"/>
    <x v="1"/>
    <x v="0"/>
    <x v="2"/>
    <x v="3"/>
    <x v="4"/>
    <x v="2"/>
    <x v="5"/>
    <x v="2"/>
    <x v="4"/>
    <n v="8"/>
    <x v="0"/>
  </r>
  <r>
    <d v="2020-12-08T00:00:00"/>
    <x v="1"/>
    <x v="0"/>
    <x v="0"/>
    <n v="49873708.189999998"/>
    <x v="1"/>
    <x v="0"/>
    <x v="0"/>
    <x v="8"/>
    <x v="4"/>
    <x v="2"/>
    <x v="5"/>
    <x v="2"/>
    <x v="4"/>
    <n v="8"/>
    <x v="0"/>
  </r>
  <r>
    <d v="2020-12-08T00:00:00"/>
    <x v="2"/>
    <x v="1"/>
    <x v="1"/>
    <n v="181214060.30000001"/>
    <x v="2"/>
    <x v="1"/>
    <x v="1"/>
    <x v="10"/>
    <x v="4"/>
    <x v="2"/>
    <x v="5"/>
    <x v="2"/>
    <x v="4"/>
    <n v="8"/>
    <x v="0"/>
  </r>
  <r>
    <d v="2020-12-08T00:00:00"/>
    <x v="3"/>
    <x v="2"/>
    <x v="0"/>
    <n v="769989531.91999996"/>
    <x v="3"/>
    <x v="2"/>
    <x v="0"/>
    <x v="11"/>
    <x v="4"/>
    <x v="2"/>
    <x v="5"/>
    <x v="2"/>
    <x v="4"/>
    <n v="8"/>
    <x v="0"/>
  </r>
  <r>
    <d v="2020-12-08T00:00:00"/>
    <x v="3"/>
    <x v="1"/>
    <x v="0"/>
    <n v="11437496.380000001"/>
    <x v="3"/>
    <x v="1"/>
    <x v="0"/>
    <x v="12"/>
    <x v="4"/>
    <x v="2"/>
    <x v="5"/>
    <x v="2"/>
    <x v="4"/>
    <n v="8"/>
    <x v="0"/>
  </r>
  <r>
    <d v="2020-12-08T00:00:00"/>
    <x v="3"/>
    <x v="2"/>
    <x v="1"/>
    <n v="3341725825.5999999"/>
    <x v="3"/>
    <x v="2"/>
    <x v="1"/>
    <x v="13"/>
    <x v="4"/>
    <x v="2"/>
    <x v="5"/>
    <x v="2"/>
    <x v="4"/>
    <n v="8"/>
    <x v="0"/>
  </r>
  <r>
    <d v="2020-12-07T00:00:00"/>
    <x v="1"/>
    <x v="0"/>
    <x v="2"/>
    <n v="34424.980000000003"/>
    <x v="1"/>
    <x v="0"/>
    <x v="2"/>
    <x v="2"/>
    <x v="4"/>
    <x v="2"/>
    <x v="5"/>
    <x v="2"/>
    <x v="4"/>
    <n v="7"/>
    <x v="0"/>
  </r>
  <r>
    <d v="2020-12-07T00:00:00"/>
    <x v="2"/>
    <x v="1"/>
    <x v="0"/>
    <n v="76968601.549999997"/>
    <x v="2"/>
    <x v="1"/>
    <x v="0"/>
    <x v="7"/>
    <x v="4"/>
    <x v="2"/>
    <x v="5"/>
    <x v="2"/>
    <x v="4"/>
    <n v="7"/>
    <x v="0"/>
  </r>
  <r>
    <d v="2020-12-07T00:00:00"/>
    <x v="3"/>
    <x v="2"/>
    <x v="2"/>
    <n v="398789.58"/>
    <x v="3"/>
    <x v="2"/>
    <x v="2"/>
    <x v="6"/>
    <x v="4"/>
    <x v="2"/>
    <x v="5"/>
    <x v="2"/>
    <x v="4"/>
    <n v="7"/>
    <x v="0"/>
  </r>
  <r>
    <d v="2020-12-07T00:00:00"/>
    <x v="1"/>
    <x v="0"/>
    <x v="0"/>
    <n v="42431673.350000001"/>
    <x v="1"/>
    <x v="0"/>
    <x v="0"/>
    <x v="8"/>
    <x v="4"/>
    <x v="2"/>
    <x v="5"/>
    <x v="2"/>
    <x v="4"/>
    <n v="7"/>
    <x v="0"/>
  </r>
  <r>
    <d v="2020-12-07T00:00:00"/>
    <x v="0"/>
    <x v="1"/>
    <x v="1"/>
    <n v="41130461.909999996"/>
    <x v="0"/>
    <x v="1"/>
    <x v="1"/>
    <x v="5"/>
    <x v="4"/>
    <x v="2"/>
    <x v="5"/>
    <x v="2"/>
    <x v="4"/>
    <n v="7"/>
    <x v="0"/>
  </r>
  <r>
    <d v="2020-12-07T00:00:00"/>
    <x v="1"/>
    <x v="0"/>
    <x v="1"/>
    <n v="237310314.56999999"/>
    <x v="1"/>
    <x v="0"/>
    <x v="1"/>
    <x v="10"/>
    <x v="4"/>
    <x v="2"/>
    <x v="5"/>
    <x v="2"/>
    <x v="4"/>
    <n v="7"/>
    <x v="0"/>
  </r>
  <r>
    <d v="2020-12-07T00:00:00"/>
    <x v="0"/>
    <x v="1"/>
    <x v="0"/>
    <n v="14367420.92"/>
    <x v="0"/>
    <x v="1"/>
    <x v="0"/>
    <x v="1"/>
    <x v="4"/>
    <x v="2"/>
    <x v="5"/>
    <x v="2"/>
    <x v="4"/>
    <n v="7"/>
    <x v="0"/>
  </r>
  <r>
    <d v="2020-12-07T00:00:00"/>
    <x v="0"/>
    <x v="0"/>
    <x v="0"/>
    <n v="4020"/>
    <x v="0"/>
    <x v="0"/>
    <x v="0"/>
    <x v="0"/>
    <x v="4"/>
    <x v="2"/>
    <x v="5"/>
    <x v="2"/>
    <x v="4"/>
    <n v="7"/>
    <x v="0"/>
  </r>
  <r>
    <d v="2020-12-07T00:00:00"/>
    <x v="2"/>
    <x v="1"/>
    <x v="1"/>
    <n v="86605961.670000002"/>
    <x v="2"/>
    <x v="1"/>
    <x v="1"/>
    <x v="11"/>
    <x v="4"/>
    <x v="2"/>
    <x v="5"/>
    <x v="2"/>
    <x v="4"/>
    <n v="7"/>
    <x v="0"/>
  </r>
  <r>
    <d v="2020-12-07T00:00:00"/>
    <x v="3"/>
    <x v="3"/>
    <x v="0"/>
    <n v="1212010443.01"/>
    <x v="3"/>
    <x v="3"/>
    <x v="0"/>
    <x v="9"/>
    <x v="4"/>
    <x v="2"/>
    <x v="5"/>
    <x v="2"/>
    <x v="4"/>
    <n v="7"/>
    <x v="0"/>
  </r>
  <r>
    <d v="2020-12-07T00:00:00"/>
    <x v="3"/>
    <x v="3"/>
    <x v="1"/>
    <n v="5339"/>
    <x v="3"/>
    <x v="3"/>
    <x v="1"/>
    <x v="4"/>
    <x v="4"/>
    <x v="2"/>
    <x v="5"/>
    <x v="2"/>
    <x v="4"/>
    <n v="7"/>
    <x v="0"/>
  </r>
  <r>
    <d v="2020-12-07T00:00:00"/>
    <x v="0"/>
    <x v="0"/>
    <x v="1"/>
    <n v="99.97"/>
    <x v="0"/>
    <x v="0"/>
    <x v="1"/>
    <x v="3"/>
    <x v="4"/>
    <x v="2"/>
    <x v="5"/>
    <x v="2"/>
    <x v="4"/>
    <n v="7"/>
    <x v="0"/>
  </r>
  <r>
    <d v="2020-12-07T00:00:00"/>
    <x v="3"/>
    <x v="2"/>
    <x v="0"/>
    <n v="425023957.70999998"/>
    <x v="3"/>
    <x v="2"/>
    <x v="0"/>
    <x v="12"/>
    <x v="4"/>
    <x v="2"/>
    <x v="5"/>
    <x v="2"/>
    <x v="4"/>
    <n v="7"/>
    <x v="0"/>
  </r>
  <r>
    <d v="2020-12-07T00:00:00"/>
    <x v="3"/>
    <x v="2"/>
    <x v="1"/>
    <n v="14746741387.66"/>
    <x v="3"/>
    <x v="2"/>
    <x v="1"/>
    <x v="13"/>
    <x v="4"/>
    <x v="2"/>
    <x v="5"/>
    <x v="2"/>
    <x v="4"/>
    <n v="7"/>
    <x v="0"/>
  </r>
  <r>
    <d v="2020-12-07T00:00:00"/>
    <x v="3"/>
    <x v="1"/>
    <x v="0"/>
    <n v="42158354.530000001"/>
    <x v="3"/>
    <x v="1"/>
    <x v="0"/>
    <x v="14"/>
    <x v="4"/>
    <x v="2"/>
    <x v="5"/>
    <x v="2"/>
    <x v="4"/>
    <n v="7"/>
    <x v="0"/>
  </r>
  <r>
    <d v="2020-12-04T00:00:00"/>
    <x v="1"/>
    <x v="0"/>
    <x v="2"/>
    <n v="17517.84"/>
    <x v="1"/>
    <x v="0"/>
    <x v="2"/>
    <x v="1"/>
    <x v="4"/>
    <x v="2"/>
    <x v="5"/>
    <x v="2"/>
    <x v="4"/>
    <n v="4"/>
    <x v="0"/>
  </r>
  <r>
    <d v="2020-12-04T00:00:00"/>
    <x v="2"/>
    <x v="1"/>
    <x v="0"/>
    <n v="86943744.799999997"/>
    <x v="2"/>
    <x v="1"/>
    <x v="0"/>
    <x v="5"/>
    <x v="4"/>
    <x v="2"/>
    <x v="5"/>
    <x v="2"/>
    <x v="4"/>
    <n v="4"/>
    <x v="0"/>
  </r>
  <r>
    <d v="2020-12-04T00:00:00"/>
    <x v="2"/>
    <x v="1"/>
    <x v="2"/>
    <n v="10943.42"/>
    <x v="2"/>
    <x v="1"/>
    <x v="2"/>
    <x v="2"/>
    <x v="4"/>
    <x v="2"/>
    <x v="5"/>
    <x v="2"/>
    <x v="4"/>
    <n v="4"/>
    <x v="0"/>
  </r>
  <r>
    <d v="2020-12-04T00:00:00"/>
    <x v="3"/>
    <x v="3"/>
    <x v="0"/>
    <n v="1720046237.3199999"/>
    <x v="3"/>
    <x v="3"/>
    <x v="0"/>
    <x v="6"/>
    <x v="4"/>
    <x v="2"/>
    <x v="5"/>
    <x v="2"/>
    <x v="4"/>
    <n v="4"/>
    <x v="0"/>
  </r>
  <r>
    <d v="2020-12-04T00:00:00"/>
    <x v="1"/>
    <x v="0"/>
    <x v="0"/>
    <n v="53587604.130000003"/>
    <x v="1"/>
    <x v="0"/>
    <x v="0"/>
    <x v="7"/>
    <x v="4"/>
    <x v="2"/>
    <x v="5"/>
    <x v="2"/>
    <x v="4"/>
    <n v="4"/>
    <x v="0"/>
  </r>
  <r>
    <d v="2020-12-04T00:00:00"/>
    <x v="1"/>
    <x v="0"/>
    <x v="1"/>
    <n v="103113203.94"/>
    <x v="1"/>
    <x v="0"/>
    <x v="1"/>
    <x v="8"/>
    <x v="4"/>
    <x v="2"/>
    <x v="5"/>
    <x v="2"/>
    <x v="4"/>
    <n v="4"/>
    <x v="0"/>
  </r>
  <r>
    <d v="2020-12-04T00:00:00"/>
    <x v="2"/>
    <x v="1"/>
    <x v="1"/>
    <n v="68452772.359999999"/>
    <x v="2"/>
    <x v="1"/>
    <x v="1"/>
    <x v="9"/>
    <x v="4"/>
    <x v="2"/>
    <x v="5"/>
    <x v="2"/>
    <x v="4"/>
    <n v="4"/>
    <x v="0"/>
  </r>
  <r>
    <d v="2020-12-04T00:00:00"/>
    <x v="3"/>
    <x v="2"/>
    <x v="2"/>
    <n v="1675001"/>
    <x v="3"/>
    <x v="2"/>
    <x v="2"/>
    <x v="4"/>
    <x v="4"/>
    <x v="2"/>
    <x v="5"/>
    <x v="2"/>
    <x v="4"/>
    <n v="4"/>
    <x v="0"/>
  </r>
  <r>
    <d v="2020-12-04T00:00:00"/>
    <x v="0"/>
    <x v="1"/>
    <x v="0"/>
    <n v="22271235.300000001"/>
    <x v="0"/>
    <x v="1"/>
    <x v="0"/>
    <x v="0"/>
    <x v="4"/>
    <x v="2"/>
    <x v="5"/>
    <x v="2"/>
    <x v="4"/>
    <n v="4"/>
    <x v="0"/>
  </r>
  <r>
    <d v="2020-12-04T00:00:00"/>
    <x v="0"/>
    <x v="1"/>
    <x v="1"/>
    <n v="80272545.920000002"/>
    <x v="0"/>
    <x v="1"/>
    <x v="1"/>
    <x v="3"/>
    <x v="4"/>
    <x v="2"/>
    <x v="5"/>
    <x v="2"/>
    <x v="4"/>
    <n v="4"/>
    <x v="0"/>
  </r>
  <r>
    <d v="2020-12-04T00:00:00"/>
    <x v="3"/>
    <x v="1"/>
    <x v="0"/>
    <n v="13371775.51"/>
    <x v="3"/>
    <x v="1"/>
    <x v="0"/>
    <x v="10"/>
    <x v="4"/>
    <x v="2"/>
    <x v="5"/>
    <x v="2"/>
    <x v="4"/>
    <n v="4"/>
    <x v="0"/>
  </r>
  <r>
    <d v="2020-12-04T00:00:00"/>
    <x v="3"/>
    <x v="2"/>
    <x v="0"/>
    <n v="435235451.23000002"/>
    <x v="3"/>
    <x v="2"/>
    <x v="0"/>
    <x v="11"/>
    <x v="4"/>
    <x v="2"/>
    <x v="5"/>
    <x v="2"/>
    <x v="4"/>
    <n v="4"/>
    <x v="0"/>
  </r>
  <r>
    <d v="2020-12-04T00:00:00"/>
    <x v="3"/>
    <x v="2"/>
    <x v="1"/>
    <n v="9968545438.5100002"/>
    <x v="3"/>
    <x v="2"/>
    <x v="1"/>
    <x v="12"/>
    <x v="4"/>
    <x v="2"/>
    <x v="5"/>
    <x v="2"/>
    <x v="4"/>
    <n v="4"/>
    <x v="0"/>
  </r>
  <r>
    <d v="2020-12-03T00:00:00"/>
    <x v="2"/>
    <x v="1"/>
    <x v="0"/>
    <n v="81112485.040000007"/>
    <x v="2"/>
    <x v="1"/>
    <x v="0"/>
    <x v="6"/>
    <x v="4"/>
    <x v="2"/>
    <x v="5"/>
    <x v="2"/>
    <x v="4"/>
    <n v="3"/>
    <x v="0"/>
  </r>
  <r>
    <d v="2020-12-03T00:00:00"/>
    <x v="1"/>
    <x v="0"/>
    <x v="2"/>
    <n v="5482.48"/>
    <x v="1"/>
    <x v="0"/>
    <x v="2"/>
    <x v="2"/>
    <x v="4"/>
    <x v="2"/>
    <x v="5"/>
    <x v="2"/>
    <x v="4"/>
    <n v="3"/>
    <x v="0"/>
  </r>
  <r>
    <d v="2020-12-03T00:00:00"/>
    <x v="3"/>
    <x v="3"/>
    <x v="1"/>
    <n v="1018.12"/>
    <x v="3"/>
    <x v="3"/>
    <x v="1"/>
    <x v="3"/>
    <x v="4"/>
    <x v="2"/>
    <x v="5"/>
    <x v="2"/>
    <x v="4"/>
    <n v="3"/>
    <x v="0"/>
  </r>
  <r>
    <d v="2020-12-03T00:00:00"/>
    <x v="0"/>
    <x v="1"/>
    <x v="1"/>
    <n v="108323820.62"/>
    <x v="0"/>
    <x v="1"/>
    <x v="1"/>
    <x v="4"/>
    <x v="4"/>
    <x v="2"/>
    <x v="5"/>
    <x v="2"/>
    <x v="4"/>
    <n v="3"/>
    <x v="0"/>
  </r>
  <r>
    <d v="2020-12-03T00:00:00"/>
    <x v="1"/>
    <x v="0"/>
    <x v="0"/>
    <n v="50127533.579999998"/>
    <x v="1"/>
    <x v="0"/>
    <x v="0"/>
    <x v="7"/>
    <x v="4"/>
    <x v="2"/>
    <x v="5"/>
    <x v="2"/>
    <x v="4"/>
    <n v="3"/>
    <x v="0"/>
  </r>
  <r>
    <d v="2020-12-03T00:00:00"/>
    <x v="3"/>
    <x v="3"/>
    <x v="0"/>
    <n v="908558389.08000004"/>
    <x v="3"/>
    <x v="3"/>
    <x v="0"/>
    <x v="8"/>
    <x v="4"/>
    <x v="2"/>
    <x v="5"/>
    <x v="2"/>
    <x v="4"/>
    <n v="3"/>
    <x v="0"/>
  </r>
  <r>
    <d v="2020-12-03T00:00:00"/>
    <x v="3"/>
    <x v="2"/>
    <x v="2"/>
    <n v="741087.09"/>
    <x v="3"/>
    <x v="2"/>
    <x v="2"/>
    <x v="5"/>
    <x v="4"/>
    <x v="2"/>
    <x v="5"/>
    <x v="2"/>
    <x v="4"/>
    <n v="3"/>
    <x v="0"/>
  </r>
  <r>
    <d v="2020-12-03T00:00:00"/>
    <x v="0"/>
    <x v="0"/>
    <x v="0"/>
    <n v="5200"/>
    <x v="0"/>
    <x v="0"/>
    <x v="0"/>
    <x v="0"/>
    <x v="4"/>
    <x v="2"/>
    <x v="5"/>
    <x v="2"/>
    <x v="4"/>
    <n v="3"/>
    <x v="0"/>
  </r>
  <r>
    <d v="2020-12-03T00:00:00"/>
    <x v="0"/>
    <x v="1"/>
    <x v="0"/>
    <n v="25703165.93"/>
    <x v="0"/>
    <x v="1"/>
    <x v="0"/>
    <x v="1"/>
    <x v="4"/>
    <x v="2"/>
    <x v="5"/>
    <x v="2"/>
    <x v="4"/>
    <n v="3"/>
    <x v="0"/>
  </r>
  <r>
    <d v="2020-12-03T00:00:00"/>
    <x v="1"/>
    <x v="0"/>
    <x v="1"/>
    <n v="195655347.34"/>
    <x v="1"/>
    <x v="0"/>
    <x v="1"/>
    <x v="9"/>
    <x v="4"/>
    <x v="2"/>
    <x v="5"/>
    <x v="2"/>
    <x v="4"/>
    <n v="3"/>
    <x v="0"/>
  </r>
  <r>
    <d v="2020-12-03T00:00:00"/>
    <x v="2"/>
    <x v="1"/>
    <x v="1"/>
    <n v="111894909.67"/>
    <x v="2"/>
    <x v="1"/>
    <x v="1"/>
    <x v="10"/>
    <x v="4"/>
    <x v="2"/>
    <x v="5"/>
    <x v="2"/>
    <x v="4"/>
    <n v="3"/>
    <x v="0"/>
  </r>
  <r>
    <d v="2020-12-03T00:00:00"/>
    <x v="3"/>
    <x v="1"/>
    <x v="0"/>
    <n v="13986067.23"/>
    <x v="3"/>
    <x v="1"/>
    <x v="0"/>
    <x v="11"/>
    <x v="4"/>
    <x v="2"/>
    <x v="5"/>
    <x v="2"/>
    <x v="4"/>
    <n v="3"/>
    <x v="0"/>
  </r>
  <r>
    <d v="2020-12-03T00:00:00"/>
    <x v="3"/>
    <x v="2"/>
    <x v="0"/>
    <n v="754241069.25"/>
    <x v="3"/>
    <x v="2"/>
    <x v="0"/>
    <x v="12"/>
    <x v="4"/>
    <x v="2"/>
    <x v="5"/>
    <x v="2"/>
    <x v="4"/>
    <n v="3"/>
    <x v="0"/>
  </r>
  <r>
    <d v="2020-12-03T00:00:00"/>
    <x v="3"/>
    <x v="2"/>
    <x v="1"/>
    <n v="6505038022.0699997"/>
    <x v="3"/>
    <x v="2"/>
    <x v="1"/>
    <x v="13"/>
    <x v="4"/>
    <x v="2"/>
    <x v="5"/>
    <x v="2"/>
    <x v="4"/>
    <n v="3"/>
    <x v="0"/>
  </r>
  <r>
    <d v="2020-12-02T00:00:00"/>
    <x v="3"/>
    <x v="2"/>
    <x v="2"/>
    <n v="504221.84"/>
    <x v="3"/>
    <x v="2"/>
    <x v="2"/>
    <x v="4"/>
    <x v="4"/>
    <x v="2"/>
    <x v="5"/>
    <x v="2"/>
    <x v="4"/>
    <n v="2"/>
    <x v="0"/>
  </r>
  <r>
    <d v="2020-12-02T00:00:00"/>
    <x v="0"/>
    <x v="1"/>
    <x v="1"/>
    <n v="111964463.86"/>
    <x v="0"/>
    <x v="1"/>
    <x v="1"/>
    <x v="3"/>
    <x v="4"/>
    <x v="2"/>
    <x v="5"/>
    <x v="2"/>
    <x v="4"/>
    <n v="2"/>
    <x v="0"/>
  </r>
  <r>
    <d v="2020-12-02T00:00:00"/>
    <x v="1"/>
    <x v="0"/>
    <x v="1"/>
    <n v="224144211.72"/>
    <x v="1"/>
    <x v="0"/>
    <x v="1"/>
    <x v="8"/>
    <x v="4"/>
    <x v="2"/>
    <x v="5"/>
    <x v="2"/>
    <x v="4"/>
    <n v="2"/>
    <x v="0"/>
  </r>
  <r>
    <d v="2020-12-02T00:00:00"/>
    <x v="1"/>
    <x v="0"/>
    <x v="2"/>
    <n v="16189.64"/>
    <x v="1"/>
    <x v="0"/>
    <x v="2"/>
    <x v="2"/>
    <x v="4"/>
    <x v="2"/>
    <x v="5"/>
    <x v="2"/>
    <x v="4"/>
    <n v="2"/>
    <x v="0"/>
  </r>
  <r>
    <d v="2020-12-02T00:00:00"/>
    <x v="2"/>
    <x v="1"/>
    <x v="0"/>
    <n v="78933387.400000006"/>
    <x v="2"/>
    <x v="1"/>
    <x v="0"/>
    <x v="5"/>
    <x v="4"/>
    <x v="2"/>
    <x v="5"/>
    <x v="2"/>
    <x v="4"/>
    <n v="2"/>
    <x v="0"/>
  </r>
  <r>
    <d v="2020-12-02T00:00:00"/>
    <x v="0"/>
    <x v="0"/>
    <x v="0"/>
    <n v="100"/>
    <x v="0"/>
    <x v="0"/>
    <x v="0"/>
    <x v="0"/>
    <x v="4"/>
    <x v="2"/>
    <x v="5"/>
    <x v="2"/>
    <x v="4"/>
    <n v="2"/>
    <x v="0"/>
  </r>
  <r>
    <d v="2020-12-02T00:00:00"/>
    <x v="0"/>
    <x v="1"/>
    <x v="0"/>
    <n v="13527140.01"/>
    <x v="0"/>
    <x v="1"/>
    <x v="0"/>
    <x v="1"/>
    <x v="4"/>
    <x v="2"/>
    <x v="5"/>
    <x v="2"/>
    <x v="4"/>
    <n v="2"/>
    <x v="0"/>
  </r>
  <r>
    <d v="2020-12-02T00:00:00"/>
    <x v="3"/>
    <x v="3"/>
    <x v="0"/>
    <n v="1564172680.5799999"/>
    <x v="3"/>
    <x v="3"/>
    <x v="0"/>
    <x v="6"/>
    <x v="4"/>
    <x v="2"/>
    <x v="5"/>
    <x v="2"/>
    <x v="4"/>
    <n v="2"/>
    <x v="0"/>
  </r>
  <r>
    <d v="2020-12-02T00:00:00"/>
    <x v="1"/>
    <x v="0"/>
    <x v="0"/>
    <n v="59619539.140000001"/>
    <x v="1"/>
    <x v="0"/>
    <x v="0"/>
    <x v="7"/>
    <x v="4"/>
    <x v="2"/>
    <x v="5"/>
    <x v="2"/>
    <x v="4"/>
    <n v="2"/>
    <x v="0"/>
  </r>
  <r>
    <d v="2020-12-02T00:00:00"/>
    <x v="2"/>
    <x v="1"/>
    <x v="1"/>
    <n v="192156312.49000001"/>
    <x v="2"/>
    <x v="1"/>
    <x v="1"/>
    <x v="9"/>
    <x v="4"/>
    <x v="2"/>
    <x v="5"/>
    <x v="2"/>
    <x v="4"/>
    <n v="2"/>
    <x v="0"/>
  </r>
  <r>
    <d v="2020-12-02T00:00:00"/>
    <x v="3"/>
    <x v="1"/>
    <x v="0"/>
    <n v="13575458.310000001"/>
    <x v="3"/>
    <x v="1"/>
    <x v="0"/>
    <x v="10"/>
    <x v="4"/>
    <x v="2"/>
    <x v="5"/>
    <x v="2"/>
    <x v="4"/>
    <n v="2"/>
    <x v="0"/>
  </r>
  <r>
    <d v="2020-12-02T00:00:00"/>
    <x v="3"/>
    <x v="2"/>
    <x v="0"/>
    <n v="404080861.12"/>
    <x v="3"/>
    <x v="2"/>
    <x v="0"/>
    <x v="11"/>
    <x v="4"/>
    <x v="2"/>
    <x v="5"/>
    <x v="2"/>
    <x v="4"/>
    <n v="2"/>
    <x v="0"/>
  </r>
  <r>
    <d v="2020-12-02T00:00:00"/>
    <x v="3"/>
    <x v="2"/>
    <x v="1"/>
    <n v="12055593158.41"/>
    <x v="3"/>
    <x v="2"/>
    <x v="1"/>
    <x v="12"/>
    <x v="4"/>
    <x v="2"/>
    <x v="5"/>
    <x v="2"/>
    <x v="4"/>
    <n v="2"/>
    <x v="0"/>
  </r>
  <r>
    <d v="2020-12-01T00:00:00"/>
    <x v="2"/>
    <x v="1"/>
    <x v="0"/>
    <n v="84387023.870000005"/>
    <x v="2"/>
    <x v="1"/>
    <x v="0"/>
    <x v="6"/>
    <x v="4"/>
    <x v="2"/>
    <x v="5"/>
    <x v="2"/>
    <x v="4"/>
    <n v="1"/>
    <x v="0"/>
  </r>
  <r>
    <d v="2020-12-01T00:00:00"/>
    <x v="0"/>
    <x v="1"/>
    <x v="1"/>
    <n v="96597153.269999996"/>
    <x v="0"/>
    <x v="1"/>
    <x v="1"/>
    <x v="4"/>
    <x v="4"/>
    <x v="2"/>
    <x v="5"/>
    <x v="2"/>
    <x v="4"/>
    <n v="1"/>
    <x v="0"/>
  </r>
  <r>
    <d v="2020-12-01T00:00:00"/>
    <x v="3"/>
    <x v="2"/>
    <x v="2"/>
    <n v="412509.9"/>
    <x v="3"/>
    <x v="2"/>
    <x v="2"/>
    <x v="5"/>
    <x v="4"/>
    <x v="2"/>
    <x v="5"/>
    <x v="2"/>
    <x v="4"/>
    <n v="1"/>
    <x v="0"/>
  </r>
  <r>
    <d v="2020-12-01T00:00:00"/>
    <x v="2"/>
    <x v="1"/>
    <x v="2"/>
    <n v="88252.6"/>
    <x v="2"/>
    <x v="1"/>
    <x v="2"/>
    <x v="2"/>
    <x v="4"/>
    <x v="2"/>
    <x v="5"/>
    <x v="2"/>
    <x v="4"/>
    <n v="1"/>
    <x v="0"/>
  </r>
  <r>
    <d v="2020-12-01T00:00:00"/>
    <x v="1"/>
    <x v="0"/>
    <x v="2"/>
    <n v="39080.32"/>
    <x v="1"/>
    <x v="0"/>
    <x v="2"/>
    <x v="3"/>
    <x v="4"/>
    <x v="2"/>
    <x v="5"/>
    <x v="2"/>
    <x v="4"/>
    <n v="1"/>
    <x v="0"/>
  </r>
  <r>
    <d v="2020-12-01T00:00:00"/>
    <x v="0"/>
    <x v="1"/>
    <x v="0"/>
    <n v="21337343.260000002"/>
    <x v="0"/>
    <x v="1"/>
    <x v="0"/>
    <x v="1"/>
    <x v="4"/>
    <x v="2"/>
    <x v="5"/>
    <x v="2"/>
    <x v="4"/>
    <n v="1"/>
    <x v="0"/>
  </r>
  <r>
    <d v="2020-12-01T00:00:00"/>
    <x v="0"/>
    <x v="0"/>
    <x v="0"/>
    <n v="3836.2"/>
    <x v="0"/>
    <x v="0"/>
    <x v="0"/>
    <x v="0"/>
    <x v="4"/>
    <x v="2"/>
    <x v="5"/>
    <x v="2"/>
    <x v="4"/>
    <n v="1"/>
    <x v="0"/>
  </r>
  <r>
    <d v="2020-12-01T00:00:00"/>
    <x v="1"/>
    <x v="0"/>
    <x v="0"/>
    <n v="79793518.010000005"/>
    <x v="1"/>
    <x v="0"/>
    <x v="0"/>
    <x v="8"/>
    <x v="4"/>
    <x v="2"/>
    <x v="5"/>
    <x v="2"/>
    <x v="4"/>
    <n v="1"/>
    <x v="0"/>
  </r>
  <r>
    <d v="2020-12-01T00:00:00"/>
    <x v="3"/>
    <x v="3"/>
    <x v="0"/>
    <n v="3194505569.3600001"/>
    <x v="3"/>
    <x v="3"/>
    <x v="0"/>
    <x v="7"/>
    <x v="4"/>
    <x v="2"/>
    <x v="5"/>
    <x v="2"/>
    <x v="4"/>
    <n v="1"/>
    <x v="0"/>
  </r>
  <r>
    <d v="2020-12-01T00:00:00"/>
    <x v="1"/>
    <x v="0"/>
    <x v="1"/>
    <n v="328969172.22000003"/>
    <x v="1"/>
    <x v="0"/>
    <x v="1"/>
    <x v="9"/>
    <x v="4"/>
    <x v="2"/>
    <x v="5"/>
    <x v="2"/>
    <x v="4"/>
    <n v="1"/>
    <x v="0"/>
  </r>
  <r>
    <d v="2020-12-01T00:00:00"/>
    <x v="2"/>
    <x v="1"/>
    <x v="1"/>
    <n v="67309112.560000002"/>
    <x v="2"/>
    <x v="1"/>
    <x v="1"/>
    <x v="10"/>
    <x v="4"/>
    <x v="2"/>
    <x v="5"/>
    <x v="2"/>
    <x v="4"/>
    <n v="1"/>
    <x v="0"/>
  </r>
  <r>
    <d v="2020-12-01T00:00:00"/>
    <x v="3"/>
    <x v="1"/>
    <x v="0"/>
    <n v="8954142.9100000001"/>
    <x v="3"/>
    <x v="1"/>
    <x v="0"/>
    <x v="11"/>
    <x v="4"/>
    <x v="2"/>
    <x v="5"/>
    <x v="2"/>
    <x v="4"/>
    <n v="1"/>
    <x v="0"/>
  </r>
  <r>
    <d v="2020-12-01T00:00:00"/>
    <x v="3"/>
    <x v="2"/>
    <x v="0"/>
    <n v="423086453.52999997"/>
    <x v="3"/>
    <x v="2"/>
    <x v="0"/>
    <x v="12"/>
    <x v="4"/>
    <x v="2"/>
    <x v="5"/>
    <x v="2"/>
    <x v="4"/>
    <n v="1"/>
    <x v="0"/>
  </r>
  <r>
    <d v="2020-12-01T00:00:00"/>
    <x v="3"/>
    <x v="2"/>
    <x v="1"/>
    <n v="16896228893.66"/>
    <x v="3"/>
    <x v="2"/>
    <x v="1"/>
    <x v="13"/>
    <x v="4"/>
    <x v="2"/>
    <x v="5"/>
    <x v="2"/>
    <x v="4"/>
    <n v="1"/>
    <x v="0"/>
  </r>
  <r>
    <d v="2020-11-30T00:00:00"/>
    <x v="1"/>
    <x v="0"/>
    <x v="2"/>
    <n v="40856.49"/>
    <x v="1"/>
    <x v="0"/>
    <x v="2"/>
    <x v="1"/>
    <x v="4"/>
    <x v="2"/>
    <x v="5"/>
    <x v="2"/>
    <x v="5"/>
    <n v="30"/>
    <x v="0"/>
  </r>
  <r>
    <d v="2020-11-30T00:00:00"/>
    <x v="2"/>
    <x v="1"/>
    <x v="0"/>
    <n v="48581169.509999998"/>
    <x v="2"/>
    <x v="1"/>
    <x v="0"/>
    <x v="5"/>
    <x v="4"/>
    <x v="2"/>
    <x v="5"/>
    <x v="2"/>
    <x v="5"/>
    <n v="30"/>
    <x v="0"/>
  </r>
  <r>
    <d v="2020-11-30T00:00:00"/>
    <x v="1"/>
    <x v="0"/>
    <x v="0"/>
    <n v="74008046.810000002"/>
    <x v="1"/>
    <x v="0"/>
    <x v="0"/>
    <x v="7"/>
    <x v="4"/>
    <x v="2"/>
    <x v="5"/>
    <x v="2"/>
    <x v="5"/>
    <n v="30"/>
    <x v="0"/>
  </r>
  <r>
    <d v="2020-11-30T00:00:00"/>
    <x v="0"/>
    <x v="1"/>
    <x v="1"/>
    <n v="48494005.939999998"/>
    <x v="0"/>
    <x v="1"/>
    <x v="1"/>
    <x v="3"/>
    <x v="4"/>
    <x v="2"/>
    <x v="5"/>
    <x v="2"/>
    <x v="5"/>
    <n v="30"/>
    <x v="0"/>
  </r>
  <r>
    <d v="2020-11-30T00:00:00"/>
    <x v="3"/>
    <x v="2"/>
    <x v="2"/>
    <n v="248962.64"/>
    <x v="3"/>
    <x v="2"/>
    <x v="2"/>
    <x v="4"/>
    <x v="4"/>
    <x v="2"/>
    <x v="5"/>
    <x v="2"/>
    <x v="5"/>
    <n v="30"/>
    <x v="0"/>
  </r>
  <r>
    <d v="2020-11-30T00:00:00"/>
    <x v="0"/>
    <x v="1"/>
    <x v="0"/>
    <n v="10724250.699999999"/>
    <x v="0"/>
    <x v="1"/>
    <x v="0"/>
    <x v="0"/>
    <x v="4"/>
    <x v="2"/>
    <x v="5"/>
    <x v="2"/>
    <x v="5"/>
    <n v="30"/>
    <x v="0"/>
  </r>
  <r>
    <d v="2020-11-30T00:00:00"/>
    <x v="3"/>
    <x v="3"/>
    <x v="1"/>
    <n v="10298.049999999999"/>
    <x v="3"/>
    <x v="3"/>
    <x v="1"/>
    <x v="2"/>
    <x v="4"/>
    <x v="2"/>
    <x v="5"/>
    <x v="2"/>
    <x v="5"/>
    <n v="30"/>
    <x v="0"/>
  </r>
  <r>
    <d v="2020-11-30T00:00:00"/>
    <x v="3"/>
    <x v="3"/>
    <x v="0"/>
    <n v="2984245613.1900001"/>
    <x v="3"/>
    <x v="3"/>
    <x v="0"/>
    <x v="6"/>
    <x v="4"/>
    <x v="2"/>
    <x v="5"/>
    <x v="2"/>
    <x v="5"/>
    <n v="30"/>
    <x v="0"/>
  </r>
  <r>
    <d v="2020-11-30T00:00:00"/>
    <x v="1"/>
    <x v="0"/>
    <x v="1"/>
    <n v="139701577.13"/>
    <x v="1"/>
    <x v="0"/>
    <x v="1"/>
    <x v="8"/>
    <x v="4"/>
    <x v="2"/>
    <x v="5"/>
    <x v="2"/>
    <x v="5"/>
    <n v="30"/>
    <x v="0"/>
  </r>
  <r>
    <d v="2020-11-30T00:00:00"/>
    <x v="2"/>
    <x v="1"/>
    <x v="1"/>
    <n v="59703718.950000003"/>
    <x v="2"/>
    <x v="1"/>
    <x v="1"/>
    <x v="9"/>
    <x v="4"/>
    <x v="2"/>
    <x v="5"/>
    <x v="2"/>
    <x v="5"/>
    <n v="30"/>
    <x v="0"/>
  </r>
  <r>
    <d v="2020-11-30T00:00:00"/>
    <x v="3"/>
    <x v="2"/>
    <x v="0"/>
    <n v="493696739.98000002"/>
    <x v="3"/>
    <x v="2"/>
    <x v="0"/>
    <x v="10"/>
    <x v="4"/>
    <x v="2"/>
    <x v="5"/>
    <x v="2"/>
    <x v="5"/>
    <n v="30"/>
    <x v="0"/>
  </r>
  <r>
    <d v="2020-11-30T00:00:00"/>
    <x v="3"/>
    <x v="1"/>
    <x v="0"/>
    <n v="26782701.640000001"/>
    <x v="3"/>
    <x v="1"/>
    <x v="0"/>
    <x v="11"/>
    <x v="4"/>
    <x v="2"/>
    <x v="5"/>
    <x v="2"/>
    <x v="5"/>
    <n v="30"/>
    <x v="0"/>
  </r>
  <r>
    <d v="2020-11-30T00:00:00"/>
    <x v="3"/>
    <x v="2"/>
    <x v="1"/>
    <n v="16891717201.58"/>
    <x v="3"/>
    <x v="2"/>
    <x v="1"/>
    <x v="12"/>
    <x v="4"/>
    <x v="2"/>
    <x v="5"/>
    <x v="2"/>
    <x v="5"/>
    <n v="30"/>
    <x v="0"/>
  </r>
  <r>
    <d v="2020-11-27T00:00:00"/>
    <x v="1"/>
    <x v="0"/>
    <x v="2"/>
    <n v="7392.44"/>
    <x v="1"/>
    <x v="0"/>
    <x v="2"/>
    <x v="1"/>
    <x v="4"/>
    <x v="2"/>
    <x v="5"/>
    <x v="2"/>
    <x v="5"/>
    <n v="27"/>
    <x v="0"/>
  </r>
  <r>
    <d v="2020-11-27T00:00:00"/>
    <x v="2"/>
    <x v="1"/>
    <x v="0"/>
    <n v="76714614.650000006"/>
    <x v="2"/>
    <x v="1"/>
    <x v="0"/>
    <x v="5"/>
    <x v="4"/>
    <x v="2"/>
    <x v="5"/>
    <x v="2"/>
    <x v="5"/>
    <n v="27"/>
    <x v="0"/>
  </r>
  <r>
    <d v="2020-11-27T00:00:00"/>
    <x v="2"/>
    <x v="1"/>
    <x v="2"/>
    <n v="120052.84"/>
    <x v="2"/>
    <x v="1"/>
    <x v="2"/>
    <x v="2"/>
    <x v="4"/>
    <x v="2"/>
    <x v="5"/>
    <x v="2"/>
    <x v="5"/>
    <n v="27"/>
    <x v="0"/>
  </r>
  <r>
    <d v="2020-11-27T00:00:00"/>
    <x v="3"/>
    <x v="3"/>
    <x v="0"/>
    <n v="1318746829.1600001"/>
    <x v="3"/>
    <x v="3"/>
    <x v="0"/>
    <x v="6"/>
    <x v="4"/>
    <x v="2"/>
    <x v="5"/>
    <x v="2"/>
    <x v="5"/>
    <n v="27"/>
    <x v="0"/>
  </r>
  <r>
    <d v="2020-11-27T00:00:00"/>
    <x v="0"/>
    <x v="1"/>
    <x v="1"/>
    <n v="94331174.989999995"/>
    <x v="0"/>
    <x v="1"/>
    <x v="1"/>
    <x v="3"/>
    <x v="4"/>
    <x v="2"/>
    <x v="5"/>
    <x v="2"/>
    <x v="5"/>
    <n v="27"/>
    <x v="0"/>
  </r>
  <r>
    <d v="2020-11-27T00:00:00"/>
    <x v="3"/>
    <x v="2"/>
    <x v="2"/>
    <n v="402263.78"/>
    <x v="3"/>
    <x v="2"/>
    <x v="2"/>
    <x v="4"/>
    <x v="4"/>
    <x v="2"/>
    <x v="5"/>
    <x v="2"/>
    <x v="5"/>
    <n v="27"/>
    <x v="0"/>
  </r>
  <r>
    <d v="2020-11-27T00:00:00"/>
    <x v="0"/>
    <x v="1"/>
    <x v="0"/>
    <n v="8768157.1099999994"/>
    <x v="0"/>
    <x v="1"/>
    <x v="0"/>
    <x v="0"/>
    <x v="4"/>
    <x v="2"/>
    <x v="5"/>
    <x v="2"/>
    <x v="5"/>
    <n v="27"/>
    <x v="0"/>
  </r>
  <r>
    <d v="2020-11-27T00:00:00"/>
    <x v="1"/>
    <x v="0"/>
    <x v="0"/>
    <n v="72181285.239999995"/>
    <x v="1"/>
    <x v="0"/>
    <x v="0"/>
    <x v="7"/>
    <x v="4"/>
    <x v="2"/>
    <x v="5"/>
    <x v="2"/>
    <x v="5"/>
    <n v="27"/>
    <x v="0"/>
  </r>
  <r>
    <d v="2020-11-27T00:00:00"/>
    <x v="1"/>
    <x v="0"/>
    <x v="1"/>
    <n v="223384540.97"/>
    <x v="1"/>
    <x v="0"/>
    <x v="1"/>
    <x v="8"/>
    <x v="4"/>
    <x v="2"/>
    <x v="5"/>
    <x v="2"/>
    <x v="5"/>
    <n v="27"/>
    <x v="0"/>
  </r>
  <r>
    <d v="2020-11-27T00:00:00"/>
    <x v="2"/>
    <x v="1"/>
    <x v="1"/>
    <n v="338992112.39999998"/>
    <x v="2"/>
    <x v="1"/>
    <x v="1"/>
    <x v="9"/>
    <x v="4"/>
    <x v="2"/>
    <x v="5"/>
    <x v="2"/>
    <x v="5"/>
    <n v="27"/>
    <x v="0"/>
  </r>
  <r>
    <d v="2020-11-27T00:00:00"/>
    <x v="3"/>
    <x v="2"/>
    <x v="0"/>
    <n v="701545255.66999996"/>
    <x v="3"/>
    <x v="2"/>
    <x v="0"/>
    <x v="10"/>
    <x v="4"/>
    <x v="2"/>
    <x v="5"/>
    <x v="2"/>
    <x v="5"/>
    <n v="27"/>
    <x v="0"/>
  </r>
  <r>
    <d v="2020-11-27T00:00:00"/>
    <x v="3"/>
    <x v="1"/>
    <x v="0"/>
    <n v="20811068.52"/>
    <x v="3"/>
    <x v="1"/>
    <x v="0"/>
    <x v="11"/>
    <x v="4"/>
    <x v="2"/>
    <x v="5"/>
    <x v="2"/>
    <x v="5"/>
    <n v="27"/>
    <x v="0"/>
  </r>
  <r>
    <d v="2020-11-27T00:00:00"/>
    <x v="3"/>
    <x v="2"/>
    <x v="1"/>
    <n v="10933557430.35"/>
    <x v="3"/>
    <x v="2"/>
    <x v="1"/>
    <x v="12"/>
    <x v="4"/>
    <x v="2"/>
    <x v="5"/>
    <x v="2"/>
    <x v="5"/>
    <n v="27"/>
    <x v="0"/>
  </r>
  <r>
    <d v="2020-11-25T00:00:00"/>
    <x v="2"/>
    <x v="1"/>
    <x v="0"/>
    <n v="85196238.900000006"/>
    <x v="2"/>
    <x v="1"/>
    <x v="0"/>
    <x v="5"/>
    <x v="4"/>
    <x v="2"/>
    <x v="5"/>
    <x v="2"/>
    <x v="5"/>
    <n v="25"/>
    <x v="0"/>
  </r>
  <r>
    <d v="2020-11-25T00:00:00"/>
    <x v="0"/>
    <x v="1"/>
    <x v="1"/>
    <n v="79704465.329999998"/>
    <x v="0"/>
    <x v="1"/>
    <x v="1"/>
    <x v="3"/>
    <x v="4"/>
    <x v="2"/>
    <x v="5"/>
    <x v="2"/>
    <x v="5"/>
    <n v="25"/>
    <x v="0"/>
  </r>
  <r>
    <d v="2020-11-25T00:00:00"/>
    <x v="1"/>
    <x v="0"/>
    <x v="1"/>
    <n v="416073189.5"/>
    <x v="1"/>
    <x v="0"/>
    <x v="1"/>
    <x v="7"/>
    <x v="4"/>
    <x v="2"/>
    <x v="5"/>
    <x v="2"/>
    <x v="5"/>
    <n v="25"/>
    <x v="0"/>
  </r>
  <r>
    <d v="2020-11-25T00:00:00"/>
    <x v="3"/>
    <x v="3"/>
    <x v="0"/>
    <n v="1921345617.0599999"/>
    <x v="3"/>
    <x v="3"/>
    <x v="0"/>
    <x v="8"/>
    <x v="4"/>
    <x v="2"/>
    <x v="5"/>
    <x v="2"/>
    <x v="5"/>
    <n v="25"/>
    <x v="0"/>
  </r>
  <r>
    <d v="2020-11-25T00:00:00"/>
    <x v="3"/>
    <x v="2"/>
    <x v="2"/>
    <n v="1787069.04"/>
    <x v="3"/>
    <x v="2"/>
    <x v="2"/>
    <x v="4"/>
    <x v="4"/>
    <x v="2"/>
    <x v="5"/>
    <x v="2"/>
    <x v="5"/>
    <n v="25"/>
    <x v="0"/>
  </r>
  <r>
    <d v="2020-11-25T00:00:00"/>
    <x v="0"/>
    <x v="0"/>
    <x v="0"/>
    <n v="910.26"/>
    <x v="0"/>
    <x v="0"/>
    <x v="0"/>
    <x v="0"/>
    <x v="4"/>
    <x v="2"/>
    <x v="5"/>
    <x v="2"/>
    <x v="5"/>
    <n v="25"/>
    <x v="0"/>
  </r>
  <r>
    <d v="2020-11-25T00:00:00"/>
    <x v="0"/>
    <x v="1"/>
    <x v="0"/>
    <n v="9813664.5600000005"/>
    <x v="0"/>
    <x v="1"/>
    <x v="0"/>
    <x v="1"/>
    <x v="4"/>
    <x v="2"/>
    <x v="5"/>
    <x v="2"/>
    <x v="5"/>
    <n v="25"/>
    <x v="0"/>
  </r>
  <r>
    <d v="2020-11-25T00:00:00"/>
    <x v="1"/>
    <x v="0"/>
    <x v="2"/>
    <n v="8810.1299999999992"/>
    <x v="1"/>
    <x v="0"/>
    <x v="2"/>
    <x v="2"/>
    <x v="4"/>
    <x v="2"/>
    <x v="5"/>
    <x v="2"/>
    <x v="5"/>
    <n v="25"/>
    <x v="0"/>
  </r>
  <r>
    <d v="2020-11-25T00:00:00"/>
    <x v="1"/>
    <x v="0"/>
    <x v="0"/>
    <n v="84386891.269999996"/>
    <x v="1"/>
    <x v="0"/>
    <x v="0"/>
    <x v="6"/>
    <x v="4"/>
    <x v="2"/>
    <x v="5"/>
    <x v="2"/>
    <x v="5"/>
    <n v="25"/>
    <x v="0"/>
  </r>
  <r>
    <d v="2020-11-25T00:00:00"/>
    <x v="2"/>
    <x v="1"/>
    <x v="1"/>
    <n v="102982988.23"/>
    <x v="2"/>
    <x v="1"/>
    <x v="1"/>
    <x v="9"/>
    <x v="4"/>
    <x v="2"/>
    <x v="5"/>
    <x v="2"/>
    <x v="5"/>
    <n v="25"/>
    <x v="0"/>
  </r>
  <r>
    <d v="2020-11-25T00:00:00"/>
    <x v="3"/>
    <x v="1"/>
    <x v="0"/>
    <n v="15906424.380000001"/>
    <x v="3"/>
    <x v="1"/>
    <x v="0"/>
    <x v="10"/>
    <x v="4"/>
    <x v="2"/>
    <x v="5"/>
    <x v="2"/>
    <x v="5"/>
    <n v="25"/>
    <x v="0"/>
  </r>
  <r>
    <d v="2020-11-25T00:00:00"/>
    <x v="3"/>
    <x v="2"/>
    <x v="0"/>
    <n v="426665015.88999999"/>
    <x v="3"/>
    <x v="2"/>
    <x v="0"/>
    <x v="11"/>
    <x v="4"/>
    <x v="2"/>
    <x v="5"/>
    <x v="2"/>
    <x v="5"/>
    <n v="25"/>
    <x v="0"/>
  </r>
  <r>
    <d v="2020-11-25T00:00:00"/>
    <x v="3"/>
    <x v="2"/>
    <x v="1"/>
    <n v="10668253181.48"/>
    <x v="3"/>
    <x v="2"/>
    <x v="1"/>
    <x v="12"/>
    <x v="4"/>
    <x v="2"/>
    <x v="5"/>
    <x v="2"/>
    <x v="5"/>
    <n v="25"/>
    <x v="0"/>
  </r>
  <r>
    <d v="2020-11-24T00:00:00"/>
    <x v="2"/>
    <x v="1"/>
    <x v="0"/>
    <n v="77109479.140000001"/>
    <x v="2"/>
    <x v="1"/>
    <x v="0"/>
    <x v="6"/>
    <x v="4"/>
    <x v="2"/>
    <x v="5"/>
    <x v="2"/>
    <x v="5"/>
    <n v="24"/>
    <x v="0"/>
  </r>
  <r>
    <d v="2020-11-24T00:00:00"/>
    <x v="2"/>
    <x v="1"/>
    <x v="2"/>
    <n v="2042811.05"/>
    <x v="2"/>
    <x v="1"/>
    <x v="2"/>
    <x v="2"/>
    <x v="4"/>
    <x v="2"/>
    <x v="5"/>
    <x v="2"/>
    <x v="5"/>
    <n v="24"/>
    <x v="0"/>
  </r>
  <r>
    <d v="2020-11-24T00:00:00"/>
    <x v="3"/>
    <x v="3"/>
    <x v="0"/>
    <n v="1197290397.1500001"/>
    <x v="3"/>
    <x v="3"/>
    <x v="0"/>
    <x v="7"/>
    <x v="4"/>
    <x v="2"/>
    <x v="5"/>
    <x v="2"/>
    <x v="5"/>
    <n v="24"/>
    <x v="0"/>
  </r>
  <r>
    <d v="2020-11-24T00:00:00"/>
    <x v="0"/>
    <x v="1"/>
    <x v="1"/>
    <n v="81033521.609999999"/>
    <x v="0"/>
    <x v="1"/>
    <x v="1"/>
    <x v="4"/>
    <x v="4"/>
    <x v="2"/>
    <x v="5"/>
    <x v="2"/>
    <x v="5"/>
    <n v="24"/>
    <x v="0"/>
  </r>
  <r>
    <d v="2020-11-24T00:00:00"/>
    <x v="1"/>
    <x v="0"/>
    <x v="0"/>
    <n v="60946921.630000003"/>
    <x v="1"/>
    <x v="0"/>
    <x v="0"/>
    <x v="8"/>
    <x v="4"/>
    <x v="2"/>
    <x v="5"/>
    <x v="2"/>
    <x v="5"/>
    <n v="24"/>
    <x v="0"/>
  </r>
  <r>
    <d v="2020-11-24T00:00:00"/>
    <x v="3"/>
    <x v="2"/>
    <x v="2"/>
    <n v="600889.16"/>
    <x v="3"/>
    <x v="2"/>
    <x v="2"/>
    <x v="5"/>
    <x v="4"/>
    <x v="2"/>
    <x v="5"/>
    <x v="2"/>
    <x v="5"/>
    <n v="24"/>
    <x v="0"/>
  </r>
  <r>
    <d v="2020-11-24T00:00:00"/>
    <x v="0"/>
    <x v="1"/>
    <x v="0"/>
    <n v="39369226.18"/>
    <x v="0"/>
    <x v="1"/>
    <x v="0"/>
    <x v="0"/>
    <x v="4"/>
    <x v="2"/>
    <x v="5"/>
    <x v="2"/>
    <x v="5"/>
    <n v="24"/>
    <x v="0"/>
  </r>
  <r>
    <d v="2020-11-24T00:00:00"/>
    <x v="1"/>
    <x v="0"/>
    <x v="2"/>
    <n v="11736.38"/>
    <x v="1"/>
    <x v="0"/>
    <x v="2"/>
    <x v="1"/>
    <x v="4"/>
    <x v="2"/>
    <x v="5"/>
    <x v="2"/>
    <x v="5"/>
    <n v="24"/>
    <x v="0"/>
  </r>
  <r>
    <d v="2020-11-24T00:00:00"/>
    <x v="3"/>
    <x v="3"/>
    <x v="1"/>
    <n v="10904.33"/>
    <x v="3"/>
    <x v="3"/>
    <x v="1"/>
    <x v="3"/>
    <x v="4"/>
    <x v="2"/>
    <x v="5"/>
    <x v="2"/>
    <x v="5"/>
    <n v="24"/>
    <x v="0"/>
  </r>
  <r>
    <d v="2020-11-24T00:00:00"/>
    <x v="1"/>
    <x v="0"/>
    <x v="1"/>
    <n v="212560098.74000001"/>
    <x v="1"/>
    <x v="0"/>
    <x v="1"/>
    <x v="9"/>
    <x v="4"/>
    <x v="2"/>
    <x v="5"/>
    <x v="2"/>
    <x v="5"/>
    <n v="24"/>
    <x v="0"/>
  </r>
  <r>
    <d v="2020-11-24T00:00:00"/>
    <x v="2"/>
    <x v="1"/>
    <x v="1"/>
    <n v="251317383.46000001"/>
    <x v="2"/>
    <x v="1"/>
    <x v="1"/>
    <x v="10"/>
    <x v="4"/>
    <x v="2"/>
    <x v="5"/>
    <x v="2"/>
    <x v="5"/>
    <n v="24"/>
    <x v="0"/>
  </r>
  <r>
    <d v="2020-11-24T00:00:00"/>
    <x v="3"/>
    <x v="1"/>
    <x v="0"/>
    <n v="13831457.439999999"/>
    <x v="3"/>
    <x v="1"/>
    <x v="0"/>
    <x v="11"/>
    <x v="4"/>
    <x v="2"/>
    <x v="5"/>
    <x v="2"/>
    <x v="5"/>
    <n v="24"/>
    <x v="0"/>
  </r>
  <r>
    <d v="2020-11-24T00:00:00"/>
    <x v="3"/>
    <x v="2"/>
    <x v="0"/>
    <n v="5717601903.1499996"/>
    <x v="3"/>
    <x v="2"/>
    <x v="0"/>
    <x v="12"/>
    <x v="4"/>
    <x v="2"/>
    <x v="5"/>
    <x v="2"/>
    <x v="5"/>
    <n v="24"/>
    <x v="0"/>
  </r>
  <r>
    <d v="2020-11-24T00:00:00"/>
    <x v="3"/>
    <x v="2"/>
    <x v="1"/>
    <n v="2587015193.6199999"/>
    <x v="3"/>
    <x v="2"/>
    <x v="1"/>
    <x v="13"/>
    <x v="4"/>
    <x v="2"/>
    <x v="5"/>
    <x v="2"/>
    <x v="5"/>
    <n v="24"/>
    <x v="0"/>
  </r>
  <r>
    <d v="2020-11-23T00:00:00"/>
    <x v="3"/>
    <x v="2"/>
    <x v="2"/>
    <n v="636325.1"/>
    <x v="3"/>
    <x v="2"/>
    <x v="2"/>
    <x v="6"/>
    <x v="4"/>
    <x v="2"/>
    <x v="5"/>
    <x v="2"/>
    <x v="5"/>
    <n v="23"/>
    <x v="0"/>
  </r>
  <r>
    <d v="2020-11-23T00:00:00"/>
    <x v="1"/>
    <x v="0"/>
    <x v="2"/>
    <n v="6176.81"/>
    <x v="1"/>
    <x v="0"/>
    <x v="2"/>
    <x v="2"/>
    <x v="4"/>
    <x v="2"/>
    <x v="5"/>
    <x v="2"/>
    <x v="5"/>
    <n v="23"/>
    <x v="0"/>
  </r>
  <r>
    <d v="2020-11-23T00:00:00"/>
    <x v="3"/>
    <x v="3"/>
    <x v="0"/>
    <n v="3068492217.6599998"/>
    <x v="3"/>
    <x v="3"/>
    <x v="0"/>
    <x v="8"/>
    <x v="4"/>
    <x v="2"/>
    <x v="5"/>
    <x v="2"/>
    <x v="5"/>
    <n v="23"/>
    <x v="0"/>
  </r>
  <r>
    <d v="2020-11-23T00:00:00"/>
    <x v="0"/>
    <x v="1"/>
    <x v="1"/>
    <n v="76359703.799999997"/>
    <x v="0"/>
    <x v="1"/>
    <x v="1"/>
    <x v="4"/>
    <x v="4"/>
    <x v="2"/>
    <x v="5"/>
    <x v="2"/>
    <x v="5"/>
    <n v="23"/>
    <x v="0"/>
  </r>
  <r>
    <d v="2020-11-23T00:00:00"/>
    <x v="1"/>
    <x v="0"/>
    <x v="0"/>
    <n v="76307817.450000003"/>
    <x v="1"/>
    <x v="0"/>
    <x v="0"/>
    <x v="9"/>
    <x v="4"/>
    <x v="2"/>
    <x v="5"/>
    <x v="2"/>
    <x v="5"/>
    <n v="23"/>
    <x v="0"/>
  </r>
  <r>
    <d v="2020-11-23T00:00:00"/>
    <x v="1"/>
    <x v="0"/>
    <x v="1"/>
    <n v="194549834.22999999"/>
    <x v="1"/>
    <x v="0"/>
    <x v="1"/>
    <x v="10"/>
    <x v="4"/>
    <x v="2"/>
    <x v="5"/>
    <x v="2"/>
    <x v="5"/>
    <n v="23"/>
    <x v="0"/>
  </r>
  <r>
    <d v="2020-11-23T00:00:00"/>
    <x v="2"/>
    <x v="1"/>
    <x v="2"/>
    <n v="-185"/>
    <x v="2"/>
    <x v="1"/>
    <x v="2"/>
    <x v="5"/>
    <x v="4"/>
    <x v="2"/>
    <x v="5"/>
    <x v="2"/>
    <x v="5"/>
    <n v="23"/>
    <x v="1"/>
  </r>
  <r>
    <d v="2020-11-23T00:00:00"/>
    <x v="0"/>
    <x v="1"/>
    <x v="0"/>
    <n v="19304523.59"/>
    <x v="0"/>
    <x v="1"/>
    <x v="0"/>
    <x v="1"/>
    <x v="4"/>
    <x v="2"/>
    <x v="5"/>
    <x v="2"/>
    <x v="5"/>
    <n v="23"/>
    <x v="0"/>
  </r>
  <r>
    <d v="2020-11-23T00:00:00"/>
    <x v="0"/>
    <x v="0"/>
    <x v="0"/>
    <n v="100"/>
    <x v="0"/>
    <x v="0"/>
    <x v="0"/>
    <x v="0"/>
    <x v="4"/>
    <x v="2"/>
    <x v="5"/>
    <x v="2"/>
    <x v="5"/>
    <n v="23"/>
    <x v="0"/>
  </r>
  <r>
    <d v="2020-11-23T00:00:00"/>
    <x v="3"/>
    <x v="3"/>
    <x v="1"/>
    <n v="6190.15"/>
    <x v="3"/>
    <x v="3"/>
    <x v="1"/>
    <x v="3"/>
    <x v="4"/>
    <x v="2"/>
    <x v="5"/>
    <x v="2"/>
    <x v="5"/>
    <n v="23"/>
    <x v="0"/>
  </r>
  <r>
    <d v="2020-11-23T00:00:00"/>
    <x v="2"/>
    <x v="1"/>
    <x v="0"/>
    <n v="60424430.509999998"/>
    <x v="2"/>
    <x v="1"/>
    <x v="0"/>
    <x v="7"/>
    <x v="4"/>
    <x v="2"/>
    <x v="5"/>
    <x v="2"/>
    <x v="5"/>
    <n v="23"/>
    <x v="0"/>
  </r>
  <r>
    <d v="2020-11-23T00:00:00"/>
    <x v="2"/>
    <x v="1"/>
    <x v="1"/>
    <n v="201779018.58000001"/>
    <x v="2"/>
    <x v="1"/>
    <x v="1"/>
    <x v="11"/>
    <x v="4"/>
    <x v="2"/>
    <x v="5"/>
    <x v="2"/>
    <x v="5"/>
    <n v="23"/>
    <x v="0"/>
  </r>
  <r>
    <d v="2020-11-23T00:00:00"/>
    <x v="3"/>
    <x v="2"/>
    <x v="0"/>
    <n v="622219253.74000001"/>
    <x v="3"/>
    <x v="2"/>
    <x v="0"/>
    <x v="12"/>
    <x v="4"/>
    <x v="2"/>
    <x v="5"/>
    <x v="2"/>
    <x v="5"/>
    <n v="23"/>
    <x v="0"/>
  </r>
  <r>
    <d v="2020-11-23T00:00:00"/>
    <x v="3"/>
    <x v="1"/>
    <x v="0"/>
    <n v="49192316.340000004"/>
    <x v="3"/>
    <x v="1"/>
    <x v="0"/>
    <x v="13"/>
    <x v="4"/>
    <x v="2"/>
    <x v="5"/>
    <x v="2"/>
    <x v="5"/>
    <n v="23"/>
    <x v="0"/>
  </r>
  <r>
    <d v="2020-11-23T00:00:00"/>
    <x v="3"/>
    <x v="2"/>
    <x v="1"/>
    <n v="15158027009.68"/>
    <x v="3"/>
    <x v="2"/>
    <x v="1"/>
    <x v="14"/>
    <x v="4"/>
    <x v="2"/>
    <x v="5"/>
    <x v="2"/>
    <x v="5"/>
    <n v="23"/>
    <x v="0"/>
  </r>
  <r>
    <d v="2020-11-20T00:00:00"/>
    <x v="3"/>
    <x v="2"/>
    <x v="2"/>
    <n v="707549.93"/>
    <x v="3"/>
    <x v="2"/>
    <x v="2"/>
    <x v="5"/>
    <x v="4"/>
    <x v="2"/>
    <x v="5"/>
    <x v="2"/>
    <x v="5"/>
    <n v="20"/>
    <x v="0"/>
  </r>
  <r>
    <d v="2020-11-20T00:00:00"/>
    <x v="2"/>
    <x v="1"/>
    <x v="2"/>
    <n v="1165344.6499999999"/>
    <x v="2"/>
    <x v="1"/>
    <x v="2"/>
    <x v="2"/>
    <x v="4"/>
    <x v="2"/>
    <x v="5"/>
    <x v="2"/>
    <x v="5"/>
    <n v="20"/>
    <x v="0"/>
  </r>
  <r>
    <d v="2020-11-20T00:00:00"/>
    <x v="3"/>
    <x v="3"/>
    <x v="0"/>
    <n v="1796157856.1800001"/>
    <x v="3"/>
    <x v="3"/>
    <x v="0"/>
    <x v="7"/>
    <x v="4"/>
    <x v="2"/>
    <x v="5"/>
    <x v="2"/>
    <x v="5"/>
    <n v="20"/>
    <x v="0"/>
  </r>
  <r>
    <d v="2020-11-20T00:00:00"/>
    <x v="0"/>
    <x v="1"/>
    <x v="1"/>
    <n v="71090454.780000001"/>
    <x v="0"/>
    <x v="1"/>
    <x v="1"/>
    <x v="4"/>
    <x v="4"/>
    <x v="2"/>
    <x v="5"/>
    <x v="2"/>
    <x v="5"/>
    <n v="20"/>
    <x v="0"/>
  </r>
  <r>
    <d v="2020-11-20T00:00:00"/>
    <x v="1"/>
    <x v="0"/>
    <x v="0"/>
    <n v="76483149.840000004"/>
    <x v="1"/>
    <x v="0"/>
    <x v="0"/>
    <x v="8"/>
    <x v="4"/>
    <x v="2"/>
    <x v="5"/>
    <x v="2"/>
    <x v="5"/>
    <n v="20"/>
    <x v="0"/>
  </r>
  <r>
    <d v="2020-11-20T00:00:00"/>
    <x v="1"/>
    <x v="0"/>
    <x v="1"/>
    <n v="130725883.67"/>
    <x v="1"/>
    <x v="0"/>
    <x v="1"/>
    <x v="9"/>
    <x v="4"/>
    <x v="2"/>
    <x v="5"/>
    <x v="2"/>
    <x v="5"/>
    <n v="20"/>
    <x v="0"/>
  </r>
  <r>
    <d v="2020-11-20T00:00:00"/>
    <x v="0"/>
    <x v="1"/>
    <x v="0"/>
    <n v="18930146.420000002"/>
    <x v="0"/>
    <x v="1"/>
    <x v="0"/>
    <x v="1"/>
    <x v="4"/>
    <x v="2"/>
    <x v="5"/>
    <x v="2"/>
    <x v="5"/>
    <n v="20"/>
    <x v="0"/>
  </r>
  <r>
    <d v="2020-11-20T00:00:00"/>
    <x v="0"/>
    <x v="0"/>
    <x v="0"/>
    <n v="300"/>
    <x v="0"/>
    <x v="0"/>
    <x v="0"/>
    <x v="0"/>
    <x v="4"/>
    <x v="2"/>
    <x v="5"/>
    <x v="2"/>
    <x v="5"/>
    <n v="20"/>
    <x v="0"/>
  </r>
  <r>
    <d v="2020-11-20T00:00:00"/>
    <x v="2"/>
    <x v="1"/>
    <x v="0"/>
    <n v="60355986.009999998"/>
    <x v="2"/>
    <x v="1"/>
    <x v="0"/>
    <x v="6"/>
    <x v="4"/>
    <x v="2"/>
    <x v="5"/>
    <x v="2"/>
    <x v="5"/>
    <n v="20"/>
    <x v="0"/>
  </r>
  <r>
    <d v="2020-11-20T00:00:00"/>
    <x v="0"/>
    <x v="0"/>
    <x v="1"/>
    <n v="3005"/>
    <x v="0"/>
    <x v="0"/>
    <x v="1"/>
    <x v="3"/>
    <x v="4"/>
    <x v="2"/>
    <x v="5"/>
    <x v="2"/>
    <x v="5"/>
    <n v="20"/>
    <x v="0"/>
  </r>
  <r>
    <d v="2020-11-20T00:00:00"/>
    <x v="2"/>
    <x v="1"/>
    <x v="1"/>
    <n v="93385788.450000003"/>
    <x v="2"/>
    <x v="1"/>
    <x v="1"/>
    <x v="10"/>
    <x v="4"/>
    <x v="2"/>
    <x v="5"/>
    <x v="2"/>
    <x v="5"/>
    <n v="20"/>
    <x v="0"/>
  </r>
  <r>
    <d v="2020-11-20T00:00:00"/>
    <x v="3"/>
    <x v="2"/>
    <x v="0"/>
    <n v="491813320.11000001"/>
    <x v="3"/>
    <x v="2"/>
    <x v="0"/>
    <x v="11"/>
    <x v="4"/>
    <x v="2"/>
    <x v="5"/>
    <x v="2"/>
    <x v="5"/>
    <n v="20"/>
    <x v="0"/>
  </r>
  <r>
    <d v="2020-11-20T00:00:00"/>
    <x v="3"/>
    <x v="1"/>
    <x v="0"/>
    <n v="15541205.689999999"/>
    <x v="3"/>
    <x v="1"/>
    <x v="0"/>
    <x v="12"/>
    <x v="4"/>
    <x v="2"/>
    <x v="5"/>
    <x v="2"/>
    <x v="5"/>
    <n v="20"/>
    <x v="0"/>
  </r>
  <r>
    <d v="2020-11-20T00:00:00"/>
    <x v="3"/>
    <x v="2"/>
    <x v="1"/>
    <n v="6784008716.0299997"/>
    <x v="3"/>
    <x v="2"/>
    <x v="1"/>
    <x v="13"/>
    <x v="4"/>
    <x v="2"/>
    <x v="5"/>
    <x v="2"/>
    <x v="5"/>
    <n v="20"/>
    <x v="0"/>
  </r>
  <r>
    <d v="2020-11-19T00:00:00"/>
    <x v="2"/>
    <x v="1"/>
    <x v="0"/>
    <n v="85330772.140000001"/>
    <x v="2"/>
    <x v="1"/>
    <x v="0"/>
    <x v="8"/>
    <x v="4"/>
    <x v="2"/>
    <x v="5"/>
    <x v="2"/>
    <x v="5"/>
    <n v="19"/>
    <x v="0"/>
  </r>
  <r>
    <d v="2020-11-19T00:00:00"/>
    <x v="2"/>
    <x v="1"/>
    <x v="2"/>
    <n v="6405"/>
    <x v="2"/>
    <x v="1"/>
    <x v="2"/>
    <x v="3"/>
    <x v="4"/>
    <x v="2"/>
    <x v="5"/>
    <x v="2"/>
    <x v="5"/>
    <n v="19"/>
    <x v="0"/>
  </r>
  <r>
    <d v="2020-11-19T00:00:00"/>
    <x v="3"/>
    <x v="3"/>
    <x v="0"/>
    <n v="1475295434.6800001"/>
    <x v="3"/>
    <x v="3"/>
    <x v="0"/>
    <x v="9"/>
    <x v="4"/>
    <x v="2"/>
    <x v="5"/>
    <x v="2"/>
    <x v="5"/>
    <n v="19"/>
    <x v="0"/>
  </r>
  <r>
    <d v="2020-11-19T00:00:00"/>
    <x v="0"/>
    <x v="1"/>
    <x v="1"/>
    <n v="75071966.629999995"/>
    <x v="0"/>
    <x v="1"/>
    <x v="1"/>
    <x v="6"/>
    <x v="4"/>
    <x v="2"/>
    <x v="5"/>
    <x v="2"/>
    <x v="5"/>
    <n v="19"/>
    <x v="0"/>
  </r>
  <r>
    <d v="2020-11-19T00:00:00"/>
    <x v="1"/>
    <x v="0"/>
    <x v="0"/>
    <n v="67940784.260000005"/>
    <x v="1"/>
    <x v="0"/>
    <x v="0"/>
    <x v="10"/>
    <x v="4"/>
    <x v="2"/>
    <x v="5"/>
    <x v="2"/>
    <x v="5"/>
    <n v="19"/>
    <x v="0"/>
  </r>
  <r>
    <d v="2020-11-19T00:00:00"/>
    <x v="1"/>
    <x v="0"/>
    <x v="1"/>
    <n v="298234383.37"/>
    <x v="1"/>
    <x v="0"/>
    <x v="1"/>
    <x v="11"/>
    <x v="4"/>
    <x v="2"/>
    <x v="5"/>
    <x v="2"/>
    <x v="5"/>
    <n v="19"/>
    <x v="0"/>
  </r>
  <r>
    <d v="2020-11-19T00:00:00"/>
    <x v="3"/>
    <x v="2"/>
    <x v="2"/>
    <n v="369035.62"/>
    <x v="3"/>
    <x v="2"/>
    <x v="2"/>
    <x v="7"/>
    <x v="4"/>
    <x v="2"/>
    <x v="5"/>
    <x v="2"/>
    <x v="5"/>
    <n v="19"/>
    <x v="0"/>
  </r>
  <r>
    <d v="2020-11-19T00:00:00"/>
    <x v="0"/>
    <x v="1"/>
    <x v="0"/>
    <n v="13120416.48"/>
    <x v="0"/>
    <x v="1"/>
    <x v="0"/>
    <x v="1"/>
    <x v="4"/>
    <x v="2"/>
    <x v="5"/>
    <x v="2"/>
    <x v="5"/>
    <n v="19"/>
    <x v="0"/>
  </r>
  <r>
    <d v="2020-11-19T00:00:00"/>
    <x v="0"/>
    <x v="0"/>
    <x v="0"/>
    <n v="2527.6"/>
    <x v="0"/>
    <x v="0"/>
    <x v="0"/>
    <x v="0"/>
    <x v="4"/>
    <x v="2"/>
    <x v="5"/>
    <x v="2"/>
    <x v="5"/>
    <n v="19"/>
    <x v="0"/>
  </r>
  <r>
    <d v="2020-11-19T00:00:00"/>
    <x v="0"/>
    <x v="0"/>
    <x v="1"/>
    <n v="-3005"/>
    <x v="0"/>
    <x v="0"/>
    <x v="1"/>
    <x v="4"/>
    <x v="4"/>
    <x v="2"/>
    <x v="5"/>
    <x v="2"/>
    <x v="5"/>
    <n v="19"/>
    <x v="1"/>
  </r>
  <r>
    <d v="2020-11-19T00:00:00"/>
    <x v="1"/>
    <x v="0"/>
    <x v="2"/>
    <n v="1643.42"/>
    <x v="1"/>
    <x v="0"/>
    <x v="2"/>
    <x v="2"/>
    <x v="4"/>
    <x v="2"/>
    <x v="5"/>
    <x v="2"/>
    <x v="5"/>
    <n v="19"/>
    <x v="0"/>
  </r>
  <r>
    <d v="2020-11-19T00:00:00"/>
    <x v="3"/>
    <x v="3"/>
    <x v="1"/>
    <n v="93816.16"/>
    <x v="3"/>
    <x v="3"/>
    <x v="1"/>
    <x v="5"/>
    <x v="4"/>
    <x v="2"/>
    <x v="5"/>
    <x v="2"/>
    <x v="5"/>
    <n v="19"/>
    <x v="0"/>
  </r>
  <r>
    <d v="2020-11-19T00:00:00"/>
    <x v="2"/>
    <x v="1"/>
    <x v="1"/>
    <n v="53955026.07"/>
    <x v="2"/>
    <x v="1"/>
    <x v="1"/>
    <x v="12"/>
    <x v="4"/>
    <x v="2"/>
    <x v="5"/>
    <x v="2"/>
    <x v="5"/>
    <n v="19"/>
    <x v="0"/>
  </r>
  <r>
    <d v="2020-11-19T00:00:00"/>
    <x v="3"/>
    <x v="2"/>
    <x v="0"/>
    <n v="273742097.81"/>
    <x v="3"/>
    <x v="2"/>
    <x v="0"/>
    <x v="13"/>
    <x v="4"/>
    <x v="2"/>
    <x v="5"/>
    <x v="2"/>
    <x v="5"/>
    <n v="19"/>
    <x v="0"/>
  </r>
  <r>
    <d v="2020-11-19T00:00:00"/>
    <x v="3"/>
    <x v="1"/>
    <x v="0"/>
    <n v="15436402.91"/>
    <x v="3"/>
    <x v="1"/>
    <x v="0"/>
    <x v="14"/>
    <x v="4"/>
    <x v="2"/>
    <x v="5"/>
    <x v="2"/>
    <x v="5"/>
    <n v="19"/>
    <x v="0"/>
  </r>
  <r>
    <d v="2020-11-19T00:00:00"/>
    <x v="3"/>
    <x v="2"/>
    <x v="1"/>
    <n v="2814292838.25"/>
    <x v="3"/>
    <x v="2"/>
    <x v="1"/>
    <x v="15"/>
    <x v="4"/>
    <x v="2"/>
    <x v="5"/>
    <x v="2"/>
    <x v="5"/>
    <n v="19"/>
    <x v="0"/>
  </r>
  <r>
    <d v="2020-11-18T00:00:00"/>
    <x v="2"/>
    <x v="1"/>
    <x v="0"/>
    <n v="76685649.5"/>
    <x v="2"/>
    <x v="1"/>
    <x v="0"/>
    <x v="6"/>
    <x v="4"/>
    <x v="2"/>
    <x v="5"/>
    <x v="2"/>
    <x v="5"/>
    <n v="18"/>
    <x v="0"/>
  </r>
  <r>
    <d v="2020-11-18T00:00:00"/>
    <x v="2"/>
    <x v="1"/>
    <x v="2"/>
    <n v="6910"/>
    <x v="2"/>
    <x v="1"/>
    <x v="2"/>
    <x v="3"/>
    <x v="4"/>
    <x v="2"/>
    <x v="5"/>
    <x v="2"/>
    <x v="5"/>
    <n v="18"/>
    <x v="0"/>
  </r>
  <r>
    <d v="2020-11-18T00:00:00"/>
    <x v="3"/>
    <x v="3"/>
    <x v="0"/>
    <n v="1063978546.74"/>
    <x v="3"/>
    <x v="3"/>
    <x v="0"/>
    <x v="7"/>
    <x v="4"/>
    <x v="2"/>
    <x v="5"/>
    <x v="2"/>
    <x v="5"/>
    <n v="18"/>
    <x v="0"/>
  </r>
  <r>
    <d v="2020-11-18T00:00:00"/>
    <x v="0"/>
    <x v="1"/>
    <x v="1"/>
    <n v="102418867.94"/>
    <x v="0"/>
    <x v="1"/>
    <x v="1"/>
    <x v="4"/>
    <x v="4"/>
    <x v="2"/>
    <x v="5"/>
    <x v="2"/>
    <x v="5"/>
    <n v="18"/>
    <x v="0"/>
  </r>
  <r>
    <d v="2020-11-18T00:00:00"/>
    <x v="3"/>
    <x v="2"/>
    <x v="2"/>
    <n v="303588.28000000003"/>
    <x v="3"/>
    <x v="2"/>
    <x v="2"/>
    <x v="5"/>
    <x v="4"/>
    <x v="2"/>
    <x v="5"/>
    <x v="2"/>
    <x v="5"/>
    <n v="18"/>
    <x v="0"/>
  </r>
  <r>
    <d v="2020-11-18T00:00:00"/>
    <x v="0"/>
    <x v="0"/>
    <x v="0"/>
    <n v="20"/>
    <x v="0"/>
    <x v="0"/>
    <x v="0"/>
    <x v="0"/>
    <x v="4"/>
    <x v="2"/>
    <x v="5"/>
    <x v="2"/>
    <x v="5"/>
    <n v="18"/>
    <x v="0"/>
  </r>
  <r>
    <d v="2020-11-18T00:00:00"/>
    <x v="0"/>
    <x v="1"/>
    <x v="0"/>
    <n v="8371372.3300000001"/>
    <x v="0"/>
    <x v="1"/>
    <x v="0"/>
    <x v="1"/>
    <x v="4"/>
    <x v="2"/>
    <x v="5"/>
    <x v="2"/>
    <x v="5"/>
    <n v="18"/>
    <x v="0"/>
  </r>
  <r>
    <d v="2020-11-18T00:00:00"/>
    <x v="1"/>
    <x v="0"/>
    <x v="2"/>
    <n v="1602.02"/>
    <x v="1"/>
    <x v="0"/>
    <x v="2"/>
    <x v="2"/>
    <x v="4"/>
    <x v="2"/>
    <x v="5"/>
    <x v="2"/>
    <x v="5"/>
    <n v="18"/>
    <x v="0"/>
  </r>
  <r>
    <d v="2020-11-18T00:00:00"/>
    <x v="1"/>
    <x v="0"/>
    <x v="0"/>
    <n v="107048495.36"/>
    <x v="1"/>
    <x v="0"/>
    <x v="0"/>
    <x v="8"/>
    <x v="4"/>
    <x v="2"/>
    <x v="5"/>
    <x v="2"/>
    <x v="5"/>
    <n v="18"/>
    <x v="0"/>
  </r>
  <r>
    <d v="2020-11-18T00:00:00"/>
    <x v="1"/>
    <x v="0"/>
    <x v="1"/>
    <n v="273921101.33999997"/>
    <x v="1"/>
    <x v="0"/>
    <x v="1"/>
    <x v="9"/>
    <x v="4"/>
    <x v="2"/>
    <x v="5"/>
    <x v="2"/>
    <x v="5"/>
    <n v="18"/>
    <x v="0"/>
  </r>
  <r>
    <d v="2020-11-18T00:00:00"/>
    <x v="2"/>
    <x v="1"/>
    <x v="1"/>
    <n v="161795709.97999999"/>
    <x v="2"/>
    <x v="1"/>
    <x v="1"/>
    <x v="10"/>
    <x v="4"/>
    <x v="2"/>
    <x v="5"/>
    <x v="2"/>
    <x v="5"/>
    <n v="18"/>
    <x v="0"/>
  </r>
  <r>
    <d v="2020-11-18T00:00:00"/>
    <x v="3"/>
    <x v="1"/>
    <x v="0"/>
    <n v="14160268.98"/>
    <x v="3"/>
    <x v="1"/>
    <x v="0"/>
    <x v="11"/>
    <x v="4"/>
    <x v="2"/>
    <x v="5"/>
    <x v="2"/>
    <x v="5"/>
    <n v="18"/>
    <x v="0"/>
  </r>
  <r>
    <d v="2020-11-18T00:00:00"/>
    <x v="3"/>
    <x v="2"/>
    <x v="0"/>
    <n v="304996878.89999998"/>
    <x v="3"/>
    <x v="2"/>
    <x v="0"/>
    <x v="12"/>
    <x v="4"/>
    <x v="2"/>
    <x v="5"/>
    <x v="2"/>
    <x v="5"/>
    <n v="18"/>
    <x v="0"/>
  </r>
  <r>
    <d v="2020-11-18T00:00:00"/>
    <x v="3"/>
    <x v="2"/>
    <x v="1"/>
    <n v="10615481833.030001"/>
    <x v="3"/>
    <x v="2"/>
    <x v="1"/>
    <x v="13"/>
    <x v="4"/>
    <x v="2"/>
    <x v="5"/>
    <x v="2"/>
    <x v="5"/>
    <n v="18"/>
    <x v="0"/>
  </r>
  <r>
    <d v="2020-11-17T00:00:00"/>
    <x v="2"/>
    <x v="1"/>
    <x v="2"/>
    <n v="50011.24"/>
    <x v="2"/>
    <x v="1"/>
    <x v="2"/>
    <x v="4"/>
    <x v="4"/>
    <x v="2"/>
    <x v="5"/>
    <x v="2"/>
    <x v="5"/>
    <n v="17"/>
    <x v="0"/>
  </r>
  <r>
    <d v="2020-11-17T00:00:00"/>
    <x v="0"/>
    <x v="1"/>
    <x v="1"/>
    <n v="89986677.489999995"/>
    <x v="0"/>
    <x v="1"/>
    <x v="1"/>
    <x v="3"/>
    <x v="4"/>
    <x v="2"/>
    <x v="5"/>
    <x v="2"/>
    <x v="5"/>
    <n v="17"/>
    <x v="0"/>
  </r>
  <r>
    <d v="2020-11-17T00:00:00"/>
    <x v="1"/>
    <x v="0"/>
    <x v="0"/>
    <n v="70984982.319999993"/>
    <x v="1"/>
    <x v="0"/>
    <x v="0"/>
    <x v="7"/>
    <x v="4"/>
    <x v="2"/>
    <x v="5"/>
    <x v="2"/>
    <x v="5"/>
    <n v="17"/>
    <x v="0"/>
  </r>
  <r>
    <d v="2020-11-17T00:00:00"/>
    <x v="3"/>
    <x v="3"/>
    <x v="0"/>
    <n v="1879361644"/>
    <x v="3"/>
    <x v="3"/>
    <x v="0"/>
    <x v="9"/>
    <x v="4"/>
    <x v="2"/>
    <x v="5"/>
    <x v="2"/>
    <x v="5"/>
    <n v="17"/>
    <x v="0"/>
  </r>
  <r>
    <d v="2020-11-17T00:00:00"/>
    <x v="3"/>
    <x v="2"/>
    <x v="2"/>
    <n v="449005.42"/>
    <x v="3"/>
    <x v="2"/>
    <x v="2"/>
    <x v="5"/>
    <x v="4"/>
    <x v="2"/>
    <x v="5"/>
    <x v="2"/>
    <x v="5"/>
    <n v="17"/>
    <x v="0"/>
  </r>
  <r>
    <d v="2020-11-17T00:00:00"/>
    <x v="0"/>
    <x v="1"/>
    <x v="0"/>
    <n v="34939929.060000002"/>
    <x v="0"/>
    <x v="1"/>
    <x v="0"/>
    <x v="1"/>
    <x v="4"/>
    <x v="2"/>
    <x v="5"/>
    <x v="2"/>
    <x v="5"/>
    <n v="17"/>
    <x v="0"/>
  </r>
  <r>
    <d v="2020-11-17T00:00:00"/>
    <x v="2"/>
    <x v="1"/>
    <x v="0"/>
    <n v="82213260.209999993"/>
    <x v="2"/>
    <x v="1"/>
    <x v="0"/>
    <x v="6"/>
    <x v="4"/>
    <x v="2"/>
    <x v="5"/>
    <x v="2"/>
    <x v="5"/>
    <n v="17"/>
    <x v="0"/>
  </r>
  <r>
    <d v="2020-11-17T00:00:00"/>
    <x v="0"/>
    <x v="0"/>
    <x v="0"/>
    <n v="1100"/>
    <x v="0"/>
    <x v="0"/>
    <x v="0"/>
    <x v="0"/>
    <x v="4"/>
    <x v="2"/>
    <x v="5"/>
    <x v="2"/>
    <x v="5"/>
    <n v="17"/>
    <x v="0"/>
  </r>
  <r>
    <d v="2020-11-17T00:00:00"/>
    <x v="1"/>
    <x v="0"/>
    <x v="2"/>
    <n v="4063.26"/>
    <x v="1"/>
    <x v="0"/>
    <x v="2"/>
    <x v="2"/>
    <x v="4"/>
    <x v="2"/>
    <x v="5"/>
    <x v="2"/>
    <x v="5"/>
    <n v="17"/>
    <x v="0"/>
  </r>
  <r>
    <d v="2020-11-17T00:00:00"/>
    <x v="1"/>
    <x v="0"/>
    <x v="1"/>
    <n v="239701951.49000001"/>
    <x v="1"/>
    <x v="0"/>
    <x v="1"/>
    <x v="8"/>
    <x v="4"/>
    <x v="2"/>
    <x v="5"/>
    <x v="2"/>
    <x v="5"/>
    <n v="17"/>
    <x v="0"/>
  </r>
  <r>
    <d v="2020-11-17T00:00:00"/>
    <x v="2"/>
    <x v="1"/>
    <x v="1"/>
    <n v="89260169.25"/>
    <x v="2"/>
    <x v="1"/>
    <x v="1"/>
    <x v="10"/>
    <x v="4"/>
    <x v="2"/>
    <x v="5"/>
    <x v="2"/>
    <x v="5"/>
    <n v="17"/>
    <x v="0"/>
  </r>
  <r>
    <d v="2020-11-17T00:00:00"/>
    <x v="3"/>
    <x v="1"/>
    <x v="0"/>
    <n v="11490969.949999999"/>
    <x v="3"/>
    <x v="1"/>
    <x v="0"/>
    <x v="11"/>
    <x v="4"/>
    <x v="2"/>
    <x v="5"/>
    <x v="2"/>
    <x v="5"/>
    <n v="17"/>
    <x v="0"/>
  </r>
  <r>
    <d v="2020-11-17T00:00:00"/>
    <x v="3"/>
    <x v="2"/>
    <x v="0"/>
    <n v="424048660.44"/>
    <x v="3"/>
    <x v="2"/>
    <x v="0"/>
    <x v="12"/>
    <x v="4"/>
    <x v="2"/>
    <x v="5"/>
    <x v="2"/>
    <x v="5"/>
    <n v="17"/>
    <x v="0"/>
  </r>
  <r>
    <d v="2020-11-17T00:00:00"/>
    <x v="3"/>
    <x v="2"/>
    <x v="1"/>
    <n v="3576750092.8299999"/>
    <x v="3"/>
    <x v="2"/>
    <x v="1"/>
    <x v="13"/>
    <x v="4"/>
    <x v="2"/>
    <x v="5"/>
    <x v="2"/>
    <x v="5"/>
    <n v="17"/>
    <x v="0"/>
  </r>
  <r>
    <d v="2020-11-16T00:00:00"/>
    <x v="2"/>
    <x v="1"/>
    <x v="0"/>
    <n v="67218146.519999996"/>
    <x v="2"/>
    <x v="1"/>
    <x v="0"/>
    <x v="7"/>
    <x v="4"/>
    <x v="2"/>
    <x v="5"/>
    <x v="2"/>
    <x v="5"/>
    <n v="16"/>
    <x v="0"/>
  </r>
  <r>
    <d v="2020-11-16T00:00:00"/>
    <x v="0"/>
    <x v="1"/>
    <x v="1"/>
    <n v="-65645232.93"/>
    <x v="0"/>
    <x v="1"/>
    <x v="1"/>
    <x v="3"/>
    <x v="4"/>
    <x v="2"/>
    <x v="5"/>
    <x v="2"/>
    <x v="5"/>
    <n v="16"/>
    <x v="1"/>
  </r>
  <r>
    <d v="2020-11-16T00:00:00"/>
    <x v="1"/>
    <x v="0"/>
    <x v="0"/>
    <n v="85206593.260000005"/>
    <x v="1"/>
    <x v="0"/>
    <x v="0"/>
    <x v="8"/>
    <x v="4"/>
    <x v="2"/>
    <x v="5"/>
    <x v="2"/>
    <x v="5"/>
    <n v="16"/>
    <x v="0"/>
  </r>
  <r>
    <d v="2020-11-16T00:00:00"/>
    <x v="1"/>
    <x v="0"/>
    <x v="1"/>
    <n v="213597586.66999999"/>
    <x v="1"/>
    <x v="0"/>
    <x v="1"/>
    <x v="9"/>
    <x v="4"/>
    <x v="2"/>
    <x v="5"/>
    <x v="2"/>
    <x v="5"/>
    <n v="16"/>
    <x v="0"/>
  </r>
  <r>
    <d v="2020-11-16T00:00:00"/>
    <x v="2"/>
    <x v="1"/>
    <x v="1"/>
    <n v="93446268.099999994"/>
    <x v="2"/>
    <x v="1"/>
    <x v="1"/>
    <x v="10"/>
    <x v="4"/>
    <x v="2"/>
    <x v="5"/>
    <x v="2"/>
    <x v="5"/>
    <n v="16"/>
    <x v="0"/>
  </r>
  <r>
    <d v="2020-11-16T00:00:00"/>
    <x v="2"/>
    <x v="1"/>
    <x v="2"/>
    <n v="18160"/>
    <x v="2"/>
    <x v="1"/>
    <x v="2"/>
    <x v="4"/>
    <x v="4"/>
    <x v="2"/>
    <x v="5"/>
    <x v="2"/>
    <x v="5"/>
    <n v="16"/>
    <x v="0"/>
  </r>
  <r>
    <d v="2020-11-16T00:00:00"/>
    <x v="0"/>
    <x v="1"/>
    <x v="0"/>
    <n v="26415802.52"/>
    <x v="0"/>
    <x v="1"/>
    <x v="0"/>
    <x v="1"/>
    <x v="4"/>
    <x v="2"/>
    <x v="5"/>
    <x v="2"/>
    <x v="5"/>
    <n v="16"/>
    <x v="0"/>
  </r>
  <r>
    <d v="2020-11-16T00:00:00"/>
    <x v="3"/>
    <x v="2"/>
    <x v="2"/>
    <n v="284311.78999999998"/>
    <x v="3"/>
    <x v="2"/>
    <x v="2"/>
    <x v="5"/>
    <x v="4"/>
    <x v="2"/>
    <x v="5"/>
    <x v="2"/>
    <x v="5"/>
    <n v="16"/>
    <x v="0"/>
  </r>
  <r>
    <d v="2020-11-16T00:00:00"/>
    <x v="0"/>
    <x v="0"/>
    <x v="0"/>
    <n v="132.91"/>
    <x v="0"/>
    <x v="0"/>
    <x v="0"/>
    <x v="0"/>
    <x v="4"/>
    <x v="2"/>
    <x v="5"/>
    <x v="2"/>
    <x v="5"/>
    <n v="16"/>
    <x v="0"/>
  </r>
  <r>
    <d v="2020-11-16T00:00:00"/>
    <x v="1"/>
    <x v="0"/>
    <x v="2"/>
    <n v="3633.42"/>
    <x v="1"/>
    <x v="0"/>
    <x v="2"/>
    <x v="2"/>
    <x v="4"/>
    <x v="2"/>
    <x v="5"/>
    <x v="2"/>
    <x v="5"/>
    <n v="16"/>
    <x v="0"/>
  </r>
  <r>
    <d v="2020-11-16T00:00:00"/>
    <x v="3"/>
    <x v="3"/>
    <x v="0"/>
    <n v="2338375312.6100001"/>
    <x v="3"/>
    <x v="3"/>
    <x v="0"/>
    <x v="6"/>
    <x v="4"/>
    <x v="2"/>
    <x v="5"/>
    <x v="2"/>
    <x v="5"/>
    <n v="16"/>
    <x v="0"/>
  </r>
  <r>
    <d v="2020-11-16T00:00:00"/>
    <x v="3"/>
    <x v="2"/>
    <x v="0"/>
    <n v="470973531.31"/>
    <x v="3"/>
    <x v="2"/>
    <x v="0"/>
    <x v="11"/>
    <x v="4"/>
    <x v="2"/>
    <x v="5"/>
    <x v="2"/>
    <x v="5"/>
    <n v="16"/>
    <x v="0"/>
  </r>
  <r>
    <d v="2020-11-16T00:00:00"/>
    <x v="3"/>
    <x v="1"/>
    <x v="0"/>
    <n v="47125795.600000001"/>
    <x v="3"/>
    <x v="1"/>
    <x v="0"/>
    <x v="12"/>
    <x v="4"/>
    <x v="2"/>
    <x v="5"/>
    <x v="2"/>
    <x v="5"/>
    <n v="16"/>
    <x v="0"/>
  </r>
  <r>
    <d v="2020-11-16T00:00:00"/>
    <x v="3"/>
    <x v="2"/>
    <x v="1"/>
    <n v="29826249254.349998"/>
    <x v="3"/>
    <x v="2"/>
    <x v="1"/>
    <x v="13"/>
    <x v="4"/>
    <x v="2"/>
    <x v="5"/>
    <x v="2"/>
    <x v="5"/>
    <n v="16"/>
    <x v="0"/>
  </r>
  <r>
    <d v="2020-11-13T00:00:00"/>
    <x v="2"/>
    <x v="1"/>
    <x v="0"/>
    <n v="65550247.030000001"/>
    <x v="2"/>
    <x v="1"/>
    <x v="0"/>
    <x v="6"/>
    <x v="4"/>
    <x v="2"/>
    <x v="5"/>
    <x v="2"/>
    <x v="5"/>
    <n v="13"/>
    <x v="0"/>
  </r>
  <r>
    <d v="2020-11-13T00:00:00"/>
    <x v="2"/>
    <x v="1"/>
    <x v="2"/>
    <n v="526879.56000000006"/>
    <x v="2"/>
    <x v="1"/>
    <x v="2"/>
    <x v="4"/>
    <x v="4"/>
    <x v="2"/>
    <x v="5"/>
    <x v="2"/>
    <x v="5"/>
    <n v="13"/>
    <x v="0"/>
  </r>
  <r>
    <d v="2020-11-13T00:00:00"/>
    <x v="0"/>
    <x v="1"/>
    <x v="1"/>
    <n v="92812465.700000003"/>
    <x v="0"/>
    <x v="1"/>
    <x v="1"/>
    <x v="3"/>
    <x v="4"/>
    <x v="2"/>
    <x v="5"/>
    <x v="2"/>
    <x v="5"/>
    <n v="13"/>
    <x v="0"/>
  </r>
  <r>
    <d v="2020-11-13T00:00:00"/>
    <x v="2"/>
    <x v="1"/>
    <x v="1"/>
    <n v="160402882.09"/>
    <x v="2"/>
    <x v="1"/>
    <x v="1"/>
    <x v="9"/>
    <x v="4"/>
    <x v="2"/>
    <x v="5"/>
    <x v="2"/>
    <x v="5"/>
    <n v="13"/>
    <x v="0"/>
  </r>
  <r>
    <d v="2020-11-13T00:00:00"/>
    <x v="1"/>
    <x v="0"/>
    <x v="1"/>
    <n v="127054127.08"/>
    <x v="1"/>
    <x v="0"/>
    <x v="1"/>
    <x v="10"/>
    <x v="4"/>
    <x v="2"/>
    <x v="5"/>
    <x v="2"/>
    <x v="5"/>
    <n v="13"/>
    <x v="0"/>
  </r>
  <r>
    <d v="2020-11-13T00:00:00"/>
    <x v="0"/>
    <x v="1"/>
    <x v="0"/>
    <n v="6661469.5099999998"/>
    <x v="0"/>
    <x v="1"/>
    <x v="0"/>
    <x v="1"/>
    <x v="4"/>
    <x v="2"/>
    <x v="5"/>
    <x v="2"/>
    <x v="5"/>
    <n v="13"/>
    <x v="0"/>
  </r>
  <r>
    <d v="2020-11-13T00:00:00"/>
    <x v="3"/>
    <x v="2"/>
    <x v="2"/>
    <n v="788589.99"/>
    <x v="3"/>
    <x v="2"/>
    <x v="2"/>
    <x v="5"/>
    <x v="4"/>
    <x v="2"/>
    <x v="5"/>
    <x v="2"/>
    <x v="5"/>
    <n v="13"/>
    <x v="0"/>
  </r>
  <r>
    <d v="2020-11-13T00:00:00"/>
    <x v="0"/>
    <x v="0"/>
    <x v="0"/>
    <n v="200"/>
    <x v="0"/>
    <x v="0"/>
    <x v="0"/>
    <x v="0"/>
    <x v="4"/>
    <x v="2"/>
    <x v="5"/>
    <x v="2"/>
    <x v="5"/>
    <n v="13"/>
    <x v="0"/>
  </r>
  <r>
    <d v="2020-11-13T00:00:00"/>
    <x v="1"/>
    <x v="0"/>
    <x v="2"/>
    <n v="5169.8599999999997"/>
    <x v="1"/>
    <x v="0"/>
    <x v="2"/>
    <x v="2"/>
    <x v="4"/>
    <x v="2"/>
    <x v="5"/>
    <x v="2"/>
    <x v="5"/>
    <n v="13"/>
    <x v="0"/>
  </r>
  <r>
    <d v="2020-11-13T00:00:00"/>
    <x v="1"/>
    <x v="0"/>
    <x v="0"/>
    <n v="79832033.439999998"/>
    <x v="1"/>
    <x v="0"/>
    <x v="0"/>
    <x v="8"/>
    <x v="4"/>
    <x v="2"/>
    <x v="5"/>
    <x v="2"/>
    <x v="5"/>
    <n v="13"/>
    <x v="0"/>
  </r>
  <r>
    <d v="2020-11-13T00:00:00"/>
    <x v="3"/>
    <x v="3"/>
    <x v="0"/>
    <n v="1687748300.3299999"/>
    <x v="3"/>
    <x v="3"/>
    <x v="0"/>
    <x v="7"/>
    <x v="4"/>
    <x v="2"/>
    <x v="5"/>
    <x v="2"/>
    <x v="5"/>
    <n v="13"/>
    <x v="0"/>
  </r>
  <r>
    <d v="2020-11-13T00:00:00"/>
    <x v="3"/>
    <x v="1"/>
    <x v="0"/>
    <n v="12181165.859999999"/>
    <x v="3"/>
    <x v="1"/>
    <x v="0"/>
    <x v="11"/>
    <x v="4"/>
    <x v="2"/>
    <x v="5"/>
    <x v="2"/>
    <x v="5"/>
    <n v="13"/>
    <x v="0"/>
  </r>
  <r>
    <d v="2020-11-13T00:00:00"/>
    <x v="3"/>
    <x v="2"/>
    <x v="0"/>
    <n v="842091715.91999996"/>
    <x v="3"/>
    <x v="2"/>
    <x v="0"/>
    <x v="12"/>
    <x v="4"/>
    <x v="2"/>
    <x v="5"/>
    <x v="2"/>
    <x v="5"/>
    <n v="13"/>
    <x v="0"/>
  </r>
  <r>
    <d v="2020-11-13T00:00:00"/>
    <x v="3"/>
    <x v="2"/>
    <x v="1"/>
    <n v="12596281394.459999"/>
    <x v="3"/>
    <x v="2"/>
    <x v="1"/>
    <x v="13"/>
    <x v="4"/>
    <x v="2"/>
    <x v="5"/>
    <x v="2"/>
    <x v="5"/>
    <n v="13"/>
    <x v="0"/>
  </r>
  <r>
    <d v="2020-11-12T00:00:00"/>
    <x v="0"/>
    <x v="0"/>
    <x v="0"/>
    <n v="1240"/>
    <x v="0"/>
    <x v="0"/>
    <x v="0"/>
    <x v="0"/>
    <x v="4"/>
    <x v="2"/>
    <x v="5"/>
    <x v="2"/>
    <x v="5"/>
    <n v="12"/>
    <x v="0"/>
  </r>
  <r>
    <d v="2020-11-12T00:00:00"/>
    <x v="1"/>
    <x v="0"/>
    <x v="2"/>
    <n v="3230.94"/>
    <x v="1"/>
    <x v="0"/>
    <x v="2"/>
    <x v="2"/>
    <x v="4"/>
    <x v="2"/>
    <x v="5"/>
    <x v="2"/>
    <x v="5"/>
    <n v="12"/>
    <x v="0"/>
  </r>
  <r>
    <d v="2020-11-12T00:00:00"/>
    <x v="3"/>
    <x v="2"/>
    <x v="2"/>
    <n v="338045.18"/>
    <x v="3"/>
    <x v="2"/>
    <x v="2"/>
    <x v="4"/>
    <x v="4"/>
    <x v="2"/>
    <x v="5"/>
    <x v="2"/>
    <x v="5"/>
    <n v="12"/>
    <x v="0"/>
  </r>
  <r>
    <d v="2020-11-12T00:00:00"/>
    <x v="2"/>
    <x v="1"/>
    <x v="2"/>
    <n v="8715"/>
    <x v="2"/>
    <x v="1"/>
    <x v="2"/>
    <x v="3"/>
    <x v="4"/>
    <x v="2"/>
    <x v="5"/>
    <x v="2"/>
    <x v="5"/>
    <n v="12"/>
    <x v="0"/>
  </r>
  <r>
    <d v="2020-11-12T00:00:00"/>
    <x v="3"/>
    <x v="3"/>
    <x v="0"/>
    <n v="2006679420.4100001"/>
    <x v="3"/>
    <x v="3"/>
    <x v="0"/>
    <x v="9"/>
    <x v="4"/>
    <x v="2"/>
    <x v="5"/>
    <x v="2"/>
    <x v="5"/>
    <n v="12"/>
    <x v="0"/>
  </r>
  <r>
    <d v="2020-11-12T00:00:00"/>
    <x v="1"/>
    <x v="0"/>
    <x v="0"/>
    <n v="97073337.269999996"/>
    <x v="1"/>
    <x v="0"/>
    <x v="0"/>
    <x v="10"/>
    <x v="4"/>
    <x v="2"/>
    <x v="5"/>
    <x v="2"/>
    <x v="5"/>
    <n v="12"/>
    <x v="0"/>
  </r>
  <r>
    <d v="2020-11-12T00:00:00"/>
    <x v="0"/>
    <x v="1"/>
    <x v="1"/>
    <n v="202707287.56"/>
    <x v="0"/>
    <x v="1"/>
    <x v="1"/>
    <x v="6"/>
    <x v="4"/>
    <x v="2"/>
    <x v="5"/>
    <x v="2"/>
    <x v="5"/>
    <n v="12"/>
    <x v="0"/>
  </r>
  <r>
    <d v="2020-11-12T00:00:00"/>
    <x v="1"/>
    <x v="0"/>
    <x v="1"/>
    <n v="329415007.64999998"/>
    <x v="1"/>
    <x v="0"/>
    <x v="1"/>
    <x v="11"/>
    <x v="4"/>
    <x v="2"/>
    <x v="5"/>
    <x v="2"/>
    <x v="5"/>
    <n v="12"/>
    <x v="0"/>
  </r>
  <r>
    <d v="2020-11-12T00:00:00"/>
    <x v="0"/>
    <x v="1"/>
    <x v="0"/>
    <n v="16759301.890000001"/>
    <x v="0"/>
    <x v="1"/>
    <x v="0"/>
    <x v="1"/>
    <x v="4"/>
    <x v="2"/>
    <x v="5"/>
    <x v="2"/>
    <x v="5"/>
    <n v="12"/>
    <x v="0"/>
  </r>
  <r>
    <d v="2020-11-12T00:00:00"/>
    <x v="2"/>
    <x v="1"/>
    <x v="0"/>
    <n v="80317815.920000002"/>
    <x v="2"/>
    <x v="1"/>
    <x v="0"/>
    <x v="7"/>
    <x v="4"/>
    <x v="2"/>
    <x v="5"/>
    <x v="2"/>
    <x v="5"/>
    <n v="12"/>
    <x v="0"/>
  </r>
  <r>
    <d v="2020-11-12T00:00:00"/>
    <x v="2"/>
    <x v="1"/>
    <x v="1"/>
    <n v="104320954.89"/>
    <x v="2"/>
    <x v="1"/>
    <x v="1"/>
    <x v="8"/>
    <x v="4"/>
    <x v="2"/>
    <x v="5"/>
    <x v="2"/>
    <x v="5"/>
    <n v="12"/>
    <x v="0"/>
  </r>
  <r>
    <d v="2020-11-12T00:00:00"/>
    <x v="3"/>
    <x v="3"/>
    <x v="1"/>
    <n v="2689.82"/>
    <x v="3"/>
    <x v="3"/>
    <x v="1"/>
    <x v="5"/>
    <x v="4"/>
    <x v="2"/>
    <x v="5"/>
    <x v="2"/>
    <x v="5"/>
    <n v="12"/>
    <x v="0"/>
  </r>
  <r>
    <d v="2020-11-12T00:00:00"/>
    <x v="3"/>
    <x v="2"/>
    <x v="0"/>
    <n v="499474678.18000001"/>
    <x v="3"/>
    <x v="2"/>
    <x v="0"/>
    <x v="12"/>
    <x v="4"/>
    <x v="2"/>
    <x v="5"/>
    <x v="2"/>
    <x v="5"/>
    <n v="12"/>
    <x v="0"/>
  </r>
  <r>
    <d v="2020-11-12T00:00:00"/>
    <x v="3"/>
    <x v="1"/>
    <x v="0"/>
    <n v="22353049"/>
    <x v="3"/>
    <x v="1"/>
    <x v="0"/>
    <x v="13"/>
    <x v="4"/>
    <x v="2"/>
    <x v="5"/>
    <x v="2"/>
    <x v="5"/>
    <n v="12"/>
    <x v="0"/>
  </r>
  <r>
    <d v="2020-11-12T00:00:00"/>
    <x v="3"/>
    <x v="2"/>
    <x v="1"/>
    <n v="10980904168.15"/>
    <x v="3"/>
    <x v="2"/>
    <x v="1"/>
    <x v="14"/>
    <x v="4"/>
    <x v="2"/>
    <x v="5"/>
    <x v="2"/>
    <x v="5"/>
    <n v="12"/>
    <x v="0"/>
  </r>
  <r>
    <d v="2020-11-10T00:00:00"/>
    <x v="2"/>
    <x v="1"/>
    <x v="1"/>
    <n v="136646888.97999999"/>
    <x v="2"/>
    <x v="1"/>
    <x v="1"/>
    <x v="7"/>
    <x v="4"/>
    <x v="2"/>
    <x v="5"/>
    <x v="2"/>
    <x v="5"/>
    <n v="10"/>
    <x v="0"/>
  </r>
  <r>
    <d v="2020-11-10T00:00:00"/>
    <x v="3"/>
    <x v="3"/>
    <x v="0"/>
    <n v="1349017350.23"/>
    <x v="3"/>
    <x v="3"/>
    <x v="0"/>
    <x v="8"/>
    <x v="4"/>
    <x v="2"/>
    <x v="5"/>
    <x v="2"/>
    <x v="5"/>
    <n v="10"/>
    <x v="0"/>
  </r>
  <r>
    <d v="2020-11-10T00:00:00"/>
    <x v="0"/>
    <x v="1"/>
    <x v="1"/>
    <n v="41924969.530000001"/>
    <x v="0"/>
    <x v="1"/>
    <x v="1"/>
    <x v="4"/>
    <x v="4"/>
    <x v="2"/>
    <x v="5"/>
    <x v="2"/>
    <x v="5"/>
    <n v="10"/>
    <x v="0"/>
  </r>
  <r>
    <d v="2020-11-10T00:00:00"/>
    <x v="1"/>
    <x v="0"/>
    <x v="0"/>
    <n v="71033791.819999993"/>
    <x v="1"/>
    <x v="0"/>
    <x v="0"/>
    <x v="9"/>
    <x v="4"/>
    <x v="2"/>
    <x v="5"/>
    <x v="2"/>
    <x v="5"/>
    <n v="10"/>
    <x v="0"/>
  </r>
  <r>
    <d v="2020-11-10T00:00:00"/>
    <x v="0"/>
    <x v="1"/>
    <x v="0"/>
    <n v="22515198.829999998"/>
    <x v="0"/>
    <x v="1"/>
    <x v="0"/>
    <x v="1"/>
    <x v="4"/>
    <x v="2"/>
    <x v="5"/>
    <x v="2"/>
    <x v="5"/>
    <n v="10"/>
    <x v="0"/>
  </r>
  <r>
    <d v="2020-11-10T00:00:00"/>
    <x v="3"/>
    <x v="2"/>
    <x v="2"/>
    <n v="502814.1"/>
    <x v="3"/>
    <x v="2"/>
    <x v="2"/>
    <x v="5"/>
    <x v="4"/>
    <x v="2"/>
    <x v="5"/>
    <x v="2"/>
    <x v="5"/>
    <n v="10"/>
    <x v="0"/>
  </r>
  <r>
    <d v="2020-11-10T00:00:00"/>
    <x v="2"/>
    <x v="1"/>
    <x v="2"/>
    <n v="7516.5"/>
    <x v="2"/>
    <x v="1"/>
    <x v="2"/>
    <x v="3"/>
    <x v="4"/>
    <x v="2"/>
    <x v="5"/>
    <x v="2"/>
    <x v="5"/>
    <n v="10"/>
    <x v="0"/>
  </r>
  <r>
    <d v="2020-11-10T00:00:00"/>
    <x v="2"/>
    <x v="1"/>
    <x v="0"/>
    <n v="71150441.950000003"/>
    <x v="2"/>
    <x v="1"/>
    <x v="0"/>
    <x v="6"/>
    <x v="4"/>
    <x v="2"/>
    <x v="5"/>
    <x v="2"/>
    <x v="5"/>
    <n v="10"/>
    <x v="0"/>
  </r>
  <r>
    <d v="2020-11-10T00:00:00"/>
    <x v="0"/>
    <x v="0"/>
    <x v="0"/>
    <n v="220"/>
    <x v="0"/>
    <x v="0"/>
    <x v="0"/>
    <x v="0"/>
    <x v="4"/>
    <x v="2"/>
    <x v="5"/>
    <x v="2"/>
    <x v="5"/>
    <n v="10"/>
    <x v="0"/>
  </r>
  <r>
    <d v="2020-11-10T00:00:00"/>
    <x v="1"/>
    <x v="0"/>
    <x v="2"/>
    <n v="22693.89"/>
    <x v="1"/>
    <x v="0"/>
    <x v="2"/>
    <x v="2"/>
    <x v="4"/>
    <x v="2"/>
    <x v="5"/>
    <x v="2"/>
    <x v="5"/>
    <n v="10"/>
    <x v="0"/>
  </r>
  <r>
    <d v="2020-11-10T00:00:00"/>
    <x v="1"/>
    <x v="0"/>
    <x v="1"/>
    <n v="346236630.26999998"/>
    <x v="1"/>
    <x v="0"/>
    <x v="1"/>
    <x v="10"/>
    <x v="4"/>
    <x v="2"/>
    <x v="5"/>
    <x v="2"/>
    <x v="5"/>
    <n v="10"/>
    <x v="0"/>
  </r>
  <r>
    <d v="2020-11-10T00:00:00"/>
    <x v="3"/>
    <x v="1"/>
    <x v="0"/>
    <n v="11277517.880000001"/>
    <x v="3"/>
    <x v="1"/>
    <x v="0"/>
    <x v="11"/>
    <x v="4"/>
    <x v="2"/>
    <x v="5"/>
    <x v="2"/>
    <x v="5"/>
    <n v="10"/>
    <x v="0"/>
  </r>
  <r>
    <d v="2020-11-10T00:00:00"/>
    <x v="3"/>
    <x v="2"/>
    <x v="0"/>
    <n v="524190913.08999997"/>
    <x v="3"/>
    <x v="2"/>
    <x v="0"/>
    <x v="12"/>
    <x v="4"/>
    <x v="2"/>
    <x v="5"/>
    <x v="2"/>
    <x v="5"/>
    <n v="10"/>
    <x v="0"/>
  </r>
  <r>
    <d v="2020-11-10T00:00:00"/>
    <x v="3"/>
    <x v="2"/>
    <x v="1"/>
    <n v="3058878166.9200001"/>
    <x v="3"/>
    <x v="2"/>
    <x v="1"/>
    <x v="13"/>
    <x v="4"/>
    <x v="2"/>
    <x v="5"/>
    <x v="2"/>
    <x v="5"/>
    <n v="10"/>
    <x v="0"/>
  </r>
  <r>
    <d v="2020-11-09T00:00:00"/>
    <x v="1"/>
    <x v="0"/>
    <x v="2"/>
    <n v="35563.410000000003"/>
    <x v="1"/>
    <x v="0"/>
    <x v="2"/>
    <x v="2"/>
    <x v="4"/>
    <x v="2"/>
    <x v="5"/>
    <x v="2"/>
    <x v="5"/>
    <n v="9"/>
    <x v="0"/>
  </r>
  <r>
    <d v="2020-11-09T00:00:00"/>
    <x v="2"/>
    <x v="1"/>
    <x v="2"/>
    <n v="18840"/>
    <x v="2"/>
    <x v="1"/>
    <x v="2"/>
    <x v="3"/>
    <x v="4"/>
    <x v="2"/>
    <x v="5"/>
    <x v="2"/>
    <x v="5"/>
    <n v="9"/>
    <x v="0"/>
  </r>
  <r>
    <d v="2020-11-09T00:00:00"/>
    <x v="3"/>
    <x v="3"/>
    <x v="0"/>
    <n v="2543509596.2600002"/>
    <x v="3"/>
    <x v="3"/>
    <x v="0"/>
    <x v="9"/>
    <x v="4"/>
    <x v="2"/>
    <x v="5"/>
    <x v="2"/>
    <x v="5"/>
    <n v="9"/>
    <x v="0"/>
  </r>
  <r>
    <d v="2020-11-09T00:00:00"/>
    <x v="3"/>
    <x v="3"/>
    <x v="1"/>
    <n v="440263.59"/>
    <x v="3"/>
    <x v="3"/>
    <x v="1"/>
    <x v="4"/>
    <x v="4"/>
    <x v="2"/>
    <x v="5"/>
    <x v="2"/>
    <x v="5"/>
    <n v="9"/>
    <x v="0"/>
  </r>
  <r>
    <d v="2020-11-09T00:00:00"/>
    <x v="0"/>
    <x v="1"/>
    <x v="1"/>
    <n v="263472659.44"/>
    <x v="0"/>
    <x v="1"/>
    <x v="1"/>
    <x v="5"/>
    <x v="4"/>
    <x v="2"/>
    <x v="5"/>
    <x v="2"/>
    <x v="5"/>
    <n v="9"/>
    <x v="0"/>
  </r>
  <r>
    <d v="2020-11-09T00:00:00"/>
    <x v="0"/>
    <x v="1"/>
    <x v="0"/>
    <n v="9951935.6699999999"/>
    <x v="0"/>
    <x v="1"/>
    <x v="0"/>
    <x v="1"/>
    <x v="4"/>
    <x v="2"/>
    <x v="5"/>
    <x v="2"/>
    <x v="5"/>
    <n v="9"/>
    <x v="0"/>
  </r>
  <r>
    <d v="2020-11-09T00:00:00"/>
    <x v="3"/>
    <x v="2"/>
    <x v="2"/>
    <n v="611385.84"/>
    <x v="3"/>
    <x v="2"/>
    <x v="2"/>
    <x v="6"/>
    <x v="4"/>
    <x v="2"/>
    <x v="5"/>
    <x v="2"/>
    <x v="5"/>
    <n v="9"/>
    <x v="0"/>
  </r>
  <r>
    <d v="2020-11-09T00:00:00"/>
    <x v="2"/>
    <x v="1"/>
    <x v="0"/>
    <n v="67966899.829999998"/>
    <x v="2"/>
    <x v="1"/>
    <x v="0"/>
    <x v="7"/>
    <x v="4"/>
    <x v="2"/>
    <x v="5"/>
    <x v="2"/>
    <x v="5"/>
    <n v="9"/>
    <x v="0"/>
  </r>
  <r>
    <d v="2020-11-09T00:00:00"/>
    <x v="2"/>
    <x v="1"/>
    <x v="1"/>
    <n v="28286050.079999998"/>
    <x v="2"/>
    <x v="1"/>
    <x v="1"/>
    <x v="8"/>
    <x v="4"/>
    <x v="2"/>
    <x v="5"/>
    <x v="2"/>
    <x v="5"/>
    <n v="9"/>
    <x v="0"/>
  </r>
  <r>
    <d v="2020-11-09T00:00:00"/>
    <x v="0"/>
    <x v="0"/>
    <x v="0"/>
    <n v="450"/>
    <x v="0"/>
    <x v="0"/>
    <x v="0"/>
    <x v="0"/>
    <x v="4"/>
    <x v="2"/>
    <x v="5"/>
    <x v="2"/>
    <x v="5"/>
    <n v="9"/>
    <x v="0"/>
  </r>
  <r>
    <d v="2020-11-09T00:00:00"/>
    <x v="1"/>
    <x v="0"/>
    <x v="0"/>
    <n v="80200380.730000004"/>
    <x v="1"/>
    <x v="0"/>
    <x v="0"/>
    <x v="10"/>
    <x v="4"/>
    <x v="2"/>
    <x v="5"/>
    <x v="2"/>
    <x v="5"/>
    <n v="9"/>
    <x v="0"/>
  </r>
  <r>
    <d v="2020-11-09T00:00:00"/>
    <x v="1"/>
    <x v="0"/>
    <x v="1"/>
    <n v="270367098.38999999"/>
    <x v="1"/>
    <x v="0"/>
    <x v="1"/>
    <x v="11"/>
    <x v="4"/>
    <x v="2"/>
    <x v="5"/>
    <x v="2"/>
    <x v="5"/>
    <n v="9"/>
    <x v="0"/>
  </r>
  <r>
    <d v="2020-11-09T00:00:00"/>
    <x v="3"/>
    <x v="2"/>
    <x v="0"/>
    <n v="523371095.31999999"/>
    <x v="3"/>
    <x v="2"/>
    <x v="0"/>
    <x v="12"/>
    <x v="4"/>
    <x v="2"/>
    <x v="5"/>
    <x v="2"/>
    <x v="5"/>
    <n v="9"/>
    <x v="0"/>
  </r>
  <r>
    <d v="2020-11-09T00:00:00"/>
    <x v="3"/>
    <x v="2"/>
    <x v="1"/>
    <n v="13624020676.91"/>
    <x v="3"/>
    <x v="2"/>
    <x v="1"/>
    <x v="13"/>
    <x v="4"/>
    <x v="2"/>
    <x v="5"/>
    <x v="2"/>
    <x v="5"/>
    <n v="9"/>
    <x v="0"/>
  </r>
  <r>
    <d v="2020-11-09T00:00:00"/>
    <x v="3"/>
    <x v="1"/>
    <x v="0"/>
    <n v="40139107.539999999"/>
    <x v="3"/>
    <x v="1"/>
    <x v="0"/>
    <x v="14"/>
    <x v="4"/>
    <x v="2"/>
    <x v="5"/>
    <x v="2"/>
    <x v="5"/>
    <n v="9"/>
    <x v="0"/>
  </r>
  <r>
    <d v="2020-11-06T00:00:00"/>
    <x v="1"/>
    <x v="0"/>
    <x v="2"/>
    <n v="34435.61"/>
    <x v="1"/>
    <x v="0"/>
    <x v="2"/>
    <x v="1"/>
    <x v="4"/>
    <x v="2"/>
    <x v="5"/>
    <x v="2"/>
    <x v="5"/>
    <n v="6"/>
    <x v="0"/>
  </r>
  <r>
    <d v="2020-11-06T00:00:00"/>
    <x v="2"/>
    <x v="1"/>
    <x v="0"/>
    <n v="80380281.140000001"/>
    <x v="2"/>
    <x v="1"/>
    <x v="0"/>
    <x v="5"/>
    <x v="4"/>
    <x v="2"/>
    <x v="5"/>
    <x v="2"/>
    <x v="5"/>
    <n v="6"/>
    <x v="0"/>
  </r>
  <r>
    <d v="2020-11-06T00:00:00"/>
    <x v="2"/>
    <x v="1"/>
    <x v="2"/>
    <n v="12536.48"/>
    <x v="2"/>
    <x v="1"/>
    <x v="2"/>
    <x v="2"/>
    <x v="4"/>
    <x v="2"/>
    <x v="5"/>
    <x v="2"/>
    <x v="5"/>
    <n v="6"/>
    <x v="0"/>
  </r>
  <r>
    <d v="2020-11-06T00:00:00"/>
    <x v="1"/>
    <x v="0"/>
    <x v="0"/>
    <n v="60150583.57"/>
    <x v="1"/>
    <x v="0"/>
    <x v="0"/>
    <x v="8"/>
    <x v="4"/>
    <x v="2"/>
    <x v="5"/>
    <x v="2"/>
    <x v="5"/>
    <n v="6"/>
    <x v="0"/>
  </r>
  <r>
    <d v="2020-11-06T00:00:00"/>
    <x v="0"/>
    <x v="1"/>
    <x v="1"/>
    <n v="113803111.13"/>
    <x v="0"/>
    <x v="1"/>
    <x v="1"/>
    <x v="3"/>
    <x v="4"/>
    <x v="2"/>
    <x v="5"/>
    <x v="2"/>
    <x v="5"/>
    <n v="6"/>
    <x v="0"/>
  </r>
  <r>
    <d v="2020-11-06T00:00:00"/>
    <x v="0"/>
    <x v="1"/>
    <x v="0"/>
    <n v="16052195.32"/>
    <x v="0"/>
    <x v="1"/>
    <x v="0"/>
    <x v="0"/>
    <x v="4"/>
    <x v="2"/>
    <x v="5"/>
    <x v="2"/>
    <x v="5"/>
    <n v="6"/>
    <x v="0"/>
  </r>
  <r>
    <d v="2020-11-06T00:00:00"/>
    <x v="3"/>
    <x v="2"/>
    <x v="2"/>
    <n v="482344.85"/>
    <x v="3"/>
    <x v="2"/>
    <x v="2"/>
    <x v="4"/>
    <x v="4"/>
    <x v="2"/>
    <x v="5"/>
    <x v="2"/>
    <x v="5"/>
    <n v="6"/>
    <x v="0"/>
  </r>
  <r>
    <d v="2020-11-06T00:00:00"/>
    <x v="1"/>
    <x v="0"/>
    <x v="1"/>
    <n v="131821206.05"/>
    <x v="1"/>
    <x v="0"/>
    <x v="1"/>
    <x v="9"/>
    <x v="4"/>
    <x v="2"/>
    <x v="5"/>
    <x v="2"/>
    <x v="5"/>
    <n v="6"/>
    <x v="0"/>
  </r>
  <r>
    <d v="2020-11-06T00:00:00"/>
    <x v="2"/>
    <x v="1"/>
    <x v="1"/>
    <n v="31470852.73"/>
    <x v="2"/>
    <x v="1"/>
    <x v="1"/>
    <x v="6"/>
    <x v="4"/>
    <x v="2"/>
    <x v="5"/>
    <x v="2"/>
    <x v="5"/>
    <n v="6"/>
    <x v="0"/>
  </r>
  <r>
    <d v="2020-11-06T00:00:00"/>
    <x v="3"/>
    <x v="3"/>
    <x v="0"/>
    <n v="1183479584.96"/>
    <x v="3"/>
    <x v="3"/>
    <x v="0"/>
    <x v="7"/>
    <x v="4"/>
    <x v="2"/>
    <x v="5"/>
    <x v="2"/>
    <x v="5"/>
    <n v="6"/>
    <x v="0"/>
  </r>
  <r>
    <d v="2020-11-06T00:00:00"/>
    <x v="3"/>
    <x v="2"/>
    <x v="0"/>
    <n v="547430488.83000004"/>
    <x v="3"/>
    <x v="2"/>
    <x v="0"/>
    <x v="10"/>
    <x v="4"/>
    <x v="2"/>
    <x v="5"/>
    <x v="2"/>
    <x v="5"/>
    <n v="6"/>
    <x v="0"/>
  </r>
  <r>
    <d v="2020-11-06T00:00:00"/>
    <x v="3"/>
    <x v="1"/>
    <x v="0"/>
    <n v="12068176.810000001"/>
    <x v="3"/>
    <x v="1"/>
    <x v="0"/>
    <x v="11"/>
    <x v="4"/>
    <x v="2"/>
    <x v="5"/>
    <x v="2"/>
    <x v="5"/>
    <n v="6"/>
    <x v="0"/>
  </r>
  <r>
    <d v="2020-11-06T00:00:00"/>
    <x v="3"/>
    <x v="2"/>
    <x v="1"/>
    <n v="6165850986.3699999"/>
    <x v="3"/>
    <x v="2"/>
    <x v="1"/>
    <x v="12"/>
    <x v="4"/>
    <x v="2"/>
    <x v="5"/>
    <x v="2"/>
    <x v="5"/>
    <n v="6"/>
    <x v="0"/>
  </r>
  <r>
    <d v="2020-11-05T00:00:00"/>
    <x v="1"/>
    <x v="0"/>
    <x v="2"/>
    <n v="9192.7800000000007"/>
    <x v="1"/>
    <x v="0"/>
    <x v="2"/>
    <x v="1"/>
    <x v="4"/>
    <x v="2"/>
    <x v="5"/>
    <x v="2"/>
    <x v="5"/>
    <n v="5"/>
    <x v="0"/>
  </r>
  <r>
    <d v="2020-11-05T00:00:00"/>
    <x v="2"/>
    <x v="1"/>
    <x v="2"/>
    <n v="5430"/>
    <x v="2"/>
    <x v="1"/>
    <x v="2"/>
    <x v="2"/>
    <x v="4"/>
    <x v="2"/>
    <x v="5"/>
    <x v="2"/>
    <x v="5"/>
    <n v="5"/>
    <x v="0"/>
  </r>
  <r>
    <d v="2020-11-05T00:00:00"/>
    <x v="2"/>
    <x v="1"/>
    <x v="0"/>
    <n v="72436341.239999995"/>
    <x v="2"/>
    <x v="1"/>
    <x v="0"/>
    <x v="5"/>
    <x v="4"/>
    <x v="2"/>
    <x v="5"/>
    <x v="2"/>
    <x v="5"/>
    <n v="5"/>
    <x v="0"/>
  </r>
  <r>
    <d v="2020-11-05T00:00:00"/>
    <x v="2"/>
    <x v="1"/>
    <x v="1"/>
    <n v="6983747.2000000002"/>
    <x v="2"/>
    <x v="1"/>
    <x v="1"/>
    <x v="6"/>
    <x v="4"/>
    <x v="2"/>
    <x v="5"/>
    <x v="2"/>
    <x v="5"/>
    <n v="5"/>
    <x v="0"/>
  </r>
  <r>
    <d v="2020-11-05T00:00:00"/>
    <x v="0"/>
    <x v="1"/>
    <x v="1"/>
    <n v="93980255.480000004"/>
    <x v="0"/>
    <x v="1"/>
    <x v="1"/>
    <x v="3"/>
    <x v="4"/>
    <x v="2"/>
    <x v="5"/>
    <x v="2"/>
    <x v="5"/>
    <n v="5"/>
    <x v="0"/>
  </r>
  <r>
    <d v="2020-11-05T00:00:00"/>
    <x v="1"/>
    <x v="0"/>
    <x v="0"/>
    <n v="91549990.530000001"/>
    <x v="1"/>
    <x v="0"/>
    <x v="0"/>
    <x v="7"/>
    <x v="4"/>
    <x v="2"/>
    <x v="5"/>
    <x v="2"/>
    <x v="5"/>
    <n v="5"/>
    <x v="0"/>
  </r>
  <r>
    <d v="2020-11-05T00:00:00"/>
    <x v="0"/>
    <x v="1"/>
    <x v="0"/>
    <n v="20177683.609999999"/>
    <x v="0"/>
    <x v="1"/>
    <x v="0"/>
    <x v="0"/>
    <x v="4"/>
    <x v="2"/>
    <x v="5"/>
    <x v="2"/>
    <x v="5"/>
    <n v="5"/>
    <x v="0"/>
  </r>
  <r>
    <d v="2020-11-05T00:00:00"/>
    <x v="3"/>
    <x v="2"/>
    <x v="2"/>
    <n v="334348"/>
    <x v="3"/>
    <x v="2"/>
    <x v="2"/>
    <x v="4"/>
    <x v="4"/>
    <x v="2"/>
    <x v="5"/>
    <x v="2"/>
    <x v="5"/>
    <n v="5"/>
    <x v="0"/>
  </r>
  <r>
    <d v="2020-11-05T00:00:00"/>
    <x v="3"/>
    <x v="3"/>
    <x v="0"/>
    <n v="1548116786.78"/>
    <x v="3"/>
    <x v="3"/>
    <x v="0"/>
    <x v="8"/>
    <x v="4"/>
    <x v="2"/>
    <x v="5"/>
    <x v="2"/>
    <x v="5"/>
    <n v="5"/>
    <x v="0"/>
  </r>
  <r>
    <d v="2020-11-05T00:00:00"/>
    <x v="1"/>
    <x v="0"/>
    <x v="1"/>
    <n v="365824509.33999997"/>
    <x v="1"/>
    <x v="0"/>
    <x v="1"/>
    <x v="9"/>
    <x v="4"/>
    <x v="2"/>
    <x v="5"/>
    <x v="2"/>
    <x v="5"/>
    <n v="5"/>
    <x v="0"/>
  </r>
  <r>
    <d v="2020-11-05T00:00:00"/>
    <x v="3"/>
    <x v="1"/>
    <x v="0"/>
    <n v="12348124.49"/>
    <x v="3"/>
    <x v="1"/>
    <x v="0"/>
    <x v="10"/>
    <x v="4"/>
    <x v="2"/>
    <x v="5"/>
    <x v="2"/>
    <x v="5"/>
    <n v="5"/>
    <x v="0"/>
  </r>
  <r>
    <d v="2020-11-05T00:00:00"/>
    <x v="3"/>
    <x v="2"/>
    <x v="0"/>
    <n v="362120182.41000003"/>
    <x v="3"/>
    <x v="2"/>
    <x v="0"/>
    <x v="11"/>
    <x v="4"/>
    <x v="2"/>
    <x v="5"/>
    <x v="2"/>
    <x v="5"/>
    <n v="5"/>
    <x v="0"/>
  </r>
  <r>
    <d v="2020-11-05T00:00:00"/>
    <x v="3"/>
    <x v="2"/>
    <x v="1"/>
    <n v="2472609718.3899999"/>
    <x v="3"/>
    <x v="2"/>
    <x v="1"/>
    <x v="12"/>
    <x v="4"/>
    <x v="2"/>
    <x v="5"/>
    <x v="2"/>
    <x v="5"/>
    <n v="5"/>
    <x v="0"/>
  </r>
  <r>
    <d v="2020-11-04T00:00:00"/>
    <x v="1"/>
    <x v="0"/>
    <x v="2"/>
    <n v="17318.78"/>
    <x v="1"/>
    <x v="0"/>
    <x v="2"/>
    <x v="2"/>
    <x v="4"/>
    <x v="2"/>
    <x v="5"/>
    <x v="2"/>
    <x v="5"/>
    <n v="4"/>
    <x v="0"/>
  </r>
  <r>
    <d v="2020-11-04T00:00:00"/>
    <x v="2"/>
    <x v="1"/>
    <x v="2"/>
    <n v="4390"/>
    <x v="2"/>
    <x v="1"/>
    <x v="2"/>
    <x v="1"/>
    <x v="4"/>
    <x v="2"/>
    <x v="5"/>
    <x v="2"/>
    <x v="5"/>
    <n v="4"/>
    <x v="0"/>
  </r>
  <r>
    <d v="2020-11-04T00:00:00"/>
    <x v="3"/>
    <x v="2"/>
    <x v="2"/>
    <n v="1713236.8"/>
    <x v="3"/>
    <x v="2"/>
    <x v="2"/>
    <x v="4"/>
    <x v="4"/>
    <x v="2"/>
    <x v="5"/>
    <x v="2"/>
    <x v="5"/>
    <n v="4"/>
    <x v="0"/>
  </r>
  <r>
    <d v="2020-11-04T00:00:00"/>
    <x v="1"/>
    <x v="0"/>
    <x v="0"/>
    <n v="132494977.52"/>
    <x v="1"/>
    <x v="0"/>
    <x v="0"/>
    <x v="8"/>
    <x v="4"/>
    <x v="2"/>
    <x v="5"/>
    <x v="2"/>
    <x v="5"/>
    <n v="4"/>
    <x v="0"/>
  </r>
  <r>
    <d v="2020-11-04T00:00:00"/>
    <x v="0"/>
    <x v="1"/>
    <x v="1"/>
    <n v="224780716.16"/>
    <x v="0"/>
    <x v="1"/>
    <x v="1"/>
    <x v="3"/>
    <x v="4"/>
    <x v="2"/>
    <x v="5"/>
    <x v="2"/>
    <x v="5"/>
    <n v="4"/>
    <x v="0"/>
  </r>
  <r>
    <d v="2020-11-04T00:00:00"/>
    <x v="0"/>
    <x v="1"/>
    <x v="0"/>
    <n v="8646503.6799999997"/>
    <x v="0"/>
    <x v="1"/>
    <x v="0"/>
    <x v="0"/>
    <x v="4"/>
    <x v="2"/>
    <x v="5"/>
    <x v="2"/>
    <x v="5"/>
    <n v="4"/>
    <x v="0"/>
  </r>
  <r>
    <d v="2020-11-04T00:00:00"/>
    <x v="3"/>
    <x v="3"/>
    <x v="0"/>
    <n v="1321492256.54"/>
    <x v="3"/>
    <x v="3"/>
    <x v="0"/>
    <x v="5"/>
    <x v="4"/>
    <x v="2"/>
    <x v="5"/>
    <x v="2"/>
    <x v="5"/>
    <n v="4"/>
    <x v="0"/>
  </r>
  <r>
    <d v="2020-11-04T00:00:00"/>
    <x v="2"/>
    <x v="1"/>
    <x v="1"/>
    <n v="26372690.809999999"/>
    <x v="2"/>
    <x v="1"/>
    <x v="1"/>
    <x v="7"/>
    <x v="4"/>
    <x v="2"/>
    <x v="5"/>
    <x v="2"/>
    <x v="5"/>
    <n v="4"/>
    <x v="0"/>
  </r>
  <r>
    <d v="2020-11-04T00:00:00"/>
    <x v="2"/>
    <x v="1"/>
    <x v="0"/>
    <n v="96908663.939999998"/>
    <x v="2"/>
    <x v="1"/>
    <x v="0"/>
    <x v="6"/>
    <x v="4"/>
    <x v="2"/>
    <x v="5"/>
    <x v="2"/>
    <x v="5"/>
    <n v="4"/>
    <x v="0"/>
  </r>
  <r>
    <d v="2020-11-04T00:00:00"/>
    <x v="1"/>
    <x v="0"/>
    <x v="1"/>
    <n v="383808835.13"/>
    <x v="1"/>
    <x v="0"/>
    <x v="1"/>
    <x v="9"/>
    <x v="4"/>
    <x v="2"/>
    <x v="5"/>
    <x v="2"/>
    <x v="5"/>
    <n v="4"/>
    <x v="0"/>
  </r>
  <r>
    <d v="2020-11-04T00:00:00"/>
    <x v="3"/>
    <x v="1"/>
    <x v="0"/>
    <n v="12742085.82"/>
    <x v="3"/>
    <x v="1"/>
    <x v="0"/>
    <x v="10"/>
    <x v="4"/>
    <x v="2"/>
    <x v="5"/>
    <x v="2"/>
    <x v="5"/>
    <n v="4"/>
    <x v="0"/>
  </r>
  <r>
    <d v="2020-11-04T00:00:00"/>
    <x v="3"/>
    <x v="2"/>
    <x v="0"/>
    <n v="368743802.88"/>
    <x v="3"/>
    <x v="2"/>
    <x v="0"/>
    <x v="11"/>
    <x v="4"/>
    <x v="2"/>
    <x v="5"/>
    <x v="2"/>
    <x v="5"/>
    <n v="4"/>
    <x v="0"/>
  </r>
  <r>
    <d v="2020-11-04T00:00:00"/>
    <x v="3"/>
    <x v="2"/>
    <x v="1"/>
    <n v="10053029064.200001"/>
    <x v="3"/>
    <x v="2"/>
    <x v="1"/>
    <x v="12"/>
    <x v="4"/>
    <x v="2"/>
    <x v="5"/>
    <x v="2"/>
    <x v="5"/>
    <n v="4"/>
    <x v="0"/>
  </r>
  <r>
    <d v="2020-11-03T00:00:00"/>
    <x v="1"/>
    <x v="0"/>
    <x v="2"/>
    <n v="53601.07"/>
    <x v="1"/>
    <x v="0"/>
    <x v="2"/>
    <x v="2"/>
    <x v="4"/>
    <x v="2"/>
    <x v="5"/>
    <x v="2"/>
    <x v="5"/>
    <n v="3"/>
    <x v="0"/>
  </r>
  <r>
    <d v="2020-11-03T00:00:00"/>
    <x v="2"/>
    <x v="1"/>
    <x v="2"/>
    <n v="219707.95"/>
    <x v="2"/>
    <x v="1"/>
    <x v="2"/>
    <x v="3"/>
    <x v="4"/>
    <x v="2"/>
    <x v="5"/>
    <x v="2"/>
    <x v="5"/>
    <n v="3"/>
    <x v="0"/>
  </r>
  <r>
    <d v="2020-11-03T00:00:00"/>
    <x v="3"/>
    <x v="3"/>
    <x v="0"/>
    <n v="1746616741.21"/>
    <x v="3"/>
    <x v="3"/>
    <x v="0"/>
    <x v="6"/>
    <x v="4"/>
    <x v="2"/>
    <x v="5"/>
    <x v="2"/>
    <x v="5"/>
    <n v="3"/>
    <x v="0"/>
  </r>
  <r>
    <d v="2020-11-03T00:00:00"/>
    <x v="1"/>
    <x v="0"/>
    <x v="0"/>
    <n v="69777800.129999995"/>
    <x v="1"/>
    <x v="0"/>
    <x v="0"/>
    <x v="9"/>
    <x v="4"/>
    <x v="2"/>
    <x v="5"/>
    <x v="2"/>
    <x v="5"/>
    <n v="3"/>
    <x v="0"/>
  </r>
  <r>
    <d v="2020-11-03T00:00:00"/>
    <x v="0"/>
    <x v="1"/>
    <x v="0"/>
    <n v="12159377.98"/>
    <x v="0"/>
    <x v="1"/>
    <x v="0"/>
    <x v="1"/>
    <x v="4"/>
    <x v="2"/>
    <x v="5"/>
    <x v="2"/>
    <x v="5"/>
    <n v="3"/>
    <x v="0"/>
  </r>
  <r>
    <d v="2020-11-03T00:00:00"/>
    <x v="3"/>
    <x v="2"/>
    <x v="2"/>
    <n v="1210511.81"/>
    <x v="3"/>
    <x v="2"/>
    <x v="2"/>
    <x v="5"/>
    <x v="4"/>
    <x v="2"/>
    <x v="5"/>
    <x v="2"/>
    <x v="5"/>
    <n v="3"/>
    <x v="0"/>
  </r>
  <r>
    <d v="2020-11-03T00:00:00"/>
    <x v="2"/>
    <x v="1"/>
    <x v="0"/>
    <n v="88637128.120000005"/>
    <x v="2"/>
    <x v="1"/>
    <x v="0"/>
    <x v="7"/>
    <x v="4"/>
    <x v="2"/>
    <x v="5"/>
    <x v="2"/>
    <x v="5"/>
    <n v="3"/>
    <x v="0"/>
  </r>
  <r>
    <d v="2020-11-03T00:00:00"/>
    <x v="2"/>
    <x v="1"/>
    <x v="1"/>
    <n v="133745984.34"/>
    <x v="2"/>
    <x v="1"/>
    <x v="1"/>
    <x v="8"/>
    <x v="4"/>
    <x v="2"/>
    <x v="5"/>
    <x v="2"/>
    <x v="5"/>
    <n v="3"/>
    <x v="0"/>
  </r>
  <r>
    <d v="2020-11-03T00:00:00"/>
    <x v="0"/>
    <x v="0"/>
    <x v="0"/>
    <n v="1160.22"/>
    <x v="0"/>
    <x v="0"/>
    <x v="0"/>
    <x v="0"/>
    <x v="4"/>
    <x v="2"/>
    <x v="5"/>
    <x v="2"/>
    <x v="5"/>
    <n v="3"/>
    <x v="0"/>
  </r>
  <r>
    <d v="2020-11-03T00:00:00"/>
    <x v="0"/>
    <x v="1"/>
    <x v="1"/>
    <n v="199677390.55000001"/>
    <x v="0"/>
    <x v="1"/>
    <x v="1"/>
    <x v="4"/>
    <x v="4"/>
    <x v="2"/>
    <x v="5"/>
    <x v="2"/>
    <x v="5"/>
    <n v="3"/>
    <x v="0"/>
  </r>
  <r>
    <d v="2020-11-03T00:00:00"/>
    <x v="1"/>
    <x v="0"/>
    <x v="1"/>
    <n v="299213726.08999997"/>
    <x v="1"/>
    <x v="0"/>
    <x v="1"/>
    <x v="10"/>
    <x v="4"/>
    <x v="2"/>
    <x v="5"/>
    <x v="2"/>
    <x v="5"/>
    <n v="3"/>
    <x v="0"/>
  </r>
  <r>
    <d v="2020-11-03T00:00:00"/>
    <x v="3"/>
    <x v="1"/>
    <x v="0"/>
    <n v="10254839.02"/>
    <x v="3"/>
    <x v="1"/>
    <x v="0"/>
    <x v="11"/>
    <x v="4"/>
    <x v="2"/>
    <x v="5"/>
    <x v="2"/>
    <x v="5"/>
    <n v="3"/>
    <x v="0"/>
  </r>
  <r>
    <d v="2020-11-03T00:00:00"/>
    <x v="3"/>
    <x v="2"/>
    <x v="0"/>
    <n v="564925898.95000005"/>
    <x v="3"/>
    <x v="2"/>
    <x v="0"/>
    <x v="12"/>
    <x v="4"/>
    <x v="2"/>
    <x v="5"/>
    <x v="2"/>
    <x v="5"/>
    <n v="3"/>
    <x v="0"/>
  </r>
  <r>
    <d v="2020-11-03T00:00:00"/>
    <x v="3"/>
    <x v="2"/>
    <x v="1"/>
    <n v="5292666012.6800003"/>
    <x v="3"/>
    <x v="2"/>
    <x v="1"/>
    <x v="13"/>
    <x v="4"/>
    <x v="2"/>
    <x v="5"/>
    <x v="2"/>
    <x v="5"/>
    <n v="3"/>
    <x v="0"/>
  </r>
  <r>
    <d v="2020-11-02T00:00:00"/>
    <x v="1"/>
    <x v="0"/>
    <x v="2"/>
    <n v="28708.22"/>
    <x v="1"/>
    <x v="0"/>
    <x v="2"/>
    <x v="3"/>
    <x v="4"/>
    <x v="2"/>
    <x v="5"/>
    <x v="2"/>
    <x v="5"/>
    <n v="2"/>
    <x v="0"/>
  </r>
  <r>
    <d v="2020-11-02T00:00:00"/>
    <x v="2"/>
    <x v="1"/>
    <x v="2"/>
    <n v="11930"/>
    <x v="2"/>
    <x v="1"/>
    <x v="2"/>
    <x v="2"/>
    <x v="4"/>
    <x v="2"/>
    <x v="5"/>
    <x v="2"/>
    <x v="5"/>
    <n v="2"/>
    <x v="0"/>
  </r>
  <r>
    <d v="2020-11-02T00:00:00"/>
    <x v="2"/>
    <x v="1"/>
    <x v="1"/>
    <n v="98160625.090000004"/>
    <x v="2"/>
    <x v="1"/>
    <x v="1"/>
    <x v="9"/>
    <x v="4"/>
    <x v="2"/>
    <x v="5"/>
    <x v="2"/>
    <x v="5"/>
    <n v="2"/>
    <x v="0"/>
  </r>
  <r>
    <d v="2020-11-02T00:00:00"/>
    <x v="0"/>
    <x v="1"/>
    <x v="1"/>
    <n v="308378863.23000002"/>
    <x v="0"/>
    <x v="1"/>
    <x v="1"/>
    <x v="5"/>
    <x v="4"/>
    <x v="2"/>
    <x v="5"/>
    <x v="2"/>
    <x v="5"/>
    <n v="2"/>
    <x v="0"/>
  </r>
  <r>
    <d v="2020-11-02T00:00:00"/>
    <x v="0"/>
    <x v="1"/>
    <x v="0"/>
    <n v="7468749.9400000004"/>
    <x v="0"/>
    <x v="1"/>
    <x v="0"/>
    <x v="1"/>
    <x v="4"/>
    <x v="2"/>
    <x v="5"/>
    <x v="2"/>
    <x v="5"/>
    <n v="2"/>
    <x v="0"/>
  </r>
  <r>
    <d v="2020-11-02T00:00:00"/>
    <x v="1"/>
    <x v="0"/>
    <x v="0"/>
    <n v="61327406.039999999"/>
    <x v="1"/>
    <x v="0"/>
    <x v="0"/>
    <x v="10"/>
    <x v="4"/>
    <x v="2"/>
    <x v="5"/>
    <x v="2"/>
    <x v="5"/>
    <n v="2"/>
    <x v="0"/>
  </r>
  <r>
    <d v="2020-11-02T00:00:00"/>
    <x v="3"/>
    <x v="2"/>
    <x v="2"/>
    <n v="512851.34"/>
    <x v="3"/>
    <x v="2"/>
    <x v="2"/>
    <x v="6"/>
    <x v="4"/>
    <x v="2"/>
    <x v="5"/>
    <x v="2"/>
    <x v="5"/>
    <n v="2"/>
    <x v="0"/>
  </r>
  <r>
    <d v="2020-11-02T00:00:00"/>
    <x v="0"/>
    <x v="0"/>
    <x v="0"/>
    <n v="25"/>
    <x v="0"/>
    <x v="0"/>
    <x v="0"/>
    <x v="0"/>
    <x v="4"/>
    <x v="2"/>
    <x v="5"/>
    <x v="2"/>
    <x v="5"/>
    <n v="2"/>
    <x v="0"/>
  </r>
  <r>
    <d v="2020-11-02T00:00:00"/>
    <x v="2"/>
    <x v="1"/>
    <x v="0"/>
    <n v="87276433.430000007"/>
    <x v="2"/>
    <x v="1"/>
    <x v="0"/>
    <x v="7"/>
    <x v="4"/>
    <x v="2"/>
    <x v="5"/>
    <x v="2"/>
    <x v="5"/>
    <n v="2"/>
    <x v="0"/>
  </r>
  <r>
    <d v="2020-11-02T00:00:00"/>
    <x v="3"/>
    <x v="3"/>
    <x v="1"/>
    <n v="3196.11"/>
    <x v="3"/>
    <x v="3"/>
    <x v="1"/>
    <x v="4"/>
    <x v="4"/>
    <x v="2"/>
    <x v="5"/>
    <x v="2"/>
    <x v="5"/>
    <n v="2"/>
    <x v="0"/>
  </r>
  <r>
    <d v="2020-11-02T00:00:00"/>
    <x v="3"/>
    <x v="3"/>
    <x v="0"/>
    <n v="5447709167.0299997"/>
    <x v="3"/>
    <x v="3"/>
    <x v="0"/>
    <x v="8"/>
    <x v="4"/>
    <x v="2"/>
    <x v="5"/>
    <x v="2"/>
    <x v="5"/>
    <n v="2"/>
    <x v="0"/>
  </r>
  <r>
    <d v="2020-11-02T00:00:00"/>
    <x v="1"/>
    <x v="0"/>
    <x v="1"/>
    <n v="228754917.91999999"/>
    <x v="1"/>
    <x v="0"/>
    <x v="1"/>
    <x v="11"/>
    <x v="4"/>
    <x v="2"/>
    <x v="5"/>
    <x v="2"/>
    <x v="5"/>
    <n v="2"/>
    <x v="0"/>
  </r>
  <r>
    <d v="2020-11-02T00:00:00"/>
    <x v="3"/>
    <x v="2"/>
    <x v="0"/>
    <n v="887259686.53999996"/>
    <x v="3"/>
    <x v="2"/>
    <x v="0"/>
    <x v="12"/>
    <x v="4"/>
    <x v="2"/>
    <x v="5"/>
    <x v="2"/>
    <x v="5"/>
    <n v="2"/>
    <x v="0"/>
  </r>
  <r>
    <d v="2020-11-02T00:00:00"/>
    <x v="3"/>
    <x v="2"/>
    <x v="1"/>
    <n v="33090491183.73"/>
    <x v="3"/>
    <x v="2"/>
    <x v="1"/>
    <x v="13"/>
    <x v="4"/>
    <x v="2"/>
    <x v="5"/>
    <x v="2"/>
    <x v="5"/>
    <n v="2"/>
    <x v="0"/>
  </r>
  <r>
    <d v="2020-11-02T00:00:00"/>
    <x v="3"/>
    <x v="1"/>
    <x v="0"/>
    <n v="46813886.109999999"/>
    <x v="3"/>
    <x v="1"/>
    <x v="0"/>
    <x v="14"/>
    <x v="4"/>
    <x v="2"/>
    <x v="5"/>
    <x v="2"/>
    <x v="5"/>
    <n v="2"/>
    <x v="0"/>
  </r>
  <r>
    <d v="2020-10-30T00:00:00"/>
    <x v="2"/>
    <x v="1"/>
    <x v="2"/>
    <n v="11126.27"/>
    <x v="2"/>
    <x v="1"/>
    <x v="2"/>
    <x v="2"/>
    <x v="4"/>
    <x v="2"/>
    <x v="5"/>
    <x v="2"/>
    <x v="6"/>
    <n v="30"/>
    <x v="0"/>
  </r>
  <r>
    <d v="2020-10-30T00:00:00"/>
    <x v="0"/>
    <x v="1"/>
    <x v="1"/>
    <n v="360937480.06"/>
    <x v="0"/>
    <x v="1"/>
    <x v="1"/>
    <x v="3"/>
    <x v="4"/>
    <x v="2"/>
    <x v="5"/>
    <x v="2"/>
    <x v="6"/>
    <n v="30"/>
    <x v="0"/>
  </r>
  <r>
    <d v="2020-10-30T00:00:00"/>
    <x v="1"/>
    <x v="0"/>
    <x v="0"/>
    <n v="59869472.460000001"/>
    <x v="1"/>
    <x v="0"/>
    <x v="0"/>
    <x v="8"/>
    <x v="4"/>
    <x v="2"/>
    <x v="5"/>
    <x v="2"/>
    <x v="6"/>
    <n v="30"/>
    <x v="0"/>
  </r>
  <r>
    <d v="2020-10-30T00:00:00"/>
    <x v="0"/>
    <x v="1"/>
    <x v="0"/>
    <n v="9564757.1400000006"/>
    <x v="0"/>
    <x v="1"/>
    <x v="0"/>
    <x v="0"/>
    <x v="4"/>
    <x v="2"/>
    <x v="5"/>
    <x v="2"/>
    <x v="6"/>
    <n v="30"/>
    <x v="0"/>
  </r>
  <r>
    <d v="2020-10-30T00:00:00"/>
    <x v="3"/>
    <x v="2"/>
    <x v="2"/>
    <n v="516398.75"/>
    <x v="3"/>
    <x v="2"/>
    <x v="2"/>
    <x v="4"/>
    <x v="4"/>
    <x v="2"/>
    <x v="5"/>
    <x v="2"/>
    <x v="6"/>
    <n v="30"/>
    <x v="0"/>
  </r>
  <r>
    <d v="2020-10-30T00:00:00"/>
    <x v="1"/>
    <x v="0"/>
    <x v="2"/>
    <n v="22992.38"/>
    <x v="1"/>
    <x v="0"/>
    <x v="2"/>
    <x v="1"/>
    <x v="4"/>
    <x v="2"/>
    <x v="5"/>
    <x v="2"/>
    <x v="6"/>
    <n v="30"/>
    <x v="0"/>
  </r>
  <r>
    <d v="2020-10-30T00:00:00"/>
    <x v="3"/>
    <x v="3"/>
    <x v="0"/>
    <n v="3282154334.9499998"/>
    <x v="3"/>
    <x v="3"/>
    <x v="0"/>
    <x v="5"/>
    <x v="4"/>
    <x v="2"/>
    <x v="5"/>
    <x v="2"/>
    <x v="6"/>
    <n v="30"/>
    <x v="0"/>
  </r>
  <r>
    <d v="2020-10-30T00:00:00"/>
    <x v="2"/>
    <x v="1"/>
    <x v="1"/>
    <n v="159733609.34999999"/>
    <x v="2"/>
    <x v="1"/>
    <x v="1"/>
    <x v="7"/>
    <x v="4"/>
    <x v="2"/>
    <x v="5"/>
    <x v="2"/>
    <x v="6"/>
    <n v="30"/>
    <x v="0"/>
  </r>
  <r>
    <d v="2020-10-30T00:00:00"/>
    <x v="2"/>
    <x v="1"/>
    <x v="0"/>
    <n v="58194045.829999998"/>
    <x v="2"/>
    <x v="1"/>
    <x v="0"/>
    <x v="6"/>
    <x v="4"/>
    <x v="2"/>
    <x v="5"/>
    <x v="2"/>
    <x v="6"/>
    <n v="30"/>
    <x v="0"/>
  </r>
  <r>
    <d v="2020-10-30T00:00:00"/>
    <x v="1"/>
    <x v="0"/>
    <x v="1"/>
    <n v="109712504.39"/>
    <x v="1"/>
    <x v="0"/>
    <x v="1"/>
    <x v="9"/>
    <x v="4"/>
    <x v="2"/>
    <x v="5"/>
    <x v="2"/>
    <x v="6"/>
    <n v="30"/>
    <x v="0"/>
  </r>
  <r>
    <d v="2020-10-30T00:00:00"/>
    <x v="3"/>
    <x v="2"/>
    <x v="0"/>
    <n v="736683481.94000006"/>
    <x v="3"/>
    <x v="2"/>
    <x v="0"/>
    <x v="10"/>
    <x v="4"/>
    <x v="2"/>
    <x v="5"/>
    <x v="2"/>
    <x v="6"/>
    <n v="30"/>
    <x v="0"/>
  </r>
  <r>
    <d v="2020-10-30T00:00:00"/>
    <x v="3"/>
    <x v="1"/>
    <x v="0"/>
    <n v="13011709.73"/>
    <x v="3"/>
    <x v="1"/>
    <x v="0"/>
    <x v="11"/>
    <x v="4"/>
    <x v="2"/>
    <x v="5"/>
    <x v="2"/>
    <x v="6"/>
    <n v="30"/>
    <x v="0"/>
  </r>
  <r>
    <d v="2020-10-30T00:00:00"/>
    <x v="3"/>
    <x v="2"/>
    <x v="1"/>
    <n v="10118594204.459999"/>
    <x v="3"/>
    <x v="2"/>
    <x v="1"/>
    <x v="12"/>
    <x v="4"/>
    <x v="2"/>
    <x v="5"/>
    <x v="2"/>
    <x v="6"/>
    <n v="30"/>
    <x v="0"/>
  </r>
  <r>
    <d v="2020-10-29T00:00:00"/>
    <x v="2"/>
    <x v="1"/>
    <x v="0"/>
    <n v="46189318.219999999"/>
    <x v="2"/>
    <x v="1"/>
    <x v="0"/>
    <x v="5"/>
    <x v="4"/>
    <x v="2"/>
    <x v="5"/>
    <x v="2"/>
    <x v="6"/>
    <n v="29"/>
    <x v="0"/>
  </r>
  <r>
    <d v="2020-10-29T00:00:00"/>
    <x v="0"/>
    <x v="1"/>
    <x v="1"/>
    <n v="217244654.75999999"/>
    <x v="0"/>
    <x v="1"/>
    <x v="1"/>
    <x v="3"/>
    <x v="4"/>
    <x v="2"/>
    <x v="5"/>
    <x v="2"/>
    <x v="6"/>
    <n v="29"/>
    <x v="0"/>
  </r>
  <r>
    <d v="2020-10-29T00:00:00"/>
    <x v="0"/>
    <x v="1"/>
    <x v="0"/>
    <n v="56886511.539999999"/>
    <x v="0"/>
    <x v="1"/>
    <x v="0"/>
    <x v="0"/>
    <x v="4"/>
    <x v="2"/>
    <x v="5"/>
    <x v="2"/>
    <x v="6"/>
    <n v="29"/>
    <x v="0"/>
  </r>
  <r>
    <d v="2020-10-29T00:00:00"/>
    <x v="3"/>
    <x v="2"/>
    <x v="2"/>
    <n v="446931.54"/>
    <x v="3"/>
    <x v="2"/>
    <x v="2"/>
    <x v="4"/>
    <x v="4"/>
    <x v="2"/>
    <x v="5"/>
    <x v="2"/>
    <x v="6"/>
    <n v="29"/>
    <x v="0"/>
  </r>
  <r>
    <d v="2020-10-29T00:00:00"/>
    <x v="1"/>
    <x v="0"/>
    <x v="2"/>
    <n v="5978.25"/>
    <x v="1"/>
    <x v="0"/>
    <x v="2"/>
    <x v="1"/>
    <x v="4"/>
    <x v="2"/>
    <x v="5"/>
    <x v="2"/>
    <x v="6"/>
    <n v="29"/>
    <x v="0"/>
  </r>
  <r>
    <d v="2020-10-29T00:00:00"/>
    <x v="2"/>
    <x v="1"/>
    <x v="2"/>
    <n v="6765"/>
    <x v="2"/>
    <x v="1"/>
    <x v="2"/>
    <x v="2"/>
    <x v="4"/>
    <x v="2"/>
    <x v="5"/>
    <x v="2"/>
    <x v="6"/>
    <n v="29"/>
    <x v="0"/>
  </r>
  <r>
    <d v="2020-10-29T00:00:00"/>
    <x v="1"/>
    <x v="0"/>
    <x v="0"/>
    <n v="90651213.219999999"/>
    <x v="1"/>
    <x v="0"/>
    <x v="0"/>
    <x v="7"/>
    <x v="4"/>
    <x v="2"/>
    <x v="5"/>
    <x v="2"/>
    <x v="6"/>
    <n v="29"/>
    <x v="0"/>
  </r>
  <r>
    <d v="2020-10-29T00:00:00"/>
    <x v="2"/>
    <x v="1"/>
    <x v="1"/>
    <n v="18676678.23"/>
    <x v="2"/>
    <x v="1"/>
    <x v="1"/>
    <x v="6"/>
    <x v="4"/>
    <x v="2"/>
    <x v="5"/>
    <x v="2"/>
    <x v="6"/>
    <n v="29"/>
    <x v="0"/>
  </r>
  <r>
    <d v="2020-10-29T00:00:00"/>
    <x v="3"/>
    <x v="3"/>
    <x v="0"/>
    <n v="3297631749.6599998"/>
    <x v="3"/>
    <x v="3"/>
    <x v="0"/>
    <x v="8"/>
    <x v="4"/>
    <x v="2"/>
    <x v="5"/>
    <x v="2"/>
    <x v="6"/>
    <n v="29"/>
    <x v="0"/>
  </r>
  <r>
    <d v="2020-10-29T00:00:00"/>
    <x v="1"/>
    <x v="0"/>
    <x v="1"/>
    <n v="309814760.32999998"/>
    <x v="1"/>
    <x v="0"/>
    <x v="1"/>
    <x v="9"/>
    <x v="4"/>
    <x v="2"/>
    <x v="5"/>
    <x v="2"/>
    <x v="6"/>
    <n v="29"/>
    <x v="0"/>
  </r>
  <r>
    <d v="2020-10-29T00:00:00"/>
    <x v="3"/>
    <x v="2"/>
    <x v="0"/>
    <n v="567762696.04999995"/>
    <x v="3"/>
    <x v="2"/>
    <x v="0"/>
    <x v="10"/>
    <x v="4"/>
    <x v="2"/>
    <x v="5"/>
    <x v="2"/>
    <x v="6"/>
    <n v="29"/>
    <x v="0"/>
  </r>
  <r>
    <d v="2020-10-29T00:00:00"/>
    <x v="3"/>
    <x v="1"/>
    <x v="0"/>
    <n v="11932257.189999999"/>
    <x v="3"/>
    <x v="1"/>
    <x v="0"/>
    <x v="11"/>
    <x v="4"/>
    <x v="2"/>
    <x v="5"/>
    <x v="2"/>
    <x v="6"/>
    <n v="29"/>
    <x v="0"/>
  </r>
  <r>
    <d v="2020-10-29T00:00:00"/>
    <x v="3"/>
    <x v="2"/>
    <x v="1"/>
    <n v="4270473336.5"/>
    <x v="3"/>
    <x v="2"/>
    <x v="1"/>
    <x v="12"/>
    <x v="4"/>
    <x v="2"/>
    <x v="5"/>
    <x v="2"/>
    <x v="6"/>
    <n v="29"/>
    <x v="0"/>
  </r>
  <r>
    <d v="2020-10-28T00:00:00"/>
    <x v="1"/>
    <x v="0"/>
    <x v="2"/>
    <n v="11782.41"/>
    <x v="1"/>
    <x v="0"/>
    <x v="2"/>
    <x v="2"/>
    <x v="4"/>
    <x v="2"/>
    <x v="5"/>
    <x v="2"/>
    <x v="6"/>
    <n v="28"/>
    <x v="0"/>
  </r>
  <r>
    <d v="2020-10-28T00:00:00"/>
    <x v="3"/>
    <x v="3"/>
    <x v="0"/>
    <n v="1770596208.9000001"/>
    <x v="3"/>
    <x v="3"/>
    <x v="0"/>
    <x v="8"/>
    <x v="4"/>
    <x v="2"/>
    <x v="5"/>
    <x v="2"/>
    <x v="6"/>
    <n v="28"/>
    <x v="0"/>
  </r>
  <r>
    <d v="2020-10-28T00:00:00"/>
    <x v="2"/>
    <x v="1"/>
    <x v="1"/>
    <n v="48088438.590000004"/>
    <x v="2"/>
    <x v="1"/>
    <x v="1"/>
    <x v="9"/>
    <x v="4"/>
    <x v="2"/>
    <x v="5"/>
    <x v="2"/>
    <x v="6"/>
    <n v="28"/>
    <x v="0"/>
  </r>
  <r>
    <d v="2020-10-28T00:00:00"/>
    <x v="0"/>
    <x v="1"/>
    <x v="0"/>
    <n v="8303609.9900000002"/>
    <x v="0"/>
    <x v="1"/>
    <x v="0"/>
    <x v="1"/>
    <x v="4"/>
    <x v="2"/>
    <x v="5"/>
    <x v="2"/>
    <x v="6"/>
    <n v="28"/>
    <x v="0"/>
  </r>
  <r>
    <d v="2020-10-28T00:00:00"/>
    <x v="0"/>
    <x v="1"/>
    <x v="1"/>
    <n v="280532674.11000001"/>
    <x v="0"/>
    <x v="1"/>
    <x v="1"/>
    <x v="5"/>
    <x v="4"/>
    <x v="2"/>
    <x v="5"/>
    <x v="2"/>
    <x v="6"/>
    <n v="28"/>
    <x v="0"/>
  </r>
  <r>
    <d v="2020-10-28T00:00:00"/>
    <x v="3"/>
    <x v="2"/>
    <x v="2"/>
    <n v="604121.99"/>
    <x v="3"/>
    <x v="2"/>
    <x v="2"/>
    <x v="6"/>
    <x v="4"/>
    <x v="2"/>
    <x v="5"/>
    <x v="2"/>
    <x v="6"/>
    <n v="28"/>
    <x v="0"/>
  </r>
  <r>
    <d v="2020-10-28T00:00:00"/>
    <x v="2"/>
    <x v="1"/>
    <x v="2"/>
    <n v="6525"/>
    <x v="2"/>
    <x v="1"/>
    <x v="2"/>
    <x v="3"/>
    <x v="4"/>
    <x v="2"/>
    <x v="5"/>
    <x v="2"/>
    <x v="6"/>
    <n v="28"/>
    <x v="0"/>
  </r>
  <r>
    <d v="2020-10-28T00:00:00"/>
    <x v="2"/>
    <x v="3"/>
    <x v="0"/>
    <n v="48.86"/>
    <x v="2"/>
    <x v="3"/>
    <x v="0"/>
    <x v="0"/>
    <x v="4"/>
    <x v="2"/>
    <x v="5"/>
    <x v="2"/>
    <x v="6"/>
    <n v="28"/>
    <x v="0"/>
  </r>
  <r>
    <d v="2020-10-28T00:00:00"/>
    <x v="3"/>
    <x v="3"/>
    <x v="1"/>
    <n v="1096138.49"/>
    <x v="3"/>
    <x v="3"/>
    <x v="1"/>
    <x v="4"/>
    <x v="4"/>
    <x v="2"/>
    <x v="5"/>
    <x v="2"/>
    <x v="6"/>
    <n v="28"/>
    <x v="0"/>
  </r>
  <r>
    <d v="2020-10-28T00:00:00"/>
    <x v="2"/>
    <x v="1"/>
    <x v="0"/>
    <n v="79847874.5"/>
    <x v="2"/>
    <x v="1"/>
    <x v="0"/>
    <x v="7"/>
    <x v="4"/>
    <x v="2"/>
    <x v="5"/>
    <x v="2"/>
    <x v="6"/>
    <n v="28"/>
    <x v="0"/>
  </r>
  <r>
    <d v="2020-10-28T00:00:00"/>
    <x v="1"/>
    <x v="0"/>
    <x v="0"/>
    <n v="71415166.579999998"/>
    <x v="1"/>
    <x v="0"/>
    <x v="0"/>
    <x v="10"/>
    <x v="4"/>
    <x v="2"/>
    <x v="5"/>
    <x v="2"/>
    <x v="6"/>
    <n v="28"/>
    <x v="0"/>
  </r>
  <r>
    <d v="2020-10-28T00:00:00"/>
    <x v="1"/>
    <x v="0"/>
    <x v="1"/>
    <n v="599658209.82000005"/>
    <x v="1"/>
    <x v="0"/>
    <x v="1"/>
    <x v="11"/>
    <x v="4"/>
    <x v="2"/>
    <x v="5"/>
    <x v="2"/>
    <x v="6"/>
    <n v="28"/>
    <x v="0"/>
  </r>
  <r>
    <d v="2020-10-28T00:00:00"/>
    <x v="3"/>
    <x v="2"/>
    <x v="0"/>
    <n v="544716646.98000002"/>
    <x v="3"/>
    <x v="2"/>
    <x v="0"/>
    <x v="12"/>
    <x v="4"/>
    <x v="2"/>
    <x v="5"/>
    <x v="2"/>
    <x v="6"/>
    <n v="28"/>
    <x v="0"/>
  </r>
  <r>
    <d v="2020-10-28T00:00:00"/>
    <x v="3"/>
    <x v="1"/>
    <x v="0"/>
    <n v="11347488.34"/>
    <x v="3"/>
    <x v="1"/>
    <x v="0"/>
    <x v="13"/>
    <x v="4"/>
    <x v="2"/>
    <x v="5"/>
    <x v="2"/>
    <x v="6"/>
    <n v="28"/>
    <x v="0"/>
  </r>
  <r>
    <d v="2020-10-28T00:00:00"/>
    <x v="3"/>
    <x v="2"/>
    <x v="1"/>
    <n v="8075794565.8999996"/>
    <x v="3"/>
    <x v="2"/>
    <x v="1"/>
    <x v="14"/>
    <x v="4"/>
    <x v="2"/>
    <x v="5"/>
    <x v="2"/>
    <x v="6"/>
    <n v="28"/>
    <x v="0"/>
  </r>
  <r>
    <d v="2020-10-27T00:00:00"/>
    <x v="0"/>
    <x v="1"/>
    <x v="1"/>
    <n v="266807892.88"/>
    <x v="0"/>
    <x v="1"/>
    <x v="1"/>
    <x v="5"/>
    <x v="4"/>
    <x v="2"/>
    <x v="5"/>
    <x v="2"/>
    <x v="6"/>
    <n v="27"/>
    <x v="0"/>
  </r>
  <r>
    <d v="2020-10-27T00:00:00"/>
    <x v="2"/>
    <x v="1"/>
    <x v="0"/>
    <n v="56404084.259999998"/>
    <x v="2"/>
    <x v="1"/>
    <x v="0"/>
    <x v="7"/>
    <x v="4"/>
    <x v="2"/>
    <x v="5"/>
    <x v="2"/>
    <x v="6"/>
    <n v="27"/>
    <x v="0"/>
  </r>
  <r>
    <d v="2020-10-27T00:00:00"/>
    <x v="3"/>
    <x v="3"/>
    <x v="0"/>
    <n v="1814330324.48"/>
    <x v="3"/>
    <x v="3"/>
    <x v="0"/>
    <x v="8"/>
    <x v="4"/>
    <x v="2"/>
    <x v="5"/>
    <x v="2"/>
    <x v="6"/>
    <n v="27"/>
    <x v="0"/>
  </r>
  <r>
    <d v="2020-10-27T00:00:00"/>
    <x v="3"/>
    <x v="3"/>
    <x v="1"/>
    <n v="1788780.63"/>
    <x v="3"/>
    <x v="3"/>
    <x v="1"/>
    <x v="4"/>
    <x v="4"/>
    <x v="2"/>
    <x v="5"/>
    <x v="2"/>
    <x v="6"/>
    <n v="27"/>
    <x v="0"/>
  </r>
  <r>
    <d v="2020-10-27T00:00:00"/>
    <x v="1"/>
    <x v="0"/>
    <x v="0"/>
    <n v="88385423.180000007"/>
    <x v="1"/>
    <x v="0"/>
    <x v="0"/>
    <x v="10"/>
    <x v="4"/>
    <x v="2"/>
    <x v="5"/>
    <x v="2"/>
    <x v="6"/>
    <n v="27"/>
    <x v="0"/>
  </r>
  <r>
    <d v="2020-10-27T00:00:00"/>
    <x v="0"/>
    <x v="1"/>
    <x v="0"/>
    <n v="24251974.620000001"/>
    <x v="0"/>
    <x v="1"/>
    <x v="0"/>
    <x v="1"/>
    <x v="4"/>
    <x v="2"/>
    <x v="5"/>
    <x v="2"/>
    <x v="6"/>
    <n v="27"/>
    <x v="0"/>
  </r>
  <r>
    <d v="2020-10-27T00:00:00"/>
    <x v="3"/>
    <x v="2"/>
    <x v="2"/>
    <n v="540659.84"/>
    <x v="3"/>
    <x v="2"/>
    <x v="2"/>
    <x v="6"/>
    <x v="4"/>
    <x v="2"/>
    <x v="5"/>
    <x v="2"/>
    <x v="6"/>
    <n v="27"/>
    <x v="0"/>
  </r>
  <r>
    <d v="2020-10-27T00:00:00"/>
    <x v="2"/>
    <x v="1"/>
    <x v="2"/>
    <n v="1934446.76"/>
    <x v="2"/>
    <x v="1"/>
    <x v="2"/>
    <x v="3"/>
    <x v="4"/>
    <x v="2"/>
    <x v="5"/>
    <x v="2"/>
    <x v="6"/>
    <n v="27"/>
    <x v="0"/>
  </r>
  <r>
    <d v="2020-10-27T00:00:00"/>
    <x v="1"/>
    <x v="0"/>
    <x v="2"/>
    <n v="39669.11"/>
    <x v="1"/>
    <x v="0"/>
    <x v="2"/>
    <x v="2"/>
    <x v="4"/>
    <x v="2"/>
    <x v="5"/>
    <x v="2"/>
    <x v="6"/>
    <n v="27"/>
    <x v="0"/>
  </r>
  <r>
    <d v="2020-10-27T00:00:00"/>
    <x v="0"/>
    <x v="0"/>
    <x v="0"/>
    <n v="582.78"/>
    <x v="0"/>
    <x v="0"/>
    <x v="0"/>
    <x v="0"/>
    <x v="4"/>
    <x v="2"/>
    <x v="5"/>
    <x v="2"/>
    <x v="6"/>
    <n v="27"/>
    <x v="0"/>
  </r>
  <r>
    <d v="2020-10-27T00:00:00"/>
    <x v="2"/>
    <x v="1"/>
    <x v="1"/>
    <n v="17431993.350000001"/>
    <x v="2"/>
    <x v="1"/>
    <x v="1"/>
    <x v="9"/>
    <x v="4"/>
    <x v="2"/>
    <x v="5"/>
    <x v="2"/>
    <x v="6"/>
    <n v="27"/>
    <x v="0"/>
  </r>
  <r>
    <d v="2020-10-27T00:00:00"/>
    <x v="1"/>
    <x v="0"/>
    <x v="1"/>
    <n v="695088234.35000002"/>
    <x v="1"/>
    <x v="0"/>
    <x v="1"/>
    <x v="11"/>
    <x v="4"/>
    <x v="2"/>
    <x v="5"/>
    <x v="2"/>
    <x v="6"/>
    <n v="27"/>
    <x v="0"/>
  </r>
  <r>
    <d v="2020-10-27T00:00:00"/>
    <x v="3"/>
    <x v="1"/>
    <x v="0"/>
    <n v="9012669.3900000006"/>
    <x v="3"/>
    <x v="1"/>
    <x v="0"/>
    <x v="12"/>
    <x v="4"/>
    <x v="2"/>
    <x v="5"/>
    <x v="2"/>
    <x v="6"/>
    <n v="27"/>
    <x v="0"/>
  </r>
  <r>
    <d v="2020-10-27T00:00:00"/>
    <x v="3"/>
    <x v="2"/>
    <x v="0"/>
    <n v="472567243.98000002"/>
    <x v="3"/>
    <x v="2"/>
    <x v="0"/>
    <x v="13"/>
    <x v="4"/>
    <x v="2"/>
    <x v="5"/>
    <x v="2"/>
    <x v="6"/>
    <n v="27"/>
    <x v="0"/>
  </r>
  <r>
    <d v="2020-10-27T00:00:00"/>
    <x v="3"/>
    <x v="2"/>
    <x v="1"/>
    <n v="2266489738.5300002"/>
    <x v="3"/>
    <x v="2"/>
    <x v="1"/>
    <x v="14"/>
    <x v="4"/>
    <x v="2"/>
    <x v="5"/>
    <x v="2"/>
    <x v="6"/>
    <n v="27"/>
    <x v="0"/>
  </r>
  <r>
    <d v="2020-10-26T00:00:00"/>
    <x v="1"/>
    <x v="0"/>
    <x v="2"/>
    <n v="8641.2999999999993"/>
    <x v="1"/>
    <x v="0"/>
    <x v="2"/>
    <x v="2"/>
    <x v="4"/>
    <x v="2"/>
    <x v="5"/>
    <x v="2"/>
    <x v="6"/>
    <n v="26"/>
    <x v="0"/>
  </r>
  <r>
    <d v="2020-10-26T00:00:00"/>
    <x v="2"/>
    <x v="1"/>
    <x v="1"/>
    <n v="124394504.64"/>
    <x v="2"/>
    <x v="1"/>
    <x v="1"/>
    <x v="6"/>
    <x v="4"/>
    <x v="2"/>
    <x v="5"/>
    <x v="2"/>
    <x v="6"/>
    <n v="26"/>
    <x v="0"/>
  </r>
  <r>
    <d v="2020-10-26T00:00:00"/>
    <x v="2"/>
    <x v="1"/>
    <x v="0"/>
    <n v="74128949.629999995"/>
    <x v="2"/>
    <x v="1"/>
    <x v="0"/>
    <x v="7"/>
    <x v="4"/>
    <x v="2"/>
    <x v="5"/>
    <x v="2"/>
    <x v="6"/>
    <n v="26"/>
    <x v="0"/>
  </r>
  <r>
    <d v="2020-10-26T00:00:00"/>
    <x v="3"/>
    <x v="3"/>
    <x v="0"/>
    <n v="1968710317.72"/>
    <x v="3"/>
    <x v="3"/>
    <x v="0"/>
    <x v="8"/>
    <x v="4"/>
    <x v="2"/>
    <x v="5"/>
    <x v="2"/>
    <x v="6"/>
    <n v="26"/>
    <x v="0"/>
  </r>
  <r>
    <d v="2020-10-26T00:00:00"/>
    <x v="0"/>
    <x v="1"/>
    <x v="0"/>
    <n v="10144010.41"/>
    <x v="0"/>
    <x v="1"/>
    <x v="0"/>
    <x v="1"/>
    <x v="4"/>
    <x v="2"/>
    <x v="5"/>
    <x v="2"/>
    <x v="6"/>
    <n v="26"/>
    <x v="0"/>
  </r>
  <r>
    <d v="2020-10-26T00:00:00"/>
    <x v="1"/>
    <x v="0"/>
    <x v="0"/>
    <n v="103789231.59"/>
    <x v="1"/>
    <x v="0"/>
    <x v="0"/>
    <x v="9"/>
    <x v="4"/>
    <x v="2"/>
    <x v="5"/>
    <x v="2"/>
    <x v="6"/>
    <n v="26"/>
    <x v="0"/>
  </r>
  <r>
    <d v="2020-10-26T00:00:00"/>
    <x v="2"/>
    <x v="1"/>
    <x v="2"/>
    <n v="2955"/>
    <x v="2"/>
    <x v="1"/>
    <x v="2"/>
    <x v="5"/>
    <x v="4"/>
    <x v="2"/>
    <x v="5"/>
    <x v="2"/>
    <x v="6"/>
    <n v="26"/>
    <x v="0"/>
  </r>
  <r>
    <d v="2020-10-26T00:00:00"/>
    <x v="0"/>
    <x v="0"/>
    <x v="0"/>
    <n v="941.28"/>
    <x v="0"/>
    <x v="0"/>
    <x v="0"/>
    <x v="0"/>
    <x v="4"/>
    <x v="2"/>
    <x v="5"/>
    <x v="2"/>
    <x v="6"/>
    <n v="26"/>
    <x v="0"/>
  </r>
  <r>
    <d v="2020-10-26T00:00:00"/>
    <x v="0"/>
    <x v="1"/>
    <x v="1"/>
    <n v="283238826.75999999"/>
    <x v="0"/>
    <x v="1"/>
    <x v="1"/>
    <x v="4"/>
    <x v="4"/>
    <x v="2"/>
    <x v="5"/>
    <x v="2"/>
    <x v="6"/>
    <n v="26"/>
    <x v="0"/>
  </r>
  <r>
    <d v="2020-10-26T00:00:00"/>
    <x v="3"/>
    <x v="2"/>
    <x v="2"/>
    <n v="372889.99"/>
    <x v="3"/>
    <x v="2"/>
    <x v="2"/>
    <x v="3"/>
    <x v="4"/>
    <x v="2"/>
    <x v="5"/>
    <x v="2"/>
    <x v="6"/>
    <n v="26"/>
    <x v="0"/>
  </r>
  <r>
    <d v="2020-10-26T00:00:00"/>
    <x v="1"/>
    <x v="0"/>
    <x v="1"/>
    <n v="394723359.20999998"/>
    <x v="1"/>
    <x v="0"/>
    <x v="1"/>
    <x v="10"/>
    <x v="4"/>
    <x v="2"/>
    <x v="5"/>
    <x v="2"/>
    <x v="6"/>
    <n v="26"/>
    <x v="0"/>
  </r>
  <r>
    <d v="2020-10-26T00:00:00"/>
    <x v="3"/>
    <x v="2"/>
    <x v="0"/>
    <n v="408107328.43000001"/>
    <x v="3"/>
    <x v="2"/>
    <x v="0"/>
    <x v="11"/>
    <x v="4"/>
    <x v="2"/>
    <x v="5"/>
    <x v="2"/>
    <x v="6"/>
    <n v="26"/>
    <x v="0"/>
  </r>
  <r>
    <d v="2020-10-26T00:00:00"/>
    <x v="3"/>
    <x v="2"/>
    <x v="1"/>
    <n v="13911219031.059999"/>
    <x v="3"/>
    <x v="2"/>
    <x v="1"/>
    <x v="12"/>
    <x v="4"/>
    <x v="2"/>
    <x v="5"/>
    <x v="2"/>
    <x v="6"/>
    <n v="26"/>
    <x v="0"/>
  </r>
  <r>
    <d v="2020-10-26T00:00:00"/>
    <x v="3"/>
    <x v="1"/>
    <x v="0"/>
    <n v="40107933.159999996"/>
    <x v="3"/>
    <x v="1"/>
    <x v="0"/>
    <x v="13"/>
    <x v="4"/>
    <x v="2"/>
    <x v="5"/>
    <x v="2"/>
    <x v="6"/>
    <n v="26"/>
    <x v="0"/>
  </r>
  <r>
    <d v="2020-10-23T00:00:00"/>
    <x v="1"/>
    <x v="0"/>
    <x v="2"/>
    <n v="4305.99"/>
    <x v="1"/>
    <x v="0"/>
    <x v="2"/>
    <x v="2"/>
    <x v="4"/>
    <x v="2"/>
    <x v="5"/>
    <x v="2"/>
    <x v="6"/>
    <n v="23"/>
    <x v="0"/>
  </r>
  <r>
    <d v="2020-10-23T00:00:00"/>
    <x v="2"/>
    <x v="1"/>
    <x v="1"/>
    <n v="37245663.659999996"/>
    <x v="2"/>
    <x v="1"/>
    <x v="1"/>
    <x v="6"/>
    <x v="4"/>
    <x v="2"/>
    <x v="5"/>
    <x v="2"/>
    <x v="6"/>
    <n v="23"/>
    <x v="0"/>
  </r>
  <r>
    <d v="2020-10-23T00:00:00"/>
    <x v="2"/>
    <x v="1"/>
    <x v="2"/>
    <n v="357170.67"/>
    <x v="2"/>
    <x v="1"/>
    <x v="2"/>
    <x v="3"/>
    <x v="4"/>
    <x v="2"/>
    <x v="5"/>
    <x v="2"/>
    <x v="6"/>
    <n v="23"/>
    <x v="0"/>
  </r>
  <r>
    <d v="2020-10-23T00:00:00"/>
    <x v="0"/>
    <x v="1"/>
    <x v="0"/>
    <n v="33490493.27"/>
    <x v="0"/>
    <x v="1"/>
    <x v="0"/>
    <x v="1"/>
    <x v="4"/>
    <x v="2"/>
    <x v="5"/>
    <x v="2"/>
    <x v="6"/>
    <n v="23"/>
    <x v="0"/>
  </r>
  <r>
    <d v="2020-10-23T00:00:00"/>
    <x v="1"/>
    <x v="0"/>
    <x v="0"/>
    <n v="120147558.27"/>
    <x v="1"/>
    <x v="0"/>
    <x v="0"/>
    <x v="9"/>
    <x v="4"/>
    <x v="2"/>
    <x v="5"/>
    <x v="2"/>
    <x v="6"/>
    <n v="23"/>
    <x v="0"/>
  </r>
  <r>
    <d v="2020-10-23T00:00:00"/>
    <x v="3"/>
    <x v="2"/>
    <x v="2"/>
    <n v="522523.12"/>
    <x v="3"/>
    <x v="2"/>
    <x v="2"/>
    <x v="5"/>
    <x v="4"/>
    <x v="2"/>
    <x v="5"/>
    <x v="2"/>
    <x v="6"/>
    <n v="23"/>
    <x v="0"/>
  </r>
  <r>
    <d v="2020-10-23T00:00:00"/>
    <x v="0"/>
    <x v="0"/>
    <x v="0"/>
    <n v="327.48"/>
    <x v="0"/>
    <x v="0"/>
    <x v="0"/>
    <x v="0"/>
    <x v="4"/>
    <x v="2"/>
    <x v="5"/>
    <x v="2"/>
    <x v="6"/>
    <n v="23"/>
    <x v="0"/>
  </r>
  <r>
    <d v="2020-10-23T00:00:00"/>
    <x v="3"/>
    <x v="3"/>
    <x v="0"/>
    <n v="1513091792.5799999"/>
    <x v="3"/>
    <x v="3"/>
    <x v="0"/>
    <x v="7"/>
    <x v="4"/>
    <x v="2"/>
    <x v="5"/>
    <x v="2"/>
    <x v="6"/>
    <n v="23"/>
    <x v="0"/>
  </r>
  <r>
    <d v="2020-10-23T00:00:00"/>
    <x v="0"/>
    <x v="1"/>
    <x v="1"/>
    <n v="412847421.19999999"/>
    <x v="0"/>
    <x v="1"/>
    <x v="1"/>
    <x v="4"/>
    <x v="4"/>
    <x v="2"/>
    <x v="5"/>
    <x v="2"/>
    <x v="6"/>
    <n v="23"/>
    <x v="0"/>
  </r>
  <r>
    <d v="2020-10-23T00:00:00"/>
    <x v="2"/>
    <x v="1"/>
    <x v="0"/>
    <n v="69953775.939999998"/>
    <x v="2"/>
    <x v="1"/>
    <x v="0"/>
    <x v="8"/>
    <x v="4"/>
    <x v="2"/>
    <x v="5"/>
    <x v="2"/>
    <x v="6"/>
    <n v="23"/>
    <x v="0"/>
  </r>
  <r>
    <d v="2020-10-23T00:00:00"/>
    <x v="1"/>
    <x v="0"/>
    <x v="1"/>
    <n v="1391634220.1600001"/>
    <x v="1"/>
    <x v="0"/>
    <x v="1"/>
    <x v="10"/>
    <x v="4"/>
    <x v="2"/>
    <x v="5"/>
    <x v="2"/>
    <x v="6"/>
    <n v="23"/>
    <x v="0"/>
  </r>
  <r>
    <d v="2020-10-23T00:00:00"/>
    <x v="3"/>
    <x v="2"/>
    <x v="0"/>
    <n v="5235402035.4099998"/>
    <x v="3"/>
    <x v="2"/>
    <x v="0"/>
    <x v="11"/>
    <x v="4"/>
    <x v="2"/>
    <x v="5"/>
    <x v="2"/>
    <x v="6"/>
    <n v="23"/>
    <x v="0"/>
  </r>
  <r>
    <d v="2020-10-23T00:00:00"/>
    <x v="3"/>
    <x v="1"/>
    <x v="0"/>
    <n v="12991604.91"/>
    <x v="3"/>
    <x v="1"/>
    <x v="0"/>
    <x v="12"/>
    <x v="4"/>
    <x v="2"/>
    <x v="5"/>
    <x v="2"/>
    <x v="6"/>
    <n v="23"/>
    <x v="0"/>
  </r>
  <r>
    <d v="2020-10-23T00:00:00"/>
    <x v="3"/>
    <x v="2"/>
    <x v="1"/>
    <n v="7007224109.2399998"/>
    <x v="3"/>
    <x v="2"/>
    <x v="1"/>
    <x v="13"/>
    <x v="4"/>
    <x v="2"/>
    <x v="5"/>
    <x v="2"/>
    <x v="6"/>
    <n v="23"/>
    <x v="0"/>
  </r>
  <r>
    <d v="2020-10-22T00:00:00"/>
    <x v="2"/>
    <x v="1"/>
    <x v="1"/>
    <n v="89338661.680000007"/>
    <x v="2"/>
    <x v="1"/>
    <x v="1"/>
    <x v="6"/>
    <x v="4"/>
    <x v="2"/>
    <x v="5"/>
    <x v="2"/>
    <x v="6"/>
    <n v="22"/>
    <x v="0"/>
  </r>
  <r>
    <d v="2020-10-22T00:00:00"/>
    <x v="2"/>
    <x v="1"/>
    <x v="2"/>
    <n v="5485"/>
    <x v="2"/>
    <x v="1"/>
    <x v="2"/>
    <x v="3"/>
    <x v="4"/>
    <x v="2"/>
    <x v="5"/>
    <x v="2"/>
    <x v="6"/>
    <n v="22"/>
    <x v="0"/>
  </r>
  <r>
    <d v="2020-10-22T00:00:00"/>
    <x v="0"/>
    <x v="1"/>
    <x v="1"/>
    <n v="363713624.94"/>
    <x v="0"/>
    <x v="1"/>
    <x v="1"/>
    <x v="4"/>
    <x v="4"/>
    <x v="2"/>
    <x v="5"/>
    <x v="2"/>
    <x v="6"/>
    <n v="22"/>
    <x v="0"/>
  </r>
  <r>
    <d v="2020-10-22T00:00:00"/>
    <x v="0"/>
    <x v="1"/>
    <x v="0"/>
    <n v="12295023.859999999"/>
    <x v="0"/>
    <x v="1"/>
    <x v="0"/>
    <x v="1"/>
    <x v="4"/>
    <x v="2"/>
    <x v="5"/>
    <x v="2"/>
    <x v="6"/>
    <n v="22"/>
    <x v="0"/>
  </r>
  <r>
    <d v="2020-10-22T00:00:00"/>
    <x v="3"/>
    <x v="2"/>
    <x v="2"/>
    <n v="451778.17"/>
    <x v="3"/>
    <x v="2"/>
    <x v="2"/>
    <x v="5"/>
    <x v="4"/>
    <x v="2"/>
    <x v="5"/>
    <x v="2"/>
    <x v="6"/>
    <n v="22"/>
    <x v="0"/>
  </r>
  <r>
    <d v="2020-10-22T00:00:00"/>
    <x v="0"/>
    <x v="0"/>
    <x v="0"/>
    <n v="200"/>
    <x v="0"/>
    <x v="0"/>
    <x v="0"/>
    <x v="0"/>
    <x v="4"/>
    <x v="2"/>
    <x v="5"/>
    <x v="2"/>
    <x v="6"/>
    <n v="22"/>
    <x v="0"/>
  </r>
  <r>
    <d v="2020-10-22T00:00:00"/>
    <x v="2"/>
    <x v="1"/>
    <x v="0"/>
    <n v="82284267.680000007"/>
    <x v="2"/>
    <x v="1"/>
    <x v="0"/>
    <x v="7"/>
    <x v="4"/>
    <x v="2"/>
    <x v="5"/>
    <x v="2"/>
    <x v="6"/>
    <n v="22"/>
    <x v="0"/>
  </r>
  <r>
    <d v="2020-10-22T00:00:00"/>
    <x v="1"/>
    <x v="0"/>
    <x v="2"/>
    <n v="551.98"/>
    <x v="1"/>
    <x v="0"/>
    <x v="2"/>
    <x v="2"/>
    <x v="4"/>
    <x v="2"/>
    <x v="5"/>
    <x v="2"/>
    <x v="6"/>
    <n v="22"/>
    <x v="0"/>
  </r>
  <r>
    <d v="2020-10-22T00:00:00"/>
    <x v="1"/>
    <x v="0"/>
    <x v="0"/>
    <n v="157723965.41999999"/>
    <x v="1"/>
    <x v="0"/>
    <x v="0"/>
    <x v="8"/>
    <x v="4"/>
    <x v="2"/>
    <x v="5"/>
    <x v="2"/>
    <x v="6"/>
    <n v="22"/>
    <x v="0"/>
  </r>
  <r>
    <d v="2020-10-22T00:00:00"/>
    <x v="3"/>
    <x v="3"/>
    <x v="0"/>
    <n v="2227766231.5500002"/>
    <x v="3"/>
    <x v="3"/>
    <x v="0"/>
    <x v="9"/>
    <x v="4"/>
    <x v="2"/>
    <x v="5"/>
    <x v="2"/>
    <x v="6"/>
    <n v="22"/>
    <x v="0"/>
  </r>
  <r>
    <d v="2020-10-22T00:00:00"/>
    <x v="1"/>
    <x v="0"/>
    <x v="1"/>
    <n v="1307731992.8499999"/>
    <x v="1"/>
    <x v="0"/>
    <x v="1"/>
    <x v="10"/>
    <x v="4"/>
    <x v="2"/>
    <x v="5"/>
    <x v="2"/>
    <x v="6"/>
    <n v="22"/>
    <x v="0"/>
  </r>
  <r>
    <d v="2020-10-22T00:00:00"/>
    <x v="3"/>
    <x v="2"/>
    <x v="0"/>
    <n v="312839581.19999999"/>
    <x v="3"/>
    <x v="2"/>
    <x v="0"/>
    <x v="11"/>
    <x v="4"/>
    <x v="2"/>
    <x v="5"/>
    <x v="2"/>
    <x v="6"/>
    <n v="22"/>
    <x v="0"/>
  </r>
  <r>
    <d v="2020-10-22T00:00:00"/>
    <x v="3"/>
    <x v="1"/>
    <x v="0"/>
    <n v="13106786.359999999"/>
    <x v="3"/>
    <x v="1"/>
    <x v="0"/>
    <x v="12"/>
    <x v="4"/>
    <x v="2"/>
    <x v="5"/>
    <x v="2"/>
    <x v="6"/>
    <n v="22"/>
    <x v="0"/>
  </r>
  <r>
    <d v="2020-10-22T00:00:00"/>
    <x v="3"/>
    <x v="2"/>
    <x v="1"/>
    <n v="3040342772.48"/>
    <x v="3"/>
    <x v="2"/>
    <x v="1"/>
    <x v="13"/>
    <x v="4"/>
    <x v="2"/>
    <x v="5"/>
    <x v="2"/>
    <x v="6"/>
    <n v="22"/>
    <x v="0"/>
  </r>
  <r>
    <d v="2020-10-21T00:00:00"/>
    <x v="0"/>
    <x v="1"/>
    <x v="0"/>
    <n v="14066833.32"/>
    <x v="0"/>
    <x v="1"/>
    <x v="0"/>
    <x v="0"/>
    <x v="4"/>
    <x v="2"/>
    <x v="5"/>
    <x v="2"/>
    <x v="6"/>
    <n v="21"/>
    <x v="0"/>
  </r>
  <r>
    <d v="2020-10-21T00:00:00"/>
    <x v="2"/>
    <x v="1"/>
    <x v="2"/>
    <n v="16850"/>
    <x v="2"/>
    <x v="1"/>
    <x v="2"/>
    <x v="2"/>
    <x v="4"/>
    <x v="2"/>
    <x v="5"/>
    <x v="2"/>
    <x v="6"/>
    <n v="21"/>
    <x v="0"/>
  </r>
  <r>
    <d v="2020-10-21T00:00:00"/>
    <x v="3"/>
    <x v="3"/>
    <x v="0"/>
    <n v="934247723.70000005"/>
    <x v="3"/>
    <x v="3"/>
    <x v="0"/>
    <x v="6"/>
    <x v="4"/>
    <x v="2"/>
    <x v="5"/>
    <x v="2"/>
    <x v="6"/>
    <n v="21"/>
    <x v="0"/>
  </r>
  <r>
    <d v="2020-10-21T00:00:00"/>
    <x v="2"/>
    <x v="1"/>
    <x v="1"/>
    <n v="41325174.899999999"/>
    <x v="2"/>
    <x v="1"/>
    <x v="1"/>
    <x v="7"/>
    <x v="4"/>
    <x v="2"/>
    <x v="5"/>
    <x v="2"/>
    <x v="6"/>
    <n v="21"/>
    <x v="0"/>
  </r>
  <r>
    <d v="2020-10-21T00:00:00"/>
    <x v="0"/>
    <x v="1"/>
    <x v="1"/>
    <n v="456515347.47000003"/>
    <x v="0"/>
    <x v="1"/>
    <x v="1"/>
    <x v="3"/>
    <x v="4"/>
    <x v="2"/>
    <x v="5"/>
    <x v="2"/>
    <x v="6"/>
    <n v="21"/>
    <x v="0"/>
  </r>
  <r>
    <d v="2020-10-21T00:00:00"/>
    <x v="3"/>
    <x v="2"/>
    <x v="2"/>
    <n v="874606.22"/>
    <x v="3"/>
    <x v="2"/>
    <x v="2"/>
    <x v="4"/>
    <x v="4"/>
    <x v="2"/>
    <x v="5"/>
    <x v="2"/>
    <x v="6"/>
    <n v="21"/>
    <x v="0"/>
  </r>
  <r>
    <d v="2020-10-21T00:00:00"/>
    <x v="2"/>
    <x v="1"/>
    <x v="0"/>
    <n v="104920562.73999999"/>
    <x v="2"/>
    <x v="1"/>
    <x v="0"/>
    <x v="5"/>
    <x v="4"/>
    <x v="2"/>
    <x v="5"/>
    <x v="2"/>
    <x v="6"/>
    <n v="21"/>
    <x v="0"/>
  </r>
  <r>
    <d v="2020-10-21T00:00:00"/>
    <x v="1"/>
    <x v="0"/>
    <x v="2"/>
    <n v="3482.76"/>
    <x v="1"/>
    <x v="0"/>
    <x v="2"/>
    <x v="1"/>
    <x v="4"/>
    <x v="2"/>
    <x v="5"/>
    <x v="2"/>
    <x v="6"/>
    <n v="21"/>
    <x v="0"/>
  </r>
  <r>
    <d v="2020-10-21T00:00:00"/>
    <x v="1"/>
    <x v="0"/>
    <x v="0"/>
    <n v="92695367.480000004"/>
    <x v="1"/>
    <x v="0"/>
    <x v="0"/>
    <x v="8"/>
    <x v="4"/>
    <x v="2"/>
    <x v="5"/>
    <x v="2"/>
    <x v="6"/>
    <n v="21"/>
    <x v="0"/>
  </r>
  <r>
    <d v="2020-10-21T00:00:00"/>
    <x v="1"/>
    <x v="0"/>
    <x v="1"/>
    <n v="4493806830.3199997"/>
    <x v="1"/>
    <x v="0"/>
    <x v="1"/>
    <x v="9"/>
    <x v="4"/>
    <x v="2"/>
    <x v="5"/>
    <x v="2"/>
    <x v="6"/>
    <n v="21"/>
    <x v="0"/>
  </r>
  <r>
    <d v="2020-10-21T00:00:00"/>
    <x v="3"/>
    <x v="1"/>
    <x v="0"/>
    <n v="12675151.109999999"/>
    <x v="3"/>
    <x v="1"/>
    <x v="0"/>
    <x v="10"/>
    <x v="4"/>
    <x v="2"/>
    <x v="5"/>
    <x v="2"/>
    <x v="6"/>
    <n v="21"/>
    <x v="0"/>
  </r>
  <r>
    <d v="2020-10-21T00:00:00"/>
    <x v="3"/>
    <x v="2"/>
    <x v="0"/>
    <n v="327802650.13"/>
    <x v="3"/>
    <x v="2"/>
    <x v="0"/>
    <x v="11"/>
    <x v="4"/>
    <x v="2"/>
    <x v="5"/>
    <x v="2"/>
    <x v="6"/>
    <n v="21"/>
    <x v="0"/>
  </r>
  <r>
    <d v="2020-10-21T00:00:00"/>
    <x v="3"/>
    <x v="2"/>
    <x v="1"/>
    <n v="10382543552.98"/>
    <x v="3"/>
    <x v="2"/>
    <x v="1"/>
    <x v="12"/>
    <x v="4"/>
    <x v="2"/>
    <x v="5"/>
    <x v="2"/>
    <x v="6"/>
    <n v="21"/>
    <x v="0"/>
  </r>
  <r>
    <d v="2020-10-20T00:00:00"/>
    <x v="1"/>
    <x v="0"/>
    <x v="2"/>
    <n v="11743.36"/>
    <x v="1"/>
    <x v="0"/>
    <x v="2"/>
    <x v="2"/>
    <x v="4"/>
    <x v="2"/>
    <x v="5"/>
    <x v="2"/>
    <x v="6"/>
    <n v="20"/>
    <x v="0"/>
  </r>
  <r>
    <d v="2020-10-20T00:00:00"/>
    <x v="3"/>
    <x v="2"/>
    <x v="2"/>
    <n v="379753.95"/>
    <x v="3"/>
    <x v="2"/>
    <x v="2"/>
    <x v="4"/>
    <x v="4"/>
    <x v="2"/>
    <x v="5"/>
    <x v="2"/>
    <x v="6"/>
    <n v="20"/>
    <x v="0"/>
  </r>
  <r>
    <d v="2020-10-20T00:00:00"/>
    <x v="2"/>
    <x v="1"/>
    <x v="0"/>
    <n v="82566377.599999994"/>
    <x v="2"/>
    <x v="1"/>
    <x v="0"/>
    <x v="6"/>
    <x v="4"/>
    <x v="2"/>
    <x v="5"/>
    <x v="2"/>
    <x v="6"/>
    <n v="20"/>
    <x v="0"/>
  </r>
  <r>
    <d v="2020-10-20T00:00:00"/>
    <x v="0"/>
    <x v="1"/>
    <x v="0"/>
    <n v="8880428.0500000007"/>
    <x v="0"/>
    <x v="1"/>
    <x v="0"/>
    <x v="1"/>
    <x v="4"/>
    <x v="2"/>
    <x v="5"/>
    <x v="2"/>
    <x v="6"/>
    <n v="20"/>
    <x v="0"/>
  </r>
  <r>
    <d v="2020-10-20T00:00:00"/>
    <x v="2"/>
    <x v="1"/>
    <x v="2"/>
    <n v="110593.21"/>
    <x v="2"/>
    <x v="1"/>
    <x v="2"/>
    <x v="3"/>
    <x v="4"/>
    <x v="2"/>
    <x v="5"/>
    <x v="2"/>
    <x v="6"/>
    <n v="20"/>
    <x v="0"/>
  </r>
  <r>
    <d v="2020-10-20T00:00:00"/>
    <x v="1"/>
    <x v="0"/>
    <x v="0"/>
    <n v="107343504.62"/>
    <x v="1"/>
    <x v="0"/>
    <x v="0"/>
    <x v="9"/>
    <x v="4"/>
    <x v="2"/>
    <x v="5"/>
    <x v="2"/>
    <x v="6"/>
    <n v="20"/>
    <x v="0"/>
  </r>
  <r>
    <d v="2020-10-20T00:00:00"/>
    <x v="0"/>
    <x v="1"/>
    <x v="1"/>
    <n v="412553569.43000001"/>
    <x v="0"/>
    <x v="1"/>
    <x v="1"/>
    <x v="5"/>
    <x v="4"/>
    <x v="2"/>
    <x v="5"/>
    <x v="2"/>
    <x v="6"/>
    <n v="20"/>
    <x v="0"/>
  </r>
  <r>
    <d v="2020-10-20T00:00:00"/>
    <x v="1"/>
    <x v="0"/>
    <x v="1"/>
    <n v="1397725546.27"/>
    <x v="1"/>
    <x v="0"/>
    <x v="1"/>
    <x v="10"/>
    <x v="4"/>
    <x v="2"/>
    <x v="5"/>
    <x v="2"/>
    <x v="6"/>
    <n v="20"/>
    <x v="0"/>
  </r>
  <r>
    <d v="2020-10-20T00:00:00"/>
    <x v="0"/>
    <x v="0"/>
    <x v="0"/>
    <n v="800"/>
    <x v="0"/>
    <x v="0"/>
    <x v="0"/>
    <x v="0"/>
    <x v="4"/>
    <x v="2"/>
    <x v="5"/>
    <x v="2"/>
    <x v="6"/>
    <n v="20"/>
    <x v="0"/>
  </r>
  <r>
    <d v="2020-10-20T00:00:00"/>
    <x v="3"/>
    <x v="3"/>
    <x v="0"/>
    <n v="1351403797.23"/>
    <x v="3"/>
    <x v="3"/>
    <x v="0"/>
    <x v="8"/>
    <x v="4"/>
    <x v="2"/>
    <x v="5"/>
    <x v="2"/>
    <x v="6"/>
    <n v="20"/>
    <x v="0"/>
  </r>
  <r>
    <d v="2020-10-20T00:00:00"/>
    <x v="2"/>
    <x v="1"/>
    <x v="1"/>
    <n v="14941910.380000001"/>
    <x v="2"/>
    <x v="1"/>
    <x v="1"/>
    <x v="7"/>
    <x v="4"/>
    <x v="2"/>
    <x v="5"/>
    <x v="2"/>
    <x v="6"/>
    <n v="20"/>
    <x v="0"/>
  </r>
  <r>
    <d v="2020-10-20T00:00:00"/>
    <x v="3"/>
    <x v="1"/>
    <x v="0"/>
    <n v="9497233.7799999993"/>
    <x v="3"/>
    <x v="1"/>
    <x v="0"/>
    <x v="11"/>
    <x v="4"/>
    <x v="2"/>
    <x v="5"/>
    <x v="2"/>
    <x v="6"/>
    <n v="20"/>
    <x v="0"/>
  </r>
  <r>
    <d v="2020-10-20T00:00:00"/>
    <x v="3"/>
    <x v="2"/>
    <x v="0"/>
    <n v="606272616.42999995"/>
    <x v="3"/>
    <x v="2"/>
    <x v="0"/>
    <x v="12"/>
    <x v="4"/>
    <x v="2"/>
    <x v="5"/>
    <x v="2"/>
    <x v="6"/>
    <n v="20"/>
    <x v="0"/>
  </r>
  <r>
    <d v="2020-10-20T00:00:00"/>
    <x v="3"/>
    <x v="2"/>
    <x v="1"/>
    <n v="2463313979.4699998"/>
    <x v="3"/>
    <x v="2"/>
    <x v="1"/>
    <x v="13"/>
    <x v="4"/>
    <x v="2"/>
    <x v="5"/>
    <x v="2"/>
    <x v="6"/>
    <n v="20"/>
    <x v="0"/>
  </r>
  <r>
    <d v="2020-10-19T00:00:00"/>
    <x v="1"/>
    <x v="0"/>
    <x v="2"/>
    <n v="1856.82"/>
    <x v="1"/>
    <x v="0"/>
    <x v="2"/>
    <x v="1"/>
    <x v="4"/>
    <x v="2"/>
    <x v="5"/>
    <x v="2"/>
    <x v="6"/>
    <n v="19"/>
    <x v="0"/>
  </r>
  <r>
    <d v="2020-10-19T00:00:00"/>
    <x v="2"/>
    <x v="1"/>
    <x v="2"/>
    <n v="6710"/>
    <x v="2"/>
    <x v="1"/>
    <x v="2"/>
    <x v="2"/>
    <x v="4"/>
    <x v="2"/>
    <x v="5"/>
    <x v="2"/>
    <x v="6"/>
    <n v="19"/>
    <x v="0"/>
  </r>
  <r>
    <d v="2020-10-19T00:00:00"/>
    <x v="3"/>
    <x v="2"/>
    <x v="2"/>
    <n v="269014.89"/>
    <x v="3"/>
    <x v="2"/>
    <x v="2"/>
    <x v="3"/>
    <x v="4"/>
    <x v="2"/>
    <x v="5"/>
    <x v="2"/>
    <x v="6"/>
    <n v="19"/>
    <x v="0"/>
  </r>
  <r>
    <d v="2020-10-19T00:00:00"/>
    <x v="0"/>
    <x v="1"/>
    <x v="0"/>
    <n v="24894758.57"/>
    <x v="0"/>
    <x v="1"/>
    <x v="0"/>
    <x v="0"/>
    <x v="4"/>
    <x v="2"/>
    <x v="5"/>
    <x v="2"/>
    <x v="6"/>
    <n v="19"/>
    <x v="0"/>
  </r>
  <r>
    <d v="2020-10-19T00:00:00"/>
    <x v="2"/>
    <x v="1"/>
    <x v="0"/>
    <n v="78300744.959999993"/>
    <x v="2"/>
    <x v="1"/>
    <x v="0"/>
    <x v="7"/>
    <x v="4"/>
    <x v="2"/>
    <x v="5"/>
    <x v="2"/>
    <x v="6"/>
    <n v="19"/>
    <x v="0"/>
  </r>
  <r>
    <d v="2020-10-19T00:00:00"/>
    <x v="2"/>
    <x v="1"/>
    <x v="1"/>
    <n v="90730178.189999998"/>
    <x v="2"/>
    <x v="1"/>
    <x v="1"/>
    <x v="8"/>
    <x v="4"/>
    <x v="2"/>
    <x v="5"/>
    <x v="2"/>
    <x v="6"/>
    <n v="19"/>
    <x v="0"/>
  </r>
  <r>
    <d v="2020-10-19T00:00:00"/>
    <x v="0"/>
    <x v="1"/>
    <x v="1"/>
    <n v="569005286.50999999"/>
    <x v="0"/>
    <x v="1"/>
    <x v="1"/>
    <x v="5"/>
    <x v="4"/>
    <x v="2"/>
    <x v="5"/>
    <x v="2"/>
    <x v="6"/>
    <n v="19"/>
    <x v="0"/>
  </r>
  <r>
    <d v="2020-10-19T00:00:00"/>
    <x v="1"/>
    <x v="0"/>
    <x v="1"/>
    <n v="541339353.15999997"/>
    <x v="1"/>
    <x v="0"/>
    <x v="1"/>
    <x v="10"/>
    <x v="4"/>
    <x v="2"/>
    <x v="5"/>
    <x v="2"/>
    <x v="6"/>
    <n v="19"/>
    <x v="0"/>
  </r>
  <r>
    <d v="2020-10-19T00:00:00"/>
    <x v="3"/>
    <x v="3"/>
    <x v="0"/>
    <n v="1216419795.3199999"/>
    <x v="3"/>
    <x v="3"/>
    <x v="0"/>
    <x v="6"/>
    <x v="4"/>
    <x v="2"/>
    <x v="5"/>
    <x v="2"/>
    <x v="6"/>
    <n v="19"/>
    <x v="0"/>
  </r>
  <r>
    <d v="2020-10-19T00:00:00"/>
    <x v="3"/>
    <x v="3"/>
    <x v="1"/>
    <n v="95892.65"/>
    <x v="3"/>
    <x v="3"/>
    <x v="1"/>
    <x v="4"/>
    <x v="4"/>
    <x v="2"/>
    <x v="5"/>
    <x v="2"/>
    <x v="6"/>
    <n v="19"/>
    <x v="0"/>
  </r>
  <r>
    <d v="2020-10-19T00:00:00"/>
    <x v="1"/>
    <x v="0"/>
    <x v="0"/>
    <n v="98491807.150000006"/>
    <x v="1"/>
    <x v="0"/>
    <x v="0"/>
    <x v="9"/>
    <x v="4"/>
    <x v="2"/>
    <x v="5"/>
    <x v="2"/>
    <x v="6"/>
    <n v="19"/>
    <x v="0"/>
  </r>
  <r>
    <d v="2020-10-19T00:00:00"/>
    <x v="3"/>
    <x v="2"/>
    <x v="0"/>
    <n v="386903166.97000003"/>
    <x v="3"/>
    <x v="2"/>
    <x v="0"/>
    <x v="11"/>
    <x v="4"/>
    <x v="2"/>
    <x v="5"/>
    <x v="2"/>
    <x v="6"/>
    <n v="19"/>
    <x v="0"/>
  </r>
  <r>
    <d v="2020-10-19T00:00:00"/>
    <x v="3"/>
    <x v="1"/>
    <x v="0"/>
    <n v="44539974.140000001"/>
    <x v="3"/>
    <x v="1"/>
    <x v="0"/>
    <x v="12"/>
    <x v="4"/>
    <x v="2"/>
    <x v="5"/>
    <x v="2"/>
    <x v="6"/>
    <n v="19"/>
    <x v="0"/>
  </r>
  <r>
    <d v="2020-10-19T00:00:00"/>
    <x v="3"/>
    <x v="2"/>
    <x v="1"/>
    <n v="19204764343.720001"/>
    <x v="3"/>
    <x v="2"/>
    <x v="1"/>
    <x v="13"/>
    <x v="4"/>
    <x v="2"/>
    <x v="5"/>
    <x v="2"/>
    <x v="6"/>
    <n v="19"/>
    <x v="0"/>
  </r>
  <r>
    <d v="2020-10-16T00:00:00"/>
    <x v="0"/>
    <x v="1"/>
    <x v="0"/>
    <n v="21819087.219999999"/>
    <x v="0"/>
    <x v="1"/>
    <x v="0"/>
    <x v="0"/>
    <x v="4"/>
    <x v="2"/>
    <x v="5"/>
    <x v="2"/>
    <x v="6"/>
    <n v="16"/>
    <x v="0"/>
  </r>
  <r>
    <d v="2020-10-16T00:00:00"/>
    <x v="3"/>
    <x v="3"/>
    <x v="0"/>
    <n v="1444822958.1099999"/>
    <x v="3"/>
    <x v="3"/>
    <x v="0"/>
    <x v="5"/>
    <x v="4"/>
    <x v="2"/>
    <x v="5"/>
    <x v="2"/>
    <x v="6"/>
    <n v="16"/>
    <x v="0"/>
  </r>
  <r>
    <d v="2020-10-16T00:00:00"/>
    <x v="2"/>
    <x v="1"/>
    <x v="1"/>
    <n v="146264925.12"/>
    <x v="2"/>
    <x v="1"/>
    <x v="1"/>
    <x v="7"/>
    <x v="4"/>
    <x v="2"/>
    <x v="5"/>
    <x v="2"/>
    <x v="6"/>
    <n v="16"/>
    <x v="0"/>
  </r>
  <r>
    <d v="2020-10-16T00:00:00"/>
    <x v="0"/>
    <x v="1"/>
    <x v="1"/>
    <n v="408548047.10000002"/>
    <x v="0"/>
    <x v="1"/>
    <x v="1"/>
    <x v="2"/>
    <x v="4"/>
    <x v="2"/>
    <x v="5"/>
    <x v="2"/>
    <x v="6"/>
    <n v="16"/>
    <x v="0"/>
  </r>
  <r>
    <d v="2020-10-16T00:00:00"/>
    <x v="1"/>
    <x v="0"/>
    <x v="0"/>
    <n v="167171944.09"/>
    <x v="1"/>
    <x v="0"/>
    <x v="0"/>
    <x v="8"/>
    <x v="4"/>
    <x v="2"/>
    <x v="5"/>
    <x v="2"/>
    <x v="6"/>
    <n v="16"/>
    <x v="0"/>
  </r>
  <r>
    <d v="2020-10-16T00:00:00"/>
    <x v="1"/>
    <x v="0"/>
    <x v="1"/>
    <n v="160611314.80000001"/>
    <x v="1"/>
    <x v="0"/>
    <x v="1"/>
    <x v="9"/>
    <x v="4"/>
    <x v="2"/>
    <x v="5"/>
    <x v="2"/>
    <x v="6"/>
    <n v="16"/>
    <x v="0"/>
  </r>
  <r>
    <d v="2020-10-16T00:00:00"/>
    <x v="3"/>
    <x v="2"/>
    <x v="2"/>
    <n v="186038.23"/>
    <x v="3"/>
    <x v="2"/>
    <x v="2"/>
    <x v="4"/>
    <x v="4"/>
    <x v="2"/>
    <x v="5"/>
    <x v="2"/>
    <x v="6"/>
    <n v="16"/>
    <x v="0"/>
  </r>
  <r>
    <d v="2020-10-16T00:00:00"/>
    <x v="1"/>
    <x v="0"/>
    <x v="2"/>
    <n v="758.75"/>
    <x v="1"/>
    <x v="0"/>
    <x v="2"/>
    <x v="1"/>
    <x v="4"/>
    <x v="2"/>
    <x v="5"/>
    <x v="2"/>
    <x v="6"/>
    <n v="16"/>
    <x v="0"/>
  </r>
  <r>
    <d v="2020-10-16T00:00:00"/>
    <x v="2"/>
    <x v="1"/>
    <x v="2"/>
    <n v="196458.62"/>
    <x v="2"/>
    <x v="1"/>
    <x v="2"/>
    <x v="3"/>
    <x v="4"/>
    <x v="2"/>
    <x v="5"/>
    <x v="2"/>
    <x v="6"/>
    <n v="16"/>
    <x v="0"/>
  </r>
  <r>
    <d v="2020-10-16T00:00:00"/>
    <x v="2"/>
    <x v="1"/>
    <x v="0"/>
    <n v="88136229.120000005"/>
    <x v="2"/>
    <x v="1"/>
    <x v="0"/>
    <x v="6"/>
    <x v="4"/>
    <x v="2"/>
    <x v="5"/>
    <x v="2"/>
    <x v="6"/>
    <n v="16"/>
    <x v="0"/>
  </r>
  <r>
    <d v="2020-10-16T00:00:00"/>
    <x v="3"/>
    <x v="2"/>
    <x v="0"/>
    <n v="1739761096.1300001"/>
    <x v="3"/>
    <x v="2"/>
    <x v="0"/>
    <x v="10"/>
    <x v="4"/>
    <x v="2"/>
    <x v="5"/>
    <x v="2"/>
    <x v="6"/>
    <n v="16"/>
    <x v="0"/>
  </r>
  <r>
    <d v="2020-10-16T00:00:00"/>
    <x v="3"/>
    <x v="1"/>
    <x v="0"/>
    <n v="16121845.470000001"/>
    <x v="3"/>
    <x v="1"/>
    <x v="0"/>
    <x v="11"/>
    <x v="4"/>
    <x v="2"/>
    <x v="5"/>
    <x v="2"/>
    <x v="6"/>
    <n v="16"/>
    <x v="0"/>
  </r>
  <r>
    <d v="2020-10-16T00:00:00"/>
    <x v="3"/>
    <x v="2"/>
    <x v="1"/>
    <n v="19807524225.830002"/>
    <x v="3"/>
    <x v="2"/>
    <x v="1"/>
    <x v="12"/>
    <x v="4"/>
    <x v="2"/>
    <x v="5"/>
    <x v="2"/>
    <x v="6"/>
    <n v="16"/>
    <x v="0"/>
  </r>
  <r>
    <d v="2020-10-15T00:00:00"/>
    <x v="0"/>
    <x v="1"/>
    <x v="0"/>
    <n v="14752980.710000001"/>
    <x v="0"/>
    <x v="1"/>
    <x v="0"/>
    <x v="1"/>
    <x v="4"/>
    <x v="2"/>
    <x v="5"/>
    <x v="2"/>
    <x v="6"/>
    <n v="15"/>
    <x v="0"/>
  </r>
  <r>
    <d v="2020-10-15T00:00:00"/>
    <x v="2"/>
    <x v="1"/>
    <x v="2"/>
    <n v="22135"/>
    <x v="2"/>
    <x v="1"/>
    <x v="2"/>
    <x v="2"/>
    <x v="4"/>
    <x v="2"/>
    <x v="5"/>
    <x v="2"/>
    <x v="6"/>
    <n v="15"/>
    <x v="0"/>
  </r>
  <r>
    <d v="2020-10-15T00:00:00"/>
    <x v="2"/>
    <x v="1"/>
    <x v="1"/>
    <n v="59106418.149999999"/>
    <x v="2"/>
    <x v="1"/>
    <x v="1"/>
    <x v="6"/>
    <x v="4"/>
    <x v="2"/>
    <x v="5"/>
    <x v="2"/>
    <x v="6"/>
    <n v="15"/>
    <x v="0"/>
  </r>
  <r>
    <d v="2020-10-15T00:00:00"/>
    <x v="0"/>
    <x v="1"/>
    <x v="1"/>
    <n v="474497857.14999998"/>
    <x v="0"/>
    <x v="1"/>
    <x v="1"/>
    <x v="3"/>
    <x v="4"/>
    <x v="2"/>
    <x v="5"/>
    <x v="2"/>
    <x v="6"/>
    <n v="15"/>
    <x v="0"/>
  </r>
  <r>
    <d v="2020-10-15T00:00:00"/>
    <x v="1"/>
    <x v="0"/>
    <x v="0"/>
    <n v="161471295.81999999"/>
    <x v="1"/>
    <x v="0"/>
    <x v="0"/>
    <x v="7"/>
    <x v="4"/>
    <x v="2"/>
    <x v="5"/>
    <x v="2"/>
    <x v="6"/>
    <n v="15"/>
    <x v="0"/>
  </r>
  <r>
    <d v="2020-10-15T00:00:00"/>
    <x v="1"/>
    <x v="0"/>
    <x v="1"/>
    <n v="888773541.08000004"/>
    <x v="1"/>
    <x v="0"/>
    <x v="1"/>
    <x v="8"/>
    <x v="4"/>
    <x v="2"/>
    <x v="5"/>
    <x v="2"/>
    <x v="6"/>
    <n v="15"/>
    <x v="0"/>
  </r>
  <r>
    <d v="2020-10-15T00:00:00"/>
    <x v="3"/>
    <x v="2"/>
    <x v="2"/>
    <n v="905581.83"/>
    <x v="3"/>
    <x v="2"/>
    <x v="2"/>
    <x v="4"/>
    <x v="4"/>
    <x v="2"/>
    <x v="5"/>
    <x v="2"/>
    <x v="6"/>
    <n v="15"/>
    <x v="0"/>
  </r>
  <r>
    <d v="2020-10-15T00:00:00"/>
    <x v="0"/>
    <x v="0"/>
    <x v="0"/>
    <n v="609.04999999999995"/>
    <x v="0"/>
    <x v="0"/>
    <x v="0"/>
    <x v="0"/>
    <x v="4"/>
    <x v="2"/>
    <x v="5"/>
    <x v="2"/>
    <x v="6"/>
    <n v="15"/>
    <x v="0"/>
  </r>
  <r>
    <d v="2020-10-15T00:00:00"/>
    <x v="2"/>
    <x v="1"/>
    <x v="0"/>
    <n v="76809155.430000007"/>
    <x v="2"/>
    <x v="1"/>
    <x v="0"/>
    <x v="5"/>
    <x v="4"/>
    <x v="2"/>
    <x v="5"/>
    <x v="2"/>
    <x v="6"/>
    <n v="15"/>
    <x v="0"/>
  </r>
  <r>
    <d v="2020-10-15T00:00:00"/>
    <x v="3"/>
    <x v="3"/>
    <x v="0"/>
    <n v="2644348851.54"/>
    <x v="3"/>
    <x v="3"/>
    <x v="0"/>
    <x v="9"/>
    <x v="4"/>
    <x v="2"/>
    <x v="5"/>
    <x v="2"/>
    <x v="6"/>
    <n v="15"/>
    <x v="0"/>
  </r>
  <r>
    <d v="2020-10-15T00:00:00"/>
    <x v="3"/>
    <x v="2"/>
    <x v="0"/>
    <n v="530586368.99000001"/>
    <x v="3"/>
    <x v="2"/>
    <x v="0"/>
    <x v="10"/>
    <x v="4"/>
    <x v="2"/>
    <x v="5"/>
    <x v="2"/>
    <x v="6"/>
    <n v="15"/>
    <x v="0"/>
  </r>
  <r>
    <d v="2020-10-15T00:00:00"/>
    <x v="3"/>
    <x v="1"/>
    <x v="0"/>
    <n v="14095978.779999999"/>
    <x v="3"/>
    <x v="1"/>
    <x v="0"/>
    <x v="11"/>
    <x v="4"/>
    <x v="2"/>
    <x v="5"/>
    <x v="2"/>
    <x v="6"/>
    <n v="15"/>
    <x v="0"/>
  </r>
  <r>
    <d v="2020-10-15T00:00:00"/>
    <x v="3"/>
    <x v="2"/>
    <x v="1"/>
    <n v="19483549871.889999"/>
    <x v="3"/>
    <x v="2"/>
    <x v="1"/>
    <x v="12"/>
    <x v="4"/>
    <x v="2"/>
    <x v="5"/>
    <x v="2"/>
    <x v="6"/>
    <n v="15"/>
    <x v="0"/>
  </r>
  <r>
    <d v="2020-10-14T00:00:00"/>
    <x v="0"/>
    <x v="1"/>
    <x v="0"/>
    <n v="12463748"/>
    <x v="0"/>
    <x v="1"/>
    <x v="0"/>
    <x v="1"/>
    <x v="4"/>
    <x v="2"/>
    <x v="5"/>
    <x v="2"/>
    <x v="6"/>
    <n v="14"/>
    <x v="0"/>
  </r>
  <r>
    <d v="2020-10-14T00:00:00"/>
    <x v="2"/>
    <x v="1"/>
    <x v="2"/>
    <n v="142620.98000000001"/>
    <x v="2"/>
    <x v="1"/>
    <x v="2"/>
    <x v="3"/>
    <x v="4"/>
    <x v="2"/>
    <x v="5"/>
    <x v="2"/>
    <x v="6"/>
    <n v="14"/>
    <x v="0"/>
  </r>
  <r>
    <d v="2020-10-14T00:00:00"/>
    <x v="2"/>
    <x v="1"/>
    <x v="1"/>
    <n v="37577407.009999998"/>
    <x v="2"/>
    <x v="1"/>
    <x v="1"/>
    <x v="7"/>
    <x v="4"/>
    <x v="2"/>
    <x v="5"/>
    <x v="2"/>
    <x v="6"/>
    <n v="14"/>
    <x v="0"/>
  </r>
  <r>
    <d v="2020-10-14T00:00:00"/>
    <x v="1"/>
    <x v="0"/>
    <x v="0"/>
    <n v="101384509.29000001"/>
    <x v="1"/>
    <x v="0"/>
    <x v="0"/>
    <x v="8"/>
    <x v="4"/>
    <x v="2"/>
    <x v="5"/>
    <x v="2"/>
    <x v="6"/>
    <n v="14"/>
    <x v="0"/>
  </r>
  <r>
    <d v="2020-10-14T00:00:00"/>
    <x v="0"/>
    <x v="1"/>
    <x v="1"/>
    <n v="112787003.53"/>
    <x v="0"/>
    <x v="1"/>
    <x v="1"/>
    <x v="4"/>
    <x v="4"/>
    <x v="2"/>
    <x v="5"/>
    <x v="2"/>
    <x v="6"/>
    <n v="14"/>
    <x v="0"/>
  </r>
  <r>
    <d v="2020-10-14T00:00:00"/>
    <x v="3"/>
    <x v="3"/>
    <x v="0"/>
    <n v="2576969178.77"/>
    <x v="3"/>
    <x v="3"/>
    <x v="0"/>
    <x v="9"/>
    <x v="4"/>
    <x v="2"/>
    <x v="5"/>
    <x v="2"/>
    <x v="6"/>
    <n v="14"/>
    <x v="0"/>
  </r>
  <r>
    <d v="2020-10-14T00:00:00"/>
    <x v="1"/>
    <x v="0"/>
    <x v="1"/>
    <n v="1046484568.77"/>
    <x v="1"/>
    <x v="0"/>
    <x v="1"/>
    <x v="10"/>
    <x v="4"/>
    <x v="2"/>
    <x v="5"/>
    <x v="2"/>
    <x v="6"/>
    <n v="14"/>
    <x v="0"/>
  </r>
  <r>
    <d v="2020-10-14T00:00:00"/>
    <x v="3"/>
    <x v="2"/>
    <x v="2"/>
    <n v="1027361.31"/>
    <x v="3"/>
    <x v="2"/>
    <x v="2"/>
    <x v="5"/>
    <x v="4"/>
    <x v="2"/>
    <x v="5"/>
    <x v="2"/>
    <x v="6"/>
    <n v="14"/>
    <x v="0"/>
  </r>
  <r>
    <d v="2020-10-14T00:00:00"/>
    <x v="0"/>
    <x v="0"/>
    <x v="0"/>
    <n v="100"/>
    <x v="0"/>
    <x v="0"/>
    <x v="0"/>
    <x v="0"/>
    <x v="4"/>
    <x v="2"/>
    <x v="5"/>
    <x v="2"/>
    <x v="6"/>
    <n v="14"/>
    <x v="0"/>
  </r>
  <r>
    <d v="2020-10-14T00:00:00"/>
    <x v="1"/>
    <x v="0"/>
    <x v="2"/>
    <n v="11145.38"/>
    <x v="1"/>
    <x v="0"/>
    <x v="2"/>
    <x v="2"/>
    <x v="4"/>
    <x v="2"/>
    <x v="5"/>
    <x v="2"/>
    <x v="6"/>
    <n v="14"/>
    <x v="0"/>
  </r>
  <r>
    <d v="2020-10-14T00:00:00"/>
    <x v="2"/>
    <x v="1"/>
    <x v="0"/>
    <n v="77943289.810000002"/>
    <x v="2"/>
    <x v="1"/>
    <x v="0"/>
    <x v="6"/>
    <x v="4"/>
    <x v="2"/>
    <x v="5"/>
    <x v="2"/>
    <x v="6"/>
    <n v="14"/>
    <x v="0"/>
  </r>
  <r>
    <d v="2020-10-14T00:00:00"/>
    <x v="3"/>
    <x v="2"/>
    <x v="0"/>
    <n v="738662813.51999998"/>
    <x v="3"/>
    <x v="2"/>
    <x v="0"/>
    <x v="11"/>
    <x v="4"/>
    <x v="2"/>
    <x v="5"/>
    <x v="2"/>
    <x v="6"/>
    <n v="14"/>
    <x v="0"/>
  </r>
  <r>
    <d v="2020-10-14T00:00:00"/>
    <x v="3"/>
    <x v="1"/>
    <x v="0"/>
    <n v="11406851.609999999"/>
    <x v="3"/>
    <x v="1"/>
    <x v="0"/>
    <x v="12"/>
    <x v="4"/>
    <x v="2"/>
    <x v="5"/>
    <x v="2"/>
    <x v="6"/>
    <n v="14"/>
    <x v="0"/>
  </r>
  <r>
    <d v="2020-10-14T00:00:00"/>
    <x v="3"/>
    <x v="2"/>
    <x v="1"/>
    <n v="5560675345.5100002"/>
    <x v="3"/>
    <x v="2"/>
    <x v="1"/>
    <x v="13"/>
    <x v="4"/>
    <x v="2"/>
    <x v="5"/>
    <x v="2"/>
    <x v="6"/>
    <n v="14"/>
    <x v="0"/>
  </r>
  <r>
    <d v="2020-10-13T00:00:00"/>
    <x v="1"/>
    <x v="0"/>
    <x v="2"/>
    <n v="6649.83"/>
    <x v="1"/>
    <x v="0"/>
    <x v="2"/>
    <x v="2"/>
    <x v="4"/>
    <x v="2"/>
    <x v="5"/>
    <x v="2"/>
    <x v="6"/>
    <n v="13"/>
    <x v="0"/>
  </r>
  <r>
    <d v="2020-10-13T00:00:00"/>
    <x v="0"/>
    <x v="1"/>
    <x v="0"/>
    <n v="14583068.310000001"/>
    <x v="0"/>
    <x v="1"/>
    <x v="0"/>
    <x v="1"/>
    <x v="4"/>
    <x v="2"/>
    <x v="5"/>
    <x v="2"/>
    <x v="6"/>
    <n v="13"/>
    <x v="0"/>
  </r>
  <r>
    <d v="2020-10-13T00:00:00"/>
    <x v="2"/>
    <x v="1"/>
    <x v="1"/>
    <n v="4779984.62"/>
    <x v="2"/>
    <x v="1"/>
    <x v="1"/>
    <x v="6"/>
    <x v="4"/>
    <x v="2"/>
    <x v="5"/>
    <x v="2"/>
    <x v="6"/>
    <n v="13"/>
    <x v="0"/>
  </r>
  <r>
    <d v="2020-10-13T00:00:00"/>
    <x v="2"/>
    <x v="1"/>
    <x v="2"/>
    <n v="2515"/>
    <x v="2"/>
    <x v="1"/>
    <x v="2"/>
    <x v="3"/>
    <x v="4"/>
    <x v="2"/>
    <x v="5"/>
    <x v="2"/>
    <x v="6"/>
    <n v="13"/>
    <x v="0"/>
  </r>
  <r>
    <d v="2020-10-13T00:00:00"/>
    <x v="2"/>
    <x v="1"/>
    <x v="0"/>
    <n v="58878659.229999997"/>
    <x v="2"/>
    <x v="1"/>
    <x v="0"/>
    <x v="7"/>
    <x v="4"/>
    <x v="2"/>
    <x v="5"/>
    <x v="2"/>
    <x v="6"/>
    <n v="13"/>
    <x v="0"/>
  </r>
  <r>
    <d v="2020-10-13T00:00:00"/>
    <x v="3"/>
    <x v="3"/>
    <x v="0"/>
    <n v="2251562930.4099998"/>
    <x v="3"/>
    <x v="3"/>
    <x v="0"/>
    <x v="8"/>
    <x v="4"/>
    <x v="2"/>
    <x v="5"/>
    <x v="2"/>
    <x v="6"/>
    <n v="13"/>
    <x v="0"/>
  </r>
  <r>
    <d v="2020-10-13T00:00:00"/>
    <x v="0"/>
    <x v="1"/>
    <x v="1"/>
    <n v="226211611.02000001"/>
    <x v="0"/>
    <x v="1"/>
    <x v="1"/>
    <x v="4"/>
    <x v="4"/>
    <x v="2"/>
    <x v="5"/>
    <x v="2"/>
    <x v="6"/>
    <n v="13"/>
    <x v="0"/>
  </r>
  <r>
    <d v="2020-10-13T00:00:00"/>
    <x v="1"/>
    <x v="0"/>
    <x v="0"/>
    <n v="92454317.430000007"/>
    <x v="1"/>
    <x v="0"/>
    <x v="0"/>
    <x v="9"/>
    <x v="4"/>
    <x v="2"/>
    <x v="5"/>
    <x v="2"/>
    <x v="6"/>
    <n v="13"/>
    <x v="0"/>
  </r>
  <r>
    <d v="2020-10-13T00:00:00"/>
    <x v="3"/>
    <x v="2"/>
    <x v="2"/>
    <n v="514556.47"/>
    <x v="3"/>
    <x v="2"/>
    <x v="2"/>
    <x v="5"/>
    <x v="4"/>
    <x v="2"/>
    <x v="5"/>
    <x v="2"/>
    <x v="6"/>
    <n v="13"/>
    <x v="0"/>
  </r>
  <r>
    <d v="2020-10-13T00:00:00"/>
    <x v="0"/>
    <x v="0"/>
    <x v="0"/>
    <n v="280"/>
    <x v="0"/>
    <x v="0"/>
    <x v="0"/>
    <x v="0"/>
    <x v="4"/>
    <x v="2"/>
    <x v="5"/>
    <x v="2"/>
    <x v="6"/>
    <n v="13"/>
    <x v="0"/>
  </r>
  <r>
    <d v="2020-10-13T00:00:00"/>
    <x v="1"/>
    <x v="0"/>
    <x v="1"/>
    <n v="291582972.35000002"/>
    <x v="1"/>
    <x v="0"/>
    <x v="1"/>
    <x v="10"/>
    <x v="4"/>
    <x v="2"/>
    <x v="5"/>
    <x v="2"/>
    <x v="6"/>
    <n v="13"/>
    <x v="0"/>
  </r>
  <r>
    <d v="2020-10-13T00:00:00"/>
    <x v="3"/>
    <x v="2"/>
    <x v="0"/>
    <n v="494538141.82999998"/>
    <x v="3"/>
    <x v="2"/>
    <x v="0"/>
    <x v="11"/>
    <x v="4"/>
    <x v="2"/>
    <x v="5"/>
    <x v="2"/>
    <x v="6"/>
    <n v="13"/>
    <x v="0"/>
  </r>
  <r>
    <d v="2020-10-13T00:00:00"/>
    <x v="3"/>
    <x v="2"/>
    <x v="1"/>
    <n v="15861718639.57"/>
    <x v="3"/>
    <x v="2"/>
    <x v="1"/>
    <x v="12"/>
    <x v="4"/>
    <x v="2"/>
    <x v="5"/>
    <x v="2"/>
    <x v="6"/>
    <n v="13"/>
    <x v="0"/>
  </r>
  <r>
    <d v="2020-10-13T00:00:00"/>
    <x v="3"/>
    <x v="1"/>
    <x v="0"/>
    <n v="44331051.149999999"/>
    <x v="3"/>
    <x v="1"/>
    <x v="0"/>
    <x v="13"/>
    <x v="4"/>
    <x v="2"/>
    <x v="5"/>
    <x v="2"/>
    <x v="6"/>
    <n v="13"/>
    <x v="0"/>
  </r>
  <r>
    <d v="2020-10-09T00:00:00"/>
    <x v="2"/>
    <x v="1"/>
    <x v="0"/>
    <n v="69156027.159999996"/>
    <x v="2"/>
    <x v="1"/>
    <x v="0"/>
    <x v="6"/>
    <x v="4"/>
    <x v="2"/>
    <x v="5"/>
    <x v="2"/>
    <x v="6"/>
    <n v="9"/>
    <x v="0"/>
  </r>
  <r>
    <d v="2020-10-09T00:00:00"/>
    <x v="2"/>
    <x v="1"/>
    <x v="2"/>
    <n v="313790.21999999997"/>
    <x v="2"/>
    <x v="1"/>
    <x v="2"/>
    <x v="3"/>
    <x v="4"/>
    <x v="2"/>
    <x v="5"/>
    <x v="2"/>
    <x v="6"/>
    <n v="9"/>
    <x v="0"/>
  </r>
  <r>
    <d v="2020-10-09T00:00:00"/>
    <x v="2"/>
    <x v="1"/>
    <x v="1"/>
    <n v="13381706.359999999"/>
    <x v="2"/>
    <x v="1"/>
    <x v="1"/>
    <x v="7"/>
    <x v="4"/>
    <x v="2"/>
    <x v="5"/>
    <x v="2"/>
    <x v="6"/>
    <n v="9"/>
    <x v="0"/>
  </r>
  <r>
    <d v="2020-10-09T00:00:00"/>
    <x v="0"/>
    <x v="1"/>
    <x v="1"/>
    <n v="497907138.91000003"/>
    <x v="0"/>
    <x v="1"/>
    <x v="1"/>
    <x v="4"/>
    <x v="4"/>
    <x v="2"/>
    <x v="5"/>
    <x v="2"/>
    <x v="6"/>
    <n v="9"/>
    <x v="0"/>
  </r>
  <r>
    <d v="2020-10-09T00:00:00"/>
    <x v="3"/>
    <x v="3"/>
    <x v="0"/>
    <n v="3139874814.0599999"/>
    <x v="3"/>
    <x v="3"/>
    <x v="0"/>
    <x v="9"/>
    <x v="4"/>
    <x v="2"/>
    <x v="5"/>
    <x v="2"/>
    <x v="6"/>
    <n v="9"/>
    <x v="0"/>
  </r>
  <r>
    <d v="2020-10-09T00:00:00"/>
    <x v="1"/>
    <x v="0"/>
    <x v="1"/>
    <n v="155501068.61000001"/>
    <x v="1"/>
    <x v="0"/>
    <x v="1"/>
    <x v="10"/>
    <x v="4"/>
    <x v="2"/>
    <x v="5"/>
    <x v="2"/>
    <x v="6"/>
    <n v="9"/>
    <x v="0"/>
  </r>
  <r>
    <d v="2020-10-09T00:00:00"/>
    <x v="0"/>
    <x v="1"/>
    <x v="0"/>
    <n v="17952536.489999998"/>
    <x v="0"/>
    <x v="1"/>
    <x v="0"/>
    <x v="1"/>
    <x v="4"/>
    <x v="2"/>
    <x v="5"/>
    <x v="2"/>
    <x v="6"/>
    <n v="9"/>
    <x v="0"/>
  </r>
  <r>
    <d v="2020-10-09T00:00:00"/>
    <x v="0"/>
    <x v="0"/>
    <x v="0"/>
    <n v="25"/>
    <x v="0"/>
    <x v="0"/>
    <x v="0"/>
    <x v="0"/>
    <x v="4"/>
    <x v="2"/>
    <x v="5"/>
    <x v="2"/>
    <x v="6"/>
    <n v="9"/>
    <x v="0"/>
  </r>
  <r>
    <d v="2020-10-09T00:00:00"/>
    <x v="3"/>
    <x v="2"/>
    <x v="2"/>
    <n v="175994.89"/>
    <x v="3"/>
    <x v="2"/>
    <x v="2"/>
    <x v="5"/>
    <x v="4"/>
    <x v="2"/>
    <x v="5"/>
    <x v="2"/>
    <x v="6"/>
    <n v="9"/>
    <x v="0"/>
  </r>
  <r>
    <d v="2020-10-09T00:00:00"/>
    <x v="1"/>
    <x v="0"/>
    <x v="2"/>
    <n v="12661.34"/>
    <x v="1"/>
    <x v="0"/>
    <x v="2"/>
    <x v="2"/>
    <x v="4"/>
    <x v="2"/>
    <x v="5"/>
    <x v="2"/>
    <x v="6"/>
    <n v="9"/>
    <x v="0"/>
  </r>
  <r>
    <d v="2020-10-09T00:00:00"/>
    <x v="1"/>
    <x v="0"/>
    <x v="0"/>
    <n v="74915110.450000003"/>
    <x v="1"/>
    <x v="0"/>
    <x v="0"/>
    <x v="8"/>
    <x v="4"/>
    <x v="2"/>
    <x v="5"/>
    <x v="2"/>
    <x v="6"/>
    <n v="9"/>
    <x v="0"/>
  </r>
  <r>
    <d v="2020-10-09T00:00:00"/>
    <x v="3"/>
    <x v="2"/>
    <x v="0"/>
    <n v="400443751.04000002"/>
    <x v="3"/>
    <x v="2"/>
    <x v="0"/>
    <x v="11"/>
    <x v="4"/>
    <x v="2"/>
    <x v="5"/>
    <x v="2"/>
    <x v="6"/>
    <n v="9"/>
    <x v="0"/>
  </r>
  <r>
    <d v="2020-10-09T00:00:00"/>
    <x v="3"/>
    <x v="2"/>
    <x v="1"/>
    <n v="6332643064.0200005"/>
    <x v="3"/>
    <x v="2"/>
    <x v="1"/>
    <x v="12"/>
    <x v="4"/>
    <x v="2"/>
    <x v="5"/>
    <x v="2"/>
    <x v="6"/>
    <n v="9"/>
    <x v="0"/>
  </r>
  <r>
    <d v="2020-10-09T00:00:00"/>
    <x v="3"/>
    <x v="1"/>
    <x v="0"/>
    <n v="13451890.210000001"/>
    <x v="3"/>
    <x v="1"/>
    <x v="0"/>
    <x v="13"/>
    <x v="4"/>
    <x v="2"/>
    <x v="5"/>
    <x v="2"/>
    <x v="6"/>
    <n v="9"/>
    <x v="0"/>
  </r>
  <r>
    <d v="2020-10-08T00:00:00"/>
    <x v="0"/>
    <x v="1"/>
    <x v="0"/>
    <n v="13260886.130000001"/>
    <x v="0"/>
    <x v="1"/>
    <x v="0"/>
    <x v="1"/>
    <x v="4"/>
    <x v="2"/>
    <x v="5"/>
    <x v="2"/>
    <x v="6"/>
    <n v="8"/>
    <x v="0"/>
  </r>
  <r>
    <d v="2020-10-08T00:00:00"/>
    <x v="1"/>
    <x v="0"/>
    <x v="2"/>
    <n v="3045.48"/>
    <x v="1"/>
    <x v="0"/>
    <x v="2"/>
    <x v="2"/>
    <x v="4"/>
    <x v="2"/>
    <x v="5"/>
    <x v="2"/>
    <x v="6"/>
    <n v="8"/>
    <x v="0"/>
  </r>
  <r>
    <d v="2020-10-08T00:00:00"/>
    <x v="2"/>
    <x v="1"/>
    <x v="0"/>
    <n v="69740750.930000007"/>
    <x v="2"/>
    <x v="1"/>
    <x v="0"/>
    <x v="5"/>
    <x v="4"/>
    <x v="2"/>
    <x v="5"/>
    <x v="2"/>
    <x v="6"/>
    <n v="8"/>
    <x v="0"/>
  </r>
  <r>
    <d v="2020-10-08T00:00:00"/>
    <x v="2"/>
    <x v="1"/>
    <x v="1"/>
    <n v="19573688"/>
    <x v="2"/>
    <x v="1"/>
    <x v="1"/>
    <x v="6"/>
    <x v="4"/>
    <x v="2"/>
    <x v="5"/>
    <x v="2"/>
    <x v="6"/>
    <n v="8"/>
    <x v="0"/>
  </r>
  <r>
    <d v="2020-10-08T00:00:00"/>
    <x v="0"/>
    <x v="1"/>
    <x v="1"/>
    <n v="570363813.88"/>
    <x v="0"/>
    <x v="1"/>
    <x v="1"/>
    <x v="3"/>
    <x v="4"/>
    <x v="2"/>
    <x v="5"/>
    <x v="2"/>
    <x v="6"/>
    <n v="8"/>
    <x v="0"/>
  </r>
  <r>
    <d v="2020-10-08T00:00:00"/>
    <x v="1"/>
    <x v="0"/>
    <x v="0"/>
    <n v="120237213.22"/>
    <x v="1"/>
    <x v="0"/>
    <x v="0"/>
    <x v="7"/>
    <x v="4"/>
    <x v="2"/>
    <x v="5"/>
    <x v="2"/>
    <x v="6"/>
    <n v="8"/>
    <x v="0"/>
  </r>
  <r>
    <d v="2020-10-08T00:00:00"/>
    <x v="3"/>
    <x v="2"/>
    <x v="2"/>
    <n v="440441.58"/>
    <x v="3"/>
    <x v="2"/>
    <x v="2"/>
    <x v="4"/>
    <x v="4"/>
    <x v="2"/>
    <x v="5"/>
    <x v="2"/>
    <x v="6"/>
    <n v="8"/>
    <x v="0"/>
  </r>
  <r>
    <d v="2020-10-08T00:00:00"/>
    <x v="1"/>
    <x v="0"/>
    <x v="1"/>
    <n v="449280899.32999998"/>
    <x v="1"/>
    <x v="0"/>
    <x v="1"/>
    <x v="8"/>
    <x v="4"/>
    <x v="2"/>
    <x v="5"/>
    <x v="2"/>
    <x v="6"/>
    <n v="8"/>
    <x v="0"/>
  </r>
  <r>
    <d v="2020-10-08T00:00:00"/>
    <x v="0"/>
    <x v="0"/>
    <x v="0"/>
    <n v="-250"/>
    <x v="0"/>
    <x v="0"/>
    <x v="0"/>
    <x v="0"/>
    <x v="4"/>
    <x v="2"/>
    <x v="5"/>
    <x v="2"/>
    <x v="6"/>
    <n v="8"/>
    <x v="1"/>
  </r>
  <r>
    <d v="2020-10-08T00:00:00"/>
    <x v="3"/>
    <x v="3"/>
    <x v="0"/>
    <n v="1355619446.3800001"/>
    <x v="3"/>
    <x v="3"/>
    <x v="0"/>
    <x v="9"/>
    <x v="4"/>
    <x v="2"/>
    <x v="5"/>
    <x v="2"/>
    <x v="6"/>
    <n v="8"/>
    <x v="0"/>
  </r>
  <r>
    <d v="2020-10-08T00:00:00"/>
    <x v="3"/>
    <x v="2"/>
    <x v="0"/>
    <n v="410612675.14999998"/>
    <x v="3"/>
    <x v="2"/>
    <x v="0"/>
    <x v="10"/>
    <x v="4"/>
    <x v="2"/>
    <x v="5"/>
    <x v="2"/>
    <x v="6"/>
    <n v="8"/>
    <x v="0"/>
  </r>
  <r>
    <d v="2020-10-08T00:00:00"/>
    <x v="3"/>
    <x v="2"/>
    <x v="1"/>
    <n v="2846812202.71"/>
    <x v="3"/>
    <x v="2"/>
    <x v="1"/>
    <x v="11"/>
    <x v="4"/>
    <x v="2"/>
    <x v="5"/>
    <x v="2"/>
    <x v="6"/>
    <n v="8"/>
    <x v="0"/>
  </r>
  <r>
    <d v="2020-10-08T00:00:00"/>
    <x v="3"/>
    <x v="1"/>
    <x v="0"/>
    <n v="13589421.51"/>
    <x v="3"/>
    <x v="1"/>
    <x v="0"/>
    <x v="12"/>
    <x v="4"/>
    <x v="2"/>
    <x v="5"/>
    <x v="2"/>
    <x v="6"/>
    <n v="8"/>
    <x v="0"/>
  </r>
  <r>
    <d v="2020-10-07T00:00:00"/>
    <x v="0"/>
    <x v="1"/>
    <x v="0"/>
    <n v="19033895.949999999"/>
    <x v="0"/>
    <x v="1"/>
    <x v="0"/>
    <x v="1"/>
    <x v="4"/>
    <x v="2"/>
    <x v="5"/>
    <x v="2"/>
    <x v="6"/>
    <n v="7"/>
    <x v="0"/>
  </r>
  <r>
    <d v="2020-10-07T00:00:00"/>
    <x v="2"/>
    <x v="1"/>
    <x v="2"/>
    <n v="5490"/>
    <x v="2"/>
    <x v="1"/>
    <x v="2"/>
    <x v="3"/>
    <x v="4"/>
    <x v="2"/>
    <x v="5"/>
    <x v="2"/>
    <x v="6"/>
    <n v="7"/>
    <x v="0"/>
  </r>
  <r>
    <d v="2020-10-07T00:00:00"/>
    <x v="2"/>
    <x v="1"/>
    <x v="0"/>
    <n v="66778894.189999998"/>
    <x v="2"/>
    <x v="1"/>
    <x v="0"/>
    <x v="6"/>
    <x v="4"/>
    <x v="2"/>
    <x v="5"/>
    <x v="2"/>
    <x v="6"/>
    <n v="7"/>
    <x v="0"/>
  </r>
  <r>
    <d v="2020-10-07T00:00:00"/>
    <x v="2"/>
    <x v="1"/>
    <x v="1"/>
    <n v="65003280.200000003"/>
    <x v="2"/>
    <x v="1"/>
    <x v="1"/>
    <x v="7"/>
    <x v="4"/>
    <x v="2"/>
    <x v="5"/>
    <x v="2"/>
    <x v="6"/>
    <n v="7"/>
    <x v="0"/>
  </r>
  <r>
    <d v="2020-10-07T00:00:00"/>
    <x v="3"/>
    <x v="3"/>
    <x v="0"/>
    <n v="1349322343.4000001"/>
    <x v="3"/>
    <x v="3"/>
    <x v="0"/>
    <x v="8"/>
    <x v="4"/>
    <x v="2"/>
    <x v="5"/>
    <x v="2"/>
    <x v="6"/>
    <n v="7"/>
    <x v="0"/>
  </r>
  <r>
    <d v="2020-10-07T00:00:00"/>
    <x v="1"/>
    <x v="0"/>
    <x v="0"/>
    <n v="85186042.219999999"/>
    <x v="1"/>
    <x v="0"/>
    <x v="0"/>
    <x v="9"/>
    <x v="4"/>
    <x v="2"/>
    <x v="5"/>
    <x v="2"/>
    <x v="6"/>
    <n v="7"/>
    <x v="0"/>
  </r>
  <r>
    <d v="2020-10-07T00:00:00"/>
    <x v="0"/>
    <x v="1"/>
    <x v="1"/>
    <n v="380215559.18000001"/>
    <x v="0"/>
    <x v="1"/>
    <x v="1"/>
    <x v="4"/>
    <x v="4"/>
    <x v="2"/>
    <x v="5"/>
    <x v="2"/>
    <x v="6"/>
    <n v="7"/>
    <x v="0"/>
  </r>
  <r>
    <d v="2020-10-07T00:00:00"/>
    <x v="1"/>
    <x v="0"/>
    <x v="1"/>
    <n v="766313372.62"/>
    <x v="1"/>
    <x v="0"/>
    <x v="1"/>
    <x v="10"/>
    <x v="4"/>
    <x v="2"/>
    <x v="5"/>
    <x v="2"/>
    <x v="6"/>
    <n v="7"/>
    <x v="0"/>
  </r>
  <r>
    <d v="2020-10-07T00:00:00"/>
    <x v="3"/>
    <x v="2"/>
    <x v="2"/>
    <n v="485777.45"/>
    <x v="3"/>
    <x v="2"/>
    <x v="2"/>
    <x v="5"/>
    <x v="4"/>
    <x v="2"/>
    <x v="5"/>
    <x v="2"/>
    <x v="6"/>
    <n v="7"/>
    <x v="0"/>
  </r>
  <r>
    <d v="2020-10-07T00:00:00"/>
    <x v="0"/>
    <x v="0"/>
    <x v="0"/>
    <n v="270"/>
    <x v="0"/>
    <x v="0"/>
    <x v="0"/>
    <x v="0"/>
    <x v="4"/>
    <x v="2"/>
    <x v="5"/>
    <x v="2"/>
    <x v="6"/>
    <n v="7"/>
    <x v="0"/>
  </r>
  <r>
    <d v="2020-10-07T00:00:00"/>
    <x v="1"/>
    <x v="0"/>
    <x v="2"/>
    <n v="8459.64"/>
    <x v="1"/>
    <x v="0"/>
    <x v="2"/>
    <x v="2"/>
    <x v="4"/>
    <x v="2"/>
    <x v="5"/>
    <x v="2"/>
    <x v="6"/>
    <n v="7"/>
    <x v="0"/>
  </r>
  <r>
    <d v="2020-10-07T00:00:00"/>
    <x v="3"/>
    <x v="2"/>
    <x v="0"/>
    <n v="434551096.56"/>
    <x v="3"/>
    <x v="2"/>
    <x v="0"/>
    <x v="11"/>
    <x v="4"/>
    <x v="2"/>
    <x v="5"/>
    <x v="2"/>
    <x v="6"/>
    <n v="7"/>
    <x v="0"/>
  </r>
  <r>
    <d v="2020-10-07T00:00:00"/>
    <x v="3"/>
    <x v="1"/>
    <x v="0"/>
    <n v="13493488.26"/>
    <x v="3"/>
    <x v="1"/>
    <x v="0"/>
    <x v="12"/>
    <x v="4"/>
    <x v="2"/>
    <x v="5"/>
    <x v="2"/>
    <x v="6"/>
    <n v="7"/>
    <x v="0"/>
  </r>
  <r>
    <d v="2020-10-07T00:00:00"/>
    <x v="3"/>
    <x v="2"/>
    <x v="1"/>
    <n v="10706495664.190001"/>
    <x v="3"/>
    <x v="2"/>
    <x v="1"/>
    <x v="13"/>
    <x v="4"/>
    <x v="2"/>
    <x v="5"/>
    <x v="2"/>
    <x v="6"/>
    <n v="7"/>
    <x v="0"/>
  </r>
  <r>
    <d v="2020-10-06T00:00:00"/>
    <x v="0"/>
    <x v="1"/>
    <x v="0"/>
    <n v="6831031.6799999997"/>
    <x v="0"/>
    <x v="1"/>
    <x v="0"/>
    <x v="1"/>
    <x v="4"/>
    <x v="2"/>
    <x v="5"/>
    <x v="2"/>
    <x v="6"/>
    <n v="6"/>
    <x v="0"/>
  </r>
  <r>
    <d v="2020-10-06T00:00:00"/>
    <x v="2"/>
    <x v="1"/>
    <x v="0"/>
    <n v="69405776.760000005"/>
    <x v="2"/>
    <x v="1"/>
    <x v="0"/>
    <x v="7"/>
    <x v="4"/>
    <x v="2"/>
    <x v="5"/>
    <x v="2"/>
    <x v="6"/>
    <n v="6"/>
    <x v="0"/>
  </r>
  <r>
    <d v="2020-10-06T00:00:00"/>
    <x v="1"/>
    <x v="0"/>
    <x v="2"/>
    <n v="118990.5"/>
    <x v="1"/>
    <x v="0"/>
    <x v="2"/>
    <x v="2"/>
    <x v="4"/>
    <x v="2"/>
    <x v="5"/>
    <x v="2"/>
    <x v="6"/>
    <n v="6"/>
    <x v="0"/>
  </r>
  <r>
    <d v="2020-10-06T00:00:00"/>
    <x v="3"/>
    <x v="3"/>
    <x v="0"/>
    <n v="1880860844.78"/>
    <x v="3"/>
    <x v="3"/>
    <x v="0"/>
    <x v="8"/>
    <x v="4"/>
    <x v="2"/>
    <x v="5"/>
    <x v="2"/>
    <x v="6"/>
    <n v="6"/>
    <x v="0"/>
  </r>
  <r>
    <d v="2020-10-06T00:00:00"/>
    <x v="2"/>
    <x v="1"/>
    <x v="1"/>
    <n v="25519571.129999999"/>
    <x v="2"/>
    <x v="1"/>
    <x v="1"/>
    <x v="9"/>
    <x v="4"/>
    <x v="2"/>
    <x v="5"/>
    <x v="2"/>
    <x v="6"/>
    <n v="6"/>
    <x v="0"/>
  </r>
  <r>
    <d v="2020-10-06T00:00:00"/>
    <x v="0"/>
    <x v="1"/>
    <x v="1"/>
    <n v="373488055.97000003"/>
    <x v="0"/>
    <x v="1"/>
    <x v="1"/>
    <x v="5"/>
    <x v="4"/>
    <x v="2"/>
    <x v="5"/>
    <x v="2"/>
    <x v="6"/>
    <n v="6"/>
    <x v="0"/>
  </r>
  <r>
    <d v="2020-10-06T00:00:00"/>
    <x v="1"/>
    <x v="0"/>
    <x v="0"/>
    <n v="66003434.969999999"/>
    <x v="1"/>
    <x v="0"/>
    <x v="0"/>
    <x v="10"/>
    <x v="4"/>
    <x v="2"/>
    <x v="5"/>
    <x v="2"/>
    <x v="6"/>
    <n v="6"/>
    <x v="0"/>
  </r>
  <r>
    <d v="2020-10-06T00:00:00"/>
    <x v="1"/>
    <x v="0"/>
    <x v="1"/>
    <n v="435880400.01999998"/>
    <x v="1"/>
    <x v="0"/>
    <x v="1"/>
    <x v="11"/>
    <x v="4"/>
    <x v="2"/>
    <x v="5"/>
    <x v="2"/>
    <x v="6"/>
    <n v="6"/>
    <x v="0"/>
  </r>
  <r>
    <d v="2020-10-06T00:00:00"/>
    <x v="3"/>
    <x v="2"/>
    <x v="2"/>
    <n v="470521.17"/>
    <x v="3"/>
    <x v="2"/>
    <x v="2"/>
    <x v="6"/>
    <x v="4"/>
    <x v="2"/>
    <x v="5"/>
    <x v="2"/>
    <x v="6"/>
    <n v="6"/>
    <x v="0"/>
  </r>
  <r>
    <d v="2020-10-06T00:00:00"/>
    <x v="0"/>
    <x v="0"/>
    <x v="0"/>
    <n v="1730.75"/>
    <x v="0"/>
    <x v="0"/>
    <x v="0"/>
    <x v="0"/>
    <x v="4"/>
    <x v="2"/>
    <x v="5"/>
    <x v="2"/>
    <x v="6"/>
    <n v="6"/>
    <x v="0"/>
  </r>
  <r>
    <d v="2020-10-06T00:00:00"/>
    <x v="2"/>
    <x v="1"/>
    <x v="2"/>
    <n v="19383.48"/>
    <x v="2"/>
    <x v="1"/>
    <x v="2"/>
    <x v="3"/>
    <x v="4"/>
    <x v="2"/>
    <x v="5"/>
    <x v="2"/>
    <x v="6"/>
    <n v="6"/>
    <x v="0"/>
  </r>
  <r>
    <d v="2020-10-06T00:00:00"/>
    <x v="3"/>
    <x v="3"/>
    <x v="1"/>
    <n v="2997.34"/>
    <x v="3"/>
    <x v="3"/>
    <x v="1"/>
    <x v="4"/>
    <x v="4"/>
    <x v="2"/>
    <x v="5"/>
    <x v="2"/>
    <x v="6"/>
    <n v="6"/>
    <x v="0"/>
  </r>
  <r>
    <d v="2020-10-06T00:00:00"/>
    <x v="3"/>
    <x v="2"/>
    <x v="0"/>
    <n v="707799659.79999995"/>
    <x v="3"/>
    <x v="2"/>
    <x v="0"/>
    <x v="12"/>
    <x v="4"/>
    <x v="2"/>
    <x v="5"/>
    <x v="2"/>
    <x v="6"/>
    <n v="6"/>
    <x v="0"/>
  </r>
  <r>
    <d v="2020-10-06T00:00:00"/>
    <x v="3"/>
    <x v="1"/>
    <x v="0"/>
    <n v="10065482.279999999"/>
    <x v="3"/>
    <x v="1"/>
    <x v="0"/>
    <x v="13"/>
    <x v="4"/>
    <x v="2"/>
    <x v="5"/>
    <x v="2"/>
    <x v="6"/>
    <n v="6"/>
    <x v="0"/>
  </r>
  <r>
    <d v="2020-10-06T00:00:00"/>
    <x v="3"/>
    <x v="2"/>
    <x v="1"/>
    <n v="2637408864.9899998"/>
    <x v="3"/>
    <x v="2"/>
    <x v="1"/>
    <x v="14"/>
    <x v="4"/>
    <x v="2"/>
    <x v="5"/>
    <x v="2"/>
    <x v="6"/>
    <n v="6"/>
    <x v="0"/>
  </r>
  <r>
    <d v="2020-10-05T00:00:00"/>
    <x v="2"/>
    <x v="1"/>
    <x v="1"/>
    <n v="7582173.5599999996"/>
    <x v="2"/>
    <x v="1"/>
    <x v="1"/>
    <x v="6"/>
    <x v="4"/>
    <x v="2"/>
    <x v="5"/>
    <x v="2"/>
    <x v="6"/>
    <n v="5"/>
    <x v="0"/>
  </r>
  <r>
    <d v="2020-10-05T00:00:00"/>
    <x v="2"/>
    <x v="1"/>
    <x v="0"/>
    <n v="63978577.560000002"/>
    <x v="2"/>
    <x v="1"/>
    <x v="0"/>
    <x v="8"/>
    <x v="4"/>
    <x v="2"/>
    <x v="5"/>
    <x v="2"/>
    <x v="6"/>
    <n v="5"/>
    <x v="0"/>
  </r>
  <r>
    <d v="2020-10-05T00:00:00"/>
    <x v="0"/>
    <x v="1"/>
    <x v="1"/>
    <n v="500692337.72000003"/>
    <x v="0"/>
    <x v="1"/>
    <x v="1"/>
    <x v="3"/>
    <x v="4"/>
    <x v="2"/>
    <x v="5"/>
    <x v="2"/>
    <x v="6"/>
    <n v="5"/>
    <x v="0"/>
  </r>
  <r>
    <d v="2020-10-05T00:00:00"/>
    <x v="1"/>
    <x v="0"/>
    <x v="0"/>
    <n v="63199916.600000001"/>
    <x v="1"/>
    <x v="0"/>
    <x v="0"/>
    <x v="9"/>
    <x v="4"/>
    <x v="2"/>
    <x v="5"/>
    <x v="2"/>
    <x v="6"/>
    <n v="5"/>
    <x v="0"/>
  </r>
  <r>
    <d v="2020-10-05T00:00:00"/>
    <x v="0"/>
    <x v="1"/>
    <x v="0"/>
    <n v="6916517.8300000001"/>
    <x v="0"/>
    <x v="1"/>
    <x v="0"/>
    <x v="0"/>
    <x v="4"/>
    <x v="2"/>
    <x v="5"/>
    <x v="2"/>
    <x v="6"/>
    <n v="5"/>
    <x v="0"/>
  </r>
  <r>
    <d v="2020-10-05T00:00:00"/>
    <x v="2"/>
    <x v="1"/>
    <x v="2"/>
    <n v="1117.05"/>
    <x v="2"/>
    <x v="1"/>
    <x v="2"/>
    <x v="4"/>
    <x v="4"/>
    <x v="2"/>
    <x v="5"/>
    <x v="2"/>
    <x v="6"/>
    <n v="5"/>
    <x v="0"/>
  </r>
  <r>
    <d v="2020-10-05T00:00:00"/>
    <x v="3"/>
    <x v="2"/>
    <x v="2"/>
    <n v="817092.11"/>
    <x v="3"/>
    <x v="2"/>
    <x v="2"/>
    <x v="5"/>
    <x v="4"/>
    <x v="2"/>
    <x v="5"/>
    <x v="2"/>
    <x v="6"/>
    <n v="5"/>
    <x v="0"/>
  </r>
  <r>
    <d v="2020-10-05T00:00:00"/>
    <x v="1"/>
    <x v="0"/>
    <x v="2"/>
    <n v="2229.15"/>
    <x v="1"/>
    <x v="0"/>
    <x v="2"/>
    <x v="1"/>
    <x v="4"/>
    <x v="2"/>
    <x v="5"/>
    <x v="2"/>
    <x v="6"/>
    <n v="5"/>
    <x v="0"/>
  </r>
  <r>
    <d v="2020-10-05T00:00:00"/>
    <x v="3"/>
    <x v="3"/>
    <x v="1"/>
    <n v="3907.82"/>
    <x v="3"/>
    <x v="3"/>
    <x v="1"/>
    <x v="2"/>
    <x v="4"/>
    <x v="2"/>
    <x v="5"/>
    <x v="2"/>
    <x v="6"/>
    <n v="5"/>
    <x v="0"/>
  </r>
  <r>
    <d v="2020-10-05T00:00:00"/>
    <x v="3"/>
    <x v="3"/>
    <x v="0"/>
    <n v="1693834389.22"/>
    <x v="3"/>
    <x v="3"/>
    <x v="0"/>
    <x v="7"/>
    <x v="4"/>
    <x v="2"/>
    <x v="5"/>
    <x v="2"/>
    <x v="6"/>
    <n v="5"/>
    <x v="0"/>
  </r>
  <r>
    <d v="2020-10-05T00:00:00"/>
    <x v="1"/>
    <x v="0"/>
    <x v="1"/>
    <n v="307854561.74000001"/>
    <x v="1"/>
    <x v="0"/>
    <x v="1"/>
    <x v="10"/>
    <x v="4"/>
    <x v="2"/>
    <x v="5"/>
    <x v="2"/>
    <x v="6"/>
    <n v="5"/>
    <x v="0"/>
  </r>
  <r>
    <d v="2020-10-05T00:00:00"/>
    <x v="3"/>
    <x v="2"/>
    <x v="0"/>
    <n v="1006657712.89"/>
    <x v="3"/>
    <x v="2"/>
    <x v="0"/>
    <x v="11"/>
    <x v="4"/>
    <x v="2"/>
    <x v="5"/>
    <x v="2"/>
    <x v="6"/>
    <n v="5"/>
    <x v="0"/>
  </r>
  <r>
    <d v="2020-10-05T00:00:00"/>
    <x v="3"/>
    <x v="2"/>
    <x v="1"/>
    <n v="15867512968.92"/>
    <x v="3"/>
    <x v="2"/>
    <x v="1"/>
    <x v="12"/>
    <x v="4"/>
    <x v="2"/>
    <x v="5"/>
    <x v="2"/>
    <x v="6"/>
    <n v="5"/>
    <x v="0"/>
  </r>
  <r>
    <d v="2020-10-05T00:00:00"/>
    <x v="3"/>
    <x v="1"/>
    <x v="0"/>
    <n v="45787012.310000002"/>
    <x v="3"/>
    <x v="1"/>
    <x v="0"/>
    <x v="13"/>
    <x v="4"/>
    <x v="2"/>
    <x v="5"/>
    <x v="2"/>
    <x v="6"/>
    <n v="5"/>
    <x v="0"/>
  </r>
  <r>
    <d v="2020-10-02T00:00:00"/>
    <x v="2"/>
    <x v="1"/>
    <x v="1"/>
    <n v="19139074.59"/>
    <x v="2"/>
    <x v="1"/>
    <x v="1"/>
    <x v="6"/>
    <x v="4"/>
    <x v="2"/>
    <x v="5"/>
    <x v="2"/>
    <x v="6"/>
    <n v="2"/>
    <x v="0"/>
  </r>
  <r>
    <d v="2020-10-02T00:00:00"/>
    <x v="3"/>
    <x v="3"/>
    <x v="0"/>
    <n v="767861012.77999997"/>
    <x v="3"/>
    <x v="3"/>
    <x v="0"/>
    <x v="7"/>
    <x v="4"/>
    <x v="2"/>
    <x v="5"/>
    <x v="2"/>
    <x v="6"/>
    <n v="2"/>
    <x v="0"/>
  </r>
  <r>
    <d v="2020-10-02T00:00:00"/>
    <x v="2"/>
    <x v="1"/>
    <x v="0"/>
    <n v="85453204.730000004"/>
    <x v="2"/>
    <x v="1"/>
    <x v="0"/>
    <x v="8"/>
    <x v="4"/>
    <x v="2"/>
    <x v="5"/>
    <x v="2"/>
    <x v="6"/>
    <n v="2"/>
    <x v="0"/>
  </r>
  <r>
    <d v="2020-10-02T00:00:00"/>
    <x v="0"/>
    <x v="1"/>
    <x v="1"/>
    <n v="270424979.66000003"/>
    <x v="0"/>
    <x v="1"/>
    <x v="1"/>
    <x v="3"/>
    <x v="4"/>
    <x v="2"/>
    <x v="5"/>
    <x v="2"/>
    <x v="6"/>
    <n v="2"/>
    <x v="0"/>
  </r>
  <r>
    <d v="2020-10-02T00:00:00"/>
    <x v="1"/>
    <x v="0"/>
    <x v="0"/>
    <n v="52724912.079999998"/>
    <x v="1"/>
    <x v="0"/>
    <x v="0"/>
    <x v="9"/>
    <x v="4"/>
    <x v="2"/>
    <x v="5"/>
    <x v="2"/>
    <x v="6"/>
    <n v="2"/>
    <x v="0"/>
  </r>
  <r>
    <d v="2020-10-02T00:00:00"/>
    <x v="3"/>
    <x v="2"/>
    <x v="2"/>
    <n v="128851.92"/>
    <x v="3"/>
    <x v="2"/>
    <x v="2"/>
    <x v="4"/>
    <x v="4"/>
    <x v="2"/>
    <x v="5"/>
    <x v="2"/>
    <x v="6"/>
    <n v="2"/>
    <x v="0"/>
  </r>
  <r>
    <d v="2020-10-02T00:00:00"/>
    <x v="2"/>
    <x v="1"/>
    <x v="2"/>
    <n v="15676.73"/>
    <x v="2"/>
    <x v="1"/>
    <x v="2"/>
    <x v="5"/>
    <x v="4"/>
    <x v="2"/>
    <x v="5"/>
    <x v="2"/>
    <x v="6"/>
    <n v="2"/>
    <x v="0"/>
  </r>
  <r>
    <d v="2020-10-02T00:00:00"/>
    <x v="1"/>
    <x v="0"/>
    <x v="2"/>
    <n v="25205.99"/>
    <x v="1"/>
    <x v="0"/>
    <x v="2"/>
    <x v="2"/>
    <x v="4"/>
    <x v="2"/>
    <x v="5"/>
    <x v="2"/>
    <x v="6"/>
    <n v="2"/>
    <x v="0"/>
  </r>
  <r>
    <d v="2020-10-02T00:00:00"/>
    <x v="0"/>
    <x v="0"/>
    <x v="0"/>
    <n v="100.05"/>
    <x v="0"/>
    <x v="0"/>
    <x v="0"/>
    <x v="0"/>
    <x v="4"/>
    <x v="2"/>
    <x v="5"/>
    <x v="2"/>
    <x v="6"/>
    <n v="2"/>
    <x v="0"/>
  </r>
  <r>
    <d v="2020-10-02T00:00:00"/>
    <x v="0"/>
    <x v="1"/>
    <x v="0"/>
    <n v="18246139.899999999"/>
    <x v="0"/>
    <x v="1"/>
    <x v="0"/>
    <x v="1"/>
    <x v="4"/>
    <x v="2"/>
    <x v="5"/>
    <x v="2"/>
    <x v="6"/>
    <n v="2"/>
    <x v="0"/>
  </r>
  <r>
    <d v="2020-10-02T00:00:00"/>
    <x v="1"/>
    <x v="0"/>
    <x v="1"/>
    <n v="154304412.06"/>
    <x v="1"/>
    <x v="0"/>
    <x v="1"/>
    <x v="10"/>
    <x v="4"/>
    <x v="2"/>
    <x v="5"/>
    <x v="2"/>
    <x v="6"/>
    <n v="2"/>
    <x v="0"/>
  </r>
  <r>
    <d v="2020-10-02T00:00:00"/>
    <x v="3"/>
    <x v="2"/>
    <x v="0"/>
    <n v="393181979.87"/>
    <x v="3"/>
    <x v="2"/>
    <x v="0"/>
    <x v="11"/>
    <x v="4"/>
    <x v="2"/>
    <x v="5"/>
    <x v="2"/>
    <x v="6"/>
    <n v="2"/>
    <x v="0"/>
  </r>
  <r>
    <d v="2020-10-02T00:00:00"/>
    <x v="3"/>
    <x v="1"/>
    <x v="0"/>
    <n v="15628482.85"/>
    <x v="3"/>
    <x v="1"/>
    <x v="0"/>
    <x v="12"/>
    <x v="4"/>
    <x v="2"/>
    <x v="5"/>
    <x v="2"/>
    <x v="6"/>
    <n v="2"/>
    <x v="0"/>
  </r>
  <r>
    <d v="2020-10-02T00:00:00"/>
    <x v="3"/>
    <x v="2"/>
    <x v="1"/>
    <n v="13872924897.17"/>
    <x v="3"/>
    <x v="2"/>
    <x v="1"/>
    <x v="13"/>
    <x v="4"/>
    <x v="2"/>
    <x v="5"/>
    <x v="2"/>
    <x v="6"/>
    <n v="2"/>
    <x v="0"/>
  </r>
  <r>
    <d v="2020-10-01T00:00:00"/>
    <x v="1"/>
    <x v="0"/>
    <x v="2"/>
    <n v="11695.01"/>
    <x v="1"/>
    <x v="0"/>
    <x v="2"/>
    <x v="1"/>
    <x v="4"/>
    <x v="2"/>
    <x v="5"/>
    <x v="2"/>
    <x v="6"/>
    <n v="1"/>
    <x v="0"/>
  </r>
  <r>
    <d v="2020-10-01T00:00:00"/>
    <x v="3"/>
    <x v="2"/>
    <x v="2"/>
    <n v="381412"/>
    <x v="3"/>
    <x v="2"/>
    <x v="2"/>
    <x v="3"/>
    <x v="4"/>
    <x v="2"/>
    <x v="5"/>
    <x v="2"/>
    <x v="6"/>
    <n v="1"/>
    <x v="0"/>
  </r>
  <r>
    <d v="2020-10-01T00:00:00"/>
    <x v="2"/>
    <x v="1"/>
    <x v="2"/>
    <n v="6440"/>
    <x v="2"/>
    <x v="1"/>
    <x v="2"/>
    <x v="2"/>
    <x v="4"/>
    <x v="2"/>
    <x v="5"/>
    <x v="2"/>
    <x v="6"/>
    <n v="1"/>
    <x v="0"/>
  </r>
  <r>
    <d v="2020-10-01T00:00:00"/>
    <x v="2"/>
    <x v="1"/>
    <x v="0"/>
    <n v="63509160.899999999"/>
    <x v="2"/>
    <x v="1"/>
    <x v="0"/>
    <x v="6"/>
    <x v="4"/>
    <x v="2"/>
    <x v="5"/>
    <x v="2"/>
    <x v="6"/>
    <n v="1"/>
    <x v="0"/>
  </r>
  <r>
    <d v="2020-10-01T00:00:00"/>
    <x v="0"/>
    <x v="1"/>
    <x v="1"/>
    <n v="221393990.69999999"/>
    <x v="0"/>
    <x v="1"/>
    <x v="1"/>
    <x v="5"/>
    <x v="4"/>
    <x v="2"/>
    <x v="5"/>
    <x v="2"/>
    <x v="6"/>
    <n v="1"/>
    <x v="0"/>
  </r>
  <r>
    <d v="2020-10-01T00:00:00"/>
    <x v="3"/>
    <x v="3"/>
    <x v="0"/>
    <n v="5120295673.0100002"/>
    <x v="3"/>
    <x v="3"/>
    <x v="0"/>
    <x v="8"/>
    <x v="4"/>
    <x v="2"/>
    <x v="5"/>
    <x v="2"/>
    <x v="6"/>
    <n v="1"/>
    <x v="0"/>
  </r>
  <r>
    <d v="2020-10-01T00:00:00"/>
    <x v="0"/>
    <x v="1"/>
    <x v="0"/>
    <n v="19974311.27"/>
    <x v="0"/>
    <x v="1"/>
    <x v="0"/>
    <x v="0"/>
    <x v="4"/>
    <x v="2"/>
    <x v="5"/>
    <x v="2"/>
    <x v="6"/>
    <n v="1"/>
    <x v="0"/>
  </r>
  <r>
    <d v="2020-10-01T00:00:00"/>
    <x v="3"/>
    <x v="3"/>
    <x v="1"/>
    <n v="437753.59"/>
    <x v="3"/>
    <x v="3"/>
    <x v="1"/>
    <x v="4"/>
    <x v="4"/>
    <x v="2"/>
    <x v="5"/>
    <x v="2"/>
    <x v="6"/>
    <n v="1"/>
    <x v="0"/>
  </r>
  <r>
    <d v="2020-10-01T00:00:00"/>
    <x v="2"/>
    <x v="1"/>
    <x v="1"/>
    <n v="72278381.890000001"/>
    <x v="2"/>
    <x v="1"/>
    <x v="1"/>
    <x v="7"/>
    <x v="4"/>
    <x v="2"/>
    <x v="5"/>
    <x v="2"/>
    <x v="6"/>
    <n v="1"/>
    <x v="0"/>
  </r>
  <r>
    <d v="2020-10-01T00:00:00"/>
    <x v="1"/>
    <x v="0"/>
    <x v="0"/>
    <n v="77831677.900000006"/>
    <x v="1"/>
    <x v="0"/>
    <x v="0"/>
    <x v="9"/>
    <x v="4"/>
    <x v="2"/>
    <x v="5"/>
    <x v="2"/>
    <x v="6"/>
    <n v="1"/>
    <x v="0"/>
  </r>
  <r>
    <d v="2020-10-01T00:00:00"/>
    <x v="1"/>
    <x v="0"/>
    <x v="1"/>
    <n v="511380525.14999998"/>
    <x v="1"/>
    <x v="0"/>
    <x v="1"/>
    <x v="10"/>
    <x v="4"/>
    <x v="2"/>
    <x v="5"/>
    <x v="2"/>
    <x v="6"/>
    <n v="1"/>
    <x v="0"/>
  </r>
  <r>
    <d v="2020-10-01T00:00:00"/>
    <x v="3"/>
    <x v="2"/>
    <x v="0"/>
    <n v="442069326.85000002"/>
    <x v="3"/>
    <x v="2"/>
    <x v="0"/>
    <x v="11"/>
    <x v="4"/>
    <x v="2"/>
    <x v="5"/>
    <x v="2"/>
    <x v="6"/>
    <n v="1"/>
    <x v="0"/>
  </r>
  <r>
    <d v="2020-10-01T00:00:00"/>
    <x v="3"/>
    <x v="2"/>
    <x v="1"/>
    <n v="17467992798.09"/>
    <x v="3"/>
    <x v="2"/>
    <x v="1"/>
    <x v="12"/>
    <x v="4"/>
    <x v="2"/>
    <x v="5"/>
    <x v="2"/>
    <x v="6"/>
    <n v="1"/>
    <x v="0"/>
  </r>
  <r>
    <d v="2020-10-01T00:00:00"/>
    <x v="3"/>
    <x v="1"/>
    <x v="0"/>
    <n v="13805863.640000001"/>
    <x v="3"/>
    <x v="1"/>
    <x v="0"/>
    <x v="13"/>
    <x v="4"/>
    <x v="2"/>
    <x v="5"/>
    <x v="2"/>
    <x v="6"/>
    <n v="1"/>
    <x v="0"/>
  </r>
  <r>
    <d v="2020-09-30T00:00:00"/>
    <x v="2"/>
    <x v="1"/>
    <x v="2"/>
    <n v="22792.16"/>
    <x v="2"/>
    <x v="1"/>
    <x v="2"/>
    <x v="4"/>
    <x v="5"/>
    <x v="3"/>
    <x v="5"/>
    <x v="3"/>
    <x v="7"/>
    <n v="30"/>
    <x v="0"/>
  </r>
  <r>
    <d v="2020-09-30T00:00:00"/>
    <x v="2"/>
    <x v="1"/>
    <x v="0"/>
    <n v="88925715.879999995"/>
    <x v="2"/>
    <x v="1"/>
    <x v="0"/>
    <x v="7"/>
    <x v="5"/>
    <x v="3"/>
    <x v="5"/>
    <x v="3"/>
    <x v="7"/>
    <n v="30"/>
    <x v="0"/>
  </r>
  <r>
    <d v="2020-09-30T00:00:00"/>
    <x v="2"/>
    <x v="1"/>
    <x v="1"/>
    <n v="148090855.53999999"/>
    <x v="2"/>
    <x v="1"/>
    <x v="1"/>
    <x v="9"/>
    <x v="5"/>
    <x v="3"/>
    <x v="5"/>
    <x v="3"/>
    <x v="7"/>
    <n v="30"/>
    <x v="0"/>
  </r>
  <r>
    <d v="2020-09-30T00:00:00"/>
    <x v="1"/>
    <x v="0"/>
    <x v="0"/>
    <n v="95401971.129999995"/>
    <x v="1"/>
    <x v="0"/>
    <x v="0"/>
    <x v="10"/>
    <x v="5"/>
    <x v="3"/>
    <x v="5"/>
    <x v="3"/>
    <x v="7"/>
    <n v="30"/>
    <x v="0"/>
  </r>
  <r>
    <d v="2020-09-30T00:00:00"/>
    <x v="0"/>
    <x v="1"/>
    <x v="1"/>
    <n v="556380469.73000002"/>
    <x v="0"/>
    <x v="1"/>
    <x v="1"/>
    <x v="5"/>
    <x v="5"/>
    <x v="3"/>
    <x v="5"/>
    <x v="3"/>
    <x v="7"/>
    <n v="30"/>
    <x v="0"/>
  </r>
  <r>
    <d v="2020-09-30T00:00:00"/>
    <x v="1"/>
    <x v="0"/>
    <x v="1"/>
    <n v="647222760.92999995"/>
    <x v="1"/>
    <x v="0"/>
    <x v="1"/>
    <x v="11"/>
    <x v="5"/>
    <x v="3"/>
    <x v="5"/>
    <x v="3"/>
    <x v="7"/>
    <n v="30"/>
    <x v="0"/>
  </r>
  <r>
    <d v="2020-09-30T00:00:00"/>
    <x v="3"/>
    <x v="2"/>
    <x v="2"/>
    <n v="250880.77"/>
    <x v="3"/>
    <x v="2"/>
    <x v="2"/>
    <x v="6"/>
    <x v="5"/>
    <x v="3"/>
    <x v="5"/>
    <x v="3"/>
    <x v="7"/>
    <n v="30"/>
    <x v="0"/>
  </r>
  <r>
    <d v="2020-09-30T00:00:00"/>
    <x v="0"/>
    <x v="0"/>
    <x v="0"/>
    <n v="100"/>
    <x v="0"/>
    <x v="0"/>
    <x v="0"/>
    <x v="1"/>
    <x v="5"/>
    <x v="3"/>
    <x v="5"/>
    <x v="3"/>
    <x v="7"/>
    <n v="30"/>
    <x v="0"/>
  </r>
  <r>
    <d v="2020-09-30T00:00:00"/>
    <x v="0"/>
    <x v="1"/>
    <x v="0"/>
    <n v="5755690.6500000004"/>
    <x v="0"/>
    <x v="1"/>
    <x v="0"/>
    <x v="2"/>
    <x v="5"/>
    <x v="3"/>
    <x v="5"/>
    <x v="3"/>
    <x v="7"/>
    <n v="30"/>
    <x v="0"/>
  </r>
  <r>
    <d v="2020-09-30T00:00:00"/>
    <x v="2"/>
    <x v="3"/>
    <x v="0"/>
    <n v="15.61"/>
    <x v="2"/>
    <x v="3"/>
    <x v="0"/>
    <x v="0"/>
    <x v="5"/>
    <x v="3"/>
    <x v="5"/>
    <x v="3"/>
    <x v="7"/>
    <n v="30"/>
    <x v="0"/>
  </r>
  <r>
    <d v="2020-09-30T00:00:00"/>
    <x v="1"/>
    <x v="0"/>
    <x v="2"/>
    <n v="15696.95"/>
    <x v="1"/>
    <x v="0"/>
    <x v="2"/>
    <x v="3"/>
    <x v="5"/>
    <x v="3"/>
    <x v="5"/>
    <x v="3"/>
    <x v="7"/>
    <n v="30"/>
    <x v="0"/>
  </r>
  <r>
    <d v="2020-09-30T00:00:00"/>
    <x v="3"/>
    <x v="3"/>
    <x v="0"/>
    <n v="6384720061.9200001"/>
    <x v="3"/>
    <x v="3"/>
    <x v="0"/>
    <x v="8"/>
    <x v="5"/>
    <x v="3"/>
    <x v="5"/>
    <x v="3"/>
    <x v="7"/>
    <n v="30"/>
    <x v="0"/>
  </r>
  <r>
    <d v="2020-09-30T00:00:00"/>
    <x v="3"/>
    <x v="2"/>
    <x v="0"/>
    <n v="1351669304.2"/>
    <x v="3"/>
    <x v="2"/>
    <x v="0"/>
    <x v="12"/>
    <x v="5"/>
    <x v="3"/>
    <x v="5"/>
    <x v="3"/>
    <x v="7"/>
    <n v="30"/>
    <x v="0"/>
  </r>
  <r>
    <d v="2020-09-30T00:00:00"/>
    <x v="3"/>
    <x v="1"/>
    <x v="0"/>
    <n v="12179190.039999999"/>
    <x v="3"/>
    <x v="1"/>
    <x v="0"/>
    <x v="13"/>
    <x v="5"/>
    <x v="3"/>
    <x v="5"/>
    <x v="3"/>
    <x v="7"/>
    <n v="30"/>
    <x v="0"/>
  </r>
  <r>
    <d v="2020-09-30T00:00:00"/>
    <x v="3"/>
    <x v="2"/>
    <x v="1"/>
    <n v="21841521412.41"/>
    <x v="3"/>
    <x v="2"/>
    <x v="1"/>
    <x v="14"/>
    <x v="5"/>
    <x v="3"/>
    <x v="5"/>
    <x v="3"/>
    <x v="7"/>
    <n v="30"/>
    <x v="0"/>
  </r>
  <r>
    <d v="2020-09-29T00:00:00"/>
    <x v="2"/>
    <x v="1"/>
    <x v="0"/>
    <n v="71479862.200000003"/>
    <x v="2"/>
    <x v="1"/>
    <x v="0"/>
    <x v="7"/>
    <x v="5"/>
    <x v="3"/>
    <x v="5"/>
    <x v="3"/>
    <x v="7"/>
    <n v="29"/>
    <x v="0"/>
  </r>
  <r>
    <d v="2020-09-29T00:00:00"/>
    <x v="1"/>
    <x v="0"/>
    <x v="2"/>
    <n v="58496.82"/>
    <x v="1"/>
    <x v="0"/>
    <x v="2"/>
    <x v="2"/>
    <x v="5"/>
    <x v="3"/>
    <x v="5"/>
    <x v="3"/>
    <x v="7"/>
    <n v="29"/>
    <x v="0"/>
  </r>
  <r>
    <d v="2020-09-29T00:00:00"/>
    <x v="2"/>
    <x v="1"/>
    <x v="1"/>
    <n v="19959228.98"/>
    <x v="2"/>
    <x v="1"/>
    <x v="1"/>
    <x v="9"/>
    <x v="5"/>
    <x v="3"/>
    <x v="5"/>
    <x v="3"/>
    <x v="7"/>
    <n v="29"/>
    <x v="0"/>
  </r>
  <r>
    <d v="2020-09-29T00:00:00"/>
    <x v="2"/>
    <x v="1"/>
    <x v="2"/>
    <n v="1961789.35"/>
    <x v="2"/>
    <x v="1"/>
    <x v="2"/>
    <x v="5"/>
    <x v="5"/>
    <x v="3"/>
    <x v="5"/>
    <x v="3"/>
    <x v="7"/>
    <n v="29"/>
    <x v="0"/>
  </r>
  <r>
    <d v="2020-09-29T00:00:00"/>
    <x v="3"/>
    <x v="2"/>
    <x v="2"/>
    <n v="231526"/>
    <x v="3"/>
    <x v="2"/>
    <x v="2"/>
    <x v="6"/>
    <x v="5"/>
    <x v="3"/>
    <x v="5"/>
    <x v="3"/>
    <x v="7"/>
    <n v="29"/>
    <x v="0"/>
  </r>
  <r>
    <d v="2020-09-29T00:00:00"/>
    <x v="3"/>
    <x v="3"/>
    <x v="0"/>
    <n v="2971630971.98"/>
    <x v="3"/>
    <x v="3"/>
    <x v="0"/>
    <x v="8"/>
    <x v="5"/>
    <x v="3"/>
    <x v="5"/>
    <x v="3"/>
    <x v="7"/>
    <n v="29"/>
    <x v="0"/>
  </r>
  <r>
    <d v="2020-09-29T00:00:00"/>
    <x v="0"/>
    <x v="0"/>
    <x v="0"/>
    <n v="1434.5"/>
    <x v="0"/>
    <x v="0"/>
    <x v="0"/>
    <x v="0"/>
    <x v="5"/>
    <x v="3"/>
    <x v="5"/>
    <x v="3"/>
    <x v="7"/>
    <n v="29"/>
    <x v="0"/>
  </r>
  <r>
    <d v="2020-09-29T00:00:00"/>
    <x v="0"/>
    <x v="1"/>
    <x v="0"/>
    <n v="6556543.5700000003"/>
    <x v="0"/>
    <x v="1"/>
    <x v="0"/>
    <x v="1"/>
    <x v="5"/>
    <x v="3"/>
    <x v="5"/>
    <x v="3"/>
    <x v="7"/>
    <n v="29"/>
    <x v="0"/>
  </r>
  <r>
    <d v="2020-09-29T00:00:00"/>
    <x v="1"/>
    <x v="0"/>
    <x v="0"/>
    <n v="97158981.349999994"/>
    <x v="1"/>
    <x v="0"/>
    <x v="0"/>
    <x v="10"/>
    <x v="5"/>
    <x v="3"/>
    <x v="5"/>
    <x v="3"/>
    <x v="7"/>
    <n v="29"/>
    <x v="0"/>
  </r>
  <r>
    <d v="2020-09-29T00:00:00"/>
    <x v="3"/>
    <x v="3"/>
    <x v="1"/>
    <n v="5735.58"/>
    <x v="3"/>
    <x v="3"/>
    <x v="1"/>
    <x v="3"/>
    <x v="5"/>
    <x v="3"/>
    <x v="5"/>
    <x v="3"/>
    <x v="7"/>
    <n v="29"/>
    <x v="0"/>
  </r>
  <r>
    <d v="2020-09-29T00:00:00"/>
    <x v="0"/>
    <x v="1"/>
    <x v="1"/>
    <n v="332352847.75"/>
    <x v="0"/>
    <x v="1"/>
    <x v="1"/>
    <x v="4"/>
    <x v="5"/>
    <x v="3"/>
    <x v="5"/>
    <x v="3"/>
    <x v="7"/>
    <n v="29"/>
    <x v="0"/>
  </r>
  <r>
    <d v="2020-09-29T00:00:00"/>
    <x v="1"/>
    <x v="0"/>
    <x v="1"/>
    <n v="717338938.59000003"/>
    <x v="1"/>
    <x v="0"/>
    <x v="1"/>
    <x v="11"/>
    <x v="5"/>
    <x v="3"/>
    <x v="5"/>
    <x v="3"/>
    <x v="7"/>
    <n v="29"/>
    <x v="0"/>
  </r>
  <r>
    <d v="2020-09-29T00:00:00"/>
    <x v="3"/>
    <x v="2"/>
    <x v="0"/>
    <n v="913146604.53999996"/>
    <x v="3"/>
    <x v="2"/>
    <x v="0"/>
    <x v="12"/>
    <x v="5"/>
    <x v="3"/>
    <x v="5"/>
    <x v="3"/>
    <x v="7"/>
    <n v="29"/>
    <x v="0"/>
  </r>
  <r>
    <d v="2020-09-29T00:00:00"/>
    <x v="3"/>
    <x v="1"/>
    <x v="0"/>
    <n v="9030099.8699999992"/>
    <x v="3"/>
    <x v="1"/>
    <x v="0"/>
    <x v="13"/>
    <x v="5"/>
    <x v="3"/>
    <x v="5"/>
    <x v="3"/>
    <x v="7"/>
    <n v="29"/>
    <x v="0"/>
  </r>
  <r>
    <d v="2020-09-29T00:00:00"/>
    <x v="3"/>
    <x v="2"/>
    <x v="1"/>
    <n v="8230142040.3599997"/>
    <x v="3"/>
    <x v="2"/>
    <x v="1"/>
    <x v="14"/>
    <x v="5"/>
    <x v="3"/>
    <x v="5"/>
    <x v="3"/>
    <x v="7"/>
    <n v="29"/>
    <x v="0"/>
  </r>
  <r>
    <d v="2020-09-28T00:00:00"/>
    <x v="1"/>
    <x v="0"/>
    <x v="2"/>
    <n v="18723.400000000001"/>
    <x v="1"/>
    <x v="0"/>
    <x v="2"/>
    <x v="1"/>
    <x v="5"/>
    <x v="3"/>
    <x v="5"/>
    <x v="3"/>
    <x v="7"/>
    <n v="28"/>
    <x v="0"/>
  </r>
  <r>
    <d v="2020-09-28T00:00:00"/>
    <x v="2"/>
    <x v="1"/>
    <x v="2"/>
    <n v="12160"/>
    <x v="2"/>
    <x v="1"/>
    <x v="2"/>
    <x v="2"/>
    <x v="5"/>
    <x v="3"/>
    <x v="5"/>
    <x v="3"/>
    <x v="7"/>
    <n v="28"/>
    <x v="0"/>
  </r>
  <r>
    <d v="2020-09-28T00:00:00"/>
    <x v="2"/>
    <x v="1"/>
    <x v="0"/>
    <n v="62010097.759999998"/>
    <x v="2"/>
    <x v="1"/>
    <x v="0"/>
    <x v="5"/>
    <x v="5"/>
    <x v="3"/>
    <x v="5"/>
    <x v="3"/>
    <x v="7"/>
    <n v="28"/>
    <x v="0"/>
  </r>
  <r>
    <d v="2020-09-28T00:00:00"/>
    <x v="0"/>
    <x v="1"/>
    <x v="1"/>
    <n v="353801234.51999998"/>
    <x v="0"/>
    <x v="1"/>
    <x v="1"/>
    <x v="3"/>
    <x v="5"/>
    <x v="3"/>
    <x v="5"/>
    <x v="3"/>
    <x v="7"/>
    <n v="28"/>
    <x v="0"/>
  </r>
  <r>
    <d v="2020-09-28T00:00:00"/>
    <x v="3"/>
    <x v="3"/>
    <x v="0"/>
    <n v="1697785989.3800001"/>
    <x v="3"/>
    <x v="3"/>
    <x v="0"/>
    <x v="7"/>
    <x v="5"/>
    <x v="3"/>
    <x v="5"/>
    <x v="3"/>
    <x v="7"/>
    <n v="28"/>
    <x v="0"/>
  </r>
  <r>
    <d v="2020-09-28T00:00:00"/>
    <x v="1"/>
    <x v="0"/>
    <x v="0"/>
    <n v="58351613.899999999"/>
    <x v="1"/>
    <x v="0"/>
    <x v="0"/>
    <x v="8"/>
    <x v="5"/>
    <x v="3"/>
    <x v="5"/>
    <x v="3"/>
    <x v="7"/>
    <n v="28"/>
    <x v="0"/>
  </r>
  <r>
    <d v="2020-09-28T00:00:00"/>
    <x v="3"/>
    <x v="2"/>
    <x v="2"/>
    <n v="117196.34"/>
    <x v="3"/>
    <x v="2"/>
    <x v="2"/>
    <x v="4"/>
    <x v="5"/>
    <x v="3"/>
    <x v="5"/>
    <x v="3"/>
    <x v="7"/>
    <n v="28"/>
    <x v="0"/>
  </r>
  <r>
    <d v="2020-09-28T00:00:00"/>
    <x v="0"/>
    <x v="1"/>
    <x v="0"/>
    <n v="11385530.08"/>
    <x v="0"/>
    <x v="1"/>
    <x v="0"/>
    <x v="0"/>
    <x v="5"/>
    <x v="3"/>
    <x v="5"/>
    <x v="3"/>
    <x v="7"/>
    <n v="28"/>
    <x v="0"/>
  </r>
  <r>
    <d v="2020-09-28T00:00:00"/>
    <x v="2"/>
    <x v="1"/>
    <x v="1"/>
    <n v="44659728.219999999"/>
    <x v="2"/>
    <x v="1"/>
    <x v="1"/>
    <x v="6"/>
    <x v="5"/>
    <x v="3"/>
    <x v="5"/>
    <x v="3"/>
    <x v="7"/>
    <n v="28"/>
    <x v="0"/>
  </r>
  <r>
    <d v="2020-09-28T00:00:00"/>
    <x v="1"/>
    <x v="0"/>
    <x v="1"/>
    <n v="661706975.16999996"/>
    <x v="1"/>
    <x v="0"/>
    <x v="1"/>
    <x v="9"/>
    <x v="5"/>
    <x v="3"/>
    <x v="5"/>
    <x v="3"/>
    <x v="7"/>
    <n v="28"/>
    <x v="0"/>
  </r>
  <r>
    <d v="2020-09-28T00:00:00"/>
    <x v="3"/>
    <x v="2"/>
    <x v="0"/>
    <n v="585689019.88"/>
    <x v="3"/>
    <x v="2"/>
    <x v="0"/>
    <x v="10"/>
    <x v="5"/>
    <x v="3"/>
    <x v="5"/>
    <x v="3"/>
    <x v="7"/>
    <n v="28"/>
    <x v="0"/>
  </r>
  <r>
    <d v="2020-09-28T00:00:00"/>
    <x v="3"/>
    <x v="2"/>
    <x v="1"/>
    <n v="16406517086.870001"/>
    <x v="3"/>
    <x v="2"/>
    <x v="1"/>
    <x v="11"/>
    <x v="5"/>
    <x v="3"/>
    <x v="5"/>
    <x v="3"/>
    <x v="7"/>
    <n v="28"/>
    <x v="0"/>
  </r>
  <r>
    <d v="2020-09-28T00:00:00"/>
    <x v="3"/>
    <x v="1"/>
    <x v="0"/>
    <n v="39341248.369999997"/>
    <x v="3"/>
    <x v="1"/>
    <x v="0"/>
    <x v="12"/>
    <x v="5"/>
    <x v="3"/>
    <x v="5"/>
    <x v="3"/>
    <x v="7"/>
    <n v="28"/>
    <x v="0"/>
  </r>
  <r>
    <d v="2020-09-25T00:00:00"/>
    <x v="1"/>
    <x v="0"/>
    <x v="2"/>
    <n v="12793.88"/>
    <x v="1"/>
    <x v="0"/>
    <x v="2"/>
    <x v="2"/>
    <x v="5"/>
    <x v="3"/>
    <x v="5"/>
    <x v="3"/>
    <x v="7"/>
    <n v="25"/>
    <x v="0"/>
  </r>
  <r>
    <d v="2020-09-25T00:00:00"/>
    <x v="2"/>
    <x v="1"/>
    <x v="0"/>
    <n v="85966632.010000005"/>
    <x v="2"/>
    <x v="1"/>
    <x v="0"/>
    <x v="9"/>
    <x v="5"/>
    <x v="3"/>
    <x v="5"/>
    <x v="3"/>
    <x v="7"/>
    <n v="25"/>
    <x v="0"/>
  </r>
  <r>
    <d v="2020-09-25T00:00:00"/>
    <x v="0"/>
    <x v="1"/>
    <x v="1"/>
    <n v="387468634.80000001"/>
    <x v="0"/>
    <x v="1"/>
    <x v="1"/>
    <x v="4"/>
    <x v="5"/>
    <x v="3"/>
    <x v="5"/>
    <x v="3"/>
    <x v="7"/>
    <n v="25"/>
    <x v="0"/>
  </r>
  <r>
    <d v="2020-09-25T00:00:00"/>
    <x v="3"/>
    <x v="2"/>
    <x v="2"/>
    <n v="1594798.49"/>
    <x v="3"/>
    <x v="2"/>
    <x v="2"/>
    <x v="6"/>
    <x v="5"/>
    <x v="3"/>
    <x v="5"/>
    <x v="3"/>
    <x v="7"/>
    <n v="25"/>
    <x v="0"/>
  </r>
  <r>
    <d v="2020-09-25T00:00:00"/>
    <x v="1"/>
    <x v="0"/>
    <x v="0"/>
    <n v="71341543.019999996"/>
    <x v="1"/>
    <x v="0"/>
    <x v="0"/>
    <x v="10"/>
    <x v="5"/>
    <x v="3"/>
    <x v="5"/>
    <x v="3"/>
    <x v="7"/>
    <n v="25"/>
    <x v="0"/>
  </r>
  <r>
    <d v="2020-09-25T00:00:00"/>
    <x v="2"/>
    <x v="1"/>
    <x v="2"/>
    <n v="17240.8"/>
    <x v="2"/>
    <x v="1"/>
    <x v="2"/>
    <x v="5"/>
    <x v="5"/>
    <x v="3"/>
    <x v="5"/>
    <x v="3"/>
    <x v="7"/>
    <n v="25"/>
    <x v="0"/>
  </r>
  <r>
    <d v="2020-09-25T00:00:00"/>
    <x v="0"/>
    <x v="0"/>
    <x v="0"/>
    <n v="20"/>
    <x v="0"/>
    <x v="0"/>
    <x v="0"/>
    <x v="0"/>
    <x v="5"/>
    <x v="3"/>
    <x v="5"/>
    <x v="3"/>
    <x v="7"/>
    <n v="25"/>
    <x v="0"/>
  </r>
  <r>
    <d v="2020-09-25T00:00:00"/>
    <x v="0"/>
    <x v="1"/>
    <x v="0"/>
    <n v="13976506.34"/>
    <x v="0"/>
    <x v="1"/>
    <x v="0"/>
    <x v="1"/>
    <x v="5"/>
    <x v="3"/>
    <x v="5"/>
    <x v="3"/>
    <x v="7"/>
    <n v="25"/>
    <x v="0"/>
  </r>
  <r>
    <d v="2020-09-25T00:00:00"/>
    <x v="0"/>
    <x v="0"/>
    <x v="1"/>
    <n v="84"/>
    <x v="0"/>
    <x v="0"/>
    <x v="1"/>
    <x v="3"/>
    <x v="5"/>
    <x v="3"/>
    <x v="5"/>
    <x v="3"/>
    <x v="7"/>
    <n v="25"/>
    <x v="0"/>
  </r>
  <r>
    <d v="2020-09-25T00:00:00"/>
    <x v="2"/>
    <x v="1"/>
    <x v="1"/>
    <n v="14873270.26"/>
    <x v="2"/>
    <x v="1"/>
    <x v="1"/>
    <x v="8"/>
    <x v="5"/>
    <x v="3"/>
    <x v="5"/>
    <x v="3"/>
    <x v="7"/>
    <n v="25"/>
    <x v="0"/>
  </r>
  <r>
    <d v="2020-09-25T00:00:00"/>
    <x v="3"/>
    <x v="3"/>
    <x v="0"/>
    <n v="4608152732.3999996"/>
    <x v="3"/>
    <x v="3"/>
    <x v="0"/>
    <x v="7"/>
    <x v="5"/>
    <x v="3"/>
    <x v="5"/>
    <x v="3"/>
    <x v="7"/>
    <n v="25"/>
    <x v="0"/>
  </r>
  <r>
    <d v="2020-09-25T00:00:00"/>
    <x v="1"/>
    <x v="0"/>
    <x v="1"/>
    <n v="878333667.41999996"/>
    <x v="1"/>
    <x v="0"/>
    <x v="1"/>
    <x v="11"/>
    <x v="5"/>
    <x v="3"/>
    <x v="5"/>
    <x v="3"/>
    <x v="7"/>
    <n v="25"/>
    <x v="0"/>
  </r>
  <r>
    <d v="2020-09-25T00:00:00"/>
    <x v="3"/>
    <x v="2"/>
    <x v="0"/>
    <n v="493851285.94"/>
    <x v="3"/>
    <x v="2"/>
    <x v="0"/>
    <x v="12"/>
    <x v="5"/>
    <x v="3"/>
    <x v="5"/>
    <x v="3"/>
    <x v="7"/>
    <n v="25"/>
    <x v="0"/>
  </r>
  <r>
    <d v="2020-09-25T00:00:00"/>
    <x v="3"/>
    <x v="2"/>
    <x v="1"/>
    <n v="7066310187.6899996"/>
    <x v="3"/>
    <x v="2"/>
    <x v="1"/>
    <x v="13"/>
    <x v="5"/>
    <x v="3"/>
    <x v="5"/>
    <x v="3"/>
    <x v="7"/>
    <n v="25"/>
    <x v="0"/>
  </r>
  <r>
    <d v="2020-09-25T00:00:00"/>
    <x v="3"/>
    <x v="1"/>
    <x v="0"/>
    <n v="12333593.43"/>
    <x v="3"/>
    <x v="1"/>
    <x v="0"/>
    <x v="14"/>
    <x v="5"/>
    <x v="3"/>
    <x v="5"/>
    <x v="3"/>
    <x v="7"/>
    <n v="25"/>
    <x v="0"/>
  </r>
  <r>
    <d v="2020-09-24T00:00:00"/>
    <x v="1"/>
    <x v="0"/>
    <x v="2"/>
    <n v="4160.2700000000004"/>
    <x v="1"/>
    <x v="0"/>
    <x v="2"/>
    <x v="2"/>
    <x v="5"/>
    <x v="3"/>
    <x v="5"/>
    <x v="3"/>
    <x v="7"/>
    <n v="24"/>
    <x v="0"/>
  </r>
  <r>
    <d v="2020-09-24T00:00:00"/>
    <x v="3"/>
    <x v="2"/>
    <x v="2"/>
    <n v="329251.03000000003"/>
    <x v="3"/>
    <x v="2"/>
    <x v="2"/>
    <x v="3"/>
    <x v="5"/>
    <x v="3"/>
    <x v="5"/>
    <x v="3"/>
    <x v="7"/>
    <n v="24"/>
    <x v="0"/>
  </r>
  <r>
    <d v="2020-09-24T00:00:00"/>
    <x v="2"/>
    <x v="1"/>
    <x v="0"/>
    <n v="77927501.540000007"/>
    <x v="2"/>
    <x v="1"/>
    <x v="0"/>
    <x v="7"/>
    <x v="5"/>
    <x v="3"/>
    <x v="5"/>
    <x v="3"/>
    <x v="7"/>
    <n v="24"/>
    <x v="0"/>
  </r>
  <r>
    <d v="2020-09-24T00:00:00"/>
    <x v="2"/>
    <x v="1"/>
    <x v="1"/>
    <n v="85129556.030000001"/>
    <x v="2"/>
    <x v="1"/>
    <x v="1"/>
    <x v="8"/>
    <x v="5"/>
    <x v="3"/>
    <x v="5"/>
    <x v="3"/>
    <x v="7"/>
    <n v="24"/>
    <x v="0"/>
  </r>
  <r>
    <d v="2020-09-24T00:00:00"/>
    <x v="3"/>
    <x v="3"/>
    <x v="1"/>
    <n v="2030205.5"/>
    <x v="3"/>
    <x v="3"/>
    <x v="1"/>
    <x v="4"/>
    <x v="5"/>
    <x v="3"/>
    <x v="5"/>
    <x v="3"/>
    <x v="7"/>
    <n v="24"/>
    <x v="0"/>
  </r>
  <r>
    <d v="2020-09-24T00:00:00"/>
    <x v="0"/>
    <x v="1"/>
    <x v="1"/>
    <n v="546986874.94000006"/>
    <x v="0"/>
    <x v="1"/>
    <x v="1"/>
    <x v="5"/>
    <x v="5"/>
    <x v="3"/>
    <x v="5"/>
    <x v="3"/>
    <x v="7"/>
    <n v="24"/>
    <x v="0"/>
  </r>
  <r>
    <d v="2020-09-24T00:00:00"/>
    <x v="1"/>
    <x v="0"/>
    <x v="0"/>
    <n v="101137853.37"/>
    <x v="1"/>
    <x v="0"/>
    <x v="0"/>
    <x v="9"/>
    <x v="5"/>
    <x v="3"/>
    <x v="5"/>
    <x v="3"/>
    <x v="7"/>
    <n v="24"/>
    <x v="0"/>
  </r>
  <r>
    <d v="2020-09-24T00:00:00"/>
    <x v="3"/>
    <x v="3"/>
    <x v="0"/>
    <n v="2702377312.5900002"/>
    <x v="3"/>
    <x v="3"/>
    <x v="0"/>
    <x v="10"/>
    <x v="5"/>
    <x v="3"/>
    <x v="5"/>
    <x v="3"/>
    <x v="7"/>
    <n v="24"/>
    <x v="0"/>
  </r>
  <r>
    <d v="2020-09-24T00:00:00"/>
    <x v="2"/>
    <x v="1"/>
    <x v="2"/>
    <n v="-25"/>
    <x v="2"/>
    <x v="1"/>
    <x v="2"/>
    <x v="6"/>
    <x v="5"/>
    <x v="3"/>
    <x v="5"/>
    <x v="3"/>
    <x v="7"/>
    <n v="24"/>
    <x v="1"/>
  </r>
  <r>
    <d v="2020-09-24T00:00:00"/>
    <x v="0"/>
    <x v="1"/>
    <x v="0"/>
    <n v="6257371.4100000001"/>
    <x v="0"/>
    <x v="1"/>
    <x v="0"/>
    <x v="1"/>
    <x v="5"/>
    <x v="3"/>
    <x v="5"/>
    <x v="3"/>
    <x v="7"/>
    <n v="24"/>
    <x v="0"/>
  </r>
  <r>
    <d v="2020-09-24T00:00:00"/>
    <x v="0"/>
    <x v="0"/>
    <x v="0"/>
    <n v="4000"/>
    <x v="0"/>
    <x v="0"/>
    <x v="0"/>
    <x v="0"/>
    <x v="5"/>
    <x v="3"/>
    <x v="5"/>
    <x v="3"/>
    <x v="7"/>
    <n v="24"/>
    <x v="0"/>
  </r>
  <r>
    <d v="2020-09-24T00:00:00"/>
    <x v="1"/>
    <x v="0"/>
    <x v="1"/>
    <n v="1650096127.29"/>
    <x v="1"/>
    <x v="0"/>
    <x v="1"/>
    <x v="11"/>
    <x v="5"/>
    <x v="3"/>
    <x v="5"/>
    <x v="3"/>
    <x v="7"/>
    <n v="24"/>
    <x v="0"/>
  </r>
  <r>
    <d v="2020-09-24T00:00:00"/>
    <x v="3"/>
    <x v="2"/>
    <x v="0"/>
    <n v="351847582.58999997"/>
    <x v="3"/>
    <x v="2"/>
    <x v="0"/>
    <x v="12"/>
    <x v="5"/>
    <x v="3"/>
    <x v="5"/>
    <x v="3"/>
    <x v="7"/>
    <n v="24"/>
    <x v="0"/>
  </r>
  <r>
    <d v="2020-09-24T00:00:00"/>
    <x v="3"/>
    <x v="2"/>
    <x v="1"/>
    <n v="3168228045.98"/>
    <x v="3"/>
    <x v="2"/>
    <x v="1"/>
    <x v="13"/>
    <x v="5"/>
    <x v="3"/>
    <x v="5"/>
    <x v="3"/>
    <x v="7"/>
    <n v="24"/>
    <x v="0"/>
  </r>
  <r>
    <d v="2020-09-24T00:00:00"/>
    <x v="3"/>
    <x v="1"/>
    <x v="0"/>
    <n v="12701980.42"/>
    <x v="3"/>
    <x v="1"/>
    <x v="0"/>
    <x v="14"/>
    <x v="5"/>
    <x v="3"/>
    <x v="5"/>
    <x v="3"/>
    <x v="7"/>
    <n v="24"/>
    <x v="0"/>
  </r>
  <r>
    <d v="2020-09-23T00:00:00"/>
    <x v="1"/>
    <x v="0"/>
    <x v="2"/>
    <n v="2280.5"/>
    <x v="1"/>
    <x v="0"/>
    <x v="2"/>
    <x v="1"/>
    <x v="5"/>
    <x v="3"/>
    <x v="5"/>
    <x v="3"/>
    <x v="7"/>
    <n v="23"/>
    <x v="0"/>
  </r>
  <r>
    <d v="2020-09-23T00:00:00"/>
    <x v="0"/>
    <x v="1"/>
    <x v="1"/>
    <n v="671884043.76999998"/>
    <x v="0"/>
    <x v="1"/>
    <x v="1"/>
    <x v="4"/>
    <x v="5"/>
    <x v="3"/>
    <x v="5"/>
    <x v="3"/>
    <x v="7"/>
    <n v="23"/>
    <x v="0"/>
  </r>
  <r>
    <d v="2020-09-23T00:00:00"/>
    <x v="2"/>
    <x v="1"/>
    <x v="0"/>
    <n v="102932929.98999999"/>
    <x v="2"/>
    <x v="1"/>
    <x v="0"/>
    <x v="6"/>
    <x v="5"/>
    <x v="3"/>
    <x v="5"/>
    <x v="3"/>
    <x v="7"/>
    <n v="23"/>
    <x v="0"/>
  </r>
  <r>
    <d v="2020-09-23T00:00:00"/>
    <x v="2"/>
    <x v="1"/>
    <x v="2"/>
    <n v="14300"/>
    <x v="2"/>
    <x v="1"/>
    <x v="2"/>
    <x v="2"/>
    <x v="5"/>
    <x v="3"/>
    <x v="5"/>
    <x v="3"/>
    <x v="7"/>
    <n v="23"/>
    <x v="0"/>
  </r>
  <r>
    <d v="2020-09-23T00:00:00"/>
    <x v="3"/>
    <x v="3"/>
    <x v="0"/>
    <n v="1086124725.2"/>
    <x v="3"/>
    <x v="3"/>
    <x v="0"/>
    <x v="9"/>
    <x v="5"/>
    <x v="3"/>
    <x v="5"/>
    <x v="3"/>
    <x v="7"/>
    <n v="23"/>
    <x v="0"/>
  </r>
  <r>
    <d v="2020-09-23T00:00:00"/>
    <x v="0"/>
    <x v="1"/>
    <x v="0"/>
    <n v="25166778.969999999"/>
    <x v="0"/>
    <x v="1"/>
    <x v="0"/>
    <x v="0"/>
    <x v="5"/>
    <x v="3"/>
    <x v="5"/>
    <x v="3"/>
    <x v="7"/>
    <n v="23"/>
    <x v="0"/>
  </r>
  <r>
    <d v="2020-09-23T00:00:00"/>
    <x v="3"/>
    <x v="3"/>
    <x v="1"/>
    <n v="1156206.03"/>
    <x v="3"/>
    <x v="3"/>
    <x v="1"/>
    <x v="3"/>
    <x v="5"/>
    <x v="3"/>
    <x v="5"/>
    <x v="3"/>
    <x v="7"/>
    <n v="23"/>
    <x v="0"/>
  </r>
  <r>
    <d v="2020-09-23T00:00:00"/>
    <x v="3"/>
    <x v="2"/>
    <x v="2"/>
    <n v="367637.65"/>
    <x v="3"/>
    <x v="2"/>
    <x v="2"/>
    <x v="5"/>
    <x v="5"/>
    <x v="3"/>
    <x v="5"/>
    <x v="3"/>
    <x v="7"/>
    <n v="23"/>
    <x v="0"/>
  </r>
  <r>
    <d v="2020-09-23T00:00:00"/>
    <x v="2"/>
    <x v="1"/>
    <x v="1"/>
    <n v="38415976.079999998"/>
    <x v="2"/>
    <x v="1"/>
    <x v="1"/>
    <x v="7"/>
    <x v="5"/>
    <x v="3"/>
    <x v="5"/>
    <x v="3"/>
    <x v="7"/>
    <n v="23"/>
    <x v="0"/>
  </r>
  <r>
    <d v="2020-09-23T00:00:00"/>
    <x v="1"/>
    <x v="0"/>
    <x v="0"/>
    <n v="68747864.400000006"/>
    <x v="1"/>
    <x v="0"/>
    <x v="0"/>
    <x v="8"/>
    <x v="5"/>
    <x v="3"/>
    <x v="5"/>
    <x v="3"/>
    <x v="7"/>
    <n v="23"/>
    <x v="0"/>
  </r>
  <r>
    <d v="2020-09-23T00:00:00"/>
    <x v="1"/>
    <x v="0"/>
    <x v="1"/>
    <n v="4857738004.3500004"/>
    <x v="1"/>
    <x v="0"/>
    <x v="1"/>
    <x v="10"/>
    <x v="5"/>
    <x v="3"/>
    <x v="5"/>
    <x v="3"/>
    <x v="7"/>
    <n v="23"/>
    <x v="0"/>
  </r>
  <r>
    <d v="2020-09-23T00:00:00"/>
    <x v="3"/>
    <x v="2"/>
    <x v="0"/>
    <n v="5304058195.5900002"/>
    <x v="3"/>
    <x v="2"/>
    <x v="0"/>
    <x v="11"/>
    <x v="5"/>
    <x v="3"/>
    <x v="5"/>
    <x v="3"/>
    <x v="7"/>
    <n v="23"/>
    <x v="0"/>
  </r>
  <r>
    <d v="2020-09-23T00:00:00"/>
    <x v="3"/>
    <x v="2"/>
    <x v="1"/>
    <n v="8803535137.7399998"/>
    <x v="3"/>
    <x v="2"/>
    <x v="1"/>
    <x v="12"/>
    <x v="5"/>
    <x v="3"/>
    <x v="5"/>
    <x v="3"/>
    <x v="7"/>
    <n v="23"/>
    <x v="0"/>
  </r>
  <r>
    <d v="2020-09-23T00:00:00"/>
    <x v="3"/>
    <x v="1"/>
    <x v="0"/>
    <n v="12944598.560000001"/>
    <x v="3"/>
    <x v="1"/>
    <x v="0"/>
    <x v="13"/>
    <x v="5"/>
    <x v="3"/>
    <x v="5"/>
    <x v="3"/>
    <x v="7"/>
    <n v="23"/>
    <x v="0"/>
  </r>
  <r>
    <d v="2020-09-22T00:00:00"/>
    <x v="1"/>
    <x v="0"/>
    <x v="2"/>
    <n v="8476.41"/>
    <x v="1"/>
    <x v="0"/>
    <x v="2"/>
    <x v="2"/>
    <x v="5"/>
    <x v="3"/>
    <x v="5"/>
    <x v="3"/>
    <x v="7"/>
    <n v="22"/>
    <x v="0"/>
  </r>
  <r>
    <d v="2020-09-22T00:00:00"/>
    <x v="2"/>
    <x v="1"/>
    <x v="2"/>
    <n v="391251.27"/>
    <x v="2"/>
    <x v="1"/>
    <x v="2"/>
    <x v="3"/>
    <x v="5"/>
    <x v="3"/>
    <x v="5"/>
    <x v="3"/>
    <x v="7"/>
    <n v="22"/>
    <x v="0"/>
  </r>
  <r>
    <d v="2020-09-22T00:00:00"/>
    <x v="2"/>
    <x v="1"/>
    <x v="0"/>
    <n v="93057805.049999997"/>
    <x v="2"/>
    <x v="1"/>
    <x v="0"/>
    <x v="7"/>
    <x v="5"/>
    <x v="3"/>
    <x v="5"/>
    <x v="3"/>
    <x v="7"/>
    <n v="22"/>
    <x v="0"/>
  </r>
  <r>
    <d v="2020-09-22T00:00:00"/>
    <x v="2"/>
    <x v="1"/>
    <x v="1"/>
    <n v="11432934.27"/>
    <x v="2"/>
    <x v="1"/>
    <x v="1"/>
    <x v="8"/>
    <x v="5"/>
    <x v="3"/>
    <x v="5"/>
    <x v="3"/>
    <x v="7"/>
    <n v="22"/>
    <x v="0"/>
  </r>
  <r>
    <d v="2020-09-22T00:00:00"/>
    <x v="0"/>
    <x v="1"/>
    <x v="1"/>
    <n v="337799702.64999998"/>
    <x v="0"/>
    <x v="1"/>
    <x v="1"/>
    <x v="4"/>
    <x v="5"/>
    <x v="3"/>
    <x v="5"/>
    <x v="3"/>
    <x v="7"/>
    <n v="22"/>
    <x v="0"/>
  </r>
  <r>
    <d v="2020-09-22T00:00:00"/>
    <x v="1"/>
    <x v="0"/>
    <x v="0"/>
    <n v="84895152.950000003"/>
    <x v="1"/>
    <x v="0"/>
    <x v="0"/>
    <x v="9"/>
    <x v="5"/>
    <x v="3"/>
    <x v="5"/>
    <x v="3"/>
    <x v="7"/>
    <n v="22"/>
    <x v="0"/>
  </r>
  <r>
    <d v="2020-09-22T00:00:00"/>
    <x v="3"/>
    <x v="2"/>
    <x v="2"/>
    <n v="252600.93"/>
    <x v="3"/>
    <x v="2"/>
    <x v="2"/>
    <x v="5"/>
    <x v="5"/>
    <x v="3"/>
    <x v="5"/>
    <x v="3"/>
    <x v="7"/>
    <n v="22"/>
    <x v="0"/>
  </r>
  <r>
    <d v="2020-09-22T00:00:00"/>
    <x v="0"/>
    <x v="0"/>
    <x v="0"/>
    <n v="1250"/>
    <x v="0"/>
    <x v="0"/>
    <x v="0"/>
    <x v="0"/>
    <x v="5"/>
    <x v="3"/>
    <x v="5"/>
    <x v="3"/>
    <x v="7"/>
    <n v="22"/>
    <x v="0"/>
  </r>
  <r>
    <d v="2020-09-22T00:00:00"/>
    <x v="0"/>
    <x v="1"/>
    <x v="0"/>
    <n v="32695874.100000001"/>
    <x v="0"/>
    <x v="1"/>
    <x v="0"/>
    <x v="1"/>
    <x v="5"/>
    <x v="3"/>
    <x v="5"/>
    <x v="3"/>
    <x v="7"/>
    <n v="22"/>
    <x v="0"/>
  </r>
  <r>
    <d v="2020-09-22T00:00:00"/>
    <x v="3"/>
    <x v="3"/>
    <x v="0"/>
    <n v="2498835969.6799998"/>
    <x v="3"/>
    <x v="3"/>
    <x v="0"/>
    <x v="6"/>
    <x v="5"/>
    <x v="3"/>
    <x v="5"/>
    <x v="3"/>
    <x v="7"/>
    <n v="22"/>
    <x v="0"/>
  </r>
  <r>
    <d v="2020-09-22T00:00:00"/>
    <x v="1"/>
    <x v="0"/>
    <x v="1"/>
    <n v="13424426171.620001"/>
    <x v="1"/>
    <x v="0"/>
    <x v="1"/>
    <x v="10"/>
    <x v="5"/>
    <x v="3"/>
    <x v="5"/>
    <x v="3"/>
    <x v="7"/>
    <n v="22"/>
    <x v="0"/>
  </r>
  <r>
    <d v="2020-09-22T00:00:00"/>
    <x v="3"/>
    <x v="2"/>
    <x v="0"/>
    <n v="431928789.72000003"/>
    <x v="3"/>
    <x v="2"/>
    <x v="0"/>
    <x v="11"/>
    <x v="5"/>
    <x v="3"/>
    <x v="5"/>
    <x v="3"/>
    <x v="7"/>
    <n v="22"/>
    <x v="0"/>
  </r>
  <r>
    <d v="2020-09-22T00:00:00"/>
    <x v="3"/>
    <x v="1"/>
    <x v="0"/>
    <n v="9468524.8499999996"/>
    <x v="3"/>
    <x v="1"/>
    <x v="0"/>
    <x v="12"/>
    <x v="5"/>
    <x v="3"/>
    <x v="5"/>
    <x v="3"/>
    <x v="7"/>
    <n v="22"/>
    <x v="0"/>
  </r>
  <r>
    <d v="2020-09-22T00:00:00"/>
    <x v="3"/>
    <x v="2"/>
    <x v="1"/>
    <n v="2419900772.2199998"/>
    <x v="3"/>
    <x v="2"/>
    <x v="1"/>
    <x v="13"/>
    <x v="5"/>
    <x v="3"/>
    <x v="5"/>
    <x v="3"/>
    <x v="7"/>
    <n v="22"/>
    <x v="0"/>
  </r>
  <r>
    <d v="2020-09-21T00:00:00"/>
    <x v="2"/>
    <x v="1"/>
    <x v="2"/>
    <n v="4178"/>
    <x v="2"/>
    <x v="1"/>
    <x v="2"/>
    <x v="3"/>
    <x v="5"/>
    <x v="3"/>
    <x v="5"/>
    <x v="3"/>
    <x v="7"/>
    <n v="21"/>
    <x v="0"/>
  </r>
  <r>
    <d v="2020-09-21T00:00:00"/>
    <x v="1"/>
    <x v="0"/>
    <x v="0"/>
    <n v="94577332.879999995"/>
    <x v="1"/>
    <x v="0"/>
    <x v="0"/>
    <x v="9"/>
    <x v="5"/>
    <x v="3"/>
    <x v="5"/>
    <x v="3"/>
    <x v="7"/>
    <n v="21"/>
    <x v="0"/>
  </r>
  <r>
    <d v="2020-09-21T00:00:00"/>
    <x v="0"/>
    <x v="1"/>
    <x v="1"/>
    <n v="494207526.69"/>
    <x v="0"/>
    <x v="1"/>
    <x v="1"/>
    <x v="4"/>
    <x v="5"/>
    <x v="3"/>
    <x v="5"/>
    <x v="3"/>
    <x v="7"/>
    <n v="21"/>
    <x v="0"/>
  </r>
  <r>
    <d v="2020-09-21T00:00:00"/>
    <x v="0"/>
    <x v="1"/>
    <x v="0"/>
    <n v="12917995.35"/>
    <x v="0"/>
    <x v="1"/>
    <x v="0"/>
    <x v="1"/>
    <x v="5"/>
    <x v="3"/>
    <x v="5"/>
    <x v="3"/>
    <x v="7"/>
    <n v="21"/>
    <x v="0"/>
  </r>
  <r>
    <d v="2020-09-21T00:00:00"/>
    <x v="3"/>
    <x v="2"/>
    <x v="2"/>
    <n v="329911.94"/>
    <x v="3"/>
    <x v="2"/>
    <x v="2"/>
    <x v="5"/>
    <x v="5"/>
    <x v="3"/>
    <x v="5"/>
    <x v="3"/>
    <x v="7"/>
    <n v="21"/>
    <x v="0"/>
  </r>
  <r>
    <d v="2020-09-21T00:00:00"/>
    <x v="0"/>
    <x v="0"/>
    <x v="0"/>
    <n v="300"/>
    <x v="0"/>
    <x v="0"/>
    <x v="0"/>
    <x v="0"/>
    <x v="5"/>
    <x v="3"/>
    <x v="5"/>
    <x v="3"/>
    <x v="7"/>
    <n v="21"/>
    <x v="0"/>
  </r>
  <r>
    <d v="2020-09-21T00:00:00"/>
    <x v="2"/>
    <x v="1"/>
    <x v="0"/>
    <n v="67969725.569999993"/>
    <x v="2"/>
    <x v="1"/>
    <x v="0"/>
    <x v="6"/>
    <x v="5"/>
    <x v="3"/>
    <x v="5"/>
    <x v="3"/>
    <x v="7"/>
    <n v="21"/>
    <x v="0"/>
  </r>
  <r>
    <d v="2020-09-21T00:00:00"/>
    <x v="2"/>
    <x v="1"/>
    <x v="1"/>
    <n v="12566459.970000001"/>
    <x v="2"/>
    <x v="1"/>
    <x v="1"/>
    <x v="7"/>
    <x v="5"/>
    <x v="3"/>
    <x v="5"/>
    <x v="3"/>
    <x v="7"/>
    <n v="21"/>
    <x v="0"/>
  </r>
  <r>
    <d v="2020-09-21T00:00:00"/>
    <x v="3"/>
    <x v="3"/>
    <x v="0"/>
    <n v="1744096769.8"/>
    <x v="3"/>
    <x v="3"/>
    <x v="0"/>
    <x v="8"/>
    <x v="5"/>
    <x v="3"/>
    <x v="5"/>
    <x v="3"/>
    <x v="7"/>
    <n v="21"/>
    <x v="0"/>
  </r>
  <r>
    <d v="2020-09-21T00:00:00"/>
    <x v="1"/>
    <x v="0"/>
    <x v="2"/>
    <n v="1449.53"/>
    <x v="1"/>
    <x v="0"/>
    <x v="2"/>
    <x v="2"/>
    <x v="5"/>
    <x v="3"/>
    <x v="5"/>
    <x v="3"/>
    <x v="7"/>
    <n v="21"/>
    <x v="0"/>
  </r>
  <r>
    <d v="2020-09-21T00:00:00"/>
    <x v="1"/>
    <x v="0"/>
    <x v="1"/>
    <n v="7307051246.5500002"/>
    <x v="1"/>
    <x v="0"/>
    <x v="1"/>
    <x v="10"/>
    <x v="5"/>
    <x v="3"/>
    <x v="5"/>
    <x v="3"/>
    <x v="7"/>
    <n v="21"/>
    <x v="0"/>
  </r>
  <r>
    <d v="2020-09-21T00:00:00"/>
    <x v="3"/>
    <x v="2"/>
    <x v="0"/>
    <n v="574243872.77999997"/>
    <x v="3"/>
    <x v="2"/>
    <x v="0"/>
    <x v="11"/>
    <x v="5"/>
    <x v="3"/>
    <x v="5"/>
    <x v="3"/>
    <x v="7"/>
    <n v="21"/>
    <x v="0"/>
  </r>
  <r>
    <d v="2020-09-21T00:00:00"/>
    <x v="3"/>
    <x v="2"/>
    <x v="1"/>
    <n v="15979933850.379999"/>
    <x v="3"/>
    <x v="2"/>
    <x v="1"/>
    <x v="12"/>
    <x v="5"/>
    <x v="3"/>
    <x v="5"/>
    <x v="3"/>
    <x v="7"/>
    <n v="21"/>
    <x v="0"/>
  </r>
  <r>
    <d v="2020-09-21T00:00:00"/>
    <x v="3"/>
    <x v="1"/>
    <x v="0"/>
    <n v="41990840.850000001"/>
    <x v="3"/>
    <x v="1"/>
    <x v="0"/>
    <x v="13"/>
    <x v="5"/>
    <x v="3"/>
    <x v="5"/>
    <x v="3"/>
    <x v="7"/>
    <n v="21"/>
    <x v="0"/>
  </r>
  <r>
    <d v="2020-09-18T00:00:00"/>
    <x v="2"/>
    <x v="1"/>
    <x v="1"/>
    <n v="53377898.009999998"/>
    <x v="2"/>
    <x v="1"/>
    <x v="1"/>
    <x v="6"/>
    <x v="5"/>
    <x v="3"/>
    <x v="5"/>
    <x v="3"/>
    <x v="7"/>
    <n v="18"/>
    <x v="0"/>
  </r>
  <r>
    <d v="2020-09-18T00:00:00"/>
    <x v="0"/>
    <x v="1"/>
    <x v="1"/>
    <n v="411002501.63999999"/>
    <x v="0"/>
    <x v="1"/>
    <x v="1"/>
    <x v="3"/>
    <x v="5"/>
    <x v="3"/>
    <x v="5"/>
    <x v="3"/>
    <x v="7"/>
    <n v="18"/>
    <x v="0"/>
  </r>
  <r>
    <d v="2020-09-18T00:00:00"/>
    <x v="2"/>
    <x v="1"/>
    <x v="2"/>
    <n v="42276.32"/>
    <x v="2"/>
    <x v="1"/>
    <x v="2"/>
    <x v="4"/>
    <x v="5"/>
    <x v="3"/>
    <x v="5"/>
    <x v="3"/>
    <x v="7"/>
    <n v="18"/>
    <x v="0"/>
  </r>
  <r>
    <d v="2020-09-18T00:00:00"/>
    <x v="3"/>
    <x v="2"/>
    <x v="2"/>
    <n v="149170.89000000001"/>
    <x v="3"/>
    <x v="2"/>
    <x v="2"/>
    <x v="5"/>
    <x v="5"/>
    <x v="3"/>
    <x v="5"/>
    <x v="3"/>
    <x v="7"/>
    <n v="18"/>
    <x v="0"/>
  </r>
  <r>
    <d v="2020-09-18T00:00:00"/>
    <x v="0"/>
    <x v="1"/>
    <x v="0"/>
    <n v="15085332.66"/>
    <x v="0"/>
    <x v="1"/>
    <x v="0"/>
    <x v="1"/>
    <x v="5"/>
    <x v="3"/>
    <x v="5"/>
    <x v="3"/>
    <x v="7"/>
    <n v="18"/>
    <x v="0"/>
  </r>
  <r>
    <d v="2020-09-18T00:00:00"/>
    <x v="0"/>
    <x v="0"/>
    <x v="0"/>
    <n v="754.96"/>
    <x v="0"/>
    <x v="0"/>
    <x v="0"/>
    <x v="0"/>
    <x v="5"/>
    <x v="3"/>
    <x v="5"/>
    <x v="3"/>
    <x v="7"/>
    <n v="18"/>
    <x v="0"/>
  </r>
  <r>
    <d v="2020-09-18T00:00:00"/>
    <x v="3"/>
    <x v="3"/>
    <x v="0"/>
    <n v="1528246927.3"/>
    <x v="3"/>
    <x v="3"/>
    <x v="0"/>
    <x v="7"/>
    <x v="5"/>
    <x v="3"/>
    <x v="5"/>
    <x v="3"/>
    <x v="7"/>
    <n v="18"/>
    <x v="0"/>
  </r>
  <r>
    <d v="2020-09-18T00:00:00"/>
    <x v="1"/>
    <x v="0"/>
    <x v="2"/>
    <n v="1956.8"/>
    <x v="1"/>
    <x v="0"/>
    <x v="2"/>
    <x v="2"/>
    <x v="5"/>
    <x v="3"/>
    <x v="5"/>
    <x v="3"/>
    <x v="7"/>
    <n v="18"/>
    <x v="0"/>
  </r>
  <r>
    <d v="2020-09-18T00:00:00"/>
    <x v="1"/>
    <x v="0"/>
    <x v="0"/>
    <n v="86315785.700000003"/>
    <x v="1"/>
    <x v="0"/>
    <x v="0"/>
    <x v="8"/>
    <x v="5"/>
    <x v="3"/>
    <x v="5"/>
    <x v="3"/>
    <x v="7"/>
    <n v="18"/>
    <x v="0"/>
  </r>
  <r>
    <d v="2020-09-18T00:00:00"/>
    <x v="2"/>
    <x v="1"/>
    <x v="0"/>
    <n v="95620627.810000002"/>
    <x v="2"/>
    <x v="1"/>
    <x v="0"/>
    <x v="9"/>
    <x v="5"/>
    <x v="3"/>
    <x v="5"/>
    <x v="3"/>
    <x v="7"/>
    <n v="18"/>
    <x v="0"/>
  </r>
  <r>
    <d v="2020-09-18T00:00:00"/>
    <x v="1"/>
    <x v="0"/>
    <x v="1"/>
    <n v="4464311716.6599998"/>
    <x v="1"/>
    <x v="0"/>
    <x v="1"/>
    <x v="10"/>
    <x v="5"/>
    <x v="3"/>
    <x v="5"/>
    <x v="3"/>
    <x v="7"/>
    <n v="18"/>
    <x v="0"/>
  </r>
  <r>
    <d v="2020-09-18T00:00:00"/>
    <x v="3"/>
    <x v="2"/>
    <x v="0"/>
    <n v="321921559.56999999"/>
    <x v="3"/>
    <x v="2"/>
    <x v="0"/>
    <x v="11"/>
    <x v="5"/>
    <x v="3"/>
    <x v="5"/>
    <x v="3"/>
    <x v="7"/>
    <n v="18"/>
    <x v="0"/>
  </r>
  <r>
    <d v="2020-09-18T00:00:00"/>
    <x v="3"/>
    <x v="2"/>
    <x v="1"/>
    <n v="10023709061.77"/>
    <x v="3"/>
    <x v="2"/>
    <x v="1"/>
    <x v="12"/>
    <x v="5"/>
    <x v="3"/>
    <x v="5"/>
    <x v="3"/>
    <x v="7"/>
    <n v="18"/>
    <x v="0"/>
  </r>
  <r>
    <d v="2020-09-18T00:00:00"/>
    <x v="3"/>
    <x v="1"/>
    <x v="0"/>
    <n v="13476753.619999999"/>
    <x v="3"/>
    <x v="1"/>
    <x v="0"/>
    <x v="13"/>
    <x v="5"/>
    <x v="3"/>
    <x v="5"/>
    <x v="3"/>
    <x v="7"/>
    <n v="18"/>
    <x v="0"/>
  </r>
  <r>
    <d v="2020-09-17T00:00:00"/>
    <x v="2"/>
    <x v="1"/>
    <x v="1"/>
    <n v="107975548.17"/>
    <x v="2"/>
    <x v="1"/>
    <x v="1"/>
    <x v="7"/>
    <x v="5"/>
    <x v="3"/>
    <x v="5"/>
    <x v="3"/>
    <x v="7"/>
    <n v="17"/>
    <x v="0"/>
  </r>
  <r>
    <d v="2020-09-17T00:00:00"/>
    <x v="2"/>
    <x v="1"/>
    <x v="2"/>
    <n v="4095"/>
    <x v="2"/>
    <x v="1"/>
    <x v="2"/>
    <x v="3"/>
    <x v="5"/>
    <x v="3"/>
    <x v="5"/>
    <x v="3"/>
    <x v="7"/>
    <n v="17"/>
    <x v="0"/>
  </r>
  <r>
    <d v="2020-09-17T00:00:00"/>
    <x v="1"/>
    <x v="0"/>
    <x v="0"/>
    <n v="84116080.379999995"/>
    <x v="1"/>
    <x v="0"/>
    <x v="0"/>
    <x v="9"/>
    <x v="5"/>
    <x v="3"/>
    <x v="5"/>
    <x v="3"/>
    <x v="7"/>
    <n v="17"/>
    <x v="0"/>
  </r>
  <r>
    <d v="2020-09-17T00:00:00"/>
    <x v="3"/>
    <x v="3"/>
    <x v="0"/>
    <n v="1273139333.05"/>
    <x v="3"/>
    <x v="3"/>
    <x v="0"/>
    <x v="10"/>
    <x v="5"/>
    <x v="3"/>
    <x v="5"/>
    <x v="3"/>
    <x v="7"/>
    <n v="17"/>
    <x v="0"/>
  </r>
  <r>
    <d v="2020-09-17T00:00:00"/>
    <x v="0"/>
    <x v="1"/>
    <x v="1"/>
    <n v="640850791.03999996"/>
    <x v="0"/>
    <x v="1"/>
    <x v="1"/>
    <x v="5"/>
    <x v="5"/>
    <x v="3"/>
    <x v="5"/>
    <x v="3"/>
    <x v="7"/>
    <n v="17"/>
    <x v="0"/>
  </r>
  <r>
    <d v="2020-09-17T00:00:00"/>
    <x v="0"/>
    <x v="1"/>
    <x v="0"/>
    <n v="28423424.25"/>
    <x v="0"/>
    <x v="1"/>
    <x v="0"/>
    <x v="1"/>
    <x v="5"/>
    <x v="3"/>
    <x v="5"/>
    <x v="3"/>
    <x v="7"/>
    <n v="17"/>
    <x v="0"/>
  </r>
  <r>
    <d v="2020-09-17T00:00:00"/>
    <x v="3"/>
    <x v="2"/>
    <x v="2"/>
    <n v="175586.38"/>
    <x v="3"/>
    <x v="2"/>
    <x v="2"/>
    <x v="6"/>
    <x v="5"/>
    <x v="3"/>
    <x v="5"/>
    <x v="3"/>
    <x v="7"/>
    <n v="17"/>
    <x v="0"/>
  </r>
  <r>
    <d v="2020-09-17T00:00:00"/>
    <x v="0"/>
    <x v="0"/>
    <x v="0"/>
    <n v="100"/>
    <x v="0"/>
    <x v="0"/>
    <x v="0"/>
    <x v="0"/>
    <x v="5"/>
    <x v="3"/>
    <x v="5"/>
    <x v="3"/>
    <x v="7"/>
    <n v="17"/>
    <x v="0"/>
  </r>
  <r>
    <d v="2020-09-17T00:00:00"/>
    <x v="1"/>
    <x v="0"/>
    <x v="2"/>
    <n v="449.68"/>
    <x v="1"/>
    <x v="0"/>
    <x v="2"/>
    <x v="2"/>
    <x v="5"/>
    <x v="3"/>
    <x v="5"/>
    <x v="3"/>
    <x v="7"/>
    <n v="17"/>
    <x v="0"/>
  </r>
  <r>
    <d v="2020-09-17T00:00:00"/>
    <x v="0"/>
    <x v="0"/>
    <x v="1"/>
    <n v="7460"/>
    <x v="0"/>
    <x v="0"/>
    <x v="1"/>
    <x v="4"/>
    <x v="5"/>
    <x v="3"/>
    <x v="5"/>
    <x v="3"/>
    <x v="7"/>
    <n v="17"/>
    <x v="0"/>
  </r>
  <r>
    <d v="2020-09-17T00:00:00"/>
    <x v="2"/>
    <x v="1"/>
    <x v="0"/>
    <n v="73005079.920000002"/>
    <x v="2"/>
    <x v="1"/>
    <x v="0"/>
    <x v="8"/>
    <x v="5"/>
    <x v="3"/>
    <x v="5"/>
    <x v="3"/>
    <x v="7"/>
    <n v="17"/>
    <x v="0"/>
  </r>
  <r>
    <d v="2020-09-17T00:00:00"/>
    <x v="1"/>
    <x v="0"/>
    <x v="1"/>
    <n v="4683418396.2600002"/>
    <x v="1"/>
    <x v="0"/>
    <x v="1"/>
    <x v="11"/>
    <x v="5"/>
    <x v="3"/>
    <x v="5"/>
    <x v="3"/>
    <x v="7"/>
    <n v="17"/>
    <x v="0"/>
  </r>
  <r>
    <d v="2020-09-17T00:00:00"/>
    <x v="3"/>
    <x v="2"/>
    <x v="0"/>
    <n v="338589823.01999998"/>
    <x v="3"/>
    <x v="2"/>
    <x v="0"/>
    <x v="12"/>
    <x v="5"/>
    <x v="3"/>
    <x v="5"/>
    <x v="3"/>
    <x v="7"/>
    <n v="17"/>
    <x v="0"/>
  </r>
  <r>
    <d v="2020-09-17T00:00:00"/>
    <x v="3"/>
    <x v="1"/>
    <x v="0"/>
    <n v="12941991.460000001"/>
    <x v="3"/>
    <x v="1"/>
    <x v="0"/>
    <x v="13"/>
    <x v="5"/>
    <x v="3"/>
    <x v="5"/>
    <x v="3"/>
    <x v="7"/>
    <n v="17"/>
    <x v="0"/>
  </r>
  <r>
    <d v="2020-09-17T00:00:00"/>
    <x v="3"/>
    <x v="2"/>
    <x v="1"/>
    <n v="4159422955.23"/>
    <x v="3"/>
    <x v="2"/>
    <x v="1"/>
    <x v="14"/>
    <x v="5"/>
    <x v="3"/>
    <x v="5"/>
    <x v="3"/>
    <x v="7"/>
    <n v="17"/>
    <x v="0"/>
  </r>
  <r>
    <d v="2020-09-16T00:00:00"/>
    <x v="1"/>
    <x v="0"/>
    <x v="2"/>
    <n v="973.76"/>
    <x v="1"/>
    <x v="0"/>
    <x v="2"/>
    <x v="1"/>
    <x v="5"/>
    <x v="3"/>
    <x v="5"/>
    <x v="3"/>
    <x v="7"/>
    <n v="16"/>
    <x v="0"/>
  </r>
  <r>
    <d v="2020-09-16T00:00:00"/>
    <x v="2"/>
    <x v="1"/>
    <x v="2"/>
    <n v="10620"/>
    <x v="2"/>
    <x v="1"/>
    <x v="2"/>
    <x v="2"/>
    <x v="5"/>
    <x v="3"/>
    <x v="5"/>
    <x v="3"/>
    <x v="7"/>
    <n v="16"/>
    <x v="0"/>
  </r>
  <r>
    <d v="2020-09-16T00:00:00"/>
    <x v="1"/>
    <x v="0"/>
    <x v="0"/>
    <n v="65228632.439999998"/>
    <x v="1"/>
    <x v="0"/>
    <x v="0"/>
    <x v="8"/>
    <x v="5"/>
    <x v="3"/>
    <x v="5"/>
    <x v="3"/>
    <x v="7"/>
    <n v="16"/>
    <x v="0"/>
  </r>
  <r>
    <d v="2020-09-16T00:00:00"/>
    <x v="1"/>
    <x v="0"/>
    <x v="1"/>
    <n v="6584740666.7399998"/>
    <x v="1"/>
    <x v="0"/>
    <x v="1"/>
    <x v="9"/>
    <x v="5"/>
    <x v="3"/>
    <x v="5"/>
    <x v="3"/>
    <x v="7"/>
    <n v="16"/>
    <x v="0"/>
  </r>
  <r>
    <d v="2020-09-16T00:00:00"/>
    <x v="0"/>
    <x v="1"/>
    <x v="1"/>
    <n v="540409909.02999997"/>
    <x v="0"/>
    <x v="1"/>
    <x v="1"/>
    <x v="3"/>
    <x v="5"/>
    <x v="3"/>
    <x v="5"/>
    <x v="3"/>
    <x v="7"/>
    <n v="16"/>
    <x v="0"/>
  </r>
  <r>
    <d v="2020-09-16T00:00:00"/>
    <x v="3"/>
    <x v="2"/>
    <x v="2"/>
    <n v="232332.5"/>
    <x v="3"/>
    <x v="2"/>
    <x v="2"/>
    <x v="4"/>
    <x v="5"/>
    <x v="3"/>
    <x v="5"/>
    <x v="3"/>
    <x v="7"/>
    <n v="16"/>
    <x v="0"/>
  </r>
  <r>
    <d v="2020-09-16T00:00:00"/>
    <x v="0"/>
    <x v="1"/>
    <x v="0"/>
    <n v="27392837.489999998"/>
    <x v="0"/>
    <x v="1"/>
    <x v="0"/>
    <x v="0"/>
    <x v="5"/>
    <x v="3"/>
    <x v="5"/>
    <x v="3"/>
    <x v="7"/>
    <n v="16"/>
    <x v="0"/>
  </r>
  <r>
    <d v="2020-09-16T00:00:00"/>
    <x v="2"/>
    <x v="1"/>
    <x v="1"/>
    <n v="44482417.219999999"/>
    <x v="2"/>
    <x v="1"/>
    <x v="1"/>
    <x v="6"/>
    <x v="5"/>
    <x v="3"/>
    <x v="5"/>
    <x v="3"/>
    <x v="7"/>
    <n v="16"/>
    <x v="0"/>
  </r>
  <r>
    <d v="2020-09-16T00:00:00"/>
    <x v="3"/>
    <x v="3"/>
    <x v="0"/>
    <n v="2866295228.23"/>
    <x v="3"/>
    <x v="3"/>
    <x v="0"/>
    <x v="5"/>
    <x v="5"/>
    <x v="3"/>
    <x v="5"/>
    <x v="3"/>
    <x v="7"/>
    <n v="16"/>
    <x v="0"/>
  </r>
  <r>
    <d v="2020-09-16T00:00:00"/>
    <x v="2"/>
    <x v="1"/>
    <x v="0"/>
    <n v="100209451.12"/>
    <x v="2"/>
    <x v="1"/>
    <x v="0"/>
    <x v="7"/>
    <x v="5"/>
    <x v="3"/>
    <x v="5"/>
    <x v="3"/>
    <x v="7"/>
    <n v="16"/>
    <x v="0"/>
  </r>
  <r>
    <d v="2020-09-16T00:00:00"/>
    <x v="3"/>
    <x v="2"/>
    <x v="0"/>
    <n v="357272623.44999999"/>
    <x v="3"/>
    <x v="2"/>
    <x v="0"/>
    <x v="10"/>
    <x v="5"/>
    <x v="3"/>
    <x v="5"/>
    <x v="3"/>
    <x v="7"/>
    <n v="16"/>
    <x v="0"/>
  </r>
  <r>
    <d v="2020-09-16T00:00:00"/>
    <x v="3"/>
    <x v="1"/>
    <x v="0"/>
    <n v="13336573.279999999"/>
    <x v="3"/>
    <x v="1"/>
    <x v="0"/>
    <x v="11"/>
    <x v="5"/>
    <x v="3"/>
    <x v="5"/>
    <x v="3"/>
    <x v="7"/>
    <n v="16"/>
    <x v="0"/>
  </r>
  <r>
    <d v="2020-09-16T00:00:00"/>
    <x v="3"/>
    <x v="2"/>
    <x v="1"/>
    <n v="22285866506.119999"/>
    <x v="3"/>
    <x v="2"/>
    <x v="1"/>
    <x v="12"/>
    <x v="5"/>
    <x v="3"/>
    <x v="5"/>
    <x v="3"/>
    <x v="7"/>
    <n v="16"/>
    <x v="0"/>
  </r>
  <r>
    <d v="2020-09-15T00:00:00"/>
    <x v="2"/>
    <x v="1"/>
    <x v="1"/>
    <n v="54809014.420000002"/>
    <x v="2"/>
    <x v="1"/>
    <x v="1"/>
    <x v="6"/>
    <x v="5"/>
    <x v="3"/>
    <x v="5"/>
    <x v="3"/>
    <x v="7"/>
    <n v="15"/>
    <x v="0"/>
  </r>
  <r>
    <d v="2020-09-15T00:00:00"/>
    <x v="2"/>
    <x v="1"/>
    <x v="2"/>
    <n v="70584.55"/>
    <x v="2"/>
    <x v="1"/>
    <x v="2"/>
    <x v="3"/>
    <x v="5"/>
    <x v="3"/>
    <x v="5"/>
    <x v="3"/>
    <x v="7"/>
    <n v="15"/>
    <x v="0"/>
  </r>
  <r>
    <d v="2020-09-15T00:00:00"/>
    <x v="2"/>
    <x v="1"/>
    <x v="0"/>
    <n v="97910798.180000007"/>
    <x v="2"/>
    <x v="1"/>
    <x v="0"/>
    <x v="7"/>
    <x v="5"/>
    <x v="3"/>
    <x v="5"/>
    <x v="3"/>
    <x v="7"/>
    <n v="15"/>
    <x v="0"/>
  </r>
  <r>
    <d v="2020-09-15T00:00:00"/>
    <x v="1"/>
    <x v="0"/>
    <x v="0"/>
    <n v="135461749.53"/>
    <x v="1"/>
    <x v="0"/>
    <x v="0"/>
    <x v="9"/>
    <x v="5"/>
    <x v="3"/>
    <x v="5"/>
    <x v="3"/>
    <x v="7"/>
    <n v="15"/>
    <x v="0"/>
  </r>
  <r>
    <d v="2020-09-15T00:00:00"/>
    <x v="0"/>
    <x v="1"/>
    <x v="0"/>
    <n v="16219392.220000001"/>
    <x v="0"/>
    <x v="1"/>
    <x v="0"/>
    <x v="1"/>
    <x v="5"/>
    <x v="3"/>
    <x v="5"/>
    <x v="3"/>
    <x v="7"/>
    <n v="15"/>
    <x v="0"/>
  </r>
  <r>
    <d v="2020-09-15T00:00:00"/>
    <x v="3"/>
    <x v="2"/>
    <x v="2"/>
    <n v="254434.34"/>
    <x v="3"/>
    <x v="2"/>
    <x v="2"/>
    <x v="5"/>
    <x v="5"/>
    <x v="3"/>
    <x v="5"/>
    <x v="3"/>
    <x v="7"/>
    <n v="15"/>
    <x v="0"/>
  </r>
  <r>
    <d v="2020-09-15T00:00:00"/>
    <x v="0"/>
    <x v="0"/>
    <x v="0"/>
    <n v="1111.1099999999999"/>
    <x v="0"/>
    <x v="0"/>
    <x v="0"/>
    <x v="0"/>
    <x v="5"/>
    <x v="3"/>
    <x v="5"/>
    <x v="3"/>
    <x v="7"/>
    <n v="15"/>
    <x v="0"/>
  </r>
  <r>
    <d v="2020-09-15T00:00:00"/>
    <x v="3"/>
    <x v="3"/>
    <x v="0"/>
    <n v="1735878816.0599999"/>
    <x v="3"/>
    <x v="3"/>
    <x v="0"/>
    <x v="8"/>
    <x v="5"/>
    <x v="3"/>
    <x v="5"/>
    <x v="3"/>
    <x v="7"/>
    <n v="15"/>
    <x v="0"/>
  </r>
  <r>
    <d v="2020-09-15T00:00:00"/>
    <x v="1"/>
    <x v="0"/>
    <x v="2"/>
    <n v="11044.24"/>
    <x v="1"/>
    <x v="0"/>
    <x v="2"/>
    <x v="2"/>
    <x v="5"/>
    <x v="3"/>
    <x v="5"/>
    <x v="3"/>
    <x v="7"/>
    <n v="15"/>
    <x v="0"/>
  </r>
  <r>
    <d v="2020-09-15T00:00:00"/>
    <x v="0"/>
    <x v="1"/>
    <x v="1"/>
    <n v="389846298.56"/>
    <x v="0"/>
    <x v="1"/>
    <x v="1"/>
    <x v="4"/>
    <x v="5"/>
    <x v="3"/>
    <x v="5"/>
    <x v="3"/>
    <x v="7"/>
    <n v="15"/>
    <x v="0"/>
  </r>
  <r>
    <d v="2020-09-15T00:00:00"/>
    <x v="1"/>
    <x v="0"/>
    <x v="1"/>
    <n v="3585531498.7800002"/>
    <x v="1"/>
    <x v="0"/>
    <x v="1"/>
    <x v="10"/>
    <x v="5"/>
    <x v="3"/>
    <x v="5"/>
    <x v="3"/>
    <x v="7"/>
    <n v="15"/>
    <x v="0"/>
  </r>
  <r>
    <d v="2020-09-15T00:00:00"/>
    <x v="3"/>
    <x v="2"/>
    <x v="0"/>
    <n v="626540784.98000002"/>
    <x v="3"/>
    <x v="2"/>
    <x v="0"/>
    <x v="11"/>
    <x v="5"/>
    <x v="3"/>
    <x v="5"/>
    <x v="3"/>
    <x v="7"/>
    <n v="15"/>
    <x v="0"/>
  </r>
  <r>
    <d v="2020-09-15T00:00:00"/>
    <x v="3"/>
    <x v="1"/>
    <x v="0"/>
    <n v="9936431.4100000001"/>
    <x v="3"/>
    <x v="1"/>
    <x v="0"/>
    <x v="12"/>
    <x v="5"/>
    <x v="3"/>
    <x v="5"/>
    <x v="3"/>
    <x v="7"/>
    <n v="15"/>
    <x v="0"/>
  </r>
  <r>
    <d v="2020-09-15T00:00:00"/>
    <x v="3"/>
    <x v="2"/>
    <x v="1"/>
    <n v="50263606486.519997"/>
    <x v="3"/>
    <x v="2"/>
    <x v="1"/>
    <x v="13"/>
    <x v="5"/>
    <x v="3"/>
    <x v="5"/>
    <x v="3"/>
    <x v="7"/>
    <n v="15"/>
    <x v="0"/>
  </r>
  <r>
    <d v="2020-09-14T00:00:00"/>
    <x v="2"/>
    <x v="1"/>
    <x v="1"/>
    <n v="16833556.629999999"/>
    <x v="2"/>
    <x v="1"/>
    <x v="1"/>
    <x v="6"/>
    <x v="5"/>
    <x v="3"/>
    <x v="5"/>
    <x v="3"/>
    <x v="7"/>
    <n v="14"/>
    <x v="0"/>
  </r>
  <r>
    <d v="2020-09-14T00:00:00"/>
    <x v="3"/>
    <x v="3"/>
    <x v="1"/>
    <n v="234564.13"/>
    <x v="3"/>
    <x v="3"/>
    <x v="1"/>
    <x v="2"/>
    <x v="5"/>
    <x v="3"/>
    <x v="5"/>
    <x v="3"/>
    <x v="7"/>
    <n v="14"/>
    <x v="0"/>
  </r>
  <r>
    <d v="2020-09-14T00:00:00"/>
    <x v="3"/>
    <x v="3"/>
    <x v="0"/>
    <n v="2643857169.0799999"/>
    <x v="3"/>
    <x v="3"/>
    <x v="0"/>
    <x v="9"/>
    <x v="5"/>
    <x v="3"/>
    <x v="5"/>
    <x v="3"/>
    <x v="7"/>
    <n v="14"/>
    <x v="0"/>
  </r>
  <r>
    <d v="2020-09-14T00:00:00"/>
    <x v="3"/>
    <x v="2"/>
    <x v="2"/>
    <n v="17120.46"/>
    <x v="3"/>
    <x v="2"/>
    <x v="2"/>
    <x v="5"/>
    <x v="5"/>
    <x v="3"/>
    <x v="5"/>
    <x v="3"/>
    <x v="7"/>
    <n v="14"/>
    <x v="0"/>
  </r>
  <r>
    <d v="2020-09-14T00:00:00"/>
    <x v="0"/>
    <x v="1"/>
    <x v="1"/>
    <n v="302241361.14999998"/>
    <x v="0"/>
    <x v="1"/>
    <x v="1"/>
    <x v="3"/>
    <x v="5"/>
    <x v="3"/>
    <x v="5"/>
    <x v="3"/>
    <x v="7"/>
    <n v="14"/>
    <x v="0"/>
  </r>
  <r>
    <d v="2020-09-14T00:00:00"/>
    <x v="2"/>
    <x v="1"/>
    <x v="2"/>
    <n v="36180"/>
    <x v="2"/>
    <x v="1"/>
    <x v="2"/>
    <x v="4"/>
    <x v="5"/>
    <x v="3"/>
    <x v="5"/>
    <x v="3"/>
    <x v="7"/>
    <n v="14"/>
    <x v="0"/>
  </r>
  <r>
    <d v="2020-09-14T00:00:00"/>
    <x v="0"/>
    <x v="1"/>
    <x v="0"/>
    <n v="22109022.109999999"/>
    <x v="0"/>
    <x v="1"/>
    <x v="0"/>
    <x v="1"/>
    <x v="5"/>
    <x v="3"/>
    <x v="5"/>
    <x v="3"/>
    <x v="7"/>
    <n v="14"/>
    <x v="0"/>
  </r>
  <r>
    <d v="2020-09-14T00:00:00"/>
    <x v="0"/>
    <x v="0"/>
    <x v="0"/>
    <n v="4000"/>
    <x v="0"/>
    <x v="0"/>
    <x v="0"/>
    <x v="0"/>
    <x v="5"/>
    <x v="3"/>
    <x v="5"/>
    <x v="3"/>
    <x v="7"/>
    <n v="14"/>
    <x v="0"/>
  </r>
  <r>
    <d v="2020-09-14T00:00:00"/>
    <x v="2"/>
    <x v="1"/>
    <x v="0"/>
    <n v="66744688.18"/>
    <x v="2"/>
    <x v="1"/>
    <x v="0"/>
    <x v="7"/>
    <x v="5"/>
    <x v="3"/>
    <x v="5"/>
    <x v="3"/>
    <x v="7"/>
    <n v="14"/>
    <x v="0"/>
  </r>
  <r>
    <d v="2020-09-14T00:00:00"/>
    <x v="1"/>
    <x v="0"/>
    <x v="0"/>
    <n v="70987132.540000007"/>
    <x v="1"/>
    <x v="0"/>
    <x v="0"/>
    <x v="8"/>
    <x v="5"/>
    <x v="3"/>
    <x v="5"/>
    <x v="3"/>
    <x v="7"/>
    <n v="14"/>
    <x v="0"/>
  </r>
  <r>
    <d v="2020-09-14T00:00:00"/>
    <x v="1"/>
    <x v="0"/>
    <x v="1"/>
    <n v="1003480690.48"/>
    <x v="1"/>
    <x v="0"/>
    <x v="1"/>
    <x v="10"/>
    <x v="5"/>
    <x v="3"/>
    <x v="5"/>
    <x v="3"/>
    <x v="7"/>
    <n v="14"/>
    <x v="0"/>
  </r>
  <r>
    <d v="2020-09-14T00:00:00"/>
    <x v="3"/>
    <x v="2"/>
    <x v="0"/>
    <n v="629958772.26999998"/>
    <x v="3"/>
    <x v="2"/>
    <x v="0"/>
    <x v="11"/>
    <x v="5"/>
    <x v="3"/>
    <x v="5"/>
    <x v="3"/>
    <x v="7"/>
    <n v="14"/>
    <x v="0"/>
  </r>
  <r>
    <d v="2020-09-14T00:00:00"/>
    <x v="3"/>
    <x v="2"/>
    <x v="1"/>
    <n v="32519069993.150002"/>
    <x v="3"/>
    <x v="2"/>
    <x v="1"/>
    <x v="12"/>
    <x v="5"/>
    <x v="3"/>
    <x v="5"/>
    <x v="3"/>
    <x v="7"/>
    <n v="14"/>
    <x v="0"/>
  </r>
  <r>
    <d v="2020-09-14T00:00:00"/>
    <x v="3"/>
    <x v="1"/>
    <x v="0"/>
    <n v="41814097.200000003"/>
    <x v="3"/>
    <x v="1"/>
    <x v="0"/>
    <x v="13"/>
    <x v="5"/>
    <x v="3"/>
    <x v="5"/>
    <x v="3"/>
    <x v="7"/>
    <n v="14"/>
    <x v="0"/>
  </r>
  <r>
    <d v="2020-09-11T00:00:00"/>
    <x v="2"/>
    <x v="1"/>
    <x v="2"/>
    <n v="48681.46"/>
    <x v="2"/>
    <x v="1"/>
    <x v="2"/>
    <x v="3"/>
    <x v="5"/>
    <x v="3"/>
    <x v="5"/>
    <x v="3"/>
    <x v="7"/>
    <n v="11"/>
    <x v="0"/>
  </r>
  <r>
    <d v="2020-09-11T00:00:00"/>
    <x v="2"/>
    <x v="1"/>
    <x v="0"/>
    <n v="106726482.27"/>
    <x v="2"/>
    <x v="1"/>
    <x v="0"/>
    <x v="7"/>
    <x v="5"/>
    <x v="3"/>
    <x v="5"/>
    <x v="3"/>
    <x v="7"/>
    <n v="11"/>
    <x v="0"/>
  </r>
  <r>
    <d v="2020-09-11T00:00:00"/>
    <x v="0"/>
    <x v="1"/>
    <x v="1"/>
    <n v="300822541.83999997"/>
    <x v="0"/>
    <x v="1"/>
    <x v="1"/>
    <x v="4"/>
    <x v="5"/>
    <x v="3"/>
    <x v="5"/>
    <x v="3"/>
    <x v="7"/>
    <n v="11"/>
    <x v="0"/>
  </r>
  <r>
    <d v="2020-09-11T00:00:00"/>
    <x v="0"/>
    <x v="1"/>
    <x v="0"/>
    <n v="15526175.75"/>
    <x v="0"/>
    <x v="1"/>
    <x v="0"/>
    <x v="1"/>
    <x v="5"/>
    <x v="3"/>
    <x v="5"/>
    <x v="3"/>
    <x v="7"/>
    <n v="11"/>
    <x v="0"/>
  </r>
  <r>
    <d v="2020-09-11T00:00:00"/>
    <x v="3"/>
    <x v="2"/>
    <x v="2"/>
    <n v="224632.59"/>
    <x v="3"/>
    <x v="2"/>
    <x v="2"/>
    <x v="5"/>
    <x v="5"/>
    <x v="3"/>
    <x v="5"/>
    <x v="3"/>
    <x v="7"/>
    <n v="11"/>
    <x v="0"/>
  </r>
  <r>
    <d v="2020-09-11T00:00:00"/>
    <x v="0"/>
    <x v="0"/>
    <x v="0"/>
    <n v="100"/>
    <x v="0"/>
    <x v="0"/>
    <x v="0"/>
    <x v="0"/>
    <x v="5"/>
    <x v="3"/>
    <x v="5"/>
    <x v="3"/>
    <x v="7"/>
    <n v="11"/>
    <x v="0"/>
  </r>
  <r>
    <d v="2020-09-11T00:00:00"/>
    <x v="1"/>
    <x v="0"/>
    <x v="2"/>
    <n v="2241.31"/>
    <x v="1"/>
    <x v="0"/>
    <x v="2"/>
    <x v="2"/>
    <x v="5"/>
    <x v="3"/>
    <x v="5"/>
    <x v="3"/>
    <x v="7"/>
    <n v="11"/>
    <x v="0"/>
  </r>
  <r>
    <d v="2020-09-11T00:00:00"/>
    <x v="1"/>
    <x v="0"/>
    <x v="0"/>
    <n v="64956425.100000001"/>
    <x v="1"/>
    <x v="0"/>
    <x v="0"/>
    <x v="8"/>
    <x v="5"/>
    <x v="3"/>
    <x v="5"/>
    <x v="3"/>
    <x v="7"/>
    <n v="11"/>
    <x v="0"/>
  </r>
  <r>
    <d v="2020-09-11T00:00:00"/>
    <x v="2"/>
    <x v="1"/>
    <x v="1"/>
    <n v="8206898.0300000003"/>
    <x v="2"/>
    <x v="1"/>
    <x v="1"/>
    <x v="6"/>
    <x v="5"/>
    <x v="3"/>
    <x v="5"/>
    <x v="3"/>
    <x v="7"/>
    <n v="11"/>
    <x v="0"/>
  </r>
  <r>
    <d v="2020-09-11T00:00:00"/>
    <x v="3"/>
    <x v="3"/>
    <x v="0"/>
    <n v="1693449511.05"/>
    <x v="3"/>
    <x v="3"/>
    <x v="0"/>
    <x v="9"/>
    <x v="5"/>
    <x v="3"/>
    <x v="5"/>
    <x v="3"/>
    <x v="7"/>
    <n v="11"/>
    <x v="0"/>
  </r>
  <r>
    <d v="2020-09-11T00:00:00"/>
    <x v="1"/>
    <x v="0"/>
    <x v="1"/>
    <n v="519508109.14999998"/>
    <x v="1"/>
    <x v="0"/>
    <x v="1"/>
    <x v="10"/>
    <x v="5"/>
    <x v="3"/>
    <x v="5"/>
    <x v="3"/>
    <x v="7"/>
    <n v="11"/>
    <x v="0"/>
  </r>
  <r>
    <d v="2020-09-11T00:00:00"/>
    <x v="3"/>
    <x v="2"/>
    <x v="0"/>
    <n v="400880555.11000001"/>
    <x v="3"/>
    <x v="2"/>
    <x v="0"/>
    <x v="11"/>
    <x v="5"/>
    <x v="3"/>
    <x v="5"/>
    <x v="3"/>
    <x v="7"/>
    <n v="11"/>
    <x v="0"/>
  </r>
  <r>
    <d v="2020-09-11T00:00:00"/>
    <x v="3"/>
    <x v="2"/>
    <x v="1"/>
    <n v="12422118005.530001"/>
    <x v="3"/>
    <x v="2"/>
    <x v="1"/>
    <x v="12"/>
    <x v="5"/>
    <x v="3"/>
    <x v="5"/>
    <x v="3"/>
    <x v="7"/>
    <n v="11"/>
    <x v="0"/>
  </r>
  <r>
    <d v="2020-09-11T00:00:00"/>
    <x v="3"/>
    <x v="1"/>
    <x v="0"/>
    <n v="12872099.710000001"/>
    <x v="3"/>
    <x v="1"/>
    <x v="0"/>
    <x v="13"/>
    <x v="5"/>
    <x v="3"/>
    <x v="5"/>
    <x v="3"/>
    <x v="7"/>
    <n v="11"/>
    <x v="0"/>
  </r>
  <r>
    <d v="2020-09-10T00:00:00"/>
    <x v="2"/>
    <x v="1"/>
    <x v="0"/>
    <n v="107078564.70999999"/>
    <x v="2"/>
    <x v="1"/>
    <x v="0"/>
    <x v="7"/>
    <x v="5"/>
    <x v="3"/>
    <x v="5"/>
    <x v="3"/>
    <x v="7"/>
    <n v="10"/>
    <x v="0"/>
  </r>
  <r>
    <d v="2020-09-10T00:00:00"/>
    <x v="2"/>
    <x v="1"/>
    <x v="2"/>
    <n v="12995"/>
    <x v="2"/>
    <x v="1"/>
    <x v="2"/>
    <x v="2"/>
    <x v="5"/>
    <x v="3"/>
    <x v="5"/>
    <x v="3"/>
    <x v="7"/>
    <n v="10"/>
    <x v="0"/>
  </r>
  <r>
    <d v="2020-09-10T00:00:00"/>
    <x v="0"/>
    <x v="1"/>
    <x v="1"/>
    <n v="428941234.54000002"/>
    <x v="0"/>
    <x v="1"/>
    <x v="1"/>
    <x v="3"/>
    <x v="5"/>
    <x v="3"/>
    <x v="5"/>
    <x v="3"/>
    <x v="7"/>
    <n v="10"/>
    <x v="0"/>
  </r>
  <r>
    <d v="2020-09-10T00:00:00"/>
    <x v="3"/>
    <x v="2"/>
    <x v="2"/>
    <n v="375982.4"/>
    <x v="3"/>
    <x v="2"/>
    <x v="2"/>
    <x v="5"/>
    <x v="5"/>
    <x v="3"/>
    <x v="5"/>
    <x v="3"/>
    <x v="7"/>
    <n v="10"/>
    <x v="0"/>
  </r>
  <r>
    <d v="2020-09-10T00:00:00"/>
    <x v="1"/>
    <x v="0"/>
    <x v="0"/>
    <n v="49875184.079999998"/>
    <x v="1"/>
    <x v="0"/>
    <x v="0"/>
    <x v="8"/>
    <x v="5"/>
    <x v="3"/>
    <x v="5"/>
    <x v="3"/>
    <x v="7"/>
    <n v="10"/>
    <x v="0"/>
  </r>
  <r>
    <d v="2020-09-10T00:00:00"/>
    <x v="0"/>
    <x v="1"/>
    <x v="0"/>
    <n v="25553700.059999999"/>
    <x v="0"/>
    <x v="1"/>
    <x v="0"/>
    <x v="1"/>
    <x v="5"/>
    <x v="3"/>
    <x v="5"/>
    <x v="3"/>
    <x v="7"/>
    <n v="10"/>
    <x v="0"/>
  </r>
  <r>
    <d v="2020-09-10T00:00:00"/>
    <x v="2"/>
    <x v="1"/>
    <x v="1"/>
    <n v="83472169.930000007"/>
    <x v="2"/>
    <x v="1"/>
    <x v="1"/>
    <x v="6"/>
    <x v="5"/>
    <x v="3"/>
    <x v="5"/>
    <x v="3"/>
    <x v="7"/>
    <n v="10"/>
    <x v="0"/>
  </r>
  <r>
    <d v="2020-09-10T00:00:00"/>
    <x v="0"/>
    <x v="0"/>
    <x v="0"/>
    <n v="1597.02"/>
    <x v="0"/>
    <x v="0"/>
    <x v="0"/>
    <x v="0"/>
    <x v="5"/>
    <x v="3"/>
    <x v="5"/>
    <x v="3"/>
    <x v="7"/>
    <n v="10"/>
    <x v="0"/>
  </r>
  <r>
    <d v="2020-09-10T00:00:00"/>
    <x v="3"/>
    <x v="3"/>
    <x v="0"/>
    <n v="1804046510.25"/>
    <x v="3"/>
    <x v="3"/>
    <x v="0"/>
    <x v="9"/>
    <x v="5"/>
    <x v="3"/>
    <x v="5"/>
    <x v="3"/>
    <x v="7"/>
    <n v="10"/>
    <x v="0"/>
  </r>
  <r>
    <d v="2020-09-10T00:00:00"/>
    <x v="1"/>
    <x v="0"/>
    <x v="1"/>
    <n v="3539380939.1599998"/>
    <x v="1"/>
    <x v="0"/>
    <x v="1"/>
    <x v="10"/>
    <x v="5"/>
    <x v="3"/>
    <x v="5"/>
    <x v="3"/>
    <x v="7"/>
    <n v="10"/>
    <x v="0"/>
  </r>
  <r>
    <d v="2020-09-10T00:00:00"/>
    <x v="3"/>
    <x v="2"/>
    <x v="0"/>
    <n v="482597472.81"/>
    <x v="3"/>
    <x v="2"/>
    <x v="0"/>
    <x v="11"/>
    <x v="5"/>
    <x v="3"/>
    <x v="5"/>
    <x v="3"/>
    <x v="7"/>
    <n v="10"/>
    <x v="0"/>
  </r>
  <r>
    <d v="2020-09-10T00:00:00"/>
    <x v="1"/>
    <x v="0"/>
    <x v="2"/>
    <n v="1098.06"/>
    <x v="1"/>
    <x v="0"/>
    <x v="2"/>
    <x v="4"/>
    <x v="5"/>
    <x v="3"/>
    <x v="5"/>
    <x v="3"/>
    <x v="7"/>
    <n v="10"/>
    <x v="0"/>
  </r>
  <r>
    <d v="2020-09-10T00:00:00"/>
    <x v="3"/>
    <x v="2"/>
    <x v="1"/>
    <n v="9476151211.8799992"/>
    <x v="3"/>
    <x v="2"/>
    <x v="1"/>
    <x v="12"/>
    <x v="5"/>
    <x v="3"/>
    <x v="5"/>
    <x v="3"/>
    <x v="7"/>
    <n v="10"/>
    <x v="0"/>
  </r>
  <r>
    <d v="2020-09-10T00:00:00"/>
    <x v="3"/>
    <x v="1"/>
    <x v="0"/>
    <n v="12990309.109999999"/>
    <x v="3"/>
    <x v="1"/>
    <x v="0"/>
    <x v="13"/>
    <x v="5"/>
    <x v="3"/>
    <x v="5"/>
    <x v="3"/>
    <x v="7"/>
    <n v="10"/>
    <x v="0"/>
  </r>
  <r>
    <d v="2020-09-09T00:00:00"/>
    <x v="1"/>
    <x v="0"/>
    <x v="2"/>
    <n v="70357.429999999993"/>
    <x v="1"/>
    <x v="0"/>
    <x v="2"/>
    <x v="1"/>
    <x v="5"/>
    <x v="3"/>
    <x v="5"/>
    <x v="3"/>
    <x v="7"/>
    <n v="9"/>
    <x v="0"/>
  </r>
  <r>
    <d v="2020-09-09T00:00:00"/>
    <x v="2"/>
    <x v="1"/>
    <x v="1"/>
    <n v="18442728.780000001"/>
    <x v="2"/>
    <x v="1"/>
    <x v="1"/>
    <x v="5"/>
    <x v="5"/>
    <x v="3"/>
    <x v="5"/>
    <x v="3"/>
    <x v="7"/>
    <n v="9"/>
    <x v="0"/>
  </r>
  <r>
    <d v="2020-09-09T00:00:00"/>
    <x v="2"/>
    <x v="1"/>
    <x v="2"/>
    <n v="28409.7"/>
    <x v="2"/>
    <x v="1"/>
    <x v="2"/>
    <x v="2"/>
    <x v="5"/>
    <x v="3"/>
    <x v="5"/>
    <x v="3"/>
    <x v="7"/>
    <n v="9"/>
    <x v="0"/>
  </r>
  <r>
    <d v="2020-09-09T00:00:00"/>
    <x v="2"/>
    <x v="1"/>
    <x v="0"/>
    <n v="62383576.420000002"/>
    <x v="2"/>
    <x v="1"/>
    <x v="0"/>
    <x v="6"/>
    <x v="5"/>
    <x v="3"/>
    <x v="5"/>
    <x v="3"/>
    <x v="7"/>
    <n v="9"/>
    <x v="0"/>
  </r>
  <r>
    <d v="2020-09-09T00:00:00"/>
    <x v="3"/>
    <x v="3"/>
    <x v="0"/>
    <n v="1557154427.3099999"/>
    <x v="3"/>
    <x v="3"/>
    <x v="0"/>
    <x v="7"/>
    <x v="5"/>
    <x v="3"/>
    <x v="5"/>
    <x v="3"/>
    <x v="7"/>
    <n v="9"/>
    <x v="0"/>
  </r>
  <r>
    <d v="2020-09-09T00:00:00"/>
    <x v="1"/>
    <x v="0"/>
    <x v="0"/>
    <n v="128499834.23"/>
    <x v="1"/>
    <x v="0"/>
    <x v="0"/>
    <x v="8"/>
    <x v="5"/>
    <x v="3"/>
    <x v="5"/>
    <x v="3"/>
    <x v="7"/>
    <n v="9"/>
    <x v="0"/>
  </r>
  <r>
    <d v="2020-09-09T00:00:00"/>
    <x v="0"/>
    <x v="1"/>
    <x v="1"/>
    <n v="635047970.13999999"/>
    <x v="0"/>
    <x v="1"/>
    <x v="1"/>
    <x v="3"/>
    <x v="5"/>
    <x v="3"/>
    <x v="5"/>
    <x v="3"/>
    <x v="7"/>
    <n v="9"/>
    <x v="0"/>
  </r>
  <r>
    <d v="2020-09-09T00:00:00"/>
    <x v="0"/>
    <x v="1"/>
    <x v="0"/>
    <n v="21296791.84"/>
    <x v="0"/>
    <x v="1"/>
    <x v="0"/>
    <x v="0"/>
    <x v="5"/>
    <x v="3"/>
    <x v="5"/>
    <x v="3"/>
    <x v="7"/>
    <n v="9"/>
    <x v="0"/>
  </r>
  <r>
    <d v="2020-09-09T00:00:00"/>
    <x v="1"/>
    <x v="0"/>
    <x v="1"/>
    <n v="1221069175.76"/>
    <x v="1"/>
    <x v="0"/>
    <x v="1"/>
    <x v="9"/>
    <x v="5"/>
    <x v="3"/>
    <x v="5"/>
    <x v="3"/>
    <x v="7"/>
    <n v="9"/>
    <x v="0"/>
  </r>
  <r>
    <d v="2020-09-09T00:00:00"/>
    <x v="3"/>
    <x v="2"/>
    <x v="2"/>
    <n v="84086.78"/>
    <x v="3"/>
    <x v="2"/>
    <x v="2"/>
    <x v="4"/>
    <x v="5"/>
    <x v="3"/>
    <x v="5"/>
    <x v="3"/>
    <x v="7"/>
    <n v="9"/>
    <x v="0"/>
  </r>
  <r>
    <d v="2020-09-09T00:00:00"/>
    <x v="3"/>
    <x v="2"/>
    <x v="0"/>
    <n v="847538444.89999998"/>
    <x v="3"/>
    <x v="2"/>
    <x v="0"/>
    <x v="10"/>
    <x v="5"/>
    <x v="3"/>
    <x v="5"/>
    <x v="3"/>
    <x v="7"/>
    <n v="9"/>
    <x v="0"/>
  </r>
  <r>
    <d v="2020-09-09T00:00:00"/>
    <x v="3"/>
    <x v="2"/>
    <x v="1"/>
    <n v="5089297074.9799995"/>
    <x v="3"/>
    <x v="2"/>
    <x v="1"/>
    <x v="11"/>
    <x v="5"/>
    <x v="3"/>
    <x v="5"/>
    <x v="3"/>
    <x v="7"/>
    <n v="9"/>
    <x v="0"/>
  </r>
  <r>
    <d v="2020-09-09T00:00:00"/>
    <x v="3"/>
    <x v="1"/>
    <x v="0"/>
    <n v="10804500.859999999"/>
    <x v="3"/>
    <x v="1"/>
    <x v="0"/>
    <x v="12"/>
    <x v="5"/>
    <x v="3"/>
    <x v="5"/>
    <x v="3"/>
    <x v="7"/>
    <n v="9"/>
    <x v="0"/>
  </r>
  <r>
    <d v="2020-09-08T00:00:00"/>
    <x v="2"/>
    <x v="1"/>
    <x v="2"/>
    <n v="3395"/>
    <x v="2"/>
    <x v="1"/>
    <x v="2"/>
    <x v="2"/>
    <x v="5"/>
    <x v="3"/>
    <x v="5"/>
    <x v="3"/>
    <x v="7"/>
    <n v="8"/>
    <x v="0"/>
  </r>
  <r>
    <d v="2020-09-08T00:00:00"/>
    <x v="2"/>
    <x v="1"/>
    <x v="0"/>
    <n v="64954149.939999998"/>
    <x v="2"/>
    <x v="1"/>
    <x v="0"/>
    <x v="8"/>
    <x v="5"/>
    <x v="3"/>
    <x v="5"/>
    <x v="3"/>
    <x v="7"/>
    <n v="8"/>
    <x v="0"/>
  </r>
  <r>
    <d v="2020-09-08T00:00:00"/>
    <x v="2"/>
    <x v="1"/>
    <x v="1"/>
    <n v="7603104.8899999997"/>
    <x v="2"/>
    <x v="1"/>
    <x v="1"/>
    <x v="9"/>
    <x v="5"/>
    <x v="3"/>
    <x v="5"/>
    <x v="3"/>
    <x v="7"/>
    <n v="8"/>
    <x v="0"/>
  </r>
  <r>
    <d v="2020-09-08T00:00:00"/>
    <x v="1"/>
    <x v="0"/>
    <x v="0"/>
    <n v="65517690.899999999"/>
    <x v="1"/>
    <x v="0"/>
    <x v="0"/>
    <x v="11"/>
    <x v="5"/>
    <x v="3"/>
    <x v="5"/>
    <x v="3"/>
    <x v="7"/>
    <n v="8"/>
    <x v="0"/>
  </r>
  <r>
    <d v="2020-09-08T00:00:00"/>
    <x v="0"/>
    <x v="1"/>
    <x v="0"/>
    <n v="9606952.1699999999"/>
    <x v="0"/>
    <x v="1"/>
    <x v="0"/>
    <x v="1"/>
    <x v="5"/>
    <x v="3"/>
    <x v="5"/>
    <x v="3"/>
    <x v="7"/>
    <n v="8"/>
    <x v="0"/>
  </r>
  <r>
    <d v="2020-09-08T00:00:00"/>
    <x v="0"/>
    <x v="1"/>
    <x v="1"/>
    <n v="337498007.41000003"/>
    <x v="0"/>
    <x v="1"/>
    <x v="1"/>
    <x v="6"/>
    <x v="5"/>
    <x v="3"/>
    <x v="5"/>
    <x v="3"/>
    <x v="7"/>
    <n v="8"/>
    <x v="0"/>
  </r>
  <r>
    <d v="2020-09-08T00:00:00"/>
    <x v="3"/>
    <x v="2"/>
    <x v="2"/>
    <n v="124714.93"/>
    <x v="3"/>
    <x v="2"/>
    <x v="2"/>
    <x v="7"/>
    <x v="5"/>
    <x v="3"/>
    <x v="5"/>
    <x v="3"/>
    <x v="7"/>
    <n v="8"/>
    <x v="0"/>
  </r>
  <r>
    <d v="2020-09-08T00:00:00"/>
    <x v="1"/>
    <x v="0"/>
    <x v="2"/>
    <n v="33677.230000000003"/>
    <x v="1"/>
    <x v="0"/>
    <x v="2"/>
    <x v="3"/>
    <x v="5"/>
    <x v="3"/>
    <x v="5"/>
    <x v="3"/>
    <x v="7"/>
    <n v="8"/>
    <x v="0"/>
  </r>
  <r>
    <d v="2020-09-08T00:00:00"/>
    <x v="3"/>
    <x v="3"/>
    <x v="0"/>
    <n v="986514887.61000001"/>
    <x v="3"/>
    <x v="3"/>
    <x v="0"/>
    <x v="10"/>
    <x v="5"/>
    <x v="3"/>
    <x v="5"/>
    <x v="3"/>
    <x v="7"/>
    <n v="8"/>
    <x v="0"/>
  </r>
  <r>
    <d v="2020-09-08T00:00:00"/>
    <x v="0"/>
    <x v="0"/>
    <x v="0"/>
    <n v="2832"/>
    <x v="0"/>
    <x v="0"/>
    <x v="0"/>
    <x v="0"/>
    <x v="5"/>
    <x v="3"/>
    <x v="5"/>
    <x v="3"/>
    <x v="7"/>
    <n v="8"/>
    <x v="0"/>
  </r>
  <r>
    <d v="2020-09-08T00:00:00"/>
    <x v="3"/>
    <x v="3"/>
    <x v="1"/>
    <n v="80168.41"/>
    <x v="3"/>
    <x v="3"/>
    <x v="1"/>
    <x v="5"/>
    <x v="5"/>
    <x v="3"/>
    <x v="5"/>
    <x v="3"/>
    <x v="7"/>
    <n v="8"/>
    <x v="0"/>
  </r>
  <r>
    <d v="2020-09-08T00:00:00"/>
    <x v="0"/>
    <x v="0"/>
    <x v="1"/>
    <n v="-84"/>
    <x v="0"/>
    <x v="0"/>
    <x v="1"/>
    <x v="4"/>
    <x v="5"/>
    <x v="3"/>
    <x v="5"/>
    <x v="3"/>
    <x v="7"/>
    <n v="8"/>
    <x v="1"/>
  </r>
  <r>
    <d v="2020-09-08T00:00:00"/>
    <x v="1"/>
    <x v="0"/>
    <x v="1"/>
    <n v="818464562.23000002"/>
    <x v="1"/>
    <x v="0"/>
    <x v="1"/>
    <x v="12"/>
    <x v="5"/>
    <x v="3"/>
    <x v="5"/>
    <x v="3"/>
    <x v="7"/>
    <n v="8"/>
    <x v="0"/>
  </r>
  <r>
    <d v="2020-09-08T00:00:00"/>
    <x v="3"/>
    <x v="2"/>
    <x v="0"/>
    <n v="449445051.56"/>
    <x v="3"/>
    <x v="2"/>
    <x v="0"/>
    <x v="13"/>
    <x v="5"/>
    <x v="3"/>
    <x v="5"/>
    <x v="3"/>
    <x v="7"/>
    <n v="8"/>
    <x v="0"/>
  </r>
  <r>
    <d v="2020-09-08T00:00:00"/>
    <x v="3"/>
    <x v="2"/>
    <x v="1"/>
    <n v="17960077040.16"/>
    <x v="3"/>
    <x v="2"/>
    <x v="1"/>
    <x v="14"/>
    <x v="5"/>
    <x v="3"/>
    <x v="5"/>
    <x v="3"/>
    <x v="7"/>
    <n v="8"/>
    <x v="0"/>
  </r>
  <r>
    <d v="2020-09-08T00:00:00"/>
    <x v="3"/>
    <x v="1"/>
    <x v="0"/>
    <n v="52555058.18"/>
    <x v="3"/>
    <x v="1"/>
    <x v="0"/>
    <x v="15"/>
    <x v="5"/>
    <x v="3"/>
    <x v="5"/>
    <x v="3"/>
    <x v="7"/>
    <n v="8"/>
    <x v="0"/>
  </r>
  <r>
    <d v="2020-09-04T00:00:00"/>
    <x v="0"/>
    <x v="1"/>
    <x v="1"/>
    <n v="329794612.06"/>
    <x v="0"/>
    <x v="1"/>
    <x v="1"/>
    <x v="5"/>
    <x v="5"/>
    <x v="3"/>
    <x v="5"/>
    <x v="3"/>
    <x v="7"/>
    <n v="4"/>
    <x v="0"/>
  </r>
  <r>
    <d v="2020-09-04T00:00:00"/>
    <x v="1"/>
    <x v="0"/>
    <x v="2"/>
    <n v="28944.5"/>
    <x v="1"/>
    <x v="0"/>
    <x v="2"/>
    <x v="2"/>
    <x v="5"/>
    <x v="3"/>
    <x v="5"/>
    <x v="3"/>
    <x v="7"/>
    <n v="4"/>
    <x v="0"/>
  </r>
  <r>
    <d v="2020-09-04T00:00:00"/>
    <x v="2"/>
    <x v="1"/>
    <x v="2"/>
    <n v="117523.43"/>
    <x v="2"/>
    <x v="1"/>
    <x v="2"/>
    <x v="3"/>
    <x v="5"/>
    <x v="3"/>
    <x v="5"/>
    <x v="3"/>
    <x v="7"/>
    <n v="4"/>
    <x v="0"/>
  </r>
  <r>
    <d v="2020-09-04T00:00:00"/>
    <x v="2"/>
    <x v="1"/>
    <x v="0"/>
    <n v="84021544.409999996"/>
    <x v="2"/>
    <x v="1"/>
    <x v="0"/>
    <x v="8"/>
    <x v="5"/>
    <x v="3"/>
    <x v="5"/>
    <x v="3"/>
    <x v="7"/>
    <n v="4"/>
    <x v="0"/>
  </r>
  <r>
    <d v="2020-09-04T00:00:00"/>
    <x v="0"/>
    <x v="1"/>
    <x v="0"/>
    <n v="24766399.489999998"/>
    <x v="0"/>
    <x v="1"/>
    <x v="0"/>
    <x v="1"/>
    <x v="5"/>
    <x v="3"/>
    <x v="5"/>
    <x v="3"/>
    <x v="7"/>
    <n v="4"/>
    <x v="0"/>
  </r>
  <r>
    <d v="2020-09-04T00:00:00"/>
    <x v="1"/>
    <x v="0"/>
    <x v="0"/>
    <n v="70864146.640000001"/>
    <x v="1"/>
    <x v="0"/>
    <x v="0"/>
    <x v="9"/>
    <x v="5"/>
    <x v="3"/>
    <x v="5"/>
    <x v="3"/>
    <x v="7"/>
    <n v="4"/>
    <x v="0"/>
  </r>
  <r>
    <d v="2020-09-04T00:00:00"/>
    <x v="3"/>
    <x v="3"/>
    <x v="0"/>
    <n v="1084241031.1800001"/>
    <x v="3"/>
    <x v="3"/>
    <x v="0"/>
    <x v="10"/>
    <x v="5"/>
    <x v="3"/>
    <x v="5"/>
    <x v="3"/>
    <x v="7"/>
    <n v="4"/>
    <x v="0"/>
  </r>
  <r>
    <d v="2020-09-04T00:00:00"/>
    <x v="3"/>
    <x v="2"/>
    <x v="2"/>
    <n v="399351.4"/>
    <x v="3"/>
    <x v="2"/>
    <x v="2"/>
    <x v="6"/>
    <x v="5"/>
    <x v="3"/>
    <x v="5"/>
    <x v="3"/>
    <x v="7"/>
    <n v="4"/>
    <x v="0"/>
  </r>
  <r>
    <d v="2020-09-04T00:00:00"/>
    <x v="0"/>
    <x v="0"/>
    <x v="0"/>
    <n v="250"/>
    <x v="0"/>
    <x v="0"/>
    <x v="0"/>
    <x v="0"/>
    <x v="5"/>
    <x v="3"/>
    <x v="5"/>
    <x v="3"/>
    <x v="7"/>
    <n v="4"/>
    <x v="0"/>
  </r>
  <r>
    <d v="2020-09-04T00:00:00"/>
    <x v="3"/>
    <x v="3"/>
    <x v="1"/>
    <n v="5305585.5"/>
    <x v="3"/>
    <x v="3"/>
    <x v="1"/>
    <x v="4"/>
    <x v="5"/>
    <x v="3"/>
    <x v="5"/>
    <x v="3"/>
    <x v="7"/>
    <n v="4"/>
    <x v="0"/>
  </r>
  <r>
    <d v="2020-09-04T00:00:00"/>
    <x v="2"/>
    <x v="1"/>
    <x v="1"/>
    <n v="103293695.3"/>
    <x v="2"/>
    <x v="1"/>
    <x v="1"/>
    <x v="7"/>
    <x v="5"/>
    <x v="3"/>
    <x v="5"/>
    <x v="3"/>
    <x v="7"/>
    <n v="4"/>
    <x v="0"/>
  </r>
  <r>
    <d v="2020-09-04T00:00:00"/>
    <x v="1"/>
    <x v="0"/>
    <x v="1"/>
    <n v="216836554.03999999"/>
    <x v="1"/>
    <x v="0"/>
    <x v="1"/>
    <x v="11"/>
    <x v="5"/>
    <x v="3"/>
    <x v="5"/>
    <x v="3"/>
    <x v="7"/>
    <n v="4"/>
    <x v="0"/>
  </r>
  <r>
    <d v="2020-09-04T00:00:00"/>
    <x v="3"/>
    <x v="2"/>
    <x v="0"/>
    <n v="493938477.69999999"/>
    <x v="3"/>
    <x v="2"/>
    <x v="0"/>
    <x v="12"/>
    <x v="5"/>
    <x v="3"/>
    <x v="5"/>
    <x v="3"/>
    <x v="7"/>
    <n v="4"/>
    <x v="0"/>
  </r>
  <r>
    <d v="2020-09-04T00:00:00"/>
    <x v="3"/>
    <x v="2"/>
    <x v="1"/>
    <n v="10433836460.860001"/>
    <x v="3"/>
    <x v="2"/>
    <x v="1"/>
    <x v="13"/>
    <x v="5"/>
    <x v="3"/>
    <x v="5"/>
    <x v="3"/>
    <x v="7"/>
    <n v="4"/>
    <x v="0"/>
  </r>
  <r>
    <d v="2020-09-04T00:00:00"/>
    <x v="3"/>
    <x v="1"/>
    <x v="0"/>
    <n v="15166999.16"/>
    <x v="3"/>
    <x v="1"/>
    <x v="0"/>
    <x v="14"/>
    <x v="5"/>
    <x v="3"/>
    <x v="5"/>
    <x v="3"/>
    <x v="7"/>
    <n v="4"/>
    <x v="0"/>
  </r>
  <r>
    <d v="2020-09-03T00:00:00"/>
    <x v="1"/>
    <x v="0"/>
    <x v="2"/>
    <n v="8767.9699999999993"/>
    <x v="1"/>
    <x v="0"/>
    <x v="2"/>
    <x v="2"/>
    <x v="5"/>
    <x v="3"/>
    <x v="5"/>
    <x v="3"/>
    <x v="7"/>
    <n v="3"/>
    <x v="0"/>
  </r>
  <r>
    <d v="2020-09-03T00:00:00"/>
    <x v="2"/>
    <x v="1"/>
    <x v="1"/>
    <n v="16019111.789999999"/>
    <x v="2"/>
    <x v="1"/>
    <x v="1"/>
    <x v="6"/>
    <x v="5"/>
    <x v="3"/>
    <x v="5"/>
    <x v="3"/>
    <x v="7"/>
    <n v="3"/>
    <x v="0"/>
  </r>
  <r>
    <d v="2020-09-03T00:00:00"/>
    <x v="2"/>
    <x v="1"/>
    <x v="2"/>
    <n v="5755"/>
    <x v="2"/>
    <x v="1"/>
    <x v="2"/>
    <x v="3"/>
    <x v="5"/>
    <x v="3"/>
    <x v="5"/>
    <x v="3"/>
    <x v="7"/>
    <n v="3"/>
    <x v="0"/>
  </r>
  <r>
    <d v="2020-09-03T00:00:00"/>
    <x v="3"/>
    <x v="2"/>
    <x v="2"/>
    <n v="401656.98"/>
    <x v="3"/>
    <x v="2"/>
    <x v="2"/>
    <x v="4"/>
    <x v="5"/>
    <x v="3"/>
    <x v="5"/>
    <x v="3"/>
    <x v="7"/>
    <n v="3"/>
    <x v="0"/>
  </r>
  <r>
    <d v="2020-09-03T00:00:00"/>
    <x v="0"/>
    <x v="1"/>
    <x v="0"/>
    <n v="18566894.690000001"/>
    <x v="0"/>
    <x v="1"/>
    <x v="0"/>
    <x v="1"/>
    <x v="5"/>
    <x v="3"/>
    <x v="5"/>
    <x v="3"/>
    <x v="7"/>
    <n v="3"/>
    <x v="0"/>
  </r>
  <r>
    <d v="2020-09-03T00:00:00"/>
    <x v="0"/>
    <x v="1"/>
    <x v="1"/>
    <n v="317644686.67000002"/>
    <x v="0"/>
    <x v="1"/>
    <x v="1"/>
    <x v="5"/>
    <x v="5"/>
    <x v="3"/>
    <x v="5"/>
    <x v="3"/>
    <x v="7"/>
    <n v="3"/>
    <x v="0"/>
  </r>
  <r>
    <d v="2020-09-03T00:00:00"/>
    <x v="3"/>
    <x v="3"/>
    <x v="0"/>
    <n v="1266905757.51"/>
    <x v="3"/>
    <x v="3"/>
    <x v="0"/>
    <x v="8"/>
    <x v="5"/>
    <x v="3"/>
    <x v="5"/>
    <x v="3"/>
    <x v="7"/>
    <n v="3"/>
    <x v="0"/>
  </r>
  <r>
    <d v="2020-09-03T00:00:00"/>
    <x v="0"/>
    <x v="0"/>
    <x v="0"/>
    <n v="340"/>
    <x v="0"/>
    <x v="0"/>
    <x v="0"/>
    <x v="0"/>
    <x v="5"/>
    <x v="3"/>
    <x v="5"/>
    <x v="3"/>
    <x v="7"/>
    <n v="3"/>
    <x v="0"/>
  </r>
  <r>
    <d v="2020-09-03T00:00:00"/>
    <x v="2"/>
    <x v="1"/>
    <x v="0"/>
    <n v="93338547.959999993"/>
    <x v="2"/>
    <x v="1"/>
    <x v="0"/>
    <x v="7"/>
    <x v="5"/>
    <x v="3"/>
    <x v="5"/>
    <x v="3"/>
    <x v="7"/>
    <n v="3"/>
    <x v="0"/>
  </r>
  <r>
    <d v="2020-09-03T00:00:00"/>
    <x v="1"/>
    <x v="0"/>
    <x v="0"/>
    <n v="57805208.649999999"/>
    <x v="1"/>
    <x v="0"/>
    <x v="0"/>
    <x v="9"/>
    <x v="5"/>
    <x v="3"/>
    <x v="5"/>
    <x v="3"/>
    <x v="7"/>
    <n v="3"/>
    <x v="0"/>
  </r>
  <r>
    <d v="2020-09-03T00:00:00"/>
    <x v="1"/>
    <x v="0"/>
    <x v="1"/>
    <n v="549703780.22000003"/>
    <x v="1"/>
    <x v="0"/>
    <x v="1"/>
    <x v="10"/>
    <x v="5"/>
    <x v="3"/>
    <x v="5"/>
    <x v="3"/>
    <x v="7"/>
    <n v="3"/>
    <x v="0"/>
  </r>
  <r>
    <d v="2020-09-03T00:00:00"/>
    <x v="3"/>
    <x v="2"/>
    <x v="0"/>
    <n v="451622471.14999998"/>
    <x v="3"/>
    <x v="2"/>
    <x v="0"/>
    <x v="11"/>
    <x v="5"/>
    <x v="3"/>
    <x v="5"/>
    <x v="3"/>
    <x v="7"/>
    <n v="3"/>
    <x v="0"/>
  </r>
  <r>
    <d v="2020-09-03T00:00:00"/>
    <x v="3"/>
    <x v="1"/>
    <x v="0"/>
    <n v="15109164.460000001"/>
    <x v="3"/>
    <x v="1"/>
    <x v="0"/>
    <x v="12"/>
    <x v="5"/>
    <x v="3"/>
    <x v="5"/>
    <x v="3"/>
    <x v="7"/>
    <n v="3"/>
    <x v="0"/>
  </r>
  <r>
    <d v="2020-09-03T00:00:00"/>
    <x v="3"/>
    <x v="2"/>
    <x v="1"/>
    <n v="4826305519.2700005"/>
    <x v="3"/>
    <x v="2"/>
    <x v="1"/>
    <x v="13"/>
    <x v="5"/>
    <x v="3"/>
    <x v="5"/>
    <x v="3"/>
    <x v="7"/>
    <n v="3"/>
    <x v="0"/>
  </r>
  <r>
    <d v="2020-09-02T00:00:00"/>
    <x v="2"/>
    <x v="1"/>
    <x v="2"/>
    <n v="9345"/>
    <x v="2"/>
    <x v="1"/>
    <x v="2"/>
    <x v="5"/>
    <x v="5"/>
    <x v="3"/>
    <x v="5"/>
    <x v="3"/>
    <x v="7"/>
    <n v="2"/>
    <x v="0"/>
  </r>
  <r>
    <d v="2020-09-02T00:00:00"/>
    <x v="1"/>
    <x v="0"/>
    <x v="2"/>
    <n v="10292.48"/>
    <x v="1"/>
    <x v="0"/>
    <x v="2"/>
    <x v="2"/>
    <x v="5"/>
    <x v="3"/>
    <x v="5"/>
    <x v="3"/>
    <x v="7"/>
    <n v="2"/>
    <x v="0"/>
  </r>
  <r>
    <d v="2020-09-02T00:00:00"/>
    <x v="2"/>
    <x v="1"/>
    <x v="1"/>
    <n v="71749728.879999995"/>
    <x v="2"/>
    <x v="1"/>
    <x v="1"/>
    <x v="7"/>
    <x v="5"/>
    <x v="3"/>
    <x v="5"/>
    <x v="3"/>
    <x v="7"/>
    <n v="2"/>
    <x v="0"/>
  </r>
  <r>
    <d v="2020-09-02T00:00:00"/>
    <x v="0"/>
    <x v="1"/>
    <x v="0"/>
    <n v="12562856.67"/>
    <x v="0"/>
    <x v="1"/>
    <x v="0"/>
    <x v="1"/>
    <x v="5"/>
    <x v="3"/>
    <x v="5"/>
    <x v="3"/>
    <x v="7"/>
    <n v="2"/>
    <x v="0"/>
  </r>
  <r>
    <d v="2020-09-02T00:00:00"/>
    <x v="3"/>
    <x v="2"/>
    <x v="2"/>
    <n v="1242443.46"/>
    <x v="3"/>
    <x v="2"/>
    <x v="2"/>
    <x v="4"/>
    <x v="5"/>
    <x v="3"/>
    <x v="5"/>
    <x v="3"/>
    <x v="7"/>
    <n v="2"/>
    <x v="0"/>
  </r>
  <r>
    <d v="2020-09-02T00:00:00"/>
    <x v="0"/>
    <x v="1"/>
    <x v="1"/>
    <n v="509422518.45999998"/>
    <x v="0"/>
    <x v="1"/>
    <x v="1"/>
    <x v="3"/>
    <x v="5"/>
    <x v="3"/>
    <x v="5"/>
    <x v="3"/>
    <x v="7"/>
    <n v="2"/>
    <x v="0"/>
  </r>
  <r>
    <d v="2020-09-02T00:00:00"/>
    <x v="1"/>
    <x v="0"/>
    <x v="0"/>
    <n v="57465067.789999999"/>
    <x v="1"/>
    <x v="0"/>
    <x v="0"/>
    <x v="9"/>
    <x v="5"/>
    <x v="3"/>
    <x v="5"/>
    <x v="3"/>
    <x v="7"/>
    <n v="2"/>
    <x v="0"/>
  </r>
  <r>
    <d v="2020-09-02T00:00:00"/>
    <x v="1"/>
    <x v="0"/>
    <x v="1"/>
    <n v="860158691.58000004"/>
    <x v="1"/>
    <x v="0"/>
    <x v="1"/>
    <x v="10"/>
    <x v="5"/>
    <x v="3"/>
    <x v="5"/>
    <x v="3"/>
    <x v="7"/>
    <n v="2"/>
    <x v="0"/>
  </r>
  <r>
    <d v="2020-09-02T00:00:00"/>
    <x v="3"/>
    <x v="3"/>
    <x v="0"/>
    <n v="878804661.95000005"/>
    <x v="3"/>
    <x v="3"/>
    <x v="0"/>
    <x v="6"/>
    <x v="5"/>
    <x v="3"/>
    <x v="5"/>
    <x v="3"/>
    <x v="7"/>
    <n v="2"/>
    <x v="0"/>
  </r>
  <r>
    <d v="2020-09-02T00:00:00"/>
    <x v="0"/>
    <x v="0"/>
    <x v="0"/>
    <n v="800"/>
    <x v="0"/>
    <x v="0"/>
    <x v="0"/>
    <x v="0"/>
    <x v="5"/>
    <x v="3"/>
    <x v="5"/>
    <x v="3"/>
    <x v="7"/>
    <n v="2"/>
    <x v="0"/>
  </r>
  <r>
    <d v="2020-09-02T00:00:00"/>
    <x v="2"/>
    <x v="1"/>
    <x v="0"/>
    <n v="115607144.59"/>
    <x v="2"/>
    <x v="1"/>
    <x v="0"/>
    <x v="8"/>
    <x v="5"/>
    <x v="3"/>
    <x v="5"/>
    <x v="3"/>
    <x v="7"/>
    <n v="2"/>
    <x v="0"/>
  </r>
  <r>
    <d v="2020-09-02T00:00:00"/>
    <x v="3"/>
    <x v="2"/>
    <x v="0"/>
    <n v="925777151.95000005"/>
    <x v="3"/>
    <x v="2"/>
    <x v="0"/>
    <x v="11"/>
    <x v="5"/>
    <x v="3"/>
    <x v="5"/>
    <x v="3"/>
    <x v="7"/>
    <n v="2"/>
    <x v="0"/>
  </r>
  <r>
    <d v="2020-09-02T00:00:00"/>
    <x v="3"/>
    <x v="1"/>
    <x v="0"/>
    <n v="14859600.710000001"/>
    <x v="3"/>
    <x v="1"/>
    <x v="0"/>
    <x v="12"/>
    <x v="5"/>
    <x v="3"/>
    <x v="5"/>
    <x v="3"/>
    <x v="7"/>
    <n v="2"/>
    <x v="0"/>
  </r>
  <r>
    <d v="2020-09-02T00:00:00"/>
    <x v="3"/>
    <x v="2"/>
    <x v="1"/>
    <n v="11993000028.58"/>
    <x v="3"/>
    <x v="2"/>
    <x v="1"/>
    <x v="13"/>
    <x v="5"/>
    <x v="3"/>
    <x v="5"/>
    <x v="3"/>
    <x v="7"/>
    <n v="2"/>
    <x v="0"/>
  </r>
  <r>
    <d v="2020-09-01T00:00:00"/>
    <x v="2"/>
    <x v="1"/>
    <x v="1"/>
    <n v="71961136.230000004"/>
    <x v="2"/>
    <x v="1"/>
    <x v="1"/>
    <x v="6"/>
    <x v="5"/>
    <x v="3"/>
    <x v="5"/>
    <x v="3"/>
    <x v="7"/>
    <n v="1"/>
    <x v="0"/>
  </r>
  <r>
    <d v="2020-09-01T00:00:00"/>
    <x v="2"/>
    <x v="1"/>
    <x v="2"/>
    <n v="59841.88"/>
    <x v="2"/>
    <x v="1"/>
    <x v="2"/>
    <x v="3"/>
    <x v="5"/>
    <x v="3"/>
    <x v="5"/>
    <x v="3"/>
    <x v="7"/>
    <n v="1"/>
    <x v="0"/>
  </r>
  <r>
    <d v="2020-09-01T00:00:00"/>
    <x v="0"/>
    <x v="1"/>
    <x v="0"/>
    <n v="6342810.6799999997"/>
    <x v="0"/>
    <x v="1"/>
    <x v="0"/>
    <x v="1"/>
    <x v="5"/>
    <x v="3"/>
    <x v="5"/>
    <x v="3"/>
    <x v="7"/>
    <n v="1"/>
    <x v="0"/>
  </r>
  <r>
    <d v="2020-09-01T00:00:00"/>
    <x v="3"/>
    <x v="2"/>
    <x v="2"/>
    <n v="230859.85"/>
    <x v="3"/>
    <x v="2"/>
    <x v="2"/>
    <x v="5"/>
    <x v="5"/>
    <x v="3"/>
    <x v="5"/>
    <x v="3"/>
    <x v="7"/>
    <n v="1"/>
    <x v="0"/>
  </r>
  <r>
    <d v="2020-09-01T00:00:00"/>
    <x v="0"/>
    <x v="1"/>
    <x v="1"/>
    <n v="808397412.96000004"/>
    <x v="0"/>
    <x v="1"/>
    <x v="1"/>
    <x v="4"/>
    <x v="5"/>
    <x v="3"/>
    <x v="5"/>
    <x v="3"/>
    <x v="7"/>
    <n v="1"/>
    <x v="0"/>
  </r>
  <r>
    <d v="2020-09-01T00:00:00"/>
    <x v="1"/>
    <x v="0"/>
    <x v="0"/>
    <n v="78565952.269999996"/>
    <x v="1"/>
    <x v="0"/>
    <x v="0"/>
    <x v="9"/>
    <x v="5"/>
    <x v="3"/>
    <x v="5"/>
    <x v="3"/>
    <x v="7"/>
    <n v="1"/>
    <x v="0"/>
  </r>
  <r>
    <d v="2020-09-01T00:00:00"/>
    <x v="1"/>
    <x v="0"/>
    <x v="1"/>
    <n v="475651323.81999999"/>
    <x v="1"/>
    <x v="0"/>
    <x v="1"/>
    <x v="10"/>
    <x v="5"/>
    <x v="3"/>
    <x v="5"/>
    <x v="3"/>
    <x v="7"/>
    <n v="1"/>
    <x v="0"/>
  </r>
  <r>
    <d v="2020-09-01T00:00:00"/>
    <x v="0"/>
    <x v="0"/>
    <x v="0"/>
    <n v="2200"/>
    <x v="0"/>
    <x v="0"/>
    <x v="0"/>
    <x v="0"/>
    <x v="5"/>
    <x v="3"/>
    <x v="5"/>
    <x v="3"/>
    <x v="7"/>
    <n v="1"/>
    <x v="0"/>
  </r>
  <r>
    <d v="2020-09-01T00:00:00"/>
    <x v="2"/>
    <x v="1"/>
    <x v="0"/>
    <n v="101772935.17"/>
    <x v="2"/>
    <x v="1"/>
    <x v="0"/>
    <x v="7"/>
    <x v="5"/>
    <x v="3"/>
    <x v="5"/>
    <x v="3"/>
    <x v="7"/>
    <n v="1"/>
    <x v="0"/>
  </r>
  <r>
    <d v="2020-09-01T00:00:00"/>
    <x v="1"/>
    <x v="0"/>
    <x v="2"/>
    <n v="55095.519999999997"/>
    <x v="1"/>
    <x v="0"/>
    <x v="2"/>
    <x v="2"/>
    <x v="5"/>
    <x v="3"/>
    <x v="5"/>
    <x v="3"/>
    <x v="7"/>
    <n v="1"/>
    <x v="0"/>
  </r>
  <r>
    <d v="2020-09-01T00:00:00"/>
    <x v="3"/>
    <x v="3"/>
    <x v="0"/>
    <n v="2774974171.25"/>
    <x v="3"/>
    <x v="3"/>
    <x v="0"/>
    <x v="8"/>
    <x v="5"/>
    <x v="3"/>
    <x v="5"/>
    <x v="3"/>
    <x v="7"/>
    <n v="1"/>
    <x v="0"/>
  </r>
  <r>
    <d v="2020-09-01T00:00:00"/>
    <x v="3"/>
    <x v="2"/>
    <x v="0"/>
    <n v="478194291.68000001"/>
    <x v="3"/>
    <x v="2"/>
    <x v="0"/>
    <x v="11"/>
    <x v="5"/>
    <x v="3"/>
    <x v="5"/>
    <x v="3"/>
    <x v="7"/>
    <n v="1"/>
    <x v="0"/>
  </r>
  <r>
    <d v="2020-09-01T00:00:00"/>
    <x v="3"/>
    <x v="1"/>
    <x v="0"/>
    <n v="10646584.32"/>
    <x v="3"/>
    <x v="1"/>
    <x v="0"/>
    <x v="12"/>
    <x v="5"/>
    <x v="3"/>
    <x v="5"/>
    <x v="3"/>
    <x v="7"/>
    <n v="1"/>
    <x v="0"/>
  </r>
  <r>
    <d v="2020-09-01T00:00:00"/>
    <x v="3"/>
    <x v="2"/>
    <x v="1"/>
    <n v="16389947523.450001"/>
    <x v="3"/>
    <x v="2"/>
    <x v="1"/>
    <x v="13"/>
    <x v="5"/>
    <x v="3"/>
    <x v="5"/>
    <x v="3"/>
    <x v="7"/>
    <n v="1"/>
    <x v="0"/>
  </r>
  <r>
    <d v="2020-08-31T00:00:00"/>
    <x v="2"/>
    <x v="1"/>
    <x v="2"/>
    <n v="6580"/>
    <x v="2"/>
    <x v="1"/>
    <x v="2"/>
    <x v="1"/>
    <x v="5"/>
    <x v="3"/>
    <x v="5"/>
    <x v="3"/>
    <x v="8"/>
    <n v="31"/>
    <x v="0"/>
  </r>
  <r>
    <d v="2020-08-31T00:00:00"/>
    <x v="3"/>
    <x v="3"/>
    <x v="0"/>
    <n v="1754187092.76"/>
    <x v="3"/>
    <x v="3"/>
    <x v="0"/>
    <x v="6"/>
    <x v="5"/>
    <x v="3"/>
    <x v="5"/>
    <x v="3"/>
    <x v="8"/>
    <n v="31"/>
    <x v="0"/>
  </r>
  <r>
    <d v="2020-08-31T00:00:00"/>
    <x v="0"/>
    <x v="1"/>
    <x v="0"/>
    <n v="16986753.260000002"/>
    <x v="0"/>
    <x v="1"/>
    <x v="0"/>
    <x v="0"/>
    <x v="5"/>
    <x v="3"/>
    <x v="5"/>
    <x v="3"/>
    <x v="8"/>
    <n v="31"/>
    <x v="0"/>
  </r>
  <r>
    <d v="2020-08-31T00:00:00"/>
    <x v="2"/>
    <x v="1"/>
    <x v="0"/>
    <n v="67497524.560000002"/>
    <x v="2"/>
    <x v="1"/>
    <x v="0"/>
    <x v="7"/>
    <x v="5"/>
    <x v="3"/>
    <x v="5"/>
    <x v="3"/>
    <x v="8"/>
    <n v="31"/>
    <x v="0"/>
  </r>
  <r>
    <d v="2020-08-31T00:00:00"/>
    <x v="0"/>
    <x v="1"/>
    <x v="1"/>
    <n v="547550905.17999995"/>
    <x v="0"/>
    <x v="1"/>
    <x v="1"/>
    <x v="4"/>
    <x v="5"/>
    <x v="3"/>
    <x v="5"/>
    <x v="3"/>
    <x v="8"/>
    <n v="31"/>
    <x v="0"/>
  </r>
  <r>
    <d v="2020-08-31T00:00:00"/>
    <x v="3"/>
    <x v="2"/>
    <x v="2"/>
    <n v="94896.07"/>
    <x v="3"/>
    <x v="2"/>
    <x v="2"/>
    <x v="5"/>
    <x v="5"/>
    <x v="3"/>
    <x v="5"/>
    <x v="3"/>
    <x v="8"/>
    <n v="31"/>
    <x v="0"/>
  </r>
  <r>
    <d v="2020-08-31T00:00:00"/>
    <x v="1"/>
    <x v="0"/>
    <x v="0"/>
    <n v="62369377.630000003"/>
    <x v="1"/>
    <x v="0"/>
    <x v="0"/>
    <x v="9"/>
    <x v="5"/>
    <x v="3"/>
    <x v="5"/>
    <x v="3"/>
    <x v="8"/>
    <n v="31"/>
    <x v="0"/>
  </r>
  <r>
    <d v="2020-08-31T00:00:00"/>
    <x v="2"/>
    <x v="1"/>
    <x v="1"/>
    <n v="42564296.609999999"/>
    <x v="2"/>
    <x v="1"/>
    <x v="1"/>
    <x v="8"/>
    <x v="5"/>
    <x v="3"/>
    <x v="5"/>
    <x v="3"/>
    <x v="8"/>
    <n v="31"/>
    <x v="0"/>
  </r>
  <r>
    <d v="2020-08-31T00:00:00"/>
    <x v="3"/>
    <x v="3"/>
    <x v="1"/>
    <n v="4520444.96"/>
    <x v="3"/>
    <x v="3"/>
    <x v="1"/>
    <x v="3"/>
    <x v="5"/>
    <x v="3"/>
    <x v="5"/>
    <x v="3"/>
    <x v="8"/>
    <n v="31"/>
    <x v="0"/>
  </r>
  <r>
    <d v="2020-08-31T00:00:00"/>
    <x v="1"/>
    <x v="0"/>
    <x v="2"/>
    <n v="20173.61"/>
    <x v="1"/>
    <x v="0"/>
    <x v="2"/>
    <x v="2"/>
    <x v="5"/>
    <x v="3"/>
    <x v="5"/>
    <x v="3"/>
    <x v="8"/>
    <n v="31"/>
    <x v="0"/>
  </r>
  <r>
    <d v="2020-08-31T00:00:00"/>
    <x v="1"/>
    <x v="0"/>
    <x v="1"/>
    <n v="298741627.20999998"/>
    <x v="1"/>
    <x v="0"/>
    <x v="1"/>
    <x v="10"/>
    <x v="5"/>
    <x v="3"/>
    <x v="5"/>
    <x v="3"/>
    <x v="8"/>
    <n v="31"/>
    <x v="0"/>
  </r>
  <r>
    <d v="2020-08-31T00:00:00"/>
    <x v="3"/>
    <x v="2"/>
    <x v="0"/>
    <n v="747566514.23000002"/>
    <x v="3"/>
    <x v="2"/>
    <x v="0"/>
    <x v="11"/>
    <x v="5"/>
    <x v="3"/>
    <x v="5"/>
    <x v="3"/>
    <x v="8"/>
    <n v="31"/>
    <x v="0"/>
  </r>
  <r>
    <d v="2020-08-31T00:00:00"/>
    <x v="3"/>
    <x v="2"/>
    <x v="1"/>
    <n v="16153847132.24"/>
    <x v="3"/>
    <x v="2"/>
    <x v="1"/>
    <x v="12"/>
    <x v="5"/>
    <x v="3"/>
    <x v="5"/>
    <x v="3"/>
    <x v="8"/>
    <n v="31"/>
    <x v="0"/>
  </r>
  <r>
    <d v="2020-08-31T00:00:00"/>
    <x v="3"/>
    <x v="1"/>
    <x v="0"/>
    <n v="43264388.079999998"/>
    <x v="3"/>
    <x v="1"/>
    <x v="0"/>
    <x v="13"/>
    <x v="5"/>
    <x v="3"/>
    <x v="5"/>
    <x v="3"/>
    <x v="8"/>
    <n v="31"/>
    <x v="0"/>
  </r>
  <r>
    <d v="2020-08-28T00:00:00"/>
    <x v="0"/>
    <x v="1"/>
    <x v="0"/>
    <n v="14352814.939999999"/>
    <x v="0"/>
    <x v="1"/>
    <x v="0"/>
    <x v="1"/>
    <x v="5"/>
    <x v="3"/>
    <x v="5"/>
    <x v="3"/>
    <x v="8"/>
    <n v="28"/>
    <x v="0"/>
  </r>
  <r>
    <d v="2020-08-28T00:00:00"/>
    <x v="2"/>
    <x v="1"/>
    <x v="2"/>
    <n v="307517.71999999997"/>
    <x v="2"/>
    <x v="1"/>
    <x v="2"/>
    <x v="3"/>
    <x v="5"/>
    <x v="3"/>
    <x v="5"/>
    <x v="3"/>
    <x v="8"/>
    <n v="28"/>
    <x v="0"/>
  </r>
  <r>
    <d v="2020-08-28T00:00:00"/>
    <x v="2"/>
    <x v="1"/>
    <x v="0"/>
    <n v="98917100.099999994"/>
    <x v="2"/>
    <x v="1"/>
    <x v="0"/>
    <x v="7"/>
    <x v="5"/>
    <x v="3"/>
    <x v="5"/>
    <x v="3"/>
    <x v="8"/>
    <n v="28"/>
    <x v="0"/>
  </r>
  <r>
    <d v="2020-08-28T00:00:00"/>
    <x v="3"/>
    <x v="3"/>
    <x v="0"/>
    <n v="2118000587.75"/>
    <x v="3"/>
    <x v="3"/>
    <x v="0"/>
    <x v="9"/>
    <x v="5"/>
    <x v="3"/>
    <x v="5"/>
    <x v="3"/>
    <x v="8"/>
    <n v="28"/>
    <x v="0"/>
  </r>
  <r>
    <d v="2020-08-28T00:00:00"/>
    <x v="3"/>
    <x v="3"/>
    <x v="1"/>
    <n v="99933.28"/>
    <x v="3"/>
    <x v="3"/>
    <x v="1"/>
    <x v="4"/>
    <x v="5"/>
    <x v="3"/>
    <x v="5"/>
    <x v="3"/>
    <x v="8"/>
    <n v="28"/>
    <x v="0"/>
  </r>
  <r>
    <d v="2020-08-28T00:00:00"/>
    <x v="0"/>
    <x v="1"/>
    <x v="1"/>
    <n v="143913103.50999999"/>
    <x v="0"/>
    <x v="1"/>
    <x v="1"/>
    <x v="5"/>
    <x v="5"/>
    <x v="3"/>
    <x v="5"/>
    <x v="3"/>
    <x v="8"/>
    <n v="28"/>
    <x v="0"/>
  </r>
  <r>
    <d v="2020-08-28T00:00:00"/>
    <x v="3"/>
    <x v="2"/>
    <x v="2"/>
    <n v="125808.22"/>
    <x v="3"/>
    <x v="2"/>
    <x v="2"/>
    <x v="6"/>
    <x v="5"/>
    <x v="3"/>
    <x v="5"/>
    <x v="3"/>
    <x v="8"/>
    <n v="28"/>
    <x v="0"/>
  </r>
  <r>
    <d v="2020-08-28T00:00:00"/>
    <x v="1"/>
    <x v="0"/>
    <x v="2"/>
    <n v="39488.79"/>
    <x v="1"/>
    <x v="0"/>
    <x v="2"/>
    <x v="2"/>
    <x v="5"/>
    <x v="3"/>
    <x v="5"/>
    <x v="3"/>
    <x v="8"/>
    <n v="28"/>
    <x v="0"/>
  </r>
  <r>
    <d v="2020-08-28T00:00:00"/>
    <x v="0"/>
    <x v="0"/>
    <x v="0"/>
    <n v="2317.2800000000002"/>
    <x v="0"/>
    <x v="0"/>
    <x v="0"/>
    <x v="0"/>
    <x v="5"/>
    <x v="3"/>
    <x v="5"/>
    <x v="3"/>
    <x v="8"/>
    <n v="28"/>
    <x v="0"/>
  </r>
  <r>
    <d v="2020-08-28T00:00:00"/>
    <x v="2"/>
    <x v="1"/>
    <x v="1"/>
    <n v="94473589.799999997"/>
    <x v="2"/>
    <x v="1"/>
    <x v="1"/>
    <x v="8"/>
    <x v="5"/>
    <x v="3"/>
    <x v="5"/>
    <x v="3"/>
    <x v="8"/>
    <n v="28"/>
    <x v="0"/>
  </r>
  <r>
    <d v="2020-08-28T00:00:00"/>
    <x v="1"/>
    <x v="0"/>
    <x v="0"/>
    <n v="68426268.329999998"/>
    <x v="1"/>
    <x v="0"/>
    <x v="0"/>
    <x v="10"/>
    <x v="5"/>
    <x v="3"/>
    <x v="5"/>
    <x v="3"/>
    <x v="8"/>
    <n v="28"/>
    <x v="0"/>
  </r>
  <r>
    <d v="2020-08-28T00:00:00"/>
    <x v="1"/>
    <x v="0"/>
    <x v="1"/>
    <n v="181876915.36000001"/>
    <x v="1"/>
    <x v="0"/>
    <x v="1"/>
    <x v="11"/>
    <x v="5"/>
    <x v="3"/>
    <x v="5"/>
    <x v="3"/>
    <x v="8"/>
    <n v="28"/>
    <x v="0"/>
  </r>
  <r>
    <d v="2020-08-28T00:00:00"/>
    <x v="3"/>
    <x v="2"/>
    <x v="0"/>
    <n v="2175260528.9299998"/>
    <x v="3"/>
    <x v="2"/>
    <x v="0"/>
    <x v="12"/>
    <x v="5"/>
    <x v="3"/>
    <x v="5"/>
    <x v="3"/>
    <x v="8"/>
    <n v="28"/>
    <x v="0"/>
  </r>
  <r>
    <d v="2020-08-28T00:00:00"/>
    <x v="3"/>
    <x v="2"/>
    <x v="1"/>
    <n v="7159971381.1999998"/>
    <x v="3"/>
    <x v="2"/>
    <x v="1"/>
    <x v="13"/>
    <x v="5"/>
    <x v="3"/>
    <x v="5"/>
    <x v="3"/>
    <x v="8"/>
    <n v="28"/>
    <x v="0"/>
  </r>
  <r>
    <d v="2020-08-28T00:00:00"/>
    <x v="3"/>
    <x v="1"/>
    <x v="0"/>
    <n v="13160803.4"/>
    <x v="3"/>
    <x v="1"/>
    <x v="0"/>
    <x v="14"/>
    <x v="5"/>
    <x v="3"/>
    <x v="5"/>
    <x v="3"/>
    <x v="8"/>
    <n v="28"/>
    <x v="0"/>
  </r>
  <r>
    <d v="2020-08-27T00:00:00"/>
    <x v="1"/>
    <x v="0"/>
    <x v="2"/>
    <n v="1747.97"/>
    <x v="1"/>
    <x v="0"/>
    <x v="2"/>
    <x v="2"/>
    <x v="5"/>
    <x v="3"/>
    <x v="5"/>
    <x v="3"/>
    <x v="8"/>
    <n v="27"/>
    <x v="0"/>
  </r>
  <r>
    <d v="2020-08-27T00:00:00"/>
    <x v="2"/>
    <x v="1"/>
    <x v="0"/>
    <n v="100148737.68000001"/>
    <x v="2"/>
    <x v="1"/>
    <x v="0"/>
    <x v="6"/>
    <x v="5"/>
    <x v="3"/>
    <x v="5"/>
    <x v="3"/>
    <x v="8"/>
    <n v="27"/>
    <x v="0"/>
  </r>
  <r>
    <d v="2020-08-27T00:00:00"/>
    <x v="0"/>
    <x v="1"/>
    <x v="0"/>
    <n v="35552146.619999997"/>
    <x v="0"/>
    <x v="1"/>
    <x v="0"/>
    <x v="1"/>
    <x v="5"/>
    <x v="3"/>
    <x v="5"/>
    <x v="3"/>
    <x v="8"/>
    <n v="27"/>
    <x v="0"/>
  </r>
  <r>
    <d v="2020-08-27T00:00:00"/>
    <x v="0"/>
    <x v="1"/>
    <x v="1"/>
    <n v="237589105.69"/>
    <x v="0"/>
    <x v="1"/>
    <x v="1"/>
    <x v="4"/>
    <x v="5"/>
    <x v="3"/>
    <x v="5"/>
    <x v="3"/>
    <x v="8"/>
    <n v="27"/>
    <x v="0"/>
  </r>
  <r>
    <d v="2020-08-27T00:00:00"/>
    <x v="3"/>
    <x v="2"/>
    <x v="2"/>
    <n v="309865.34000000003"/>
    <x v="3"/>
    <x v="2"/>
    <x v="2"/>
    <x v="5"/>
    <x v="5"/>
    <x v="3"/>
    <x v="5"/>
    <x v="3"/>
    <x v="8"/>
    <n v="27"/>
    <x v="0"/>
  </r>
  <r>
    <d v="2020-08-27T00:00:00"/>
    <x v="0"/>
    <x v="0"/>
    <x v="0"/>
    <n v="1000"/>
    <x v="0"/>
    <x v="0"/>
    <x v="0"/>
    <x v="0"/>
    <x v="5"/>
    <x v="3"/>
    <x v="5"/>
    <x v="3"/>
    <x v="8"/>
    <n v="27"/>
    <x v="0"/>
  </r>
  <r>
    <d v="2020-08-27T00:00:00"/>
    <x v="3"/>
    <x v="3"/>
    <x v="1"/>
    <n v="69228.33"/>
    <x v="3"/>
    <x v="3"/>
    <x v="1"/>
    <x v="3"/>
    <x v="5"/>
    <x v="3"/>
    <x v="5"/>
    <x v="3"/>
    <x v="8"/>
    <n v="27"/>
    <x v="0"/>
  </r>
  <r>
    <d v="2020-08-27T00:00:00"/>
    <x v="2"/>
    <x v="1"/>
    <x v="1"/>
    <n v="40513570.189999998"/>
    <x v="2"/>
    <x v="1"/>
    <x v="1"/>
    <x v="7"/>
    <x v="5"/>
    <x v="3"/>
    <x v="5"/>
    <x v="3"/>
    <x v="8"/>
    <n v="27"/>
    <x v="0"/>
  </r>
  <r>
    <d v="2020-08-27T00:00:00"/>
    <x v="1"/>
    <x v="0"/>
    <x v="0"/>
    <n v="51776634.759999998"/>
    <x v="1"/>
    <x v="0"/>
    <x v="0"/>
    <x v="8"/>
    <x v="5"/>
    <x v="3"/>
    <x v="5"/>
    <x v="3"/>
    <x v="8"/>
    <n v="27"/>
    <x v="0"/>
  </r>
  <r>
    <d v="2020-08-27T00:00:00"/>
    <x v="3"/>
    <x v="3"/>
    <x v="0"/>
    <n v="3469157301.8299999"/>
    <x v="3"/>
    <x v="3"/>
    <x v="0"/>
    <x v="9"/>
    <x v="5"/>
    <x v="3"/>
    <x v="5"/>
    <x v="3"/>
    <x v="8"/>
    <n v="27"/>
    <x v="0"/>
  </r>
  <r>
    <d v="2020-08-27T00:00:00"/>
    <x v="1"/>
    <x v="0"/>
    <x v="1"/>
    <n v="247321793.59"/>
    <x v="1"/>
    <x v="0"/>
    <x v="1"/>
    <x v="10"/>
    <x v="5"/>
    <x v="3"/>
    <x v="5"/>
    <x v="3"/>
    <x v="8"/>
    <n v="27"/>
    <x v="0"/>
  </r>
  <r>
    <d v="2020-08-27T00:00:00"/>
    <x v="3"/>
    <x v="2"/>
    <x v="0"/>
    <n v="1001316739.5"/>
    <x v="3"/>
    <x v="2"/>
    <x v="0"/>
    <x v="11"/>
    <x v="5"/>
    <x v="3"/>
    <x v="5"/>
    <x v="3"/>
    <x v="8"/>
    <n v="27"/>
    <x v="0"/>
  </r>
  <r>
    <d v="2020-08-27T00:00:00"/>
    <x v="3"/>
    <x v="2"/>
    <x v="1"/>
    <n v="3101062705.8499999"/>
    <x v="3"/>
    <x v="2"/>
    <x v="1"/>
    <x v="12"/>
    <x v="5"/>
    <x v="3"/>
    <x v="5"/>
    <x v="3"/>
    <x v="8"/>
    <n v="27"/>
    <x v="0"/>
  </r>
  <r>
    <d v="2020-08-27T00:00:00"/>
    <x v="3"/>
    <x v="1"/>
    <x v="0"/>
    <n v="14032102.25"/>
    <x v="3"/>
    <x v="1"/>
    <x v="0"/>
    <x v="13"/>
    <x v="5"/>
    <x v="3"/>
    <x v="5"/>
    <x v="3"/>
    <x v="8"/>
    <n v="27"/>
    <x v="0"/>
  </r>
  <r>
    <d v="2020-08-26T00:00:00"/>
    <x v="0"/>
    <x v="1"/>
    <x v="0"/>
    <n v="14409297.26"/>
    <x v="0"/>
    <x v="1"/>
    <x v="0"/>
    <x v="0"/>
    <x v="5"/>
    <x v="3"/>
    <x v="5"/>
    <x v="3"/>
    <x v="8"/>
    <n v="26"/>
    <x v="0"/>
  </r>
  <r>
    <d v="2020-08-26T00:00:00"/>
    <x v="1"/>
    <x v="0"/>
    <x v="2"/>
    <n v="14152.82"/>
    <x v="1"/>
    <x v="0"/>
    <x v="2"/>
    <x v="1"/>
    <x v="5"/>
    <x v="3"/>
    <x v="5"/>
    <x v="3"/>
    <x v="8"/>
    <n v="26"/>
    <x v="0"/>
  </r>
  <r>
    <d v="2020-08-26T00:00:00"/>
    <x v="2"/>
    <x v="1"/>
    <x v="0"/>
    <n v="92851593.950000003"/>
    <x v="2"/>
    <x v="1"/>
    <x v="0"/>
    <x v="6"/>
    <x v="5"/>
    <x v="3"/>
    <x v="5"/>
    <x v="3"/>
    <x v="8"/>
    <n v="26"/>
    <x v="0"/>
  </r>
  <r>
    <d v="2020-08-26T00:00:00"/>
    <x v="2"/>
    <x v="1"/>
    <x v="1"/>
    <n v="139114469.44999999"/>
    <x v="2"/>
    <x v="1"/>
    <x v="1"/>
    <x v="7"/>
    <x v="5"/>
    <x v="3"/>
    <x v="5"/>
    <x v="3"/>
    <x v="8"/>
    <n v="26"/>
    <x v="0"/>
  </r>
  <r>
    <d v="2020-08-26T00:00:00"/>
    <x v="2"/>
    <x v="1"/>
    <x v="2"/>
    <n v="8720"/>
    <x v="2"/>
    <x v="1"/>
    <x v="2"/>
    <x v="4"/>
    <x v="5"/>
    <x v="3"/>
    <x v="5"/>
    <x v="3"/>
    <x v="8"/>
    <n v="26"/>
    <x v="0"/>
  </r>
  <r>
    <d v="2020-08-26T00:00:00"/>
    <x v="3"/>
    <x v="3"/>
    <x v="1"/>
    <n v="10312.75"/>
    <x v="3"/>
    <x v="3"/>
    <x v="1"/>
    <x v="2"/>
    <x v="5"/>
    <x v="3"/>
    <x v="5"/>
    <x v="3"/>
    <x v="8"/>
    <n v="26"/>
    <x v="0"/>
  </r>
  <r>
    <d v="2020-08-26T00:00:00"/>
    <x v="0"/>
    <x v="1"/>
    <x v="1"/>
    <n v="94624933.379999995"/>
    <x v="0"/>
    <x v="1"/>
    <x v="1"/>
    <x v="3"/>
    <x v="5"/>
    <x v="3"/>
    <x v="5"/>
    <x v="3"/>
    <x v="8"/>
    <n v="26"/>
    <x v="0"/>
  </r>
  <r>
    <d v="2020-08-26T00:00:00"/>
    <x v="1"/>
    <x v="0"/>
    <x v="0"/>
    <n v="65376763.740000002"/>
    <x v="1"/>
    <x v="0"/>
    <x v="0"/>
    <x v="9"/>
    <x v="5"/>
    <x v="3"/>
    <x v="5"/>
    <x v="3"/>
    <x v="8"/>
    <n v="26"/>
    <x v="0"/>
  </r>
  <r>
    <d v="2020-08-26T00:00:00"/>
    <x v="3"/>
    <x v="2"/>
    <x v="2"/>
    <n v="302021.32"/>
    <x v="3"/>
    <x v="2"/>
    <x v="2"/>
    <x v="5"/>
    <x v="5"/>
    <x v="3"/>
    <x v="5"/>
    <x v="3"/>
    <x v="8"/>
    <n v="26"/>
    <x v="0"/>
  </r>
  <r>
    <d v="2020-08-26T00:00:00"/>
    <x v="3"/>
    <x v="3"/>
    <x v="0"/>
    <n v="1118916138.3299999"/>
    <x v="3"/>
    <x v="3"/>
    <x v="0"/>
    <x v="8"/>
    <x v="5"/>
    <x v="3"/>
    <x v="5"/>
    <x v="3"/>
    <x v="8"/>
    <n v="26"/>
    <x v="0"/>
  </r>
  <r>
    <d v="2020-08-26T00:00:00"/>
    <x v="1"/>
    <x v="0"/>
    <x v="1"/>
    <n v="668949365.40999997"/>
    <x v="1"/>
    <x v="0"/>
    <x v="1"/>
    <x v="10"/>
    <x v="5"/>
    <x v="3"/>
    <x v="5"/>
    <x v="3"/>
    <x v="8"/>
    <n v="26"/>
    <x v="0"/>
  </r>
  <r>
    <d v="2020-08-26T00:00:00"/>
    <x v="3"/>
    <x v="2"/>
    <x v="0"/>
    <n v="526493801.99000001"/>
    <x v="3"/>
    <x v="2"/>
    <x v="0"/>
    <x v="11"/>
    <x v="5"/>
    <x v="3"/>
    <x v="5"/>
    <x v="3"/>
    <x v="8"/>
    <n v="26"/>
    <x v="0"/>
  </r>
  <r>
    <d v="2020-08-26T00:00:00"/>
    <x v="3"/>
    <x v="2"/>
    <x v="1"/>
    <n v="8905574315.3400002"/>
    <x v="3"/>
    <x v="2"/>
    <x v="1"/>
    <x v="12"/>
    <x v="5"/>
    <x v="3"/>
    <x v="5"/>
    <x v="3"/>
    <x v="8"/>
    <n v="26"/>
    <x v="0"/>
  </r>
  <r>
    <d v="2020-08-26T00:00:00"/>
    <x v="3"/>
    <x v="1"/>
    <x v="0"/>
    <n v="12736942.689999999"/>
    <x v="3"/>
    <x v="1"/>
    <x v="0"/>
    <x v="13"/>
    <x v="5"/>
    <x v="3"/>
    <x v="5"/>
    <x v="3"/>
    <x v="8"/>
    <n v="26"/>
    <x v="0"/>
  </r>
  <r>
    <d v="2020-08-25T00:00:00"/>
    <x v="1"/>
    <x v="0"/>
    <x v="2"/>
    <n v="28293.119999999999"/>
    <x v="1"/>
    <x v="0"/>
    <x v="2"/>
    <x v="2"/>
    <x v="5"/>
    <x v="3"/>
    <x v="5"/>
    <x v="3"/>
    <x v="8"/>
    <n v="25"/>
    <x v="0"/>
  </r>
  <r>
    <d v="2020-08-25T00:00:00"/>
    <x v="2"/>
    <x v="1"/>
    <x v="2"/>
    <n v="3261158.19"/>
    <x v="2"/>
    <x v="1"/>
    <x v="2"/>
    <x v="3"/>
    <x v="5"/>
    <x v="3"/>
    <x v="5"/>
    <x v="3"/>
    <x v="8"/>
    <n v="25"/>
    <x v="0"/>
  </r>
  <r>
    <d v="2020-08-25T00:00:00"/>
    <x v="0"/>
    <x v="1"/>
    <x v="0"/>
    <n v="7889371.8300000001"/>
    <x v="0"/>
    <x v="1"/>
    <x v="0"/>
    <x v="1"/>
    <x v="5"/>
    <x v="3"/>
    <x v="5"/>
    <x v="3"/>
    <x v="8"/>
    <n v="25"/>
    <x v="0"/>
  </r>
  <r>
    <d v="2020-08-25T00:00:00"/>
    <x v="2"/>
    <x v="1"/>
    <x v="1"/>
    <n v="35276716.189999998"/>
    <x v="2"/>
    <x v="1"/>
    <x v="1"/>
    <x v="8"/>
    <x v="5"/>
    <x v="3"/>
    <x v="5"/>
    <x v="3"/>
    <x v="8"/>
    <n v="25"/>
    <x v="0"/>
  </r>
  <r>
    <d v="2020-08-25T00:00:00"/>
    <x v="3"/>
    <x v="2"/>
    <x v="2"/>
    <n v="610269.99"/>
    <x v="3"/>
    <x v="2"/>
    <x v="2"/>
    <x v="5"/>
    <x v="5"/>
    <x v="3"/>
    <x v="5"/>
    <x v="3"/>
    <x v="8"/>
    <n v="25"/>
    <x v="0"/>
  </r>
  <r>
    <d v="2020-08-25T00:00:00"/>
    <x v="0"/>
    <x v="1"/>
    <x v="1"/>
    <n v="239964471.33000001"/>
    <x v="0"/>
    <x v="1"/>
    <x v="1"/>
    <x v="4"/>
    <x v="5"/>
    <x v="3"/>
    <x v="5"/>
    <x v="3"/>
    <x v="8"/>
    <n v="25"/>
    <x v="0"/>
  </r>
  <r>
    <d v="2020-08-25T00:00:00"/>
    <x v="0"/>
    <x v="0"/>
    <x v="0"/>
    <n v="742.78"/>
    <x v="0"/>
    <x v="0"/>
    <x v="0"/>
    <x v="0"/>
    <x v="5"/>
    <x v="3"/>
    <x v="5"/>
    <x v="3"/>
    <x v="8"/>
    <n v="25"/>
    <x v="0"/>
  </r>
  <r>
    <d v="2020-08-25T00:00:00"/>
    <x v="2"/>
    <x v="1"/>
    <x v="0"/>
    <n v="85417099.879999995"/>
    <x v="2"/>
    <x v="1"/>
    <x v="0"/>
    <x v="6"/>
    <x v="5"/>
    <x v="3"/>
    <x v="5"/>
    <x v="3"/>
    <x v="8"/>
    <n v="25"/>
    <x v="0"/>
  </r>
  <r>
    <d v="2020-08-25T00:00:00"/>
    <x v="3"/>
    <x v="3"/>
    <x v="0"/>
    <n v="1275353880.21"/>
    <x v="3"/>
    <x v="3"/>
    <x v="0"/>
    <x v="7"/>
    <x v="5"/>
    <x v="3"/>
    <x v="5"/>
    <x v="3"/>
    <x v="8"/>
    <n v="25"/>
    <x v="0"/>
  </r>
  <r>
    <d v="2020-08-25T00:00:00"/>
    <x v="1"/>
    <x v="0"/>
    <x v="1"/>
    <n v="307974841.63"/>
    <x v="1"/>
    <x v="0"/>
    <x v="1"/>
    <x v="9"/>
    <x v="5"/>
    <x v="3"/>
    <x v="5"/>
    <x v="3"/>
    <x v="8"/>
    <n v="25"/>
    <x v="0"/>
  </r>
  <r>
    <d v="2020-08-25T00:00:00"/>
    <x v="1"/>
    <x v="0"/>
    <x v="0"/>
    <n v="88809984.620000005"/>
    <x v="1"/>
    <x v="0"/>
    <x v="0"/>
    <x v="10"/>
    <x v="5"/>
    <x v="3"/>
    <x v="5"/>
    <x v="3"/>
    <x v="8"/>
    <n v="25"/>
    <x v="0"/>
  </r>
  <r>
    <d v="2020-08-25T00:00:00"/>
    <x v="3"/>
    <x v="2"/>
    <x v="0"/>
    <n v="996771952.76999998"/>
    <x v="3"/>
    <x v="2"/>
    <x v="0"/>
    <x v="11"/>
    <x v="5"/>
    <x v="3"/>
    <x v="5"/>
    <x v="3"/>
    <x v="8"/>
    <n v="25"/>
    <x v="0"/>
  </r>
  <r>
    <d v="2020-08-25T00:00:00"/>
    <x v="3"/>
    <x v="1"/>
    <x v="0"/>
    <n v="9513637.3499999996"/>
    <x v="3"/>
    <x v="1"/>
    <x v="0"/>
    <x v="12"/>
    <x v="5"/>
    <x v="3"/>
    <x v="5"/>
    <x v="3"/>
    <x v="8"/>
    <n v="25"/>
    <x v="0"/>
  </r>
  <r>
    <d v="2020-08-25T00:00:00"/>
    <x v="3"/>
    <x v="2"/>
    <x v="1"/>
    <n v="2289230455.1599998"/>
    <x v="3"/>
    <x v="2"/>
    <x v="1"/>
    <x v="13"/>
    <x v="5"/>
    <x v="3"/>
    <x v="5"/>
    <x v="3"/>
    <x v="8"/>
    <n v="25"/>
    <x v="0"/>
  </r>
  <r>
    <d v="2020-08-24T00:00:00"/>
    <x v="1"/>
    <x v="0"/>
    <x v="2"/>
    <n v="3507.93"/>
    <x v="1"/>
    <x v="0"/>
    <x v="2"/>
    <x v="2"/>
    <x v="5"/>
    <x v="3"/>
    <x v="5"/>
    <x v="3"/>
    <x v="8"/>
    <n v="24"/>
    <x v="0"/>
  </r>
  <r>
    <d v="2020-08-24T00:00:00"/>
    <x v="0"/>
    <x v="1"/>
    <x v="0"/>
    <n v="16196290.199999999"/>
    <x v="0"/>
    <x v="1"/>
    <x v="0"/>
    <x v="1"/>
    <x v="5"/>
    <x v="3"/>
    <x v="5"/>
    <x v="3"/>
    <x v="8"/>
    <n v="24"/>
    <x v="0"/>
  </r>
  <r>
    <d v="2020-08-24T00:00:00"/>
    <x v="2"/>
    <x v="1"/>
    <x v="2"/>
    <n v="7290"/>
    <x v="2"/>
    <x v="1"/>
    <x v="2"/>
    <x v="3"/>
    <x v="5"/>
    <x v="3"/>
    <x v="5"/>
    <x v="3"/>
    <x v="8"/>
    <n v="24"/>
    <x v="0"/>
  </r>
  <r>
    <d v="2020-08-24T00:00:00"/>
    <x v="2"/>
    <x v="1"/>
    <x v="1"/>
    <n v="51660354.619999997"/>
    <x v="2"/>
    <x v="1"/>
    <x v="1"/>
    <x v="7"/>
    <x v="5"/>
    <x v="3"/>
    <x v="5"/>
    <x v="3"/>
    <x v="8"/>
    <n v="24"/>
    <x v="0"/>
  </r>
  <r>
    <d v="2020-08-24T00:00:00"/>
    <x v="2"/>
    <x v="1"/>
    <x v="0"/>
    <n v="74532491.829999998"/>
    <x v="2"/>
    <x v="1"/>
    <x v="0"/>
    <x v="8"/>
    <x v="5"/>
    <x v="3"/>
    <x v="5"/>
    <x v="3"/>
    <x v="8"/>
    <n v="24"/>
    <x v="0"/>
  </r>
  <r>
    <d v="2020-08-24T00:00:00"/>
    <x v="0"/>
    <x v="1"/>
    <x v="1"/>
    <n v="177438745.65000001"/>
    <x v="0"/>
    <x v="1"/>
    <x v="1"/>
    <x v="4"/>
    <x v="5"/>
    <x v="3"/>
    <x v="5"/>
    <x v="3"/>
    <x v="8"/>
    <n v="24"/>
    <x v="0"/>
  </r>
  <r>
    <d v="2020-08-24T00:00:00"/>
    <x v="3"/>
    <x v="2"/>
    <x v="2"/>
    <n v="2026132.49"/>
    <x v="3"/>
    <x v="2"/>
    <x v="2"/>
    <x v="5"/>
    <x v="5"/>
    <x v="3"/>
    <x v="5"/>
    <x v="3"/>
    <x v="8"/>
    <n v="24"/>
    <x v="0"/>
  </r>
  <r>
    <d v="2020-08-24T00:00:00"/>
    <x v="3"/>
    <x v="3"/>
    <x v="0"/>
    <n v="1044156162.6900001"/>
    <x v="3"/>
    <x v="3"/>
    <x v="0"/>
    <x v="6"/>
    <x v="5"/>
    <x v="3"/>
    <x v="5"/>
    <x v="3"/>
    <x v="8"/>
    <n v="24"/>
    <x v="0"/>
  </r>
  <r>
    <d v="2020-08-24T00:00:00"/>
    <x v="0"/>
    <x v="0"/>
    <x v="0"/>
    <n v="200"/>
    <x v="0"/>
    <x v="0"/>
    <x v="0"/>
    <x v="0"/>
    <x v="5"/>
    <x v="3"/>
    <x v="5"/>
    <x v="3"/>
    <x v="8"/>
    <n v="24"/>
    <x v="0"/>
  </r>
  <r>
    <d v="2020-08-24T00:00:00"/>
    <x v="1"/>
    <x v="0"/>
    <x v="1"/>
    <n v="203518252.19999999"/>
    <x v="1"/>
    <x v="0"/>
    <x v="1"/>
    <x v="9"/>
    <x v="5"/>
    <x v="3"/>
    <x v="5"/>
    <x v="3"/>
    <x v="8"/>
    <n v="24"/>
    <x v="0"/>
  </r>
  <r>
    <d v="2020-08-24T00:00:00"/>
    <x v="1"/>
    <x v="0"/>
    <x v="0"/>
    <n v="73800944.840000004"/>
    <x v="1"/>
    <x v="0"/>
    <x v="0"/>
    <x v="10"/>
    <x v="5"/>
    <x v="3"/>
    <x v="5"/>
    <x v="3"/>
    <x v="8"/>
    <n v="24"/>
    <x v="0"/>
  </r>
  <r>
    <d v="2020-08-24T00:00:00"/>
    <x v="3"/>
    <x v="2"/>
    <x v="0"/>
    <n v="5491789704.7200003"/>
    <x v="3"/>
    <x v="2"/>
    <x v="0"/>
    <x v="11"/>
    <x v="5"/>
    <x v="3"/>
    <x v="5"/>
    <x v="3"/>
    <x v="8"/>
    <n v="24"/>
    <x v="0"/>
  </r>
  <r>
    <d v="2020-08-24T00:00:00"/>
    <x v="3"/>
    <x v="2"/>
    <x v="1"/>
    <n v="16538142961.24"/>
    <x v="3"/>
    <x v="2"/>
    <x v="1"/>
    <x v="12"/>
    <x v="5"/>
    <x v="3"/>
    <x v="5"/>
    <x v="3"/>
    <x v="8"/>
    <n v="24"/>
    <x v="0"/>
  </r>
  <r>
    <d v="2020-08-24T00:00:00"/>
    <x v="3"/>
    <x v="1"/>
    <x v="0"/>
    <n v="43392736.689999998"/>
    <x v="3"/>
    <x v="1"/>
    <x v="0"/>
    <x v="13"/>
    <x v="5"/>
    <x v="3"/>
    <x v="5"/>
    <x v="3"/>
    <x v="8"/>
    <n v="24"/>
    <x v="0"/>
  </r>
  <r>
    <d v="2020-08-21T00:00:00"/>
    <x v="0"/>
    <x v="1"/>
    <x v="0"/>
    <n v="13242225.4"/>
    <x v="0"/>
    <x v="1"/>
    <x v="0"/>
    <x v="0"/>
    <x v="5"/>
    <x v="3"/>
    <x v="5"/>
    <x v="3"/>
    <x v="8"/>
    <n v="21"/>
    <x v="0"/>
  </r>
  <r>
    <d v="2020-08-21T00:00:00"/>
    <x v="2"/>
    <x v="1"/>
    <x v="2"/>
    <n v="779909.78"/>
    <x v="2"/>
    <x v="1"/>
    <x v="2"/>
    <x v="2"/>
    <x v="5"/>
    <x v="3"/>
    <x v="5"/>
    <x v="3"/>
    <x v="8"/>
    <n v="21"/>
    <x v="0"/>
  </r>
  <r>
    <d v="2020-08-21T00:00:00"/>
    <x v="0"/>
    <x v="1"/>
    <x v="1"/>
    <n v="113160368.73999999"/>
    <x v="0"/>
    <x v="1"/>
    <x v="1"/>
    <x v="4"/>
    <x v="5"/>
    <x v="3"/>
    <x v="5"/>
    <x v="3"/>
    <x v="8"/>
    <n v="21"/>
    <x v="0"/>
  </r>
  <r>
    <d v="2020-08-21T00:00:00"/>
    <x v="1"/>
    <x v="0"/>
    <x v="0"/>
    <n v="90101797.209999993"/>
    <x v="1"/>
    <x v="0"/>
    <x v="0"/>
    <x v="9"/>
    <x v="5"/>
    <x v="3"/>
    <x v="5"/>
    <x v="3"/>
    <x v="8"/>
    <n v="21"/>
    <x v="0"/>
  </r>
  <r>
    <d v="2020-08-21T00:00:00"/>
    <x v="2"/>
    <x v="1"/>
    <x v="0"/>
    <n v="74306724.670000002"/>
    <x v="2"/>
    <x v="1"/>
    <x v="0"/>
    <x v="5"/>
    <x v="5"/>
    <x v="3"/>
    <x v="5"/>
    <x v="3"/>
    <x v="8"/>
    <n v="21"/>
    <x v="0"/>
  </r>
  <r>
    <d v="2020-08-21T00:00:00"/>
    <x v="3"/>
    <x v="3"/>
    <x v="0"/>
    <n v="1234810395.48"/>
    <x v="3"/>
    <x v="3"/>
    <x v="0"/>
    <x v="6"/>
    <x v="5"/>
    <x v="3"/>
    <x v="5"/>
    <x v="3"/>
    <x v="8"/>
    <n v="21"/>
    <x v="0"/>
  </r>
  <r>
    <d v="2020-08-21T00:00:00"/>
    <x v="1"/>
    <x v="0"/>
    <x v="2"/>
    <n v="5476.83"/>
    <x v="1"/>
    <x v="0"/>
    <x v="2"/>
    <x v="1"/>
    <x v="5"/>
    <x v="3"/>
    <x v="5"/>
    <x v="3"/>
    <x v="8"/>
    <n v="21"/>
    <x v="0"/>
  </r>
  <r>
    <d v="2020-08-21T00:00:00"/>
    <x v="3"/>
    <x v="2"/>
    <x v="2"/>
    <n v="212602.97"/>
    <x v="3"/>
    <x v="2"/>
    <x v="2"/>
    <x v="3"/>
    <x v="5"/>
    <x v="3"/>
    <x v="5"/>
    <x v="3"/>
    <x v="8"/>
    <n v="21"/>
    <x v="0"/>
  </r>
  <r>
    <d v="2020-08-21T00:00:00"/>
    <x v="2"/>
    <x v="1"/>
    <x v="1"/>
    <n v="48174575.390000001"/>
    <x v="2"/>
    <x v="1"/>
    <x v="1"/>
    <x v="7"/>
    <x v="5"/>
    <x v="3"/>
    <x v="5"/>
    <x v="3"/>
    <x v="8"/>
    <n v="21"/>
    <x v="0"/>
  </r>
  <r>
    <d v="2020-08-21T00:00:00"/>
    <x v="1"/>
    <x v="0"/>
    <x v="1"/>
    <n v="139618773.78"/>
    <x v="1"/>
    <x v="0"/>
    <x v="1"/>
    <x v="8"/>
    <x v="5"/>
    <x v="3"/>
    <x v="5"/>
    <x v="3"/>
    <x v="8"/>
    <n v="21"/>
    <x v="0"/>
  </r>
  <r>
    <d v="2020-08-21T00:00:00"/>
    <x v="3"/>
    <x v="2"/>
    <x v="0"/>
    <n v="466829672.05000001"/>
    <x v="3"/>
    <x v="2"/>
    <x v="0"/>
    <x v="10"/>
    <x v="5"/>
    <x v="3"/>
    <x v="5"/>
    <x v="3"/>
    <x v="8"/>
    <n v="21"/>
    <x v="0"/>
  </r>
  <r>
    <d v="2020-08-21T00:00:00"/>
    <x v="3"/>
    <x v="2"/>
    <x v="1"/>
    <n v="7588196239.0600004"/>
    <x v="3"/>
    <x v="2"/>
    <x v="1"/>
    <x v="11"/>
    <x v="5"/>
    <x v="3"/>
    <x v="5"/>
    <x v="3"/>
    <x v="8"/>
    <n v="21"/>
    <x v="0"/>
  </r>
  <r>
    <d v="2020-08-21T00:00:00"/>
    <x v="3"/>
    <x v="1"/>
    <x v="0"/>
    <n v="14132591.310000001"/>
    <x v="3"/>
    <x v="1"/>
    <x v="0"/>
    <x v="12"/>
    <x v="5"/>
    <x v="3"/>
    <x v="5"/>
    <x v="3"/>
    <x v="8"/>
    <n v="21"/>
    <x v="0"/>
  </r>
  <r>
    <d v="2020-08-20T00:00:00"/>
    <x v="1"/>
    <x v="0"/>
    <x v="2"/>
    <n v="2447.66"/>
    <x v="1"/>
    <x v="0"/>
    <x v="2"/>
    <x v="2"/>
    <x v="5"/>
    <x v="3"/>
    <x v="5"/>
    <x v="3"/>
    <x v="8"/>
    <n v="20"/>
    <x v="0"/>
  </r>
  <r>
    <d v="2020-08-20T00:00:00"/>
    <x v="0"/>
    <x v="1"/>
    <x v="0"/>
    <n v="19051194.329999998"/>
    <x v="0"/>
    <x v="1"/>
    <x v="0"/>
    <x v="1"/>
    <x v="5"/>
    <x v="3"/>
    <x v="5"/>
    <x v="3"/>
    <x v="8"/>
    <n v="20"/>
    <x v="0"/>
  </r>
  <r>
    <d v="2020-08-20T00:00:00"/>
    <x v="2"/>
    <x v="1"/>
    <x v="2"/>
    <n v="6374"/>
    <x v="2"/>
    <x v="1"/>
    <x v="2"/>
    <x v="3"/>
    <x v="5"/>
    <x v="3"/>
    <x v="5"/>
    <x v="3"/>
    <x v="8"/>
    <n v="20"/>
    <x v="0"/>
  </r>
  <r>
    <d v="2020-08-20T00:00:00"/>
    <x v="3"/>
    <x v="2"/>
    <x v="2"/>
    <n v="367581.7"/>
    <x v="3"/>
    <x v="2"/>
    <x v="2"/>
    <x v="4"/>
    <x v="5"/>
    <x v="3"/>
    <x v="5"/>
    <x v="3"/>
    <x v="8"/>
    <n v="20"/>
    <x v="0"/>
  </r>
  <r>
    <d v="2020-08-20T00:00:00"/>
    <x v="2"/>
    <x v="1"/>
    <x v="0"/>
    <n v="119434511.14"/>
    <x v="2"/>
    <x v="1"/>
    <x v="0"/>
    <x v="7"/>
    <x v="5"/>
    <x v="3"/>
    <x v="5"/>
    <x v="3"/>
    <x v="8"/>
    <n v="20"/>
    <x v="0"/>
  </r>
  <r>
    <d v="2020-08-20T00:00:00"/>
    <x v="2"/>
    <x v="1"/>
    <x v="1"/>
    <n v="24591113.02"/>
    <x v="2"/>
    <x v="1"/>
    <x v="1"/>
    <x v="8"/>
    <x v="5"/>
    <x v="3"/>
    <x v="5"/>
    <x v="3"/>
    <x v="8"/>
    <n v="20"/>
    <x v="0"/>
  </r>
  <r>
    <d v="2020-08-20T00:00:00"/>
    <x v="3"/>
    <x v="3"/>
    <x v="0"/>
    <n v="1667573903.3900001"/>
    <x v="3"/>
    <x v="3"/>
    <x v="0"/>
    <x v="9"/>
    <x v="5"/>
    <x v="3"/>
    <x v="5"/>
    <x v="3"/>
    <x v="8"/>
    <n v="20"/>
    <x v="0"/>
  </r>
  <r>
    <d v="2020-08-20T00:00:00"/>
    <x v="0"/>
    <x v="1"/>
    <x v="1"/>
    <n v="94068244.689999998"/>
    <x v="0"/>
    <x v="1"/>
    <x v="1"/>
    <x v="6"/>
    <x v="5"/>
    <x v="3"/>
    <x v="5"/>
    <x v="3"/>
    <x v="8"/>
    <n v="20"/>
    <x v="0"/>
  </r>
  <r>
    <d v="2020-08-20T00:00:00"/>
    <x v="1"/>
    <x v="0"/>
    <x v="1"/>
    <n v="333234339.75999999"/>
    <x v="1"/>
    <x v="0"/>
    <x v="1"/>
    <x v="10"/>
    <x v="5"/>
    <x v="3"/>
    <x v="5"/>
    <x v="3"/>
    <x v="8"/>
    <n v="20"/>
    <x v="0"/>
  </r>
  <r>
    <d v="2020-08-20T00:00:00"/>
    <x v="1"/>
    <x v="0"/>
    <x v="0"/>
    <n v="50494911.119999997"/>
    <x v="1"/>
    <x v="0"/>
    <x v="0"/>
    <x v="11"/>
    <x v="5"/>
    <x v="3"/>
    <x v="5"/>
    <x v="3"/>
    <x v="8"/>
    <n v="20"/>
    <x v="0"/>
  </r>
  <r>
    <d v="2020-08-20T00:00:00"/>
    <x v="0"/>
    <x v="0"/>
    <x v="0"/>
    <n v="37"/>
    <x v="0"/>
    <x v="0"/>
    <x v="0"/>
    <x v="0"/>
    <x v="5"/>
    <x v="3"/>
    <x v="5"/>
    <x v="3"/>
    <x v="8"/>
    <n v="20"/>
    <x v="0"/>
  </r>
  <r>
    <d v="2020-08-20T00:00:00"/>
    <x v="3"/>
    <x v="3"/>
    <x v="1"/>
    <n v="9937.1299999999992"/>
    <x v="3"/>
    <x v="3"/>
    <x v="1"/>
    <x v="5"/>
    <x v="5"/>
    <x v="3"/>
    <x v="5"/>
    <x v="3"/>
    <x v="8"/>
    <n v="20"/>
    <x v="0"/>
  </r>
  <r>
    <d v="2020-08-20T00:00:00"/>
    <x v="3"/>
    <x v="2"/>
    <x v="0"/>
    <n v="625358293.73000002"/>
    <x v="3"/>
    <x v="2"/>
    <x v="0"/>
    <x v="12"/>
    <x v="5"/>
    <x v="3"/>
    <x v="5"/>
    <x v="3"/>
    <x v="8"/>
    <n v="20"/>
    <x v="0"/>
  </r>
  <r>
    <d v="2020-08-20T00:00:00"/>
    <x v="3"/>
    <x v="2"/>
    <x v="1"/>
    <n v="3119614466.0300002"/>
    <x v="3"/>
    <x v="2"/>
    <x v="1"/>
    <x v="13"/>
    <x v="5"/>
    <x v="3"/>
    <x v="5"/>
    <x v="3"/>
    <x v="8"/>
    <n v="20"/>
    <x v="0"/>
  </r>
  <r>
    <d v="2020-08-20T00:00:00"/>
    <x v="3"/>
    <x v="1"/>
    <x v="0"/>
    <n v="13173675.140000001"/>
    <x v="3"/>
    <x v="1"/>
    <x v="0"/>
    <x v="14"/>
    <x v="5"/>
    <x v="3"/>
    <x v="5"/>
    <x v="3"/>
    <x v="8"/>
    <n v="20"/>
    <x v="0"/>
  </r>
  <r>
    <d v="2020-08-19T00:00:00"/>
    <x v="1"/>
    <x v="0"/>
    <x v="2"/>
    <n v="16765.03"/>
    <x v="1"/>
    <x v="0"/>
    <x v="2"/>
    <x v="1"/>
    <x v="5"/>
    <x v="3"/>
    <x v="5"/>
    <x v="3"/>
    <x v="8"/>
    <n v="19"/>
    <x v="0"/>
  </r>
  <r>
    <d v="2020-08-19T00:00:00"/>
    <x v="2"/>
    <x v="1"/>
    <x v="2"/>
    <n v="20020"/>
    <x v="2"/>
    <x v="1"/>
    <x v="2"/>
    <x v="2"/>
    <x v="5"/>
    <x v="3"/>
    <x v="5"/>
    <x v="3"/>
    <x v="8"/>
    <n v="19"/>
    <x v="0"/>
  </r>
  <r>
    <d v="2020-08-19T00:00:00"/>
    <x v="0"/>
    <x v="1"/>
    <x v="0"/>
    <n v="31414503.84"/>
    <x v="0"/>
    <x v="1"/>
    <x v="0"/>
    <x v="0"/>
    <x v="5"/>
    <x v="3"/>
    <x v="5"/>
    <x v="3"/>
    <x v="8"/>
    <n v="19"/>
    <x v="0"/>
  </r>
  <r>
    <d v="2020-08-19T00:00:00"/>
    <x v="0"/>
    <x v="1"/>
    <x v="1"/>
    <n v="112357831.18000001"/>
    <x v="0"/>
    <x v="1"/>
    <x v="1"/>
    <x v="4"/>
    <x v="5"/>
    <x v="3"/>
    <x v="5"/>
    <x v="3"/>
    <x v="8"/>
    <n v="19"/>
    <x v="0"/>
  </r>
  <r>
    <d v="2020-08-19T00:00:00"/>
    <x v="3"/>
    <x v="2"/>
    <x v="2"/>
    <n v="104388.43"/>
    <x v="3"/>
    <x v="2"/>
    <x v="2"/>
    <x v="5"/>
    <x v="5"/>
    <x v="3"/>
    <x v="5"/>
    <x v="3"/>
    <x v="8"/>
    <n v="19"/>
    <x v="0"/>
  </r>
  <r>
    <d v="2020-08-19T00:00:00"/>
    <x v="2"/>
    <x v="1"/>
    <x v="0"/>
    <n v="102412399.37"/>
    <x v="2"/>
    <x v="1"/>
    <x v="0"/>
    <x v="6"/>
    <x v="5"/>
    <x v="3"/>
    <x v="5"/>
    <x v="3"/>
    <x v="8"/>
    <n v="19"/>
    <x v="0"/>
  </r>
  <r>
    <d v="2020-08-19T00:00:00"/>
    <x v="3"/>
    <x v="3"/>
    <x v="0"/>
    <n v="1077628358.3599999"/>
    <x v="3"/>
    <x v="3"/>
    <x v="0"/>
    <x v="7"/>
    <x v="5"/>
    <x v="3"/>
    <x v="5"/>
    <x v="3"/>
    <x v="8"/>
    <n v="19"/>
    <x v="0"/>
  </r>
  <r>
    <d v="2020-08-19T00:00:00"/>
    <x v="2"/>
    <x v="1"/>
    <x v="1"/>
    <n v="34054303.079999998"/>
    <x v="2"/>
    <x v="1"/>
    <x v="1"/>
    <x v="8"/>
    <x v="5"/>
    <x v="3"/>
    <x v="5"/>
    <x v="3"/>
    <x v="8"/>
    <n v="19"/>
    <x v="0"/>
  </r>
  <r>
    <d v="2020-08-19T00:00:00"/>
    <x v="3"/>
    <x v="3"/>
    <x v="1"/>
    <n v="92765.27"/>
    <x v="3"/>
    <x v="3"/>
    <x v="1"/>
    <x v="3"/>
    <x v="5"/>
    <x v="3"/>
    <x v="5"/>
    <x v="3"/>
    <x v="8"/>
    <n v="19"/>
    <x v="0"/>
  </r>
  <r>
    <d v="2020-08-19T00:00:00"/>
    <x v="1"/>
    <x v="0"/>
    <x v="1"/>
    <n v="413780908.63"/>
    <x v="1"/>
    <x v="0"/>
    <x v="1"/>
    <x v="9"/>
    <x v="5"/>
    <x v="3"/>
    <x v="5"/>
    <x v="3"/>
    <x v="8"/>
    <n v="19"/>
    <x v="0"/>
  </r>
  <r>
    <d v="2020-08-19T00:00:00"/>
    <x v="1"/>
    <x v="0"/>
    <x v="0"/>
    <n v="70759771.200000003"/>
    <x v="1"/>
    <x v="0"/>
    <x v="0"/>
    <x v="10"/>
    <x v="5"/>
    <x v="3"/>
    <x v="5"/>
    <x v="3"/>
    <x v="8"/>
    <n v="19"/>
    <x v="0"/>
  </r>
  <r>
    <d v="2020-08-19T00:00:00"/>
    <x v="3"/>
    <x v="2"/>
    <x v="0"/>
    <n v="291859033.61000001"/>
    <x v="3"/>
    <x v="2"/>
    <x v="0"/>
    <x v="11"/>
    <x v="5"/>
    <x v="3"/>
    <x v="5"/>
    <x v="3"/>
    <x v="8"/>
    <n v="19"/>
    <x v="0"/>
  </r>
  <r>
    <d v="2020-08-19T00:00:00"/>
    <x v="3"/>
    <x v="1"/>
    <x v="0"/>
    <n v="13747103.140000001"/>
    <x v="3"/>
    <x v="1"/>
    <x v="0"/>
    <x v="12"/>
    <x v="5"/>
    <x v="3"/>
    <x v="5"/>
    <x v="3"/>
    <x v="8"/>
    <n v="19"/>
    <x v="0"/>
  </r>
  <r>
    <d v="2020-08-19T00:00:00"/>
    <x v="3"/>
    <x v="2"/>
    <x v="1"/>
    <n v="10578224736.74"/>
    <x v="3"/>
    <x v="2"/>
    <x v="1"/>
    <x v="13"/>
    <x v="5"/>
    <x v="3"/>
    <x v="5"/>
    <x v="3"/>
    <x v="8"/>
    <n v="19"/>
    <x v="0"/>
  </r>
  <r>
    <d v="2020-08-18T00:00:00"/>
    <x v="3"/>
    <x v="3"/>
    <x v="0"/>
    <n v="1073977767.9000001"/>
    <x v="3"/>
    <x v="3"/>
    <x v="0"/>
    <x v="5"/>
    <x v="5"/>
    <x v="3"/>
    <x v="5"/>
    <x v="3"/>
    <x v="8"/>
    <n v="18"/>
    <x v="0"/>
  </r>
  <r>
    <d v="2020-08-18T00:00:00"/>
    <x v="0"/>
    <x v="1"/>
    <x v="0"/>
    <n v="14573429.359999999"/>
    <x v="0"/>
    <x v="1"/>
    <x v="0"/>
    <x v="1"/>
    <x v="5"/>
    <x v="3"/>
    <x v="5"/>
    <x v="3"/>
    <x v="8"/>
    <n v="18"/>
    <x v="0"/>
  </r>
  <r>
    <d v="2020-08-18T00:00:00"/>
    <x v="2"/>
    <x v="1"/>
    <x v="0"/>
    <n v="99406187.709999993"/>
    <x v="2"/>
    <x v="1"/>
    <x v="0"/>
    <x v="6"/>
    <x v="5"/>
    <x v="3"/>
    <x v="5"/>
    <x v="3"/>
    <x v="8"/>
    <n v="18"/>
    <x v="0"/>
  </r>
  <r>
    <d v="2020-08-18T00:00:00"/>
    <x v="0"/>
    <x v="1"/>
    <x v="1"/>
    <n v="244946746.44"/>
    <x v="0"/>
    <x v="1"/>
    <x v="1"/>
    <x v="2"/>
    <x v="5"/>
    <x v="3"/>
    <x v="5"/>
    <x v="3"/>
    <x v="8"/>
    <n v="18"/>
    <x v="0"/>
  </r>
  <r>
    <d v="2020-08-18T00:00:00"/>
    <x v="3"/>
    <x v="2"/>
    <x v="2"/>
    <n v="225151.45"/>
    <x v="3"/>
    <x v="2"/>
    <x v="2"/>
    <x v="3"/>
    <x v="5"/>
    <x v="3"/>
    <x v="5"/>
    <x v="3"/>
    <x v="8"/>
    <n v="18"/>
    <x v="0"/>
  </r>
  <r>
    <d v="2020-08-18T00:00:00"/>
    <x v="1"/>
    <x v="0"/>
    <x v="1"/>
    <n v="226664314.13999999"/>
    <x v="1"/>
    <x v="0"/>
    <x v="1"/>
    <x v="8"/>
    <x v="5"/>
    <x v="3"/>
    <x v="5"/>
    <x v="3"/>
    <x v="8"/>
    <n v="18"/>
    <x v="0"/>
  </r>
  <r>
    <d v="2020-08-18T00:00:00"/>
    <x v="1"/>
    <x v="0"/>
    <x v="0"/>
    <n v="96366372.609999999"/>
    <x v="1"/>
    <x v="0"/>
    <x v="0"/>
    <x v="9"/>
    <x v="5"/>
    <x v="3"/>
    <x v="5"/>
    <x v="3"/>
    <x v="8"/>
    <n v="18"/>
    <x v="0"/>
  </r>
  <r>
    <d v="2020-08-18T00:00:00"/>
    <x v="2"/>
    <x v="1"/>
    <x v="1"/>
    <n v="75395427.75"/>
    <x v="2"/>
    <x v="1"/>
    <x v="1"/>
    <x v="7"/>
    <x v="5"/>
    <x v="3"/>
    <x v="5"/>
    <x v="3"/>
    <x v="8"/>
    <n v="18"/>
    <x v="0"/>
  </r>
  <r>
    <d v="2020-08-18T00:00:00"/>
    <x v="0"/>
    <x v="0"/>
    <x v="0"/>
    <n v="309.05"/>
    <x v="0"/>
    <x v="0"/>
    <x v="0"/>
    <x v="0"/>
    <x v="5"/>
    <x v="3"/>
    <x v="5"/>
    <x v="3"/>
    <x v="8"/>
    <n v="18"/>
    <x v="0"/>
  </r>
  <r>
    <d v="2020-08-18T00:00:00"/>
    <x v="2"/>
    <x v="1"/>
    <x v="2"/>
    <n v="33658.26"/>
    <x v="2"/>
    <x v="1"/>
    <x v="2"/>
    <x v="4"/>
    <x v="5"/>
    <x v="3"/>
    <x v="5"/>
    <x v="3"/>
    <x v="8"/>
    <n v="18"/>
    <x v="0"/>
  </r>
  <r>
    <d v="2020-08-18T00:00:00"/>
    <x v="3"/>
    <x v="2"/>
    <x v="0"/>
    <n v="509916145.92000002"/>
    <x v="3"/>
    <x v="2"/>
    <x v="0"/>
    <x v="10"/>
    <x v="5"/>
    <x v="3"/>
    <x v="5"/>
    <x v="3"/>
    <x v="8"/>
    <n v="18"/>
    <x v="0"/>
  </r>
  <r>
    <d v="2020-08-18T00:00:00"/>
    <x v="3"/>
    <x v="1"/>
    <x v="0"/>
    <n v="11126323.199999999"/>
    <x v="3"/>
    <x v="1"/>
    <x v="0"/>
    <x v="11"/>
    <x v="5"/>
    <x v="3"/>
    <x v="5"/>
    <x v="3"/>
    <x v="8"/>
    <n v="18"/>
    <x v="0"/>
  </r>
  <r>
    <d v="2020-08-18T00:00:00"/>
    <x v="3"/>
    <x v="2"/>
    <x v="1"/>
    <n v="2575851906.8099999"/>
    <x v="3"/>
    <x v="2"/>
    <x v="1"/>
    <x v="12"/>
    <x v="5"/>
    <x v="3"/>
    <x v="5"/>
    <x v="3"/>
    <x v="8"/>
    <n v="18"/>
    <x v="0"/>
  </r>
  <r>
    <d v="2020-08-17T00:00:00"/>
    <x v="1"/>
    <x v="0"/>
    <x v="2"/>
    <n v="7279.24"/>
    <x v="1"/>
    <x v="0"/>
    <x v="2"/>
    <x v="2"/>
    <x v="5"/>
    <x v="3"/>
    <x v="5"/>
    <x v="3"/>
    <x v="8"/>
    <n v="17"/>
    <x v="0"/>
  </r>
  <r>
    <d v="2020-08-17T00:00:00"/>
    <x v="2"/>
    <x v="1"/>
    <x v="2"/>
    <n v="3180"/>
    <x v="2"/>
    <x v="1"/>
    <x v="2"/>
    <x v="3"/>
    <x v="5"/>
    <x v="3"/>
    <x v="5"/>
    <x v="3"/>
    <x v="8"/>
    <n v="17"/>
    <x v="0"/>
  </r>
  <r>
    <d v="2020-08-17T00:00:00"/>
    <x v="0"/>
    <x v="1"/>
    <x v="0"/>
    <n v="7574776.8499999996"/>
    <x v="0"/>
    <x v="1"/>
    <x v="0"/>
    <x v="1"/>
    <x v="5"/>
    <x v="3"/>
    <x v="5"/>
    <x v="3"/>
    <x v="8"/>
    <n v="17"/>
    <x v="0"/>
  </r>
  <r>
    <d v="2020-08-17T00:00:00"/>
    <x v="2"/>
    <x v="1"/>
    <x v="0"/>
    <n v="62286380.950000003"/>
    <x v="2"/>
    <x v="1"/>
    <x v="0"/>
    <x v="7"/>
    <x v="5"/>
    <x v="3"/>
    <x v="5"/>
    <x v="3"/>
    <x v="8"/>
    <n v="17"/>
    <x v="0"/>
  </r>
  <r>
    <d v="2020-08-17T00:00:00"/>
    <x v="3"/>
    <x v="3"/>
    <x v="0"/>
    <n v="1660655796.1700001"/>
    <x v="3"/>
    <x v="3"/>
    <x v="0"/>
    <x v="8"/>
    <x v="5"/>
    <x v="3"/>
    <x v="5"/>
    <x v="3"/>
    <x v="8"/>
    <n v="17"/>
    <x v="0"/>
  </r>
  <r>
    <d v="2020-08-17T00:00:00"/>
    <x v="0"/>
    <x v="1"/>
    <x v="1"/>
    <n v="135133522.22999999"/>
    <x v="0"/>
    <x v="1"/>
    <x v="1"/>
    <x v="4"/>
    <x v="5"/>
    <x v="3"/>
    <x v="5"/>
    <x v="3"/>
    <x v="8"/>
    <n v="17"/>
    <x v="0"/>
  </r>
  <r>
    <d v="2020-08-17T00:00:00"/>
    <x v="1"/>
    <x v="0"/>
    <x v="1"/>
    <n v="244292616.25999999"/>
    <x v="1"/>
    <x v="0"/>
    <x v="1"/>
    <x v="9"/>
    <x v="5"/>
    <x v="3"/>
    <x v="5"/>
    <x v="3"/>
    <x v="8"/>
    <n v="17"/>
    <x v="0"/>
  </r>
  <r>
    <d v="2020-08-17T00:00:00"/>
    <x v="1"/>
    <x v="0"/>
    <x v="0"/>
    <n v="77675502.120000005"/>
    <x v="1"/>
    <x v="0"/>
    <x v="0"/>
    <x v="10"/>
    <x v="5"/>
    <x v="3"/>
    <x v="5"/>
    <x v="3"/>
    <x v="8"/>
    <n v="17"/>
    <x v="0"/>
  </r>
  <r>
    <d v="2020-08-17T00:00:00"/>
    <x v="3"/>
    <x v="2"/>
    <x v="2"/>
    <n v="405440.23"/>
    <x v="3"/>
    <x v="2"/>
    <x v="2"/>
    <x v="5"/>
    <x v="5"/>
    <x v="3"/>
    <x v="5"/>
    <x v="3"/>
    <x v="8"/>
    <n v="17"/>
    <x v="0"/>
  </r>
  <r>
    <d v="2020-08-17T00:00:00"/>
    <x v="0"/>
    <x v="0"/>
    <x v="0"/>
    <n v="100"/>
    <x v="0"/>
    <x v="0"/>
    <x v="0"/>
    <x v="0"/>
    <x v="5"/>
    <x v="3"/>
    <x v="5"/>
    <x v="3"/>
    <x v="8"/>
    <n v="17"/>
    <x v="0"/>
  </r>
  <r>
    <d v="2020-08-17T00:00:00"/>
    <x v="2"/>
    <x v="1"/>
    <x v="1"/>
    <n v="17788482.02"/>
    <x v="2"/>
    <x v="1"/>
    <x v="1"/>
    <x v="6"/>
    <x v="5"/>
    <x v="3"/>
    <x v="5"/>
    <x v="3"/>
    <x v="8"/>
    <n v="17"/>
    <x v="0"/>
  </r>
  <r>
    <d v="2020-08-17T00:00:00"/>
    <x v="3"/>
    <x v="2"/>
    <x v="0"/>
    <n v="390223514.25"/>
    <x v="3"/>
    <x v="2"/>
    <x v="0"/>
    <x v="11"/>
    <x v="5"/>
    <x v="3"/>
    <x v="5"/>
    <x v="3"/>
    <x v="8"/>
    <n v="17"/>
    <x v="0"/>
  </r>
  <r>
    <d v="2020-08-17T00:00:00"/>
    <x v="3"/>
    <x v="2"/>
    <x v="1"/>
    <n v="25006736411.57"/>
    <x v="3"/>
    <x v="2"/>
    <x v="1"/>
    <x v="12"/>
    <x v="5"/>
    <x v="3"/>
    <x v="5"/>
    <x v="3"/>
    <x v="8"/>
    <n v="17"/>
    <x v="0"/>
  </r>
  <r>
    <d v="2020-08-17T00:00:00"/>
    <x v="3"/>
    <x v="1"/>
    <x v="0"/>
    <n v="46006281.009999998"/>
    <x v="3"/>
    <x v="1"/>
    <x v="0"/>
    <x v="13"/>
    <x v="5"/>
    <x v="3"/>
    <x v="5"/>
    <x v="3"/>
    <x v="8"/>
    <n v="17"/>
    <x v="0"/>
  </r>
  <r>
    <d v="2020-08-14T00:00:00"/>
    <x v="1"/>
    <x v="0"/>
    <x v="2"/>
    <n v="4850.2299999999996"/>
    <x v="1"/>
    <x v="0"/>
    <x v="2"/>
    <x v="3"/>
    <x v="5"/>
    <x v="3"/>
    <x v="5"/>
    <x v="3"/>
    <x v="8"/>
    <n v="14"/>
    <x v="0"/>
  </r>
  <r>
    <d v="2020-08-14T00:00:00"/>
    <x v="2"/>
    <x v="1"/>
    <x v="2"/>
    <n v="6664.47"/>
    <x v="2"/>
    <x v="1"/>
    <x v="2"/>
    <x v="4"/>
    <x v="5"/>
    <x v="3"/>
    <x v="5"/>
    <x v="3"/>
    <x v="8"/>
    <n v="14"/>
    <x v="0"/>
  </r>
  <r>
    <d v="2020-08-14T00:00:00"/>
    <x v="0"/>
    <x v="1"/>
    <x v="0"/>
    <n v="25798897.52"/>
    <x v="0"/>
    <x v="1"/>
    <x v="0"/>
    <x v="1"/>
    <x v="5"/>
    <x v="3"/>
    <x v="5"/>
    <x v="3"/>
    <x v="8"/>
    <n v="14"/>
    <x v="0"/>
  </r>
  <r>
    <d v="2020-08-14T00:00:00"/>
    <x v="2"/>
    <x v="1"/>
    <x v="0"/>
    <n v="63509770.43"/>
    <x v="2"/>
    <x v="1"/>
    <x v="0"/>
    <x v="7"/>
    <x v="5"/>
    <x v="3"/>
    <x v="5"/>
    <x v="3"/>
    <x v="8"/>
    <n v="14"/>
    <x v="0"/>
  </r>
  <r>
    <d v="2020-08-14T00:00:00"/>
    <x v="3"/>
    <x v="3"/>
    <x v="2"/>
    <n v="147120.39000000001"/>
    <x v="3"/>
    <x v="3"/>
    <x v="2"/>
    <x v="2"/>
    <x v="5"/>
    <x v="3"/>
    <x v="5"/>
    <x v="3"/>
    <x v="8"/>
    <n v="14"/>
    <x v="0"/>
  </r>
  <r>
    <d v="2020-08-14T00:00:00"/>
    <x v="2"/>
    <x v="1"/>
    <x v="1"/>
    <n v="27084854.859999999"/>
    <x v="2"/>
    <x v="1"/>
    <x v="1"/>
    <x v="8"/>
    <x v="5"/>
    <x v="3"/>
    <x v="5"/>
    <x v="3"/>
    <x v="8"/>
    <n v="14"/>
    <x v="0"/>
  </r>
  <r>
    <d v="2020-08-14T00:00:00"/>
    <x v="0"/>
    <x v="1"/>
    <x v="1"/>
    <n v="105898376.61"/>
    <x v="0"/>
    <x v="1"/>
    <x v="1"/>
    <x v="5"/>
    <x v="5"/>
    <x v="3"/>
    <x v="5"/>
    <x v="3"/>
    <x v="8"/>
    <n v="14"/>
    <x v="0"/>
  </r>
  <r>
    <d v="2020-08-14T00:00:00"/>
    <x v="3"/>
    <x v="2"/>
    <x v="2"/>
    <n v="190881.47"/>
    <x v="3"/>
    <x v="2"/>
    <x v="2"/>
    <x v="6"/>
    <x v="5"/>
    <x v="3"/>
    <x v="5"/>
    <x v="3"/>
    <x v="8"/>
    <n v="14"/>
    <x v="0"/>
  </r>
  <r>
    <d v="2020-08-14T00:00:00"/>
    <x v="0"/>
    <x v="0"/>
    <x v="0"/>
    <n v="6421.06"/>
    <x v="0"/>
    <x v="0"/>
    <x v="0"/>
    <x v="0"/>
    <x v="5"/>
    <x v="3"/>
    <x v="5"/>
    <x v="3"/>
    <x v="8"/>
    <n v="14"/>
    <x v="0"/>
  </r>
  <r>
    <d v="2020-08-14T00:00:00"/>
    <x v="3"/>
    <x v="3"/>
    <x v="0"/>
    <n v="2355742123.2399998"/>
    <x v="3"/>
    <x v="3"/>
    <x v="0"/>
    <x v="9"/>
    <x v="5"/>
    <x v="3"/>
    <x v="5"/>
    <x v="3"/>
    <x v="8"/>
    <n v="14"/>
    <x v="0"/>
  </r>
  <r>
    <d v="2020-08-14T00:00:00"/>
    <x v="1"/>
    <x v="0"/>
    <x v="1"/>
    <n v="128885507.58"/>
    <x v="1"/>
    <x v="0"/>
    <x v="1"/>
    <x v="10"/>
    <x v="5"/>
    <x v="3"/>
    <x v="5"/>
    <x v="3"/>
    <x v="8"/>
    <n v="14"/>
    <x v="0"/>
  </r>
  <r>
    <d v="2020-08-14T00:00:00"/>
    <x v="1"/>
    <x v="0"/>
    <x v="0"/>
    <n v="49483117.960000001"/>
    <x v="1"/>
    <x v="0"/>
    <x v="0"/>
    <x v="11"/>
    <x v="5"/>
    <x v="3"/>
    <x v="5"/>
    <x v="3"/>
    <x v="8"/>
    <n v="14"/>
    <x v="0"/>
  </r>
  <r>
    <d v="2020-08-14T00:00:00"/>
    <x v="3"/>
    <x v="2"/>
    <x v="0"/>
    <n v="795985647.63"/>
    <x v="3"/>
    <x v="2"/>
    <x v="0"/>
    <x v="12"/>
    <x v="5"/>
    <x v="3"/>
    <x v="5"/>
    <x v="3"/>
    <x v="8"/>
    <n v="14"/>
    <x v="0"/>
  </r>
  <r>
    <d v="2020-08-14T00:00:00"/>
    <x v="3"/>
    <x v="2"/>
    <x v="1"/>
    <n v="9197984501.7800007"/>
    <x v="3"/>
    <x v="2"/>
    <x v="1"/>
    <x v="13"/>
    <x v="5"/>
    <x v="3"/>
    <x v="5"/>
    <x v="3"/>
    <x v="8"/>
    <n v="14"/>
    <x v="0"/>
  </r>
  <r>
    <d v="2020-08-14T00:00:00"/>
    <x v="3"/>
    <x v="1"/>
    <x v="0"/>
    <n v="14926985.060000001"/>
    <x v="3"/>
    <x v="1"/>
    <x v="0"/>
    <x v="14"/>
    <x v="5"/>
    <x v="3"/>
    <x v="5"/>
    <x v="3"/>
    <x v="8"/>
    <n v="14"/>
    <x v="0"/>
  </r>
  <r>
    <d v="2020-08-13T00:00:00"/>
    <x v="0"/>
    <x v="1"/>
    <x v="0"/>
    <n v="17773407.699999999"/>
    <x v="0"/>
    <x v="1"/>
    <x v="0"/>
    <x v="1"/>
    <x v="5"/>
    <x v="3"/>
    <x v="5"/>
    <x v="3"/>
    <x v="8"/>
    <n v="13"/>
    <x v="0"/>
  </r>
  <r>
    <d v="2020-08-13T00:00:00"/>
    <x v="2"/>
    <x v="1"/>
    <x v="2"/>
    <n v="4870"/>
    <x v="2"/>
    <x v="1"/>
    <x v="2"/>
    <x v="2"/>
    <x v="5"/>
    <x v="3"/>
    <x v="5"/>
    <x v="3"/>
    <x v="8"/>
    <n v="13"/>
    <x v="0"/>
  </r>
  <r>
    <d v="2020-08-13T00:00:00"/>
    <x v="1"/>
    <x v="0"/>
    <x v="2"/>
    <n v="25013.79"/>
    <x v="1"/>
    <x v="0"/>
    <x v="2"/>
    <x v="3"/>
    <x v="5"/>
    <x v="3"/>
    <x v="5"/>
    <x v="3"/>
    <x v="8"/>
    <n v="13"/>
    <x v="0"/>
  </r>
  <r>
    <d v="2020-08-13T00:00:00"/>
    <x v="2"/>
    <x v="1"/>
    <x v="1"/>
    <n v="41233037.880000003"/>
    <x v="2"/>
    <x v="1"/>
    <x v="1"/>
    <x v="6"/>
    <x v="5"/>
    <x v="3"/>
    <x v="5"/>
    <x v="3"/>
    <x v="8"/>
    <n v="13"/>
    <x v="0"/>
  </r>
  <r>
    <d v="2020-08-13T00:00:00"/>
    <x v="2"/>
    <x v="1"/>
    <x v="0"/>
    <n v="69723600.549999997"/>
    <x v="2"/>
    <x v="1"/>
    <x v="0"/>
    <x v="7"/>
    <x v="5"/>
    <x v="3"/>
    <x v="5"/>
    <x v="3"/>
    <x v="8"/>
    <n v="13"/>
    <x v="0"/>
  </r>
  <r>
    <d v="2020-08-13T00:00:00"/>
    <x v="0"/>
    <x v="1"/>
    <x v="1"/>
    <n v="114119777.03"/>
    <x v="0"/>
    <x v="1"/>
    <x v="1"/>
    <x v="4"/>
    <x v="5"/>
    <x v="3"/>
    <x v="5"/>
    <x v="3"/>
    <x v="8"/>
    <n v="13"/>
    <x v="0"/>
  </r>
  <r>
    <d v="2020-08-13T00:00:00"/>
    <x v="1"/>
    <x v="0"/>
    <x v="1"/>
    <n v="120477291.87"/>
    <x v="1"/>
    <x v="0"/>
    <x v="1"/>
    <x v="9"/>
    <x v="5"/>
    <x v="3"/>
    <x v="5"/>
    <x v="3"/>
    <x v="8"/>
    <n v="13"/>
    <x v="0"/>
  </r>
  <r>
    <d v="2020-08-13T00:00:00"/>
    <x v="0"/>
    <x v="0"/>
    <x v="0"/>
    <n v="486.13"/>
    <x v="0"/>
    <x v="0"/>
    <x v="0"/>
    <x v="0"/>
    <x v="5"/>
    <x v="3"/>
    <x v="5"/>
    <x v="3"/>
    <x v="8"/>
    <n v="13"/>
    <x v="0"/>
  </r>
  <r>
    <d v="2020-08-13T00:00:00"/>
    <x v="3"/>
    <x v="2"/>
    <x v="2"/>
    <n v="79348.990000000005"/>
    <x v="3"/>
    <x v="2"/>
    <x v="2"/>
    <x v="5"/>
    <x v="5"/>
    <x v="3"/>
    <x v="5"/>
    <x v="3"/>
    <x v="8"/>
    <n v="13"/>
    <x v="0"/>
  </r>
  <r>
    <d v="2020-08-13T00:00:00"/>
    <x v="3"/>
    <x v="3"/>
    <x v="0"/>
    <n v="1102125382.5799999"/>
    <x v="3"/>
    <x v="3"/>
    <x v="0"/>
    <x v="8"/>
    <x v="5"/>
    <x v="3"/>
    <x v="5"/>
    <x v="3"/>
    <x v="8"/>
    <n v="13"/>
    <x v="0"/>
  </r>
  <r>
    <d v="2020-08-13T00:00:00"/>
    <x v="1"/>
    <x v="0"/>
    <x v="0"/>
    <n v="76075507.319999993"/>
    <x v="1"/>
    <x v="0"/>
    <x v="0"/>
    <x v="10"/>
    <x v="5"/>
    <x v="3"/>
    <x v="5"/>
    <x v="3"/>
    <x v="8"/>
    <n v="13"/>
    <x v="0"/>
  </r>
  <r>
    <d v="2020-08-13T00:00:00"/>
    <x v="3"/>
    <x v="2"/>
    <x v="0"/>
    <n v="336925515.48000002"/>
    <x v="3"/>
    <x v="2"/>
    <x v="0"/>
    <x v="11"/>
    <x v="5"/>
    <x v="3"/>
    <x v="5"/>
    <x v="3"/>
    <x v="8"/>
    <n v="13"/>
    <x v="0"/>
  </r>
  <r>
    <d v="2020-08-13T00:00:00"/>
    <x v="3"/>
    <x v="2"/>
    <x v="1"/>
    <n v="2837031514.54"/>
    <x v="3"/>
    <x v="2"/>
    <x v="1"/>
    <x v="12"/>
    <x v="5"/>
    <x v="3"/>
    <x v="5"/>
    <x v="3"/>
    <x v="8"/>
    <n v="13"/>
    <x v="0"/>
  </r>
  <r>
    <d v="2020-08-13T00:00:00"/>
    <x v="3"/>
    <x v="1"/>
    <x v="0"/>
    <n v="13739749.26"/>
    <x v="3"/>
    <x v="1"/>
    <x v="0"/>
    <x v="13"/>
    <x v="5"/>
    <x v="3"/>
    <x v="5"/>
    <x v="3"/>
    <x v="8"/>
    <n v="13"/>
    <x v="0"/>
  </r>
  <r>
    <d v="2020-08-12T00:00:00"/>
    <x v="1"/>
    <x v="0"/>
    <x v="2"/>
    <n v="2206.9899999999998"/>
    <x v="1"/>
    <x v="0"/>
    <x v="2"/>
    <x v="1"/>
    <x v="5"/>
    <x v="3"/>
    <x v="5"/>
    <x v="3"/>
    <x v="8"/>
    <n v="12"/>
    <x v="0"/>
  </r>
  <r>
    <d v="2020-08-12T00:00:00"/>
    <x v="0"/>
    <x v="1"/>
    <x v="0"/>
    <n v="13739941"/>
    <x v="0"/>
    <x v="1"/>
    <x v="0"/>
    <x v="0"/>
    <x v="5"/>
    <x v="3"/>
    <x v="5"/>
    <x v="3"/>
    <x v="8"/>
    <n v="12"/>
    <x v="0"/>
  </r>
  <r>
    <d v="2020-08-12T00:00:00"/>
    <x v="2"/>
    <x v="1"/>
    <x v="1"/>
    <n v="14328149.060000001"/>
    <x v="2"/>
    <x v="1"/>
    <x v="1"/>
    <x v="6"/>
    <x v="5"/>
    <x v="3"/>
    <x v="5"/>
    <x v="3"/>
    <x v="8"/>
    <n v="12"/>
    <x v="0"/>
  </r>
  <r>
    <d v="2020-08-12T00:00:00"/>
    <x v="2"/>
    <x v="1"/>
    <x v="0"/>
    <n v="80402512.459999993"/>
    <x v="2"/>
    <x v="1"/>
    <x v="0"/>
    <x v="7"/>
    <x v="5"/>
    <x v="3"/>
    <x v="5"/>
    <x v="3"/>
    <x v="8"/>
    <n v="12"/>
    <x v="0"/>
  </r>
  <r>
    <d v="2020-08-12T00:00:00"/>
    <x v="0"/>
    <x v="1"/>
    <x v="1"/>
    <n v="135163202.50999999"/>
    <x v="0"/>
    <x v="1"/>
    <x v="1"/>
    <x v="3"/>
    <x v="5"/>
    <x v="3"/>
    <x v="5"/>
    <x v="3"/>
    <x v="8"/>
    <n v="12"/>
    <x v="0"/>
  </r>
  <r>
    <d v="2020-08-12T00:00:00"/>
    <x v="1"/>
    <x v="0"/>
    <x v="0"/>
    <n v="50318831.600000001"/>
    <x v="1"/>
    <x v="0"/>
    <x v="0"/>
    <x v="8"/>
    <x v="5"/>
    <x v="3"/>
    <x v="5"/>
    <x v="3"/>
    <x v="8"/>
    <n v="12"/>
    <x v="0"/>
  </r>
  <r>
    <d v="2020-08-12T00:00:00"/>
    <x v="1"/>
    <x v="0"/>
    <x v="1"/>
    <n v="527017704.06999999"/>
    <x v="1"/>
    <x v="0"/>
    <x v="1"/>
    <x v="9"/>
    <x v="5"/>
    <x v="3"/>
    <x v="5"/>
    <x v="3"/>
    <x v="8"/>
    <n v="12"/>
    <x v="0"/>
  </r>
  <r>
    <d v="2020-08-12T00:00:00"/>
    <x v="2"/>
    <x v="1"/>
    <x v="2"/>
    <n v="81685.919999999998"/>
    <x v="2"/>
    <x v="1"/>
    <x v="2"/>
    <x v="4"/>
    <x v="5"/>
    <x v="3"/>
    <x v="5"/>
    <x v="3"/>
    <x v="8"/>
    <n v="12"/>
    <x v="0"/>
  </r>
  <r>
    <d v="2020-08-12T00:00:00"/>
    <x v="3"/>
    <x v="3"/>
    <x v="0"/>
    <n v="1765269705.5599999"/>
    <x v="3"/>
    <x v="3"/>
    <x v="0"/>
    <x v="5"/>
    <x v="5"/>
    <x v="3"/>
    <x v="5"/>
    <x v="3"/>
    <x v="8"/>
    <n v="12"/>
    <x v="0"/>
  </r>
  <r>
    <d v="2020-08-12T00:00:00"/>
    <x v="3"/>
    <x v="2"/>
    <x v="2"/>
    <n v="107741"/>
    <x v="3"/>
    <x v="2"/>
    <x v="2"/>
    <x v="2"/>
    <x v="5"/>
    <x v="3"/>
    <x v="5"/>
    <x v="3"/>
    <x v="8"/>
    <n v="12"/>
    <x v="0"/>
  </r>
  <r>
    <d v="2020-08-12T00:00:00"/>
    <x v="3"/>
    <x v="2"/>
    <x v="0"/>
    <n v="495898416.25999999"/>
    <x v="3"/>
    <x v="2"/>
    <x v="0"/>
    <x v="10"/>
    <x v="5"/>
    <x v="3"/>
    <x v="5"/>
    <x v="3"/>
    <x v="8"/>
    <n v="12"/>
    <x v="0"/>
  </r>
  <r>
    <d v="2020-08-12T00:00:00"/>
    <x v="3"/>
    <x v="2"/>
    <x v="1"/>
    <n v="8388174321.5200005"/>
    <x v="3"/>
    <x v="2"/>
    <x v="1"/>
    <x v="11"/>
    <x v="5"/>
    <x v="3"/>
    <x v="5"/>
    <x v="3"/>
    <x v="8"/>
    <n v="12"/>
    <x v="0"/>
  </r>
  <r>
    <d v="2020-08-12T00:00:00"/>
    <x v="3"/>
    <x v="1"/>
    <x v="0"/>
    <n v="14427645.34"/>
    <x v="3"/>
    <x v="1"/>
    <x v="0"/>
    <x v="12"/>
    <x v="5"/>
    <x v="3"/>
    <x v="5"/>
    <x v="3"/>
    <x v="8"/>
    <n v="12"/>
    <x v="0"/>
  </r>
  <r>
    <d v="2020-08-11T00:00:00"/>
    <x v="0"/>
    <x v="1"/>
    <x v="0"/>
    <n v="13256959.609999999"/>
    <x v="0"/>
    <x v="1"/>
    <x v="0"/>
    <x v="1"/>
    <x v="5"/>
    <x v="3"/>
    <x v="5"/>
    <x v="3"/>
    <x v="8"/>
    <n v="11"/>
    <x v="0"/>
  </r>
  <r>
    <d v="2020-08-11T00:00:00"/>
    <x v="2"/>
    <x v="1"/>
    <x v="1"/>
    <n v="3731824.31"/>
    <x v="2"/>
    <x v="1"/>
    <x v="1"/>
    <x v="6"/>
    <x v="5"/>
    <x v="3"/>
    <x v="5"/>
    <x v="3"/>
    <x v="8"/>
    <n v="11"/>
    <x v="0"/>
  </r>
  <r>
    <d v="2020-08-11T00:00:00"/>
    <x v="1"/>
    <x v="0"/>
    <x v="2"/>
    <n v="17929.14"/>
    <x v="1"/>
    <x v="0"/>
    <x v="2"/>
    <x v="2"/>
    <x v="5"/>
    <x v="3"/>
    <x v="5"/>
    <x v="3"/>
    <x v="8"/>
    <n v="11"/>
    <x v="0"/>
  </r>
  <r>
    <d v="2020-08-11T00:00:00"/>
    <x v="3"/>
    <x v="3"/>
    <x v="0"/>
    <n v="1748045269.3699999"/>
    <x v="3"/>
    <x v="3"/>
    <x v="0"/>
    <x v="8"/>
    <x v="5"/>
    <x v="3"/>
    <x v="5"/>
    <x v="3"/>
    <x v="8"/>
    <n v="11"/>
    <x v="0"/>
  </r>
  <r>
    <d v="2020-08-11T00:00:00"/>
    <x v="0"/>
    <x v="1"/>
    <x v="1"/>
    <n v="103051253.89"/>
    <x v="0"/>
    <x v="1"/>
    <x v="1"/>
    <x v="3"/>
    <x v="5"/>
    <x v="3"/>
    <x v="5"/>
    <x v="3"/>
    <x v="8"/>
    <n v="11"/>
    <x v="0"/>
  </r>
  <r>
    <d v="2020-08-11T00:00:00"/>
    <x v="1"/>
    <x v="0"/>
    <x v="0"/>
    <n v="70047590.980000004"/>
    <x v="1"/>
    <x v="0"/>
    <x v="0"/>
    <x v="9"/>
    <x v="5"/>
    <x v="3"/>
    <x v="5"/>
    <x v="3"/>
    <x v="8"/>
    <n v="11"/>
    <x v="0"/>
  </r>
  <r>
    <d v="2020-08-11T00:00:00"/>
    <x v="2"/>
    <x v="1"/>
    <x v="2"/>
    <n v="3535"/>
    <x v="2"/>
    <x v="1"/>
    <x v="2"/>
    <x v="4"/>
    <x v="5"/>
    <x v="3"/>
    <x v="5"/>
    <x v="3"/>
    <x v="8"/>
    <n v="11"/>
    <x v="0"/>
  </r>
  <r>
    <d v="2020-08-11T00:00:00"/>
    <x v="1"/>
    <x v="0"/>
    <x v="1"/>
    <n v="315688495.88"/>
    <x v="1"/>
    <x v="0"/>
    <x v="1"/>
    <x v="10"/>
    <x v="5"/>
    <x v="3"/>
    <x v="5"/>
    <x v="3"/>
    <x v="8"/>
    <n v="11"/>
    <x v="0"/>
  </r>
  <r>
    <d v="2020-08-11T00:00:00"/>
    <x v="0"/>
    <x v="0"/>
    <x v="0"/>
    <n v="125"/>
    <x v="0"/>
    <x v="0"/>
    <x v="0"/>
    <x v="0"/>
    <x v="5"/>
    <x v="3"/>
    <x v="5"/>
    <x v="3"/>
    <x v="8"/>
    <n v="11"/>
    <x v="0"/>
  </r>
  <r>
    <d v="2020-08-11T00:00:00"/>
    <x v="2"/>
    <x v="1"/>
    <x v="0"/>
    <n v="124932207.89"/>
    <x v="2"/>
    <x v="1"/>
    <x v="0"/>
    <x v="7"/>
    <x v="5"/>
    <x v="3"/>
    <x v="5"/>
    <x v="3"/>
    <x v="8"/>
    <n v="11"/>
    <x v="0"/>
  </r>
  <r>
    <d v="2020-08-11T00:00:00"/>
    <x v="3"/>
    <x v="2"/>
    <x v="2"/>
    <n v="41905"/>
    <x v="3"/>
    <x v="2"/>
    <x v="2"/>
    <x v="5"/>
    <x v="5"/>
    <x v="3"/>
    <x v="5"/>
    <x v="3"/>
    <x v="8"/>
    <n v="11"/>
    <x v="0"/>
  </r>
  <r>
    <d v="2020-08-11T00:00:00"/>
    <x v="3"/>
    <x v="2"/>
    <x v="0"/>
    <n v="498174409.12"/>
    <x v="3"/>
    <x v="2"/>
    <x v="0"/>
    <x v="11"/>
    <x v="5"/>
    <x v="3"/>
    <x v="5"/>
    <x v="3"/>
    <x v="8"/>
    <n v="11"/>
    <x v="0"/>
  </r>
  <r>
    <d v="2020-08-11T00:00:00"/>
    <x v="3"/>
    <x v="2"/>
    <x v="1"/>
    <n v="3773000130.77"/>
    <x v="3"/>
    <x v="2"/>
    <x v="1"/>
    <x v="12"/>
    <x v="5"/>
    <x v="3"/>
    <x v="5"/>
    <x v="3"/>
    <x v="8"/>
    <n v="11"/>
    <x v="0"/>
  </r>
  <r>
    <d v="2020-08-11T00:00:00"/>
    <x v="3"/>
    <x v="1"/>
    <x v="0"/>
    <n v="10309705.25"/>
    <x v="3"/>
    <x v="1"/>
    <x v="0"/>
    <x v="13"/>
    <x v="5"/>
    <x v="3"/>
    <x v="5"/>
    <x v="3"/>
    <x v="8"/>
    <n v="11"/>
    <x v="0"/>
  </r>
  <r>
    <d v="2020-08-10T00:00:00"/>
    <x v="2"/>
    <x v="1"/>
    <x v="2"/>
    <n v="5245"/>
    <x v="2"/>
    <x v="1"/>
    <x v="2"/>
    <x v="5"/>
    <x v="5"/>
    <x v="3"/>
    <x v="5"/>
    <x v="3"/>
    <x v="8"/>
    <n v="10"/>
    <x v="0"/>
  </r>
  <r>
    <d v="2020-08-10T00:00:00"/>
    <x v="1"/>
    <x v="0"/>
    <x v="2"/>
    <n v="13397.67"/>
    <x v="1"/>
    <x v="0"/>
    <x v="2"/>
    <x v="2"/>
    <x v="5"/>
    <x v="3"/>
    <x v="5"/>
    <x v="3"/>
    <x v="8"/>
    <n v="10"/>
    <x v="0"/>
  </r>
  <r>
    <d v="2020-08-10T00:00:00"/>
    <x v="2"/>
    <x v="1"/>
    <x v="1"/>
    <n v="10055130.76"/>
    <x v="2"/>
    <x v="1"/>
    <x v="1"/>
    <x v="6"/>
    <x v="5"/>
    <x v="3"/>
    <x v="5"/>
    <x v="3"/>
    <x v="8"/>
    <n v="10"/>
    <x v="0"/>
  </r>
  <r>
    <d v="2020-08-10T00:00:00"/>
    <x v="2"/>
    <x v="1"/>
    <x v="0"/>
    <n v="61813377.740000002"/>
    <x v="2"/>
    <x v="1"/>
    <x v="0"/>
    <x v="7"/>
    <x v="5"/>
    <x v="3"/>
    <x v="5"/>
    <x v="3"/>
    <x v="8"/>
    <n v="10"/>
    <x v="0"/>
  </r>
  <r>
    <d v="2020-08-10T00:00:00"/>
    <x v="3"/>
    <x v="3"/>
    <x v="0"/>
    <n v="1507813409.8800001"/>
    <x v="3"/>
    <x v="3"/>
    <x v="0"/>
    <x v="8"/>
    <x v="5"/>
    <x v="3"/>
    <x v="5"/>
    <x v="3"/>
    <x v="8"/>
    <n v="10"/>
    <x v="0"/>
  </r>
  <r>
    <d v="2020-08-10T00:00:00"/>
    <x v="0"/>
    <x v="1"/>
    <x v="1"/>
    <n v="73872224.359999999"/>
    <x v="0"/>
    <x v="1"/>
    <x v="1"/>
    <x v="3"/>
    <x v="5"/>
    <x v="3"/>
    <x v="5"/>
    <x v="3"/>
    <x v="8"/>
    <n v="10"/>
    <x v="0"/>
  </r>
  <r>
    <d v="2020-08-10T00:00:00"/>
    <x v="1"/>
    <x v="0"/>
    <x v="0"/>
    <n v="67403514.319999993"/>
    <x v="1"/>
    <x v="0"/>
    <x v="0"/>
    <x v="9"/>
    <x v="5"/>
    <x v="3"/>
    <x v="5"/>
    <x v="3"/>
    <x v="8"/>
    <n v="10"/>
    <x v="0"/>
  </r>
  <r>
    <d v="2020-08-10T00:00:00"/>
    <x v="0"/>
    <x v="1"/>
    <x v="0"/>
    <n v="12532641.49"/>
    <x v="0"/>
    <x v="1"/>
    <x v="0"/>
    <x v="1"/>
    <x v="5"/>
    <x v="3"/>
    <x v="5"/>
    <x v="3"/>
    <x v="8"/>
    <n v="10"/>
    <x v="0"/>
  </r>
  <r>
    <d v="2020-08-10T00:00:00"/>
    <x v="3"/>
    <x v="2"/>
    <x v="2"/>
    <n v="150061"/>
    <x v="3"/>
    <x v="2"/>
    <x v="2"/>
    <x v="4"/>
    <x v="5"/>
    <x v="3"/>
    <x v="5"/>
    <x v="3"/>
    <x v="8"/>
    <n v="10"/>
    <x v="0"/>
  </r>
  <r>
    <d v="2020-08-10T00:00:00"/>
    <x v="0"/>
    <x v="0"/>
    <x v="0"/>
    <n v="3809.05"/>
    <x v="0"/>
    <x v="0"/>
    <x v="0"/>
    <x v="0"/>
    <x v="5"/>
    <x v="3"/>
    <x v="5"/>
    <x v="3"/>
    <x v="8"/>
    <n v="10"/>
    <x v="0"/>
  </r>
  <r>
    <d v="2020-08-10T00:00:00"/>
    <x v="1"/>
    <x v="0"/>
    <x v="1"/>
    <n v="217110157.31"/>
    <x v="1"/>
    <x v="0"/>
    <x v="1"/>
    <x v="10"/>
    <x v="5"/>
    <x v="3"/>
    <x v="5"/>
    <x v="3"/>
    <x v="8"/>
    <n v="10"/>
    <x v="0"/>
  </r>
  <r>
    <d v="2020-08-10T00:00:00"/>
    <x v="3"/>
    <x v="2"/>
    <x v="0"/>
    <n v="477334784.73000002"/>
    <x v="3"/>
    <x v="2"/>
    <x v="0"/>
    <x v="11"/>
    <x v="5"/>
    <x v="3"/>
    <x v="5"/>
    <x v="3"/>
    <x v="8"/>
    <n v="10"/>
    <x v="0"/>
  </r>
  <r>
    <d v="2020-08-10T00:00:00"/>
    <x v="3"/>
    <x v="2"/>
    <x v="1"/>
    <n v="15858731329.190001"/>
    <x v="3"/>
    <x v="2"/>
    <x v="1"/>
    <x v="12"/>
    <x v="5"/>
    <x v="3"/>
    <x v="5"/>
    <x v="3"/>
    <x v="8"/>
    <n v="10"/>
    <x v="0"/>
  </r>
  <r>
    <d v="2020-08-10T00:00:00"/>
    <x v="3"/>
    <x v="1"/>
    <x v="0"/>
    <n v="44333459.880000003"/>
    <x v="3"/>
    <x v="1"/>
    <x v="0"/>
    <x v="13"/>
    <x v="5"/>
    <x v="3"/>
    <x v="5"/>
    <x v="3"/>
    <x v="8"/>
    <n v="10"/>
    <x v="0"/>
  </r>
  <r>
    <d v="2020-08-07T00:00:00"/>
    <x v="1"/>
    <x v="0"/>
    <x v="2"/>
    <n v="26742.400000000001"/>
    <x v="1"/>
    <x v="0"/>
    <x v="2"/>
    <x v="2"/>
    <x v="5"/>
    <x v="3"/>
    <x v="5"/>
    <x v="3"/>
    <x v="8"/>
    <n v="7"/>
    <x v="0"/>
  </r>
  <r>
    <d v="2020-08-07T00:00:00"/>
    <x v="3"/>
    <x v="3"/>
    <x v="1"/>
    <n v="127424.8"/>
    <x v="3"/>
    <x v="3"/>
    <x v="1"/>
    <x v="4"/>
    <x v="5"/>
    <x v="3"/>
    <x v="5"/>
    <x v="3"/>
    <x v="8"/>
    <n v="7"/>
    <x v="0"/>
  </r>
  <r>
    <d v="2020-08-07T00:00:00"/>
    <x v="0"/>
    <x v="1"/>
    <x v="1"/>
    <n v="74355389.209999993"/>
    <x v="0"/>
    <x v="1"/>
    <x v="1"/>
    <x v="5"/>
    <x v="5"/>
    <x v="3"/>
    <x v="5"/>
    <x v="3"/>
    <x v="8"/>
    <n v="7"/>
    <x v="0"/>
  </r>
  <r>
    <d v="2020-08-07T00:00:00"/>
    <x v="1"/>
    <x v="0"/>
    <x v="0"/>
    <n v="41676054.619999997"/>
    <x v="1"/>
    <x v="0"/>
    <x v="0"/>
    <x v="9"/>
    <x v="5"/>
    <x v="3"/>
    <x v="5"/>
    <x v="3"/>
    <x v="8"/>
    <n v="7"/>
    <x v="0"/>
  </r>
  <r>
    <d v="2020-08-07T00:00:00"/>
    <x v="3"/>
    <x v="3"/>
    <x v="0"/>
    <n v="1178104935.9300001"/>
    <x v="3"/>
    <x v="3"/>
    <x v="0"/>
    <x v="10"/>
    <x v="5"/>
    <x v="3"/>
    <x v="5"/>
    <x v="3"/>
    <x v="8"/>
    <n v="7"/>
    <x v="0"/>
  </r>
  <r>
    <d v="2020-08-07T00:00:00"/>
    <x v="3"/>
    <x v="2"/>
    <x v="2"/>
    <n v="62617"/>
    <x v="3"/>
    <x v="2"/>
    <x v="2"/>
    <x v="6"/>
    <x v="5"/>
    <x v="3"/>
    <x v="5"/>
    <x v="3"/>
    <x v="8"/>
    <n v="7"/>
    <x v="0"/>
  </r>
  <r>
    <d v="2020-08-07T00:00:00"/>
    <x v="2"/>
    <x v="1"/>
    <x v="2"/>
    <n v="26834.639999999999"/>
    <x v="2"/>
    <x v="1"/>
    <x v="2"/>
    <x v="3"/>
    <x v="5"/>
    <x v="3"/>
    <x v="5"/>
    <x v="3"/>
    <x v="8"/>
    <n v="7"/>
    <x v="0"/>
  </r>
  <r>
    <d v="2020-08-07T00:00:00"/>
    <x v="2"/>
    <x v="1"/>
    <x v="1"/>
    <n v="42842155.75"/>
    <x v="2"/>
    <x v="1"/>
    <x v="1"/>
    <x v="8"/>
    <x v="5"/>
    <x v="3"/>
    <x v="5"/>
    <x v="3"/>
    <x v="8"/>
    <n v="7"/>
    <x v="0"/>
  </r>
  <r>
    <d v="2020-08-07T00:00:00"/>
    <x v="0"/>
    <x v="1"/>
    <x v="0"/>
    <n v="7471134.46"/>
    <x v="0"/>
    <x v="1"/>
    <x v="0"/>
    <x v="1"/>
    <x v="5"/>
    <x v="3"/>
    <x v="5"/>
    <x v="3"/>
    <x v="8"/>
    <n v="7"/>
    <x v="0"/>
  </r>
  <r>
    <d v="2020-08-07T00:00:00"/>
    <x v="0"/>
    <x v="0"/>
    <x v="0"/>
    <n v="500"/>
    <x v="0"/>
    <x v="0"/>
    <x v="0"/>
    <x v="0"/>
    <x v="5"/>
    <x v="3"/>
    <x v="5"/>
    <x v="3"/>
    <x v="8"/>
    <n v="7"/>
    <x v="0"/>
  </r>
  <r>
    <d v="2020-08-07T00:00:00"/>
    <x v="2"/>
    <x v="1"/>
    <x v="0"/>
    <n v="141849783.08000001"/>
    <x v="2"/>
    <x v="1"/>
    <x v="0"/>
    <x v="7"/>
    <x v="5"/>
    <x v="3"/>
    <x v="5"/>
    <x v="3"/>
    <x v="8"/>
    <n v="7"/>
    <x v="0"/>
  </r>
  <r>
    <d v="2020-08-07T00:00:00"/>
    <x v="1"/>
    <x v="0"/>
    <x v="1"/>
    <n v="166502027.28999999"/>
    <x v="1"/>
    <x v="0"/>
    <x v="1"/>
    <x v="11"/>
    <x v="5"/>
    <x v="3"/>
    <x v="5"/>
    <x v="3"/>
    <x v="8"/>
    <n v="7"/>
    <x v="0"/>
  </r>
  <r>
    <d v="2020-08-07T00:00:00"/>
    <x v="3"/>
    <x v="2"/>
    <x v="0"/>
    <n v="491905527.44999999"/>
    <x v="3"/>
    <x v="2"/>
    <x v="0"/>
    <x v="12"/>
    <x v="5"/>
    <x v="3"/>
    <x v="5"/>
    <x v="3"/>
    <x v="8"/>
    <n v="7"/>
    <x v="0"/>
  </r>
  <r>
    <d v="2020-08-07T00:00:00"/>
    <x v="3"/>
    <x v="2"/>
    <x v="1"/>
    <n v="7027035898.0699997"/>
    <x v="3"/>
    <x v="2"/>
    <x v="1"/>
    <x v="13"/>
    <x v="5"/>
    <x v="3"/>
    <x v="5"/>
    <x v="3"/>
    <x v="8"/>
    <n v="7"/>
    <x v="0"/>
  </r>
  <r>
    <d v="2020-08-07T00:00:00"/>
    <x v="3"/>
    <x v="1"/>
    <x v="0"/>
    <n v="15337021.220000001"/>
    <x v="3"/>
    <x v="1"/>
    <x v="0"/>
    <x v="14"/>
    <x v="5"/>
    <x v="3"/>
    <x v="5"/>
    <x v="3"/>
    <x v="8"/>
    <n v="7"/>
    <x v="0"/>
  </r>
  <r>
    <d v="2020-08-06T00:00:00"/>
    <x v="2"/>
    <x v="1"/>
    <x v="2"/>
    <n v="22100"/>
    <x v="2"/>
    <x v="1"/>
    <x v="2"/>
    <x v="3"/>
    <x v="5"/>
    <x v="3"/>
    <x v="5"/>
    <x v="3"/>
    <x v="8"/>
    <n v="6"/>
    <x v="0"/>
  </r>
  <r>
    <d v="2020-08-06T00:00:00"/>
    <x v="0"/>
    <x v="1"/>
    <x v="1"/>
    <n v="92638535.150000006"/>
    <x v="0"/>
    <x v="1"/>
    <x v="1"/>
    <x v="4"/>
    <x v="5"/>
    <x v="3"/>
    <x v="5"/>
    <x v="3"/>
    <x v="8"/>
    <n v="6"/>
    <x v="0"/>
  </r>
  <r>
    <d v="2020-08-06T00:00:00"/>
    <x v="1"/>
    <x v="0"/>
    <x v="0"/>
    <n v="97190683.930000007"/>
    <x v="1"/>
    <x v="0"/>
    <x v="0"/>
    <x v="8"/>
    <x v="5"/>
    <x v="3"/>
    <x v="5"/>
    <x v="3"/>
    <x v="8"/>
    <n v="6"/>
    <x v="0"/>
  </r>
  <r>
    <d v="2020-08-06T00:00:00"/>
    <x v="0"/>
    <x v="1"/>
    <x v="0"/>
    <n v="17281717.829999998"/>
    <x v="0"/>
    <x v="1"/>
    <x v="0"/>
    <x v="1"/>
    <x v="5"/>
    <x v="3"/>
    <x v="5"/>
    <x v="3"/>
    <x v="8"/>
    <n v="6"/>
    <x v="0"/>
  </r>
  <r>
    <d v="2020-08-06T00:00:00"/>
    <x v="3"/>
    <x v="2"/>
    <x v="2"/>
    <n v="1478664"/>
    <x v="3"/>
    <x v="2"/>
    <x v="2"/>
    <x v="5"/>
    <x v="5"/>
    <x v="3"/>
    <x v="5"/>
    <x v="3"/>
    <x v="8"/>
    <n v="6"/>
    <x v="0"/>
  </r>
  <r>
    <d v="2020-08-06T00:00:00"/>
    <x v="0"/>
    <x v="0"/>
    <x v="0"/>
    <n v="6834"/>
    <x v="0"/>
    <x v="0"/>
    <x v="0"/>
    <x v="0"/>
    <x v="5"/>
    <x v="3"/>
    <x v="5"/>
    <x v="3"/>
    <x v="8"/>
    <n v="6"/>
    <x v="0"/>
  </r>
  <r>
    <d v="2020-08-06T00:00:00"/>
    <x v="2"/>
    <x v="1"/>
    <x v="0"/>
    <n v="78630737.870000005"/>
    <x v="2"/>
    <x v="1"/>
    <x v="0"/>
    <x v="6"/>
    <x v="5"/>
    <x v="3"/>
    <x v="5"/>
    <x v="3"/>
    <x v="8"/>
    <n v="6"/>
    <x v="0"/>
  </r>
  <r>
    <d v="2020-08-06T00:00:00"/>
    <x v="1"/>
    <x v="0"/>
    <x v="2"/>
    <n v="9132.1200000000008"/>
    <x v="1"/>
    <x v="0"/>
    <x v="2"/>
    <x v="2"/>
    <x v="5"/>
    <x v="3"/>
    <x v="5"/>
    <x v="3"/>
    <x v="8"/>
    <n v="6"/>
    <x v="0"/>
  </r>
  <r>
    <d v="2020-08-06T00:00:00"/>
    <x v="2"/>
    <x v="1"/>
    <x v="1"/>
    <n v="65460959.329999998"/>
    <x v="2"/>
    <x v="1"/>
    <x v="1"/>
    <x v="7"/>
    <x v="5"/>
    <x v="3"/>
    <x v="5"/>
    <x v="3"/>
    <x v="8"/>
    <n v="6"/>
    <x v="0"/>
  </r>
  <r>
    <d v="2020-08-06T00:00:00"/>
    <x v="3"/>
    <x v="3"/>
    <x v="0"/>
    <n v="1062770928.5"/>
    <x v="3"/>
    <x v="3"/>
    <x v="0"/>
    <x v="9"/>
    <x v="5"/>
    <x v="3"/>
    <x v="5"/>
    <x v="3"/>
    <x v="8"/>
    <n v="6"/>
    <x v="0"/>
  </r>
  <r>
    <d v="2020-08-06T00:00:00"/>
    <x v="1"/>
    <x v="0"/>
    <x v="1"/>
    <n v="387430442.60000002"/>
    <x v="1"/>
    <x v="0"/>
    <x v="1"/>
    <x v="10"/>
    <x v="5"/>
    <x v="3"/>
    <x v="5"/>
    <x v="3"/>
    <x v="8"/>
    <n v="6"/>
    <x v="0"/>
  </r>
  <r>
    <d v="2020-08-06T00:00:00"/>
    <x v="3"/>
    <x v="2"/>
    <x v="1"/>
    <n v="3101007650.9400001"/>
    <x v="3"/>
    <x v="2"/>
    <x v="1"/>
    <x v="11"/>
    <x v="5"/>
    <x v="3"/>
    <x v="5"/>
    <x v="3"/>
    <x v="8"/>
    <n v="6"/>
    <x v="0"/>
  </r>
  <r>
    <d v="2020-08-06T00:00:00"/>
    <x v="3"/>
    <x v="2"/>
    <x v="0"/>
    <n v="459939540.07999998"/>
    <x v="3"/>
    <x v="2"/>
    <x v="0"/>
    <x v="12"/>
    <x v="5"/>
    <x v="3"/>
    <x v="5"/>
    <x v="3"/>
    <x v="8"/>
    <n v="6"/>
    <x v="0"/>
  </r>
  <r>
    <d v="2020-08-06T00:00:00"/>
    <x v="3"/>
    <x v="1"/>
    <x v="0"/>
    <n v="14406712"/>
    <x v="3"/>
    <x v="1"/>
    <x v="0"/>
    <x v="13"/>
    <x v="5"/>
    <x v="3"/>
    <x v="5"/>
    <x v="3"/>
    <x v="8"/>
    <n v="6"/>
    <x v="0"/>
  </r>
  <r>
    <d v="2020-08-05T00:00:00"/>
    <x v="0"/>
    <x v="1"/>
    <x v="0"/>
    <n v="13732249.84"/>
    <x v="0"/>
    <x v="1"/>
    <x v="0"/>
    <x v="0"/>
    <x v="5"/>
    <x v="3"/>
    <x v="5"/>
    <x v="3"/>
    <x v="8"/>
    <n v="5"/>
    <x v="0"/>
  </r>
  <r>
    <d v="2020-08-05T00:00:00"/>
    <x v="2"/>
    <x v="1"/>
    <x v="0"/>
    <n v="92553628.719999999"/>
    <x v="2"/>
    <x v="1"/>
    <x v="0"/>
    <x v="5"/>
    <x v="5"/>
    <x v="3"/>
    <x v="5"/>
    <x v="3"/>
    <x v="8"/>
    <n v="5"/>
    <x v="0"/>
  </r>
  <r>
    <d v="2020-08-05T00:00:00"/>
    <x v="1"/>
    <x v="0"/>
    <x v="2"/>
    <n v="17988.77"/>
    <x v="1"/>
    <x v="0"/>
    <x v="2"/>
    <x v="1"/>
    <x v="5"/>
    <x v="3"/>
    <x v="5"/>
    <x v="3"/>
    <x v="8"/>
    <n v="5"/>
    <x v="0"/>
  </r>
  <r>
    <d v="2020-08-05T00:00:00"/>
    <x v="0"/>
    <x v="0"/>
    <x v="1"/>
    <n v="39"/>
    <x v="0"/>
    <x v="0"/>
    <x v="1"/>
    <x v="2"/>
    <x v="5"/>
    <x v="3"/>
    <x v="5"/>
    <x v="3"/>
    <x v="8"/>
    <n v="5"/>
    <x v="0"/>
  </r>
  <r>
    <d v="2020-08-05T00:00:00"/>
    <x v="0"/>
    <x v="1"/>
    <x v="1"/>
    <n v="154338367.06"/>
    <x v="0"/>
    <x v="1"/>
    <x v="1"/>
    <x v="3"/>
    <x v="5"/>
    <x v="3"/>
    <x v="5"/>
    <x v="3"/>
    <x v="8"/>
    <n v="5"/>
    <x v="0"/>
  </r>
  <r>
    <d v="2020-08-05T00:00:00"/>
    <x v="3"/>
    <x v="2"/>
    <x v="2"/>
    <n v="134821.23000000001"/>
    <x v="3"/>
    <x v="2"/>
    <x v="2"/>
    <x v="4"/>
    <x v="5"/>
    <x v="3"/>
    <x v="5"/>
    <x v="3"/>
    <x v="8"/>
    <n v="5"/>
    <x v="0"/>
  </r>
  <r>
    <d v="2020-08-05T00:00:00"/>
    <x v="3"/>
    <x v="3"/>
    <x v="0"/>
    <n v="1998570587.75"/>
    <x v="3"/>
    <x v="3"/>
    <x v="0"/>
    <x v="6"/>
    <x v="5"/>
    <x v="3"/>
    <x v="5"/>
    <x v="3"/>
    <x v="8"/>
    <n v="5"/>
    <x v="0"/>
  </r>
  <r>
    <d v="2020-08-05T00:00:00"/>
    <x v="2"/>
    <x v="1"/>
    <x v="1"/>
    <n v="45663823.460000001"/>
    <x v="2"/>
    <x v="1"/>
    <x v="1"/>
    <x v="7"/>
    <x v="5"/>
    <x v="3"/>
    <x v="5"/>
    <x v="3"/>
    <x v="8"/>
    <n v="5"/>
    <x v="0"/>
  </r>
  <r>
    <d v="2020-08-05T00:00:00"/>
    <x v="1"/>
    <x v="0"/>
    <x v="0"/>
    <n v="50650945.530000001"/>
    <x v="1"/>
    <x v="0"/>
    <x v="0"/>
    <x v="8"/>
    <x v="5"/>
    <x v="3"/>
    <x v="5"/>
    <x v="3"/>
    <x v="8"/>
    <n v="5"/>
    <x v="0"/>
  </r>
  <r>
    <d v="2020-08-05T00:00:00"/>
    <x v="1"/>
    <x v="0"/>
    <x v="1"/>
    <n v="817219833.76999998"/>
    <x v="1"/>
    <x v="0"/>
    <x v="1"/>
    <x v="9"/>
    <x v="5"/>
    <x v="3"/>
    <x v="5"/>
    <x v="3"/>
    <x v="8"/>
    <n v="5"/>
    <x v="0"/>
  </r>
  <r>
    <d v="2020-08-05T00:00:00"/>
    <x v="3"/>
    <x v="2"/>
    <x v="0"/>
    <n v="396607367.87"/>
    <x v="3"/>
    <x v="2"/>
    <x v="0"/>
    <x v="10"/>
    <x v="5"/>
    <x v="3"/>
    <x v="5"/>
    <x v="3"/>
    <x v="8"/>
    <n v="5"/>
    <x v="0"/>
  </r>
  <r>
    <d v="2020-08-05T00:00:00"/>
    <x v="3"/>
    <x v="2"/>
    <x v="1"/>
    <n v="10508678767.93"/>
    <x v="3"/>
    <x v="2"/>
    <x v="1"/>
    <x v="11"/>
    <x v="5"/>
    <x v="3"/>
    <x v="5"/>
    <x v="3"/>
    <x v="8"/>
    <n v="5"/>
    <x v="0"/>
  </r>
  <r>
    <d v="2020-08-05T00:00:00"/>
    <x v="3"/>
    <x v="1"/>
    <x v="0"/>
    <n v="14076150.35"/>
    <x v="3"/>
    <x v="1"/>
    <x v="0"/>
    <x v="12"/>
    <x v="5"/>
    <x v="3"/>
    <x v="5"/>
    <x v="3"/>
    <x v="8"/>
    <n v="5"/>
    <x v="0"/>
  </r>
  <r>
    <d v="2020-08-04T00:00:00"/>
    <x v="0"/>
    <x v="1"/>
    <x v="0"/>
    <n v="11061962.970000001"/>
    <x v="0"/>
    <x v="1"/>
    <x v="0"/>
    <x v="1"/>
    <x v="5"/>
    <x v="3"/>
    <x v="5"/>
    <x v="3"/>
    <x v="8"/>
    <n v="4"/>
    <x v="0"/>
  </r>
  <r>
    <d v="2020-08-04T00:00:00"/>
    <x v="1"/>
    <x v="0"/>
    <x v="2"/>
    <n v="69075.97"/>
    <x v="1"/>
    <x v="0"/>
    <x v="2"/>
    <x v="2"/>
    <x v="5"/>
    <x v="3"/>
    <x v="5"/>
    <x v="3"/>
    <x v="8"/>
    <n v="4"/>
    <x v="0"/>
  </r>
  <r>
    <d v="2020-08-04T00:00:00"/>
    <x v="2"/>
    <x v="1"/>
    <x v="0"/>
    <n v="120349340.78"/>
    <x v="2"/>
    <x v="1"/>
    <x v="0"/>
    <x v="8"/>
    <x v="5"/>
    <x v="3"/>
    <x v="5"/>
    <x v="3"/>
    <x v="8"/>
    <n v="4"/>
    <x v="0"/>
  </r>
  <r>
    <d v="2020-08-04T00:00:00"/>
    <x v="2"/>
    <x v="1"/>
    <x v="1"/>
    <n v="185649297.59"/>
    <x v="2"/>
    <x v="1"/>
    <x v="1"/>
    <x v="9"/>
    <x v="5"/>
    <x v="3"/>
    <x v="5"/>
    <x v="3"/>
    <x v="8"/>
    <n v="4"/>
    <x v="0"/>
  </r>
  <r>
    <d v="2020-08-04T00:00:00"/>
    <x v="0"/>
    <x v="1"/>
    <x v="1"/>
    <n v="63710411.149999999"/>
    <x v="0"/>
    <x v="1"/>
    <x v="1"/>
    <x v="4"/>
    <x v="5"/>
    <x v="3"/>
    <x v="5"/>
    <x v="3"/>
    <x v="8"/>
    <n v="4"/>
    <x v="0"/>
  </r>
  <r>
    <d v="2020-08-04T00:00:00"/>
    <x v="1"/>
    <x v="0"/>
    <x v="0"/>
    <n v="138583487.22999999"/>
    <x v="1"/>
    <x v="0"/>
    <x v="0"/>
    <x v="10"/>
    <x v="5"/>
    <x v="3"/>
    <x v="5"/>
    <x v="3"/>
    <x v="8"/>
    <n v="4"/>
    <x v="0"/>
  </r>
  <r>
    <d v="2020-08-04T00:00:00"/>
    <x v="2"/>
    <x v="1"/>
    <x v="2"/>
    <n v="2040136.02"/>
    <x v="2"/>
    <x v="1"/>
    <x v="2"/>
    <x v="5"/>
    <x v="5"/>
    <x v="3"/>
    <x v="5"/>
    <x v="3"/>
    <x v="8"/>
    <n v="4"/>
    <x v="0"/>
  </r>
  <r>
    <d v="2020-08-04T00:00:00"/>
    <x v="3"/>
    <x v="2"/>
    <x v="2"/>
    <n v="269091"/>
    <x v="3"/>
    <x v="2"/>
    <x v="2"/>
    <x v="6"/>
    <x v="5"/>
    <x v="3"/>
    <x v="5"/>
    <x v="3"/>
    <x v="8"/>
    <n v="4"/>
    <x v="0"/>
  </r>
  <r>
    <d v="2020-08-04T00:00:00"/>
    <x v="0"/>
    <x v="0"/>
    <x v="0"/>
    <n v="1625"/>
    <x v="0"/>
    <x v="0"/>
    <x v="0"/>
    <x v="0"/>
    <x v="5"/>
    <x v="3"/>
    <x v="5"/>
    <x v="3"/>
    <x v="8"/>
    <n v="4"/>
    <x v="0"/>
  </r>
  <r>
    <d v="2020-08-04T00:00:00"/>
    <x v="3"/>
    <x v="3"/>
    <x v="1"/>
    <n v="1431139.6"/>
    <x v="3"/>
    <x v="3"/>
    <x v="1"/>
    <x v="3"/>
    <x v="5"/>
    <x v="3"/>
    <x v="5"/>
    <x v="3"/>
    <x v="8"/>
    <n v="4"/>
    <x v="0"/>
  </r>
  <r>
    <d v="2020-08-04T00:00:00"/>
    <x v="3"/>
    <x v="3"/>
    <x v="0"/>
    <n v="1804800184.2"/>
    <x v="3"/>
    <x v="3"/>
    <x v="0"/>
    <x v="7"/>
    <x v="5"/>
    <x v="3"/>
    <x v="5"/>
    <x v="3"/>
    <x v="8"/>
    <n v="4"/>
    <x v="0"/>
  </r>
  <r>
    <d v="2020-08-04T00:00:00"/>
    <x v="1"/>
    <x v="0"/>
    <x v="1"/>
    <n v="519480412.39999998"/>
    <x v="1"/>
    <x v="0"/>
    <x v="1"/>
    <x v="11"/>
    <x v="5"/>
    <x v="3"/>
    <x v="5"/>
    <x v="3"/>
    <x v="8"/>
    <n v="4"/>
    <x v="0"/>
  </r>
  <r>
    <d v="2020-08-04T00:00:00"/>
    <x v="3"/>
    <x v="2"/>
    <x v="0"/>
    <n v="506930120.41000003"/>
    <x v="3"/>
    <x v="2"/>
    <x v="0"/>
    <x v="12"/>
    <x v="5"/>
    <x v="3"/>
    <x v="5"/>
    <x v="3"/>
    <x v="8"/>
    <n v="4"/>
    <x v="0"/>
  </r>
  <r>
    <d v="2020-08-04T00:00:00"/>
    <x v="3"/>
    <x v="1"/>
    <x v="0"/>
    <n v="11457535.529999999"/>
    <x v="3"/>
    <x v="1"/>
    <x v="0"/>
    <x v="13"/>
    <x v="5"/>
    <x v="3"/>
    <x v="5"/>
    <x v="3"/>
    <x v="8"/>
    <n v="4"/>
    <x v="0"/>
  </r>
  <r>
    <d v="2020-08-04T00:00:00"/>
    <x v="3"/>
    <x v="2"/>
    <x v="1"/>
    <n v="3493953462.9299998"/>
    <x v="3"/>
    <x v="2"/>
    <x v="1"/>
    <x v="14"/>
    <x v="5"/>
    <x v="3"/>
    <x v="5"/>
    <x v="3"/>
    <x v="8"/>
    <n v="4"/>
    <x v="0"/>
  </r>
  <r>
    <d v="2020-08-03T00:00:00"/>
    <x v="0"/>
    <x v="1"/>
    <x v="0"/>
    <n v="9131479.1400000006"/>
    <x v="0"/>
    <x v="1"/>
    <x v="0"/>
    <x v="0"/>
    <x v="5"/>
    <x v="3"/>
    <x v="5"/>
    <x v="3"/>
    <x v="8"/>
    <n v="3"/>
    <x v="0"/>
  </r>
  <r>
    <d v="2020-08-03T00:00:00"/>
    <x v="1"/>
    <x v="0"/>
    <x v="2"/>
    <n v="19976.330000000002"/>
    <x v="1"/>
    <x v="0"/>
    <x v="2"/>
    <x v="2"/>
    <x v="5"/>
    <x v="3"/>
    <x v="5"/>
    <x v="3"/>
    <x v="8"/>
    <n v="3"/>
    <x v="0"/>
  </r>
  <r>
    <d v="2020-08-03T00:00:00"/>
    <x v="2"/>
    <x v="1"/>
    <x v="2"/>
    <n v="46000"/>
    <x v="2"/>
    <x v="1"/>
    <x v="2"/>
    <x v="1"/>
    <x v="5"/>
    <x v="3"/>
    <x v="5"/>
    <x v="3"/>
    <x v="8"/>
    <n v="3"/>
    <x v="0"/>
  </r>
  <r>
    <d v="2020-08-03T00:00:00"/>
    <x v="2"/>
    <x v="1"/>
    <x v="1"/>
    <n v="61874951.030000001"/>
    <x v="2"/>
    <x v="1"/>
    <x v="1"/>
    <x v="7"/>
    <x v="5"/>
    <x v="3"/>
    <x v="5"/>
    <x v="3"/>
    <x v="8"/>
    <n v="3"/>
    <x v="0"/>
  </r>
  <r>
    <d v="2020-08-03T00:00:00"/>
    <x v="0"/>
    <x v="1"/>
    <x v="1"/>
    <n v="128591107.98"/>
    <x v="0"/>
    <x v="1"/>
    <x v="1"/>
    <x v="3"/>
    <x v="5"/>
    <x v="3"/>
    <x v="5"/>
    <x v="3"/>
    <x v="8"/>
    <n v="3"/>
    <x v="0"/>
  </r>
  <r>
    <d v="2020-08-03T00:00:00"/>
    <x v="1"/>
    <x v="0"/>
    <x v="0"/>
    <n v="66263158.759999998"/>
    <x v="1"/>
    <x v="0"/>
    <x v="0"/>
    <x v="8"/>
    <x v="5"/>
    <x v="3"/>
    <x v="5"/>
    <x v="3"/>
    <x v="8"/>
    <n v="3"/>
    <x v="0"/>
  </r>
  <r>
    <d v="2020-08-03T00:00:00"/>
    <x v="3"/>
    <x v="2"/>
    <x v="2"/>
    <n v="1309682.07"/>
    <x v="3"/>
    <x v="2"/>
    <x v="2"/>
    <x v="4"/>
    <x v="5"/>
    <x v="3"/>
    <x v="5"/>
    <x v="3"/>
    <x v="8"/>
    <n v="3"/>
    <x v="0"/>
  </r>
  <r>
    <d v="2020-08-03T00:00:00"/>
    <x v="3"/>
    <x v="3"/>
    <x v="0"/>
    <n v="4116393386.0700002"/>
    <x v="3"/>
    <x v="3"/>
    <x v="0"/>
    <x v="5"/>
    <x v="5"/>
    <x v="3"/>
    <x v="5"/>
    <x v="3"/>
    <x v="8"/>
    <n v="3"/>
    <x v="0"/>
  </r>
  <r>
    <d v="2020-08-03T00:00:00"/>
    <x v="2"/>
    <x v="1"/>
    <x v="0"/>
    <n v="72487139.950000003"/>
    <x v="2"/>
    <x v="1"/>
    <x v="0"/>
    <x v="6"/>
    <x v="5"/>
    <x v="3"/>
    <x v="5"/>
    <x v="3"/>
    <x v="8"/>
    <n v="3"/>
    <x v="0"/>
  </r>
  <r>
    <d v="2020-08-03T00:00:00"/>
    <x v="1"/>
    <x v="0"/>
    <x v="1"/>
    <n v="1125522419.8800001"/>
    <x v="1"/>
    <x v="0"/>
    <x v="1"/>
    <x v="9"/>
    <x v="5"/>
    <x v="3"/>
    <x v="5"/>
    <x v="3"/>
    <x v="8"/>
    <n v="3"/>
    <x v="0"/>
  </r>
  <r>
    <d v="2020-08-03T00:00:00"/>
    <x v="3"/>
    <x v="2"/>
    <x v="0"/>
    <n v="873746502.32000005"/>
    <x v="3"/>
    <x v="2"/>
    <x v="0"/>
    <x v="10"/>
    <x v="5"/>
    <x v="3"/>
    <x v="5"/>
    <x v="3"/>
    <x v="8"/>
    <n v="3"/>
    <x v="0"/>
  </r>
  <r>
    <d v="2020-08-03T00:00:00"/>
    <x v="3"/>
    <x v="2"/>
    <x v="1"/>
    <n v="31062992824.110001"/>
    <x v="3"/>
    <x v="2"/>
    <x v="1"/>
    <x v="11"/>
    <x v="5"/>
    <x v="3"/>
    <x v="5"/>
    <x v="3"/>
    <x v="8"/>
    <n v="3"/>
    <x v="0"/>
  </r>
  <r>
    <d v="2020-08-03T00:00:00"/>
    <x v="3"/>
    <x v="1"/>
    <x v="0"/>
    <n v="49785630.700000003"/>
    <x v="3"/>
    <x v="1"/>
    <x v="0"/>
    <x v="12"/>
    <x v="5"/>
    <x v="3"/>
    <x v="5"/>
    <x v="3"/>
    <x v="8"/>
    <n v="3"/>
    <x v="0"/>
  </r>
  <r>
    <d v="2020-07-31T00:00:00"/>
    <x v="1"/>
    <x v="0"/>
    <x v="2"/>
    <n v="21534.52"/>
    <x v="1"/>
    <x v="0"/>
    <x v="2"/>
    <x v="1"/>
    <x v="5"/>
    <x v="3"/>
    <x v="5"/>
    <x v="3"/>
    <x v="9"/>
    <n v="31"/>
    <x v="0"/>
  </r>
  <r>
    <d v="2020-07-31T00:00:00"/>
    <x v="2"/>
    <x v="1"/>
    <x v="2"/>
    <n v="10575.37"/>
    <x v="2"/>
    <x v="1"/>
    <x v="2"/>
    <x v="2"/>
    <x v="5"/>
    <x v="3"/>
    <x v="5"/>
    <x v="3"/>
    <x v="9"/>
    <n v="31"/>
    <x v="0"/>
  </r>
  <r>
    <d v="2020-07-31T00:00:00"/>
    <x v="2"/>
    <x v="1"/>
    <x v="0"/>
    <n v="83721909.239999995"/>
    <x v="2"/>
    <x v="1"/>
    <x v="0"/>
    <x v="7"/>
    <x v="5"/>
    <x v="3"/>
    <x v="5"/>
    <x v="3"/>
    <x v="9"/>
    <n v="31"/>
    <x v="0"/>
  </r>
  <r>
    <d v="2020-07-31T00:00:00"/>
    <x v="2"/>
    <x v="1"/>
    <x v="1"/>
    <n v="17396786.190000001"/>
    <x v="2"/>
    <x v="1"/>
    <x v="1"/>
    <x v="8"/>
    <x v="5"/>
    <x v="3"/>
    <x v="5"/>
    <x v="3"/>
    <x v="9"/>
    <n v="31"/>
    <x v="0"/>
  </r>
  <r>
    <d v="2020-07-31T00:00:00"/>
    <x v="3"/>
    <x v="2"/>
    <x v="2"/>
    <n v="436281.99"/>
    <x v="3"/>
    <x v="2"/>
    <x v="2"/>
    <x v="5"/>
    <x v="5"/>
    <x v="3"/>
    <x v="5"/>
    <x v="3"/>
    <x v="9"/>
    <n v="31"/>
    <x v="0"/>
  </r>
  <r>
    <d v="2020-07-31T00:00:00"/>
    <x v="0"/>
    <x v="1"/>
    <x v="0"/>
    <n v="18553210.25"/>
    <x v="0"/>
    <x v="1"/>
    <x v="0"/>
    <x v="0"/>
    <x v="5"/>
    <x v="3"/>
    <x v="5"/>
    <x v="3"/>
    <x v="9"/>
    <n v="31"/>
    <x v="0"/>
  </r>
  <r>
    <d v="2020-07-31T00:00:00"/>
    <x v="0"/>
    <x v="0"/>
    <x v="1"/>
    <n v="-39"/>
    <x v="0"/>
    <x v="0"/>
    <x v="1"/>
    <x v="3"/>
    <x v="5"/>
    <x v="3"/>
    <x v="5"/>
    <x v="3"/>
    <x v="9"/>
    <n v="31"/>
    <x v="1"/>
  </r>
  <r>
    <d v="2020-07-31T00:00:00"/>
    <x v="0"/>
    <x v="1"/>
    <x v="1"/>
    <n v="107189947.79000001"/>
    <x v="0"/>
    <x v="1"/>
    <x v="1"/>
    <x v="4"/>
    <x v="5"/>
    <x v="3"/>
    <x v="5"/>
    <x v="3"/>
    <x v="9"/>
    <n v="31"/>
    <x v="0"/>
  </r>
  <r>
    <d v="2020-07-31T00:00:00"/>
    <x v="3"/>
    <x v="3"/>
    <x v="0"/>
    <n v="3104734942.6700001"/>
    <x v="3"/>
    <x v="3"/>
    <x v="0"/>
    <x v="6"/>
    <x v="5"/>
    <x v="3"/>
    <x v="5"/>
    <x v="3"/>
    <x v="9"/>
    <n v="31"/>
    <x v="0"/>
  </r>
  <r>
    <d v="2020-07-31T00:00:00"/>
    <x v="1"/>
    <x v="0"/>
    <x v="0"/>
    <n v="37670095.359999999"/>
    <x v="1"/>
    <x v="0"/>
    <x v="0"/>
    <x v="9"/>
    <x v="5"/>
    <x v="3"/>
    <x v="5"/>
    <x v="3"/>
    <x v="9"/>
    <n v="31"/>
    <x v="0"/>
  </r>
  <r>
    <d v="2020-07-31T00:00:00"/>
    <x v="3"/>
    <x v="2"/>
    <x v="0"/>
    <n v="637299862.25"/>
    <x v="3"/>
    <x v="2"/>
    <x v="0"/>
    <x v="10"/>
    <x v="5"/>
    <x v="3"/>
    <x v="5"/>
    <x v="3"/>
    <x v="9"/>
    <n v="31"/>
    <x v="0"/>
  </r>
  <r>
    <d v="2020-07-31T00:00:00"/>
    <x v="1"/>
    <x v="0"/>
    <x v="1"/>
    <n v="895187197.89999998"/>
    <x v="1"/>
    <x v="0"/>
    <x v="1"/>
    <x v="11"/>
    <x v="5"/>
    <x v="3"/>
    <x v="5"/>
    <x v="3"/>
    <x v="9"/>
    <n v="31"/>
    <x v="0"/>
  </r>
  <r>
    <d v="2020-07-31T00:00:00"/>
    <x v="3"/>
    <x v="2"/>
    <x v="1"/>
    <n v="9442056765.8199997"/>
    <x v="3"/>
    <x v="2"/>
    <x v="1"/>
    <x v="12"/>
    <x v="5"/>
    <x v="3"/>
    <x v="5"/>
    <x v="3"/>
    <x v="9"/>
    <n v="31"/>
    <x v="0"/>
  </r>
  <r>
    <d v="2020-07-31T00:00:00"/>
    <x v="3"/>
    <x v="1"/>
    <x v="0"/>
    <n v="14740238.359999999"/>
    <x v="3"/>
    <x v="1"/>
    <x v="0"/>
    <x v="13"/>
    <x v="5"/>
    <x v="3"/>
    <x v="5"/>
    <x v="3"/>
    <x v="9"/>
    <n v="31"/>
    <x v="0"/>
  </r>
  <r>
    <d v="2020-07-30T00:00:00"/>
    <x v="0"/>
    <x v="1"/>
    <x v="0"/>
    <n v="12641738.439999999"/>
    <x v="0"/>
    <x v="1"/>
    <x v="0"/>
    <x v="1"/>
    <x v="5"/>
    <x v="3"/>
    <x v="5"/>
    <x v="3"/>
    <x v="9"/>
    <n v="30"/>
    <x v="0"/>
  </r>
  <r>
    <d v="2020-07-30T00:00:00"/>
    <x v="2"/>
    <x v="1"/>
    <x v="2"/>
    <n v="3550"/>
    <x v="2"/>
    <x v="1"/>
    <x v="2"/>
    <x v="2"/>
    <x v="5"/>
    <x v="3"/>
    <x v="5"/>
    <x v="3"/>
    <x v="9"/>
    <n v="30"/>
    <x v="0"/>
  </r>
  <r>
    <d v="2020-07-30T00:00:00"/>
    <x v="3"/>
    <x v="2"/>
    <x v="2"/>
    <n v="88779.99"/>
    <x v="3"/>
    <x v="2"/>
    <x v="2"/>
    <x v="4"/>
    <x v="5"/>
    <x v="3"/>
    <x v="5"/>
    <x v="3"/>
    <x v="9"/>
    <n v="30"/>
    <x v="0"/>
  </r>
  <r>
    <d v="2020-07-30T00:00:00"/>
    <x v="3"/>
    <x v="3"/>
    <x v="0"/>
    <n v="1835340616.71"/>
    <x v="3"/>
    <x v="3"/>
    <x v="0"/>
    <x v="8"/>
    <x v="5"/>
    <x v="3"/>
    <x v="5"/>
    <x v="3"/>
    <x v="9"/>
    <n v="30"/>
    <x v="0"/>
  </r>
  <r>
    <d v="2020-07-30T00:00:00"/>
    <x v="0"/>
    <x v="0"/>
    <x v="0"/>
    <n v="10"/>
    <x v="0"/>
    <x v="0"/>
    <x v="0"/>
    <x v="0"/>
    <x v="5"/>
    <x v="3"/>
    <x v="5"/>
    <x v="3"/>
    <x v="9"/>
    <n v="30"/>
    <x v="0"/>
  </r>
  <r>
    <d v="2020-07-30T00:00:00"/>
    <x v="1"/>
    <x v="0"/>
    <x v="2"/>
    <n v="14950.02"/>
    <x v="1"/>
    <x v="0"/>
    <x v="2"/>
    <x v="3"/>
    <x v="5"/>
    <x v="3"/>
    <x v="5"/>
    <x v="3"/>
    <x v="9"/>
    <n v="30"/>
    <x v="0"/>
  </r>
  <r>
    <d v="2020-07-30T00:00:00"/>
    <x v="2"/>
    <x v="1"/>
    <x v="1"/>
    <n v="15040927.43"/>
    <x v="2"/>
    <x v="1"/>
    <x v="1"/>
    <x v="7"/>
    <x v="5"/>
    <x v="3"/>
    <x v="5"/>
    <x v="3"/>
    <x v="9"/>
    <n v="30"/>
    <x v="0"/>
  </r>
  <r>
    <d v="2020-07-30T00:00:00"/>
    <x v="0"/>
    <x v="1"/>
    <x v="1"/>
    <n v="83049033.909999996"/>
    <x v="0"/>
    <x v="1"/>
    <x v="1"/>
    <x v="5"/>
    <x v="5"/>
    <x v="3"/>
    <x v="5"/>
    <x v="3"/>
    <x v="9"/>
    <n v="30"/>
    <x v="0"/>
  </r>
  <r>
    <d v="2020-07-30T00:00:00"/>
    <x v="2"/>
    <x v="1"/>
    <x v="0"/>
    <n v="158132671.94"/>
    <x v="2"/>
    <x v="1"/>
    <x v="0"/>
    <x v="6"/>
    <x v="5"/>
    <x v="3"/>
    <x v="5"/>
    <x v="3"/>
    <x v="9"/>
    <n v="30"/>
    <x v="0"/>
  </r>
  <r>
    <d v="2020-07-30T00:00:00"/>
    <x v="1"/>
    <x v="0"/>
    <x v="0"/>
    <n v="51073151.359999999"/>
    <x v="1"/>
    <x v="0"/>
    <x v="0"/>
    <x v="9"/>
    <x v="5"/>
    <x v="3"/>
    <x v="5"/>
    <x v="3"/>
    <x v="9"/>
    <n v="30"/>
    <x v="0"/>
  </r>
  <r>
    <d v="2020-07-30T00:00:00"/>
    <x v="3"/>
    <x v="1"/>
    <x v="0"/>
    <n v="12333682.73"/>
    <x v="3"/>
    <x v="1"/>
    <x v="0"/>
    <x v="10"/>
    <x v="5"/>
    <x v="3"/>
    <x v="5"/>
    <x v="3"/>
    <x v="9"/>
    <n v="30"/>
    <x v="0"/>
  </r>
  <r>
    <d v="2020-07-30T00:00:00"/>
    <x v="3"/>
    <x v="2"/>
    <x v="0"/>
    <n v="397932559.69"/>
    <x v="3"/>
    <x v="2"/>
    <x v="0"/>
    <x v="11"/>
    <x v="5"/>
    <x v="3"/>
    <x v="5"/>
    <x v="3"/>
    <x v="9"/>
    <n v="30"/>
    <x v="0"/>
  </r>
  <r>
    <d v="2020-07-30T00:00:00"/>
    <x v="1"/>
    <x v="0"/>
    <x v="1"/>
    <n v="2584922272.8299999"/>
    <x v="1"/>
    <x v="0"/>
    <x v="1"/>
    <x v="12"/>
    <x v="5"/>
    <x v="3"/>
    <x v="5"/>
    <x v="3"/>
    <x v="9"/>
    <n v="30"/>
    <x v="0"/>
  </r>
  <r>
    <d v="2020-07-30T00:00:00"/>
    <x v="3"/>
    <x v="2"/>
    <x v="1"/>
    <n v="3193617484.7199998"/>
    <x v="3"/>
    <x v="2"/>
    <x v="1"/>
    <x v="13"/>
    <x v="5"/>
    <x v="3"/>
    <x v="5"/>
    <x v="3"/>
    <x v="9"/>
    <n v="30"/>
    <x v="0"/>
  </r>
  <r>
    <d v="2020-07-29T00:00:00"/>
    <x v="2"/>
    <x v="1"/>
    <x v="2"/>
    <n v="98420"/>
    <x v="2"/>
    <x v="1"/>
    <x v="2"/>
    <x v="6"/>
    <x v="5"/>
    <x v="3"/>
    <x v="5"/>
    <x v="3"/>
    <x v="9"/>
    <n v="29"/>
    <x v="0"/>
  </r>
  <r>
    <d v="2020-07-29T00:00:00"/>
    <x v="3"/>
    <x v="2"/>
    <x v="2"/>
    <n v="292123.07"/>
    <x v="3"/>
    <x v="2"/>
    <x v="2"/>
    <x v="3"/>
    <x v="5"/>
    <x v="3"/>
    <x v="5"/>
    <x v="3"/>
    <x v="9"/>
    <n v="29"/>
    <x v="0"/>
  </r>
  <r>
    <d v="2020-07-29T00:00:00"/>
    <x v="2"/>
    <x v="1"/>
    <x v="0"/>
    <n v="111742244.63"/>
    <x v="2"/>
    <x v="1"/>
    <x v="0"/>
    <x v="7"/>
    <x v="5"/>
    <x v="3"/>
    <x v="5"/>
    <x v="3"/>
    <x v="9"/>
    <n v="29"/>
    <x v="0"/>
  </r>
  <r>
    <d v="2020-07-29T00:00:00"/>
    <x v="2"/>
    <x v="1"/>
    <x v="1"/>
    <n v="139713319.81"/>
    <x v="2"/>
    <x v="1"/>
    <x v="1"/>
    <x v="9"/>
    <x v="5"/>
    <x v="3"/>
    <x v="5"/>
    <x v="3"/>
    <x v="9"/>
    <n v="29"/>
    <x v="0"/>
  </r>
  <r>
    <d v="2020-07-29T00:00:00"/>
    <x v="0"/>
    <x v="1"/>
    <x v="1"/>
    <n v="304914806.06999999"/>
    <x v="0"/>
    <x v="1"/>
    <x v="1"/>
    <x v="5"/>
    <x v="5"/>
    <x v="3"/>
    <x v="5"/>
    <x v="3"/>
    <x v="9"/>
    <n v="29"/>
    <x v="0"/>
  </r>
  <r>
    <d v="2020-07-29T00:00:00"/>
    <x v="0"/>
    <x v="1"/>
    <x v="0"/>
    <n v="16377258.68"/>
    <x v="0"/>
    <x v="1"/>
    <x v="0"/>
    <x v="1"/>
    <x v="5"/>
    <x v="3"/>
    <x v="5"/>
    <x v="3"/>
    <x v="9"/>
    <n v="29"/>
    <x v="0"/>
  </r>
  <r>
    <d v="2020-07-29T00:00:00"/>
    <x v="0"/>
    <x v="0"/>
    <x v="0"/>
    <n v="20"/>
    <x v="0"/>
    <x v="0"/>
    <x v="0"/>
    <x v="0"/>
    <x v="5"/>
    <x v="3"/>
    <x v="5"/>
    <x v="3"/>
    <x v="9"/>
    <n v="29"/>
    <x v="0"/>
  </r>
  <r>
    <d v="2020-07-29T00:00:00"/>
    <x v="1"/>
    <x v="0"/>
    <x v="2"/>
    <n v="9891.24"/>
    <x v="1"/>
    <x v="0"/>
    <x v="2"/>
    <x v="2"/>
    <x v="5"/>
    <x v="3"/>
    <x v="5"/>
    <x v="3"/>
    <x v="9"/>
    <n v="29"/>
    <x v="0"/>
  </r>
  <r>
    <d v="2020-07-29T00:00:00"/>
    <x v="3"/>
    <x v="3"/>
    <x v="0"/>
    <n v="2627890201.7600002"/>
    <x v="3"/>
    <x v="3"/>
    <x v="0"/>
    <x v="8"/>
    <x v="5"/>
    <x v="3"/>
    <x v="5"/>
    <x v="3"/>
    <x v="9"/>
    <n v="29"/>
    <x v="0"/>
  </r>
  <r>
    <d v="2020-07-29T00:00:00"/>
    <x v="3"/>
    <x v="3"/>
    <x v="1"/>
    <n v="18438.400000000001"/>
    <x v="3"/>
    <x v="3"/>
    <x v="1"/>
    <x v="4"/>
    <x v="5"/>
    <x v="3"/>
    <x v="5"/>
    <x v="3"/>
    <x v="9"/>
    <n v="29"/>
    <x v="0"/>
  </r>
  <r>
    <d v="2020-07-29T00:00:00"/>
    <x v="1"/>
    <x v="0"/>
    <x v="0"/>
    <n v="62034111.509999998"/>
    <x v="1"/>
    <x v="0"/>
    <x v="0"/>
    <x v="10"/>
    <x v="5"/>
    <x v="3"/>
    <x v="5"/>
    <x v="3"/>
    <x v="9"/>
    <n v="29"/>
    <x v="0"/>
  </r>
  <r>
    <d v="2020-07-29T00:00:00"/>
    <x v="1"/>
    <x v="0"/>
    <x v="1"/>
    <n v="3389939422.5799999"/>
    <x v="1"/>
    <x v="0"/>
    <x v="1"/>
    <x v="11"/>
    <x v="5"/>
    <x v="3"/>
    <x v="5"/>
    <x v="3"/>
    <x v="9"/>
    <n v="29"/>
    <x v="0"/>
  </r>
  <r>
    <d v="2020-07-29T00:00:00"/>
    <x v="3"/>
    <x v="2"/>
    <x v="0"/>
    <n v="580977386.08000004"/>
    <x v="3"/>
    <x v="2"/>
    <x v="0"/>
    <x v="12"/>
    <x v="5"/>
    <x v="3"/>
    <x v="5"/>
    <x v="3"/>
    <x v="9"/>
    <n v="29"/>
    <x v="0"/>
  </r>
  <r>
    <d v="2020-07-29T00:00:00"/>
    <x v="3"/>
    <x v="1"/>
    <x v="0"/>
    <n v="12913428.960000001"/>
    <x v="3"/>
    <x v="1"/>
    <x v="0"/>
    <x v="13"/>
    <x v="5"/>
    <x v="3"/>
    <x v="5"/>
    <x v="3"/>
    <x v="9"/>
    <n v="29"/>
    <x v="0"/>
  </r>
  <r>
    <d v="2020-07-29T00:00:00"/>
    <x v="3"/>
    <x v="2"/>
    <x v="1"/>
    <n v="9490322138.6800003"/>
    <x v="3"/>
    <x v="2"/>
    <x v="1"/>
    <x v="14"/>
    <x v="5"/>
    <x v="3"/>
    <x v="5"/>
    <x v="3"/>
    <x v="9"/>
    <n v="29"/>
    <x v="0"/>
  </r>
  <r>
    <d v="2020-07-28T00:00:00"/>
    <x v="2"/>
    <x v="1"/>
    <x v="2"/>
    <n v="122917.24"/>
    <x v="2"/>
    <x v="1"/>
    <x v="2"/>
    <x v="4"/>
    <x v="5"/>
    <x v="3"/>
    <x v="5"/>
    <x v="3"/>
    <x v="9"/>
    <n v="28"/>
    <x v="0"/>
  </r>
  <r>
    <d v="2020-07-28T00:00:00"/>
    <x v="1"/>
    <x v="0"/>
    <x v="2"/>
    <n v="25030.76"/>
    <x v="1"/>
    <x v="0"/>
    <x v="2"/>
    <x v="1"/>
    <x v="5"/>
    <x v="3"/>
    <x v="5"/>
    <x v="3"/>
    <x v="9"/>
    <n v="28"/>
    <x v="0"/>
  </r>
  <r>
    <d v="2020-07-28T00:00:00"/>
    <x v="2"/>
    <x v="1"/>
    <x v="0"/>
    <n v="96169220.409999996"/>
    <x v="2"/>
    <x v="1"/>
    <x v="0"/>
    <x v="6"/>
    <x v="5"/>
    <x v="3"/>
    <x v="5"/>
    <x v="3"/>
    <x v="9"/>
    <n v="28"/>
    <x v="0"/>
  </r>
  <r>
    <d v="2020-07-28T00:00:00"/>
    <x v="2"/>
    <x v="1"/>
    <x v="1"/>
    <n v="145545698.41"/>
    <x v="2"/>
    <x v="1"/>
    <x v="1"/>
    <x v="7"/>
    <x v="5"/>
    <x v="3"/>
    <x v="5"/>
    <x v="3"/>
    <x v="9"/>
    <n v="28"/>
    <x v="0"/>
  </r>
  <r>
    <d v="2020-07-28T00:00:00"/>
    <x v="0"/>
    <x v="1"/>
    <x v="0"/>
    <n v="18537224.969999999"/>
    <x v="0"/>
    <x v="1"/>
    <x v="0"/>
    <x v="0"/>
    <x v="5"/>
    <x v="3"/>
    <x v="5"/>
    <x v="3"/>
    <x v="9"/>
    <n v="28"/>
    <x v="0"/>
  </r>
  <r>
    <d v="2020-07-28T00:00:00"/>
    <x v="1"/>
    <x v="0"/>
    <x v="0"/>
    <n v="75107440.870000005"/>
    <x v="1"/>
    <x v="0"/>
    <x v="0"/>
    <x v="8"/>
    <x v="5"/>
    <x v="3"/>
    <x v="5"/>
    <x v="3"/>
    <x v="9"/>
    <n v="28"/>
    <x v="0"/>
  </r>
  <r>
    <d v="2020-07-28T00:00:00"/>
    <x v="0"/>
    <x v="1"/>
    <x v="1"/>
    <n v="80387373.219999999"/>
    <x v="0"/>
    <x v="1"/>
    <x v="1"/>
    <x v="2"/>
    <x v="5"/>
    <x v="3"/>
    <x v="5"/>
    <x v="3"/>
    <x v="9"/>
    <n v="28"/>
    <x v="0"/>
  </r>
  <r>
    <d v="2020-07-28T00:00:00"/>
    <x v="3"/>
    <x v="2"/>
    <x v="2"/>
    <n v="320476.99"/>
    <x v="3"/>
    <x v="2"/>
    <x v="2"/>
    <x v="3"/>
    <x v="5"/>
    <x v="3"/>
    <x v="5"/>
    <x v="3"/>
    <x v="9"/>
    <n v="28"/>
    <x v="0"/>
  </r>
  <r>
    <d v="2020-07-28T00:00:00"/>
    <x v="3"/>
    <x v="3"/>
    <x v="0"/>
    <n v="1460911152.4200001"/>
    <x v="3"/>
    <x v="3"/>
    <x v="0"/>
    <x v="5"/>
    <x v="5"/>
    <x v="3"/>
    <x v="5"/>
    <x v="3"/>
    <x v="9"/>
    <n v="28"/>
    <x v="0"/>
  </r>
  <r>
    <d v="2020-07-28T00:00:00"/>
    <x v="3"/>
    <x v="2"/>
    <x v="0"/>
    <n v="590584496.29999995"/>
    <x v="3"/>
    <x v="2"/>
    <x v="0"/>
    <x v="9"/>
    <x v="5"/>
    <x v="3"/>
    <x v="5"/>
    <x v="3"/>
    <x v="9"/>
    <n v="28"/>
    <x v="0"/>
  </r>
  <r>
    <d v="2020-07-28T00:00:00"/>
    <x v="1"/>
    <x v="0"/>
    <x v="1"/>
    <n v="9454601606.4300003"/>
    <x v="1"/>
    <x v="0"/>
    <x v="1"/>
    <x v="10"/>
    <x v="5"/>
    <x v="3"/>
    <x v="5"/>
    <x v="3"/>
    <x v="9"/>
    <n v="28"/>
    <x v="0"/>
  </r>
  <r>
    <d v="2020-07-28T00:00:00"/>
    <x v="3"/>
    <x v="1"/>
    <x v="0"/>
    <n v="8051615.7300000004"/>
    <x v="3"/>
    <x v="1"/>
    <x v="0"/>
    <x v="11"/>
    <x v="5"/>
    <x v="3"/>
    <x v="5"/>
    <x v="3"/>
    <x v="9"/>
    <n v="28"/>
    <x v="0"/>
  </r>
  <r>
    <d v="2020-07-28T00:00:00"/>
    <x v="3"/>
    <x v="2"/>
    <x v="1"/>
    <n v="2716380913.9400001"/>
    <x v="3"/>
    <x v="2"/>
    <x v="1"/>
    <x v="12"/>
    <x v="5"/>
    <x v="3"/>
    <x v="5"/>
    <x v="3"/>
    <x v="9"/>
    <n v="28"/>
    <x v="0"/>
  </r>
  <r>
    <d v="2020-07-27T00:00:00"/>
    <x v="0"/>
    <x v="1"/>
    <x v="0"/>
    <n v="-41739978.219999999"/>
    <x v="0"/>
    <x v="1"/>
    <x v="0"/>
    <x v="1"/>
    <x v="5"/>
    <x v="3"/>
    <x v="5"/>
    <x v="3"/>
    <x v="9"/>
    <n v="27"/>
    <x v="1"/>
  </r>
  <r>
    <d v="2020-07-27T00:00:00"/>
    <x v="1"/>
    <x v="0"/>
    <x v="2"/>
    <n v="12926.84"/>
    <x v="1"/>
    <x v="0"/>
    <x v="2"/>
    <x v="2"/>
    <x v="5"/>
    <x v="3"/>
    <x v="5"/>
    <x v="3"/>
    <x v="9"/>
    <n v="27"/>
    <x v="0"/>
  </r>
  <r>
    <d v="2020-07-27T00:00:00"/>
    <x v="2"/>
    <x v="1"/>
    <x v="1"/>
    <n v="-95618.39"/>
    <x v="2"/>
    <x v="1"/>
    <x v="1"/>
    <x v="8"/>
    <x v="5"/>
    <x v="3"/>
    <x v="5"/>
    <x v="3"/>
    <x v="9"/>
    <n v="27"/>
    <x v="1"/>
  </r>
  <r>
    <d v="2020-07-27T00:00:00"/>
    <x v="1"/>
    <x v="0"/>
    <x v="0"/>
    <n v="74855166.099999994"/>
    <x v="1"/>
    <x v="0"/>
    <x v="0"/>
    <x v="9"/>
    <x v="5"/>
    <x v="3"/>
    <x v="5"/>
    <x v="3"/>
    <x v="9"/>
    <n v="27"/>
    <x v="0"/>
  </r>
  <r>
    <d v="2020-07-27T00:00:00"/>
    <x v="3"/>
    <x v="2"/>
    <x v="2"/>
    <n v="353511.03"/>
    <x v="3"/>
    <x v="2"/>
    <x v="2"/>
    <x v="4"/>
    <x v="5"/>
    <x v="3"/>
    <x v="5"/>
    <x v="3"/>
    <x v="9"/>
    <n v="27"/>
    <x v="0"/>
  </r>
  <r>
    <d v="2020-07-27T00:00:00"/>
    <x v="0"/>
    <x v="0"/>
    <x v="0"/>
    <n v="276.79000000000002"/>
    <x v="0"/>
    <x v="0"/>
    <x v="0"/>
    <x v="0"/>
    <x v="5"/>
    <x v="3"/>
    <x v="5"/>
    <x v="3"/>
    <x v="9"/>
    <n v="27"/>
    <x v="0"/>
  </r>
  <r>
    <d v="2020-07-27T00:00:00"/>
    <x v="0"/>
    <x v="1"/>
    <x v="1"/>
    <n v="72503385.560000002"/>
    <x v="0"/>
    <x v="1"/>
    <x v="1"/>
    <x v="3"/>
    <x v="5"/>
    <x v="3"/>
    <x v="5"/>
    <x v="3"/>
    <x v="9"/>
    <n v="27"/>
    <x v="0"/>
  </r>
  <r>
    <d v="2020-07-27T00:00:00"/>
    <x v="2"/>
    <x v="1"/>
    <x v="2"/>
    <n v="66190"/>
    <x v="2"/>
    <x v="1"/>
    <x v="2"/>
    <x v="5"/>
    <x v="5"/>
    <x v="3"/>
    <x v="5"/>
    <x v="3"/>
    <x v="9"/>
    <n v="27"/>
    <x v="0"/>
  </r>
  <r>
    <d v="2020-07-27T00:00:00"/>
    <x v="2"/>
    <x v="1"/>
    <x v="0"/>
    <n v="66450752.299999997"/>
    <x v="2"/>
    <x v="1"/>
    <x v="0"/>
    <x v="6"/>
    <x v="5"/>
    <x v="3"/>
    <x v="5"/>
    <x v="3"/>
    <x v="9"/>
    <n v="27"/>
    <x v="0"/>
  </r>
  <r>
    <d v="2020-07-27T00:00:00"/>
    <x v="3"/>
    <x v="3"/>
    <x v="0"/>
    <n v="1097962002.55"/>
    <x v="3"/>
    <x v="3"/>
    <x v="0"/>
    <x v="7"/>
    <x v="5"/>
    <x v="3"/>
    <x v="5"/>
    <x v="3"/>
    <x v="9"/>
    <n v="27"/>
    <x v="0"/>
  </r>
  <r>
    <d v="2020-07-27T00:00:00"/>
    <x v="3"/>
    <x v="2"/>
    <x v="0"/>
    <n v="421808325.94999999"/>
    <x v="3"/>
    <x v="2"/>
    <x v="0"/>
    <x v="10"/>
    <x v="5"/>
    <x v="3"/>
    <x v="5"/>
    <x v="3"/>
    <x v="9"/>
    <n v="27"/>
    <x v="0"/>
  </r>
  <r>
    <d v="2020-07-27T00:00:00"/>
    <x v="1"/>
    <x v="0"/>
    <x v="1"/>
    <n v="9688274810.1100006"/>
    <x v="1"/>
    <x v="0"/>
    <x v="1"/>
    <x v="11"/>
    <x v="5"/>
    <x v="3"/>
    <x v="5"/>
    <x v="3"/>
    <x v="9"/>
    <n v="27"/>
    <x v="0"/>
  </r>
  <r>
    <d v="2020-07-27T00:00:00"/>
    <x v="3"/>
    <x v="2"/>
    <x v="1"/>
    <n v="16220044370.74"/>
    <x v="3"/>
    <x v="2"/>
    <x v="1"/>
    <x v="12"/>
    <x v="5"/>
    <x v="3"/>
    <x v="5"/>
    <x v="3"/>
    <x v="9"/>
    <n v="27"/>
    <x v="0"/>
  </r>
  <r>
    <d v="2020-07-27T00:00:00"/>
    <x v="3"/>
    <x v="1"/>
    <x v="0"/>
    <n v="42924227.649999999"/>
    <x v="3"/>
    <x v="1"/>
    <x v="0"/>
    <x v="13"/>
    <x v="5"/>
    <x v="3"/>
    <x v="5"/>
    <x v="3"/>
    <x v="9"/>
    <n v="27"/>
    <x v="0"/>
  </r>
  <r>
    <d v="2020-07-24T00:00:00"/>
    <x v="3"/>
    <x v="2"/>
    <x v="2"/>
    <n v="791881.12"/>
    <x v="3"/>
    <x v="2"/>
    <x v="2"/>
    <x v="7"/>
    <x v="5"/>
    <x v="3"/>
    <x v="5"/>
    <x v="3"/>
    <x v="9"/>
    <n v="24"/>
    <x v="0"/>
  </r>
  <r>
    <d v="2020-07-24T00:00:00"/>
    <x v="0"/>
    <x v="1"/>
    <x v="2"/>
    <n v="2039.42"/>
    <x v="0"/>
    <x v="1"/>
    <x v="2"/>
    <x v="2"/>
    <x v="5"/>
    <x v="3"/>
    <x v="5"/>
    <x v="3"/>
    <x v="9"/>
    <n v="24"/>
    <x v="0"/>
  </r>
  <r>
    <d v="2020-07-24T00:00:00"/>
    <x v="3"/>
    <x v="3"/>
    <x v="0"/>
    <n v="2233356905.5"/>
    <x v="3"/>
    <x v="3"/>
    <x v="0"/>
    <x v="8"/>
    <x v="5"/>
    <x v="3"/>
    <x v="5"/>
    <x v="3"/>
    <x v="9"/>
    <n v="24"/>
    <x v="0"/>
  </r>
  <r>
    <d v="2020-07-24T00:00:00"/>
    <x v="3"/>
    <x v="3"/>
    <x v="1"/>
    <n v="131112.53"/>
    <x v="3"/>
    <x v="3"/>
    <x v="1"/>
    <x v="4"/>
    <x v="5"/>
    <x v="3"/>
    <x v="5"/>
    <x v="3"/>
    <x v="9"/>
    <n v="24"/>
    <x v="0"/>
  </r>
  <r>
    <d v="2020-07-24T00:00:00"/>
    <x v="0"/>
    <x v="1"/>
    <x v="0"/>
    <n v="19865501.98"/>
    <x v="0"/>
    <x v="1"/>
    <x v="0"/>
    <x v="1"/>
    <x v="5"/>
    <x v="3"/>
    <x v="5"/>
    <x v="3"/>
    <x v="9"/>
    <n v="24"/>
    <x v="0"/>
  </r>
  <r>
    <d v="2020-07-24T00:00:00"/>
    <x v="2"/>
    <x v="1"/>
    <x v="2"/>
    <n v="68482.34"/>
    <x v="2"/>
    <x v="1"/>
    <x v="2"/>
    <x v="6"/>
    <x v="5"/>
    <x v="3"/>
    <x v="5"/>
    <x v="3"/>
    <x v="9"/>
    <n v="24"/>
    <x v="0"/>
  </r>
  <r>
    <d v="2020-07-24T00:00:00"/>
    <x v="0"/>
    <x v="0"/>
    <x v="0"/>
    <n v="940.26"/>
    <x v="0"/>
    <x v="0"/>
    <x v="0"/>
    <x v="0"/>
    <x v="5"/>
    <x v="3"/>
    <x v="5"/>
    <x v="3"/>
    <x v="9"/>
    <n v="24"/>
    <x v="0"/>
  </r>
  <r>
    <d v="2020-07-24T00:00:00"/>
    <x v="2"/>
    <x v="1"/>
    <x v="0"/>
    <n v="102478381.8"/>
    <x v="2"/>
    <x v="1"/>
    <x v="0"/>
    <x v="9"/>
    <x v="5"/>
    <x v="3"/>
    <x v="5"/>
    <x v="3"/>
    <x v="9"/>
    <n v="24"/>
    <x v="0"/>
  </r>
  <r>
    <d v="2020-07-24T00:00:00"/>
    <x v="1"/>
    <x v="0"/>
    <x v="2"/>
    <n v="9815.9599999999991"/>
    <x v="1"/>
    <x v="0"/>
    <x v="2"/>
    <x v="3"/>
    <x v="5"/>
    <x v="3"/>
    <x v="5"/>
    <x v="3"/>
    <x v="9"/>
    <n v="24"/>
    <x v="0"/>
  </r>
  <r>
    <d v="2020-07-24T00:00:00"/>
    <x v="0"/>
    <x v="1"/>
    <x v="1"/>
    <n v="86582517.450000003"/>
    <x v="0"/>
    <x v="1"/>
    <x v="1"/>
    <x v="5"/>
    <x v="5"/>
    <x v="3"/>
    <x v="5"/>
    <x v="3"/>
    <x v="9"/>
    <n v="24"/>
    <x v="0"/>
  </r>
  <r>
    <d v="2020-07-24T00:00:00"/>
    <x v="2"/>
    <x v="1"/>
    <x v="1"/>
    <n v="294467585.70999998"/>
    <x v="2"/>
    <x v="1"/>
    <x v="1"/>
    <x v="10"/>
    <x v="5"/>
    <x v="3"/>
    <x v="5"/>
    <x v="3"/>
    <x v="9"/>
    <n v="24"/>
    <x v="0"/>
  </r>
  <r>
    <d v="2020-07-24T00:00:00"/>
    <x v="1"/>
    <x v="0"/>
    <x v="0"/>
    <n v="61424895.939999998"/>
    <x v="1"/>
    <x v="0"/>
    <x v="0"/>
    <x v="11"/>
    <x v="5"/>
    <x v="3"/>
    <x v="5"/>
    <x v="3"/>
    <x v="9"/>
    <n v="24"/>
    <x v="0"/>
  </r>
  <r>
    <d v="2020-07-24T00:00:00"/>
    <x v="3"/>
    <x v="2"/>
    <x v="0"/>
    <n v="313314434.47000003"/>
    <x v="3"/>
    <x v="2"/>
    <x v="0"/>
    <x v="12"/>
    <x v="5"/>
    <x v="3"/>
    <x v="5"/>
    <x v="3"/>
    <x v="9"/>
    <n v="24"/>
    <x v="0"/>
  </r>
  <r>
    <d v="2020-07-24T00:00:00"/>
    <x v="1"/>
    <x v="0"/>
    <x v="1"/>
    <n v="11739913557.459999"/>
    <x v="1"/>
    <x v="0"/>
    <x v="1"/>
    <x v="13"/>
    <x v="5"/>
    <x v="3"/>
    <x v="5"/>
    <x v="3"/>
    <x v="9"/>
    <n v="24"/>
    <x v="0"/>
  </r>
  <r>
    <d v="2020-07-24T00:00:00"/>
    <x v="3"/>
    <x v="2"/>
    <x v="1"/>
    <n v="8183488005.1899996"/>
    <x v="3"/>
    <x v="2"/>
    <x v="1"/>
    <x v="14"/>
    <x v="5"/>
    <x v="3"/>
    <x v="5"/>
    <x v="3"/>
    <x v="9"/>
    <n v="24"/>
    <x v="0"/>
  </r>
  <r>
    <d v="2020-07-24T00:00:00"/>
    <x v="3"/>
    <x v="1"/>
    <x v="0"/>
    <n v="14137239.01"/>
    <x v="3"/>
    <x v="1"/>
    <x v="0"/>
    <x v="15"/>
    <x v="5"/>
    <x v="3"/>
    <x v="5"/>
    <x v="3"/>
    <x v="9"/>
    <n v="24"/>
    <x v="0"/>
  </r>
  <r>
    <d v="2020-07-23T00:00:00"/>
    <x v="3"/>
    <x v="2"/>
    <x v="2"/>
    <n v="225737.99"/>
    <x v="3"/>
    <x v="2"/>
    <x v="2"/>
    <x v="4"/>
    <x v="5"/>
    <x v="3"/>
    <x v="5"/>
    <x v="3"/>
    <x v="9"/>
    <n v="23"/>
    <x v="0"/>
  </r>
  <r>
    <d v="2020-07-23T00:00:00"/>
    <x v="2"/>
    <x v="1"/>
    <x v="2"/>
    <n v="48050"/>
    <x v="2"/>
    <x v="1"/>
    <x v="2"/>
    <x v="5"/>
    <x v="5"/>
    <x v="3"/>
    <x v="5"/>
    <x v="3"/>
    <x v="9"/>
    <n v="23"/>
    <x v="0"/>
  </r>
  <r>
    <d v="2020-07-23T00:00:00"/>
    <x v="2"/>
    <x v="1"/>
    <x v="1"/>
    <n v="480025994.06"/>
    <x v="2"/>
    <x v="1"/>
    <x v="1"/>
    <x v="7"/>
    <x v="5"/>
    <x v="3"/>
    <x v="5"/>
    <x v="3"/>
    <x v="9"/>
    <n v="23"/>
    <x v="0"/>
  </r>
  <r>
    <d v="2020-07-23T00:00:00"/>
    <x v="0"/>
    <x v="1"/>
    <x v="1"/>
    <n v="97011526.719999999"/>
    <x v="0"/>
    <x v="1"/>
    <x v="1"/>
    <x v="3"/>
    <x v="5"/>
    <x v="3"/>
    <x v="5"/>
    <x v="3"/>
    <x v="9"/>
    <n v="23"/>
    <x v="0"/>
  </r>
  <r>
    <d v="2020-07-23T00:00:00"/>
    <x v="3"/>
    <x v="3"/>
    <x v="0"/>
    <n v="1681666309.26"/>
    <x v="3"/>
    <x v="3"/>
    <x v="0"/>
    <x v="8"/>
    <x v="5"/>
    <x v="3"/>
    <x v="5"/>
    <x v="3"/>
    <x v="9"/>
    <n v="23"/>
    <x v="0"/>
  </r>
  <r>
    <d v="2020-07-23T00:00:00"/>
    <x v="1"/>
    <x v="0"/>
    <x v="0"/>
    <n v="41744968.219999999"/>
    <x v="1"/>
    <x v="0"/>
    <x v="0"/>
    <x v="9"/>
    <x v="5"/>
    <x v="3"/>
    <x v="5"/>
    <x v="3"/>
    <x v="9"/>
    <n v="23"/>
    <x v="0"/>
  </r>
  <r>
    <d v="2020-07-23T00:00:00"/>
    <x v="0"/>
    <x v="1"/>
    <x v="0"/>
    <n v="12282711.73"/>
    <x v="0"/>
    <x v="1"/>
    <x v="0"/>
    <x v="1"/>
    <x v="5"/>
    <x v="3"/>
    <x v="5"/>
    <x v="3"/>
    <x v="9"/>
    <n v="23"/>
    <x v="0"/>
  </r>
  <r>
    <d v="2020-07-23T00:00:00"/>
    <x v="0"/>
    <x v="0"/>
    <x v="0"/>
    <n v="280"/>
    <x v="0"/>
    <x v="0"/>
    <x v="0"/>
    <x v="0"/>
    <x v="5"/>
    <x v="3"/>
    <x v="5"/>
    <x v="3"/>
    <x v="9"/>
    <n v="23"/>
    <x v="0"/>
  </r>
  <r>
    <d v="2020-07-23T00:00:00"/>
    <x v="1"/>
    <x v="0"/>
    <x v="2"/>
    <n v="2589.46"/>
    <x v="1"/>
    <x v="0"/>
    <x v="2"/>
    <x v="2"/>
    <x v="5"/>
    <x v="3"/>
    <x v="5"/>
    <x v="3"/>
    <x v="9"/>
    <n v="23"/>
    <x v="0"/>
  </r>
  <r>
    <d v="2020-07-23T00:00:00"/>
    <x v="2"/>
    <x v="1"/>
    <x v="0"/>
    <n v="85536526.079999998"/>
    <x v="2"/>
    <x v="1"/>
    <x v="0"/>
    <x v="6"/>
    <x v="5"/>
    <x v="3"/>
    <x v="5"/>
    <x v="3"/>
    <x v="9"/>
    <n v="23"/>
    <x v="0"/>
  </r>
  <r>
    <d v="2020-07-23T00:00:00"/>
    <x v="3"/>
    <x v="2"/>
    <x v="0"/>
    <n v="4360876889.4399996"/>
    <x v="3"/>
    <x v="2"/>
    <x v="0"/>
    <x v="10"/>
    <x v="5"/>
    <x v="3"/>
    <x v="5"/>
    <x v="3"/>
    <x v="9"/>
    <n v="23"/>
    <x v="0"/>
  </r>
  <r>
    <d v="2020-07-23T00:00:00"/>
    <x v="1"/>
    <x v="0"/>
    <x v="1"/>
    <n v="11118194009.459999"/>
    <x v="1"/>
    <x v="0"/>
    <x v="1"/>
    <x v="11"/>
    <x v="5"/>
    <x v="3"/>
    <x v="5"/>
    <x v="3"/>
    <x v="9"/>
    <n v="23"/>
    <x v="0"/>
  </r>
  <r>
    <d v="2020-07-23T00:00:00"/>
    <x v="3"/>
    <x v="2"/>
    <x v="1"/>
    <n v="2813990914.0900002"/>
    <x v="3"/>
    <x v="2"/>
    <x v="1"/>
    <x v="12"/>
    <x v="5"/>
    <x v="3"/>
    <x v="5"/>
    <x v="3"/>
    <x v="9"/>
    <n v="23"/>
    <x v="0"/>
  </r>
  <r>
    <d v="2020-07-23T00:00:00"/>
    <x v="3"/>
    <x v="1"/>
    <x v="0"/>
    <n v="13020373.710000001"/>
    <x v="3"/>
    <x v="1"/>
    <x v="0"/>
    <x v="13"/>
    <x v="5"/>
    <x v="3"/>
    <x v="5"/>
    <x v="3"/>
    <x v="9"/>
    <n v="23"/>
    <x v="0"/>
  </r>
  <r>
    <d v="2020-07-22T00:00:00"/>
    <x v="2"/>
    <x v="1"/>
    <x v="0"/>
    <n v="83597193.019999996"/>
    <x v="2"/>
    <x v="1"/>
    <x v="0"/>
    <x v="6"/>
    <x v="5"/>
    <x v="3"/>
    <x v="5"/>
    <x v="3"/>
    <x v="9"/>
    <n v="22"/>
    <x v="0"/>
  </r>
  <r>
    <d v="2020-07-22T00:00:00"/>
    <x v="0"/>
    <x v="1"/>
    <x v="1"/>
    <n v="1017085873.73"/>
    <x v="0"/>
    <x v="1"/>
    <x v="1"/>
    <x v="3"/>
    <x v="5"/>
    <x v="3"/>
    <x v="5"/>
    <x v="3"/>
    <x v="9"/>
    <n v="22"/>
    <x v="0"/>
  </r>
  <r>
    <d v="2020-07-22T00:00:00"/>
    <x v="1"/>
    <x v="0"/>
    <x v="0"/>
    <n v="54234675.200000003"/>
    <x v="1"/>
    <x v="0"/>
    <x v="0"/>
    <x v="9"/>
    <x v="5"/>
    <x v="3"/>
    <x v="5"/>
    <x v="3"/>
    <x v="9"/>
    <n v="22"/>
    <x v="0"/>
  </r>
  <r>
    <d v="2020-07-22T00:00:00"/>
    <x v="3"/>
    <x v="2"/>
    <x v="2"/>
    <n v="128445.32"/>
    <x v="3"/>
    <x v="2"/>
    <x v="2"/>
    <x v="4"/>
    <x v="5"/>
    <x v="3"/>
    <x v="5"/>
    <x v="3"/>
    <x v="9"/>
    <n v="22"/>
    <x v="0"/>
  </r>
  <r>
    <d v="2020-07-22T00:00:00"/>
    <x v="2"/>
    <x v="1"/>
    <x v="2"/>
    <n v="29860"/>
    <x v="2"/>
    <x v="1"/>
    <x v="2"/>
    <x v="5"/>
    <x v="5"/>
    <x v="3"/>
    <x v="5"/>
    <x v="3"/>
    <x v="9"/>
    <n v="22"/>
    <x v="0"/>
  </r>
  <r>
    <d v="2020-07-22T00:00:00"/>
    <x v="0"/>
    <x v="1"/>
    <x v="0"/>
    <n v="71221726.109999999"/>
    <x v="0"/>
    <x v="1"/>
    <x v="0"/>
    <x v="0"/>
    <x v="5"/>
    <x v="3"/>
    <x v="5"/>
    <x v="3"/>
    <x v="9"/>
    <n v="22"/>
    <x v="0"/>
  </r>
  <r>
    <d v="2020-07-22T00:00:00"/>
    <x v="2"/>
    <x v="1"/>
    <x v="1"/>
    <n v="447982251.05000001"/>
    <x v="2"/>
    <x v="1"/>
    <x v="1"/>
    <x v="7"/>
    <x v="5"/>
    <x v="3"/>
    <x v="5"/>
    <x v="3"/>
    <x v="9"/>
    <n v="22"/>
    <x v="0"/>
  </r>
  <r>
    <d v="2020-07-22T00:00:00"/>
    <x v="3"/>
    <x v="3"/>
    <x v="0"/>
    <n v="2648342985.29"/>
    <x v="3"/>
    <x v="3"/>
    <x v="0"/>
    <x v="8"/>
    <x v="5"/>
    <x v="3"/>
    <x v="5"/>
    <x v="3"/>
    <x v="9"/>
    <n v="22"/>
    <x v="0"/>
  </r>
  <r>
    <d v="2020-07-22T00:00:00"/>
    <x v="1"/>
    <x v="0"/>
    <x v="2"/>
    <n v="1897.68"/>
    <x v="1"/>
    <x v="0"/>
    <x v="2"/>
    <x v="1"/>
    <x v="5"/>
    <x v="3"/>
    <x v="5"/>
    <x v="3"/>
    <x v="9"/>
    <n v="22"/>
    <x v="0"/>
  </r>
  <r>
    <d v="2020-07-22T00:00:00"/>
    <x v="3"/>
    <x v="3"/>
    <x v="1"/>
    <n v="478136.74"/>
    <x v="3"/>
    <x v="3"/>
    <x v="1"/>
    <x v="2"/>
    <x v="5"/>
    <x v="3"/>
    <x v="5"/>
    <x v="3"/>
    <x v="9"/>
    <n v="22"/>
    <x v="0"/>
  </r>
  <r>
    <d v="2020-07-22T00:00:00"/>
    <x v="1"/>
    <x v="0"/>
    <x v="1"/>
    <n v="11766342572.98"/>
    <x v="1"/>
    <x v="0"/>
    <x v="1"/>
    <x v="10"/>
    <x v="5"/>
    <x v="3"/>
    <x v="5"/>
    <x v="3"/>
    <x v="9"/>
    <n v="22"/>
    <x v="0"/>
  </r>
  <r>
    <d v="2020-07-22T00:00:00"/>
    <x v="3"/>
    <x v="2"/>
    <x v="0"/>
    <n v="283839885.63"/>
    <x v="3"/>
    <x v="2"/>
    <x v="0"/>
    <x v="11"/>
    <x v="5"/>
    <x v="3"/>
    <x v="5"/>
    <x v="3"/>
    <x v="9"/>
    <n v="22"/>
    <x v="0"/>
  </r>
  <r>
    <d v="2020-07-22T00:00:00"/>
    <x v="3"/>
    <x v="1"/>
    <x v="0"/>
    <n v="13916376.73"/>
    <x v="3"/>
    <x v="1"/>
    <x v="0"/>
    <x v="12"/>
    <x v="5"/>
    <x v="3"/>
    <x v="5"/>
    <x v="3"/>
    <x v="9"/>
    <n v="22"/>
    <x v="0"/>
  </r>
  <r>
    <d v="2020-07-22T00:00:00"/>
    <x v="3"/>
    <x v="2"/>
    <x v="1"/>
    <n v="10156876252.059999"/>
    <x v="3"/>
    <x v="2"/>
    <x v="1"/>
    <x v="13"/>
    <x v="5"/>
    <x v="3"/>
    <x v="5"/>
    <x v="3"/>
    <x v="9"/>
    <n v="22"/>
    <x v="0"/>
  </r>
  <r>
    <d v="2020-07-21T00:00:00"/>
    <x v="1"/>
    <x v="0"/>
    <x v="2"/>
    <n v="7167.09"/>
    <x v="1"/>
    <x v="0"/>
    <x v="2"/>
    <x v="2"/>
    <x v="5"/>
    <x v="3"/>
    <x v="5"/>
    <x v="3"/>
    <x v="9"/>
    <n v="21"/>
    <x v="0"/>
  </r>
  <r>
    <d v="2020-07-21T00:00:00"/>
    <x v="2"/>
    <x v="1"/>
    <x v="0"/>
    <n v="97335152.519999996"/>
    <x v="2"/>
    <x v="1"/>
    <x v="0"/>
    <x v="8"/>
    <x v="5"/>
    <x v="3"/>
    <x v="5"/>
    <x v="3"/>
    <x v="9"/>
    <n v="21"/>
    <x v="0"/>
  </r>
  <r>
    <d v="2020-07-21T00:00:00"/>
    <x v="2"/>
    <x v="1"/>
    <x v="1"/>
    <n v="277054049.29000002"/>
    <x v="2"/>
    <x v="1"/>
    <x v="1"/>
    <x v="9"/>
    <x v="5"/>
    <x v="3"/>
    <x v="5"/>
    <x v="3"/>
    <x v="9"/>
    <n v="21"/>
    <x v="0"/>
  </r>
  <r>
    <d v="2020-07-21T00:00:00"/>
    <x v="3"/>
    <x v="2"/>
    <x v="2"/>
    <n v="111259.69"/>
    <x v="3"/>
    <x v="2"/>
    <x v="2"/>
    <x v="5"/>
    <x v="5"/>
    <x v="3"/>
    <x v="5"/>
    <x v="3"/>
    <x v="9"/>
    <n v="21"/>
    <x v="0"/>
  </r>
  <r>
    <d v="2020-07-21T00:00:00"/>
    <x v="3"/>
    <x v="3"/>
    <x v="1"/>
    <n v="-11"/>
    <x v="3"/>
    <x v="3"/>
    <x v="1"/>
    <x v="4"/>
    <x v="5"/>
    <x v="3"/>
    <x v="5"/>
    <x v="3"/>
    <x v="9"/>
    <n v="21"/>
    <x v="1"/>
  </r>
  <r>
    <d v="2020-07-21T00:00:00"/>
    <x v="2"/>
    <x v="1"/>
    <x v="2"/>
    <n v="25940.05"/>
    <x v="2"/>
    <x v="1"/>
    <x v="2"/>
    <x v="6"/>
    <x v="5"/>
    <x v="3"/>
    <x v="5"/>
    <x v="3"/>
    <x v="9"/>
    <n v="21"/>
    <x v="0"/>
  </r>
  <r>
    <d v="2020-07-21T00:00:00"/>
    <x v="0"/>
    <x v="0"/>
    <x v="0"/>
    <n v="470"/>
    <x v="0"/>
    <x v="0"/>
    <x v="0"/>
    <x v="0"/>
    <x v="5"/>
    <x v="3"/>
    <x v="5"/>
    <x v="3"/>
    <x v="9"/>
    <n v="21"/>
    <x v="0"/>
  </r>
  <r>
    <d v="2020-07-21T00:00:00"/>
    <x v="0"/>
    <x v="1"/>
    <x v="0"/>
    <n v="13975831.109999999"/>
    <x v="0"/>
    <x v="1"/>
    <x v="0"/>
    <x v="1"/>
    <x v="5"/>
    <x v="3"/>
    <x v="5"/>
    <x v="3"/>
    <x v="9"/>
    <n v="21"/>
    <x v="0"/>
  </r>
  <r>
    <d v="2020-07-21T00:00:00"/>
    <x v="3"/>
    <x v="3"/>
    <x v="0"/>
    <n v="2219782367.2199998"/>
    <x v="3"/>
    <x v="3"/>
    <x v="0"/>
    <x v="7"/>
    <x v="5"/>
    <x v="3"/>
    <x v="5"/>
    <x v="3"/>
    <x v="9"/>
    <n v="21"/>
    <x v="0"/>
  </r>
  <r>
    <d v="2020-07-21T00:00:00"/>
    <x v="0"/>
    <x v="1"/>
    <x v="1"/>
    <n v="63446278.68"/>
    <x v="0"/>
    <x v="1"/>
    <x v="1"/>
    <x v="3"/>
    <x v="5"/>
    <x v="3"/>
    <x v="5"/>
    <x v="3"/>
    <x v="9"/>
    <n v="21"/>
    <x v="0"/>
  </r>
  <r>
    <d v="2020-07-21T00:00:00"/>
    <x v="1"/>
    <x v="0"/>
    <x v="0"/>
    <n v="89241773.5"/>
    <x v="1"/>
    <x v="0"/>
    <x v="0"/>
    <x v="10"/>
    <x v="5"/>
    <x v="3"/>
    <x v="5"/>
    <x v="3"/>
    <x v="9"/>
    <n v="21"/>
    <x v="0"/>
  </r>
  <r>
    <d v="2020-07-21T00:00:00"/>
    <x v="1"/>
    <x v="0"/>
    <x v="1"/>
    <n v="36763584836.400002"/>
    <x v="1"/>
    <x v="0"/>
    <x v="1"/>
    <x v="11"/>
    <x v="5"/>
    <x v="3"/>
    <x v="5"/>
    <x v="3"/>
    <x v="9"/>
    <n v="21"/>
    <x v="0"/>
  </r>
  <r>
    <d v="2020-07-21T00:00:00"/>
    <x v="3"/>
    <x v="2"/>
    <x v="0"/>
    <n v="497850147.20999998"/>
    <x v="3"/>
    <x v="2"/>
    <x v="0"/>
    <x v="12"/>
    <x v="5"/>
    <x v="3"/>
    <x v="5"/>
    <x v="3"/>
    <x v="9"/>
    <n v="21"/>
    <x v="0"/>
  </r>
  <r>
    <d v="2020-07-21T00:00:00"/>
    <x v="3"/>
    <x v="1"/>
    <x v="0"/>
    <n v="9543160.1300000008"/>
    <x v="3"/>
    <x v="1"/>
    <x v="0"/>
    <x v="13"/>
    <x v="5"/>
    <x v="3"/>
    <x v="5"/>
    <x v="3"/>
    <x v="9"/>
    <n v="21"/>
    <x v="0"/>
  </r>
  <r>
    <d v="2020-07-21T00:00:00"/>
    <x v="3"/>
    <x v="2"/>
    <x v="1"/>
    <n v="2837467868.8600001"/>
    <x v="3"/>
    <x v="2"/>
    <x v="1"/>
    <x v="14"/>
    <x v="5"/>
    <x v="3"/>
    <x v="5"/>
    <x v="3"/>
    <x v="9"/>
    <n v="21"/>
    <x v="0"/>
  </r>
  <r>
    <d v="2020-07-20T00:00:00"/>
    <x v="1"/>
    <x v="0"/>
    <x v="2"/>
    <n v="2395.17"/>
    <x v="1"/>
    <x v="0"/>
    <x v="2"/>
    <x v="2"/>
    <x v="5"/>
    <x v="3"/>
    <x v="5"/>
    <x v="3"/>
    <x v="9"/>
    <n v="20"/>
    <x v="0"/>
  </r>
  <r>
    <d v="2020-07-20T00:00:00"/>
    <x v="0"/>
    <x v="1"/>
    <x v="1"/>
    <n v="250816220.30000001"/>
    <x v="0"/>
    <x v="1"/>
    <x v="1"/>
    <x v="3"/>
    <x v="5"/>
    <x v="3"/>
    <x v="5"/>
    <x v="3"/>
    <x v="9"/>
    <n v="20"/>
    <x v="0"/>
  </r>
  <r>
    <d v="2020-07-20T00:00:00"/>
    <x v="3"/>
    <x v="2"/>
    <x v="2"/>
    <n v="151084.57"/>
    <x v="3"/>
    <x v="2"/>
    <x v="2"/>
    <x v="4"/>
    <x v="5"/>
    <x v="3"/>
    <x v="5"/>
    <x v="3"/>
    <x v="9"/>
    <n v="20"/>
    <x v="0"/>
  </r>
  <r>
    <d v="2020-07-20T00:00:00"/>
    <x v="2"/>
    <x v="1"/>
    <x v="1"/>
    <n v="438239004.31"/>
    <x v="2"/>
    <x v="1"/>
    <x v="1"/>
    <x v="8"/>
    <x v="5"/>
    <x v="3"/>
    <x v="5"/>
    <x v="3"/>
    <x v="9"/>
    <n v="20"/>
    <x v="0"/>
  </r>
  <r>
    <d v="2020-07-20T00:00:00"/>
    <x v="2"/>
    <x v="1"/>
    <x v="2"/>
    <n v="69825"/>
    <x v="2"/>
    <x v="1"/>
    <x v="2"/>
    <x v="5"/>
    <x v="5"/>
    <x v="3"/>
    <x v="5"/>
    <x v="3"/>
    <x v="9"/>
    <n v="20"/>
    <x v="0"/>
  </r>
  <r>
    <d v="2020-07-20T00:00:00"/>
    <x v="1"/>
    <x v="0"/>
    <x v="0"/>
    <n v="60292365.609999999"/>
    <x v="1"/>
    <x v="0"/>
    <x v="0"/>
    <x v="9"/>
    <x v="5"/>
    <x v="3"/>
    <x v="5"/>
    <x v="3"/>
    <x v="9"/>
    <n v="20"/>
    <x v="0"/>
  </r>
  <r>
    <d v="2020-07-20T00:00:00"/>
    <x v="0"/>
    <x v="1"/>
    <x v="0"/>
    <n v="12844952.91"/>
    <x v="0"/>
    <x v="1"/>
    <x v="0"/>
    <x v="1"/>
    <x v="5"/>
    <x v="3"/>
    <x v="5"/>
    <x v="3"/>
    <x v="9"/>
    <n v="20"/>
    <x v="0"/>
  </r>
  <r>
    <d v="2020-07-20T00:00:00"/>
    <x v="3"/>
    <x v="3"/>
    <x v="0"/>
    <n v="1191574924.5999999"/>
    <x v="3"/>
    <x v="3"/>
    <x v="0"/>
    <x v="7"/>
    <x v="5"/>
    <x v="3"/>
    <x v="5"/>
    <x v="3"/>
    <x v="9"/>
    <n v="20"/>
    <x v="0"/>
  </r>
  <r>
    <d v="2020-07-20T00:00:00"/>
    <x v="0"/>
    <x v="0"/>
    <x v="0"/>
    <n v="910"/>
    <x v="0"/>
    <x v="0"/>
    <x v="0"/>
    <x v="0"/>
    <x v="5"/>
    <x v="3"/>
    <x v="5"/>
    <x v="3"/>
    <x v="9"/>
    <n v="20"/>
    <x v="0"/>
  </r>
  <r>
    <d v="2020-07-20T00:00:00"/>
    <x v="2"/>
    <x v="1"/>
    <x v="0"/>
    <n v="79371428.989999995"/>
    <x v="2"/>
    <x v="1"/>
    <x v="0"/>
    <x v="6"/>
    <x v="5"/>
    <x v="3"/>
    <x v="5"/>
    <x v="3"/>
    <x v="9"/>
    <n v="20"/>
    <x v="0"/>
  </r>
  <r>
    <d v="2020-07-20T00:00:00"/>
    <x v="1"/>
    <x v="0"/>
    <x v="1"/>
    <n v="10849272532.040001"/>
    <x v="1"/>
    <x v="0"/>
    <x v="1"/>
    <x v="10"/>
    <x v="5"/>
    <x v="3"/>
    <x v="5"/>
    <x v="3"/>
    <x v="9"/>
    <n v="20"/>
    <x v="0"/>
  </r>
  <r>
    <d v="2020-07-20T00:00:00"/>
    <x v="3"/>
    <x v="2"/>
    <x v="0"/>
    <n v="454023884.17000002"/>
    <x v="3"/>
    <x v="2"/>
    <x v="0"/>
    <x v="11"/>
    <x v="5"/>
    <x v="3"/>
    <x v="5"/>
    <x v="3"/>
    <x v="9"/>
    <n v="20"/>
    <x v="0"/>
  </r>
  <r>
    <d v="2020-07-20T00:00:00"/>
    <x v="3"/>
    <x v="1"/>
    <x v="0"/>
    <n v="43329818.219999999"/>
    <x v="3"/>
    <x v="1"/>
    <x v="0"/>
    <x v="12"/>
    <x v="5"/>
    <x v="3"/>
    <x v="5"/>
    <x v="3"/>
    <x v="9"/>
    <n v="20"/>
    <x v="0"/>
  </r>
  <r>
    <d v="2020-07-20T00:00:00"/>
    <x v="3"/>
    <x v="2"/>
    <x v="1"/>
    <n v="13745459948.18"/>
    <x v="3"/>
    <x v="2"/>
    <x v="1"/>
    <x v="13"/>
    <x v="5"/>
    <x v="3"/>
    <x v="5"/>
    <x v="3"/>
    <x v="9"/>
    <n v="20"/>
    <x v="0"/>
  </r>
  <r>
    <d v="2020-07-17T00:00:00"/>
    <x v="1"/>
    <x v="0"/>
    <x v="2"/>
    <n v="2598.04"/>
    <x v="1"/>
    <x v="0"/>
    <x v="2"/>
    <x v="1"/>
    <x v="5"/>
    <x v="3"/>
    <x v="5"/>
    <x v="3"/>
    <x v="9"/>
    <n v="17"/>
    <x v="0"/>
  </r>
  <r>
    <d v="2020-07-17T00:00:00"/>
    <x v="2"/>
    <x v="1"/>
    <x v="0"/>
    <n v="105956051.25"/>
    <x v="2"/>
    <x v="1"/>
    <x v="0"/>
    <x v="8"/>
    <x v="5"/>
    <x v="3"/>
    <x v="5"/>
    <x v="3"/>
    <x v="9"/>
    <n v="17"/>
    <x v="0"/>
  </r>
  <r>
    <d v="2020-07-17T00:00:00"/>
    <x v="2"/>
    <x v="1"/>
    <x v="2"/>
    <n v="128712.68"/>
    <x v="2"/>
    <x v="1"/>
    <x v="2"/>
    <x v="4"/>
    <x v="5"/>
    <x v="3"/>
    <x v="5"/>
    <x v="3"/>
    <x v="9"/>
    <n v="17"/>
    <x v="0"/>
  </r>
  <r>
    <d v="2020-07-17T00:00:00"/>
    <x v="3"/>
    <x v="2"/>
    <x v="2"/>
    <n v="398712.69"/>
    <x v="3"/>
    <x v="2"/>
    <x v="2"/>
    <x v="5"/>
    <x v="5"/>
    <x v="3"/>
    <x v="5"/>
    <x v="3"/>
    <x v="9"/>
    <n v="17"/>
    <x v="0"/>
  </r>
  <r>
    <d v="2020-07-17T00:00:00"/>
    <x v="0"/>
    <x v="1"/>
    <x v="1"/>
    <n v="186227318.38"/>
    <x v="0"/>
    <x v="1"/>
    <x v="1"/>
    <x v="3"/>
    <x v="5"/>
    <x v="3"/>
    <x v="5"/>
    <x v="3"/>
    <x v="9"/>
    <n v="17"/>
    <x v="0"/>
  </r>
  <r>
    <d v="2020-07-17T00:00:00"/>
    <x v="1"/>
    <x v="0"/>
    <x v="0"/>
    <n v="58311375.439999998"/>
    <x v="1"/>
    <x v="0"/>
    <x v="0"/>
    <x v="9"/>
    <x v="5"/>
    <x v="3"/>
    <x v="5"/>
    <x v="3"/>
    <x v="9"/>
    <n v="17"/>
    <x v="0"/>
  </r>
  <r>
    <d v="2020-07-17T00:00:00"/>
    <x v="0"/>
    <x v="1"/>
    <x v="0"/>
    <n v="9966163.1300000008"/>
    <x v="0"/>
    <x v="1"/>
    <x v="0"/>
    <x v="0"/>
    <x v="5"/>
    <x v="3"/>
    <x v="5"/>
    <x v="3"/>
    <x v="9"/>
    <n v="17"/>
    <x v="0"/>
  </r>
  <r>
    <d v="2020-07-17T00:00:00"/>
    <x v="0"/>
    <x v="0"/>
    <x v="1"/>
    <n v="210"/>
    <x v="0"/>
    <x v="0"/>
    <x v="1"/>
    <x v="2"/>
    <x v="5"/>
    <x v="3"/>
    <x v="5"/>
    <x v="3"/>
    <x v="9"/>
    <n v="17"/>
    <x v="0"/>
  </r>
  <r>
    <d v="2020-07-17T00:00:00"/>
    <x v="3"/>
    <x v="3"/>
    <x v="0"/>
    <n v="1627442233.5899999"/>
    <x v="3"/>
    <x v="3"/>
    <x v="0"/>
    <x v="6"/>
    <x v="5"/>
    <x v="3"/>
    <x v="5"/>
    <x v="3"/>
    <x v="9"/>
    <n v="17"/>
    <x v="0"/>
  </r>
  <r>
    <d v="2020-07-17T00:00:00"/>
    <x v="2"/>
    <x v="1"/>
    <x v="1"/>
    <n v="113731368.18000001"/>
    <x v="2"/>
    <x v="1"/>
    <x v="1"/>
    <x v="7"/>
    <x v="5"/>
    <x v="3"/>
    <x v="5"/>
    <x v="3"/>
    <x v="9"/>
    <n v="17"/>
    <x v="0"/>
  </r>
  <r>
    <d v="2020-07-17T00:00:00"/>
    <x v="1"/>
    <x v="0"/>
    <x v="1"/>
    <n v="8677523042.0200005"/>
    <x v="1"/>
    <x v="0"/>
    <x v="1"/>
    <x v="10"/>
    <x v="5"/>
    <x v="3"/>
    <x v="5"/>
    <x v="3"/>
    <x v="9"/>
    <n v="17"/>
    <x v="0"/>
  </r>
  <r>
    <d v="2020-07-17T00:00:00"/>
    <x v="3"/>
    <x v="2"/>
    <x v="0"/>
    <n v="424186585.82999998"/>
    <x v="3"/>
    <x v="2"/>
    <x v="0"/>
    <x v="11"/>
    <x v="5"/>
    <x v="3"/>
    <x v="5"/>
    <x v="3"/>
    <x v="9"/>
    <n v="17"/>
    <x v="0"/>
  </r>
  <r>
    <d v="2020-07-17T00:00:00"/>
    <x v="3"/>
    <x v="1"/>
    <x v="0"/>
    <n v="14785766.82"/>
    <x v="3"/>
    <x v="1"/>
    <x v="0"/>
    <x v="12"/>
    <x v="5"/>
    <x v="3"/>
    <x v="5"/>
    <x v="3"/>
    <x v="9"/>
    <n v="17"/>
    <x v="0"/>
  </r>
  <r>
    <d v="2020-07-17T00:00:00"/>
    <x v="3"/>
    <x v="2"/>
    <x v="1"/>
    <n v="16715843615.42"/>
    <x v="3"/>
    <x v="2"/>
    <x v="1"/>
    <x v="13"/>
    <x v="5"/>
    <x v="3"/>
    <x v="5"/>
    <x v="3"/>
    <x v="9"/>
    <n v="17"/>
    <x v="0"/>
  </r>
  <r>
    <d v="2020-07-16T00:00:00"/>
    <x v="1"/>
    <x v="0"/>
    <x v="2"/>
    <n v="250"/>
    <x v="1"/>
    <x v="0"/>
    <x v="2"/>
    <x v="2"/>
    <x v="5"/>
    <x v="3"/>
    <x v="5"/>
    <x v="3"/>
    <x v="9"/>
    <n v="16"/>
    <x v="0"/>
  </r>
  <r>
    <d v="2020-07-16T00:00:00"/>
    <x v="2"/>
    <x v="1"/>
    <x v="1"/>
    <n v="43642333.850000001"/>
    <x v="2"/>
    <x v="1"/>
    <x v="1"/>
    <x v="7"/>
    <x v="5"/>
    <x v="3"/>
    <x v="5"/>
    <x v="3"/>
    <x v="9"/>
    <n v="16"/>
    <x v="0"/>
  </r>
  <r>
    <d v="2020-07-16T00:00:00"/>
    <x v="0"/>
    <x v="1"/>
    <x v="1"/>
    <n v="93483183.260000005"/>
    <x v="0"/>
    <x v="1"/>
    <x v="1"/>
    <x v="4"/>
    <x v="5"/>
    <x v="3"/>
    <x v="5"/>
    <x v="3"/>
    <x v="9"/>
    <n v="16"/>
    <x v="0"/>
  </r>
  <r>
    <d v="2020-07-16T00:00:00"/>
    <x v="3"/>
    <x v="3"/>
    <x v="0"/>
    <n v="1374119617.0699999"/>
    <x v="3"/>
    <x v="3"/>
    <x v="0"/>
    <x v="9"/>
    <x v="5"/>
    <x v="3"/>
    <x v="5"/>
    <x v="3"/>
    <x v="9"/>
    <n v="16"/>
    <x v="0"/>
  </r>
  <r>
    <d v="2020-07-16T00:00:00"/>
    <x v="2"/>
    <x v="1"/>
    <x v="2"/>
    <n v="27110"/>
    <x v="2"/>
    <x v="1"/>
    <x v="2"/>
    <x v="5"/>
    <x v="5"/>
    <x v="3"/>
    <x v="5"/>
    <x v="3"/>
    <x v="9"/>
    <n v="16"/>
    <x v="0"/>
  </r>
  <r>
    <d v="2020-07-16T00:00:00"/>
    <x v="3"/>
    <x v="2"/>
    <x v="2"/>
    <n v="157156.07"/>
    <x v="3"/>
    <x v="2"/>
    <x v="2"/>
    <x v="6"/>
    <x v="5"/>
    <x v="3"/>
    <x v="5"/>
    <x v="3"/>
    <x v="9"/>
    <n v="16"/>
    <x v="0"/>
  </r>
  <r>
    <d v="2020-07-16T00:00:00"/>
    <x v="1"/>
    <x v="0"/>
    <x v="0"/>
    <n v="52709116.640000001"/>
    <x v="1"/>
    <x v="0"/>
    <x v="0"/>
    <x v="10"/>
    <x v="5"/>
    <x v="3"/>
    <x v="5"/>
    <x v="3"/>
    <x v="9"/>
    <n v="16"/>
    <x v="0"/>
  </r>
  <r>
    <d v="2020-07-16T00:00:00"/>
    <x v="0"/>
    <x v="0"/>
    <x v="0"/>
    <n v="250"/>
    <x v="0"/>
    <x v="0"/>
    <x v="0"/>
    <x v="0"/>
    <x v="5"/>
    <x v="3"/>
    <x v="5"/>
    <x v="3"/>
    <x v="9"/>
    <n v="16"/>
    <x v="0"/>
  </r>
  <r>
    <d v="2020-07-16T00:00:00"/>
    <x v="0"/>
    <x v="1"/>
    <x v="0"/>
    <n v="9507696.3300000001"/>
    <x v="0"/>
    <x v="1"/>
    <x v="0"/>
    <x v="1"/>
    <x v="5"/>
    <x v="3"/>
    <x v="5"/>
    <x v="3"/>
    <x v="9"/>
    <n v="16"/>
    <x v="0"/>
  </r>
  <r>
    <d v="2020-07-16T00:00:00"/>
    <x v="2"/>
    <x v="1"/>
    <x v="0"/>
    <n v="70052137"/>
    <x v="2"/>
    <x v="1"/>
    <x v="0"/>
    <x v="8"/>
    <x v="5"/>
    <x v="3"/>
    <x v="5"/>
    <x v="3"/>
    <x v="9"/>
    <n v="16"/>
    <x v="0"/>
  </r>
  <r>
    <d v="2020-07-16T00:00:00"/>
    <x v="3"/>
    <x v="3"/>
    <x v="1"/>
    <n v="425774.26"/>
    <x v="3"/>
    <x v="3"/>
    <x v="1"/>
    <x v="3"/>
    <x v="5"/>
    <x v="3"/>
    <x v="5"/>
    <x v="3"/>
    <x v="9"/>
    <n v="16"/>
    <x v="0"/>
  </r>
  <r>
    <d v="2020-07-16T00:00:00"/>
    <x v="1"/>
    <x v="0"/>
    <x v="1"/>
    <n v="9135361663.1299992"/>
    <x v="1"/>
    <x v="0"/>
    <x v="1"/>
    <x v="11"/>
    <x v="5"/>
    <x v="3"/>
    <x v="5"/>
    <x v="3"/>
    <x v="9"/>
    <n v="16"/>
    <x v="0"/>
  </r>
  <r>
    <d v="2020-07-16T00:00:00"/>
    <x v="3"/>
    <x v="2"/>
    <x v="0"/>
    <n v="324182506.07999998"/>
    <x v="3"/>
    <x v="2"/>
    <x v="0"/>
    <x v="12"/>
    <x v="5"/>
    <x v="3"/>
    <x v="5"/>
    <x v="3"/>
    <x v="9"/>
    <n v="16"/>
    <x v="0"/>
  </r>
  <r>
    <d v="2020-07-16T00:00:00"/>
    <x v="3"/>
    <x v="1"/>
    <x v="0"/>
    <n v="14481693.970000001"/>
    <x v="3"/>
    <x v="1"/>
    <x v="0"/>
    <x v="13"/>
    <x v="5"/>
    <x v="3"/>
    <x v="5"/>
    <x v="3"/>
    <x v="9"/>
    <n v="16"/>
    <x v="0"/>
  </r>
  <r>
    <d v="2020-07-16T00:00:00"/>
    <x v="3"/>
    <x v="2"/>
    <x v="1"/>
    <n v="34792443694.900002"/>
    <x v="3"/>
    <x v="2"/>
    <x v="1"/>
    <x v="14"/>
    <x v="5"/>
    <x v="3"/>
    <x v="5"/>
    <x v="3"/>
    <x v="9"/>
    <n v="16"/>
    <x v="0"/>
  </r>
  <r>
    <d v="2020-07-15T00:00:00"/>
    <x v="3"/>
    <x v="2"/>
    <x v="2"/>
    <n v="848829.99"/>
    <x v="3"/>
    <x v="2"/>
    <x v="2"/>
    <x v="7"/>
    <x v="5"/>
    <x v="3"/>
    <x v="5"/>
    <x v="3"/>
    <x v="9"/>
    <n v="15"/>
    <x v="0"/>
  </r>
  <r>
    <d v="2020-07-15T00:00:00"/>
    <x v="3"/>
    <x v="3"/>
    <x v="2"/>
    <n v="147120.39000000001"/>
    <x v="3"/>
    <x v="3"/>
    <x v="2"/>
    <x v="2"/>
    <x v="5"/>
    <x v="3"/>
    <x v="5"/>
    <x v="3"/>
    <x v="9"/>
    <n v="15"/>
    <x v="0"/>
  </r>
  <r>
    <d v="2020-07-15T00:00:00"/>
    <x v="2"/>
    <x v="1"/>
    <x v="2"/>
    <n v="22315"/>
    <x v="2"/>
    <x v="1"/>
    <x v="2"/>
    <x v="4"/>
    <x v="5"/>
    <x v="3"/>
    <x v="5"/>
    <x v="3"/>
    <x v="9"/>
    <n v="15"/>
    <x v="0"/>
  </r>
  <r>
    <d v="2020-07-15T00:00:00"/>
    <x v="3"/>
    <x v="3"/>
    <x v="0"/>
    <n v="1731796443.5699999"/>
    <x v="3"/>
    <x v="3"/>
    <x v="0"/>
    <x v="10"/>
    <x v="5"/>
    <x v="3"/>
    <x v="5"/>
    <x v="3"/>
    <x v="9"/>
    <n v="15"/>
    <x v="0"/>
  </r>
  <r>
    <d v="2020-07-15T00:00:00"/>
    <x v="0"/>
    <x v="1"/>
    <x v="1"/>
    <n v="99418143.019999996"/>
    <x v="0"/>
    <x v="1"/>
    <x v="1"/>
    <x v="6"/>
    <x v="5"/>
    <x v="3"/>
    <x v="5"/>
    <x v="3"/>
    <x v="9"/>
    <n v="15"/>
    <x v="0"/>
  </r>
  <r>
    <d v="2020-07-15T00:00:00"/>
    <x v="1"/>
    <x v="0"/>
    <x v="0"/>
    <n v="46679406.859999999"/>
    <x v="1"/>
    <x v="0"/>
    <x v="0"/>
    <x v="11"/>
    <x v="5"/>
    <x v="3"/>
    <x v="5"/>
    <x v="3"/>
    <x v="9"/>
    <n v="15"/>
    <x v="0"/>
  </r>
  <r>
    <d v="2020-07-15T00:00:00"/>
    <x v="0"/>
    <x v="1"/>
    <x v="0"/>
    <n v="7520405.2199999997"/>
    <x v="0"/>
    <x v="1"/>
    <x v="0"/>
    <x v="1"/>
    <x v="5"/>
    <x v="3"/>
    <x v="5"/>
    <x v="3"/>
    <x v="9"/>
    <n v="15"/>
    <x v="0"/>
  </r>
  <r>
    <d v="2020-07-15T00:00:00"/>
    <x v="0"/>
    <x v="0"/>
    <x v="0"/>
    <n v="2727.68"/>
    <x v="0"/>
    <x v="0"/>
    <x v="0"/>
    <x v="0"/>
    <x v="5"/>
    <x v="3"/>
    <x v="5"/>
    <x v="3"/>
    <x v="9"/>
    <n v="15"/>
    <x v="0"/>
  </r>
  <r>
    <d v="2020-07-15T00:00:00"/>
    <x v="1"/>
    <x v="0"/>
    <x v="2"/>
    <n v="2319.79"/>
    <x v="1"/>
    <x v="0"/>
    <x v="2"/>
    <x v="3"/>
    <x v="5"/>
    <x v="3"/>
    <x v="5"/>
    <x v="3"/>
    <x v="9"/>
    <n v="15"/>
    <x v="0"/>
  </r>
  <r>
    <d v="2020-07-15T00:00:00"/>
    <x v="0"/>
    <x v="0"/>
    <x v="1"/>
    <n v="-210"/>
    <x v="0"/>
    <x v="0"/>
    <x v="1"/>
    <x v="5"/>
    <x v="5"/>
    <x v="3"/>
    <x v="5"/>
    <x v="3"/>
    <x v="9"/>
    <n v="15"/>
    <x v="1"/>
  </r>
  <r>
    <d v="2020-07-15T00:00:00"/>
    <x v="2"/>
    <x v="1"/>
    <x v="1"/>
    <n v="152658012.09999999"/>
    <x v="2"/>
    <x v="1"/>
    <x v="1"/>
    <x v="8"/>
    <x v="5"/>
    <x v="3"/>
    <x v="5"/>
    <x v="3"/>
    <x v="9"/>
    <n v="15"/>
    <x v="0"/>
  </r>
  <r>
    <d v="2020-07-15T00:00:00"/>
    <x v="2"/>
    <x v="1"/>
    <x v="0"/>
    <n v="83828411.109999999"/>
    <x v="2"/>
    <x v="1"/>
    <x v="0"/>
    <x v="9"/>
    <x v="5"/>
    <x v="3"/>
    <x v="5"/>
    <x v="3"/>
    <x v="9"/>
    <n v="15"/>
    <x v="0"/>
  </r>
  <r>
    <d v="2020-07-15T00:00:00"/>
    <x v="1"/>
    <x v="0"/>
    <x v="1"/>
    <n v="8626221995.7999992"/>
    <x v="1"/>
    <x v="0"/>
    <x v="1"/>
    <x v="12"/>
    <x v="5"/>
    <x v="3"/>
    <x v="5"/>
    <x v="3"/>
    <x v="9"/>
    <n v="15"/>
    <x v="0"/>
  </r>
  <r>
    <d v="2020-07-15T00:00:00"/>
    <x v="3"/>
    <x v="2"/>
    <x v="0"/>
    <n v="442300777.50999999"/>
    <x v="3"/>
    <x v="2"/>
    <x v="0"/>
    <x v="13"/>
    <x v="5"/>
    <x v="3"/>
    <x v="5"/>
    <x v="3"/>
    <x v="9"/>
    <n v="15"/>
    <x v="0"/>
  </r>
  <r>
    <d v="2020-07-15T00:00:00"/>
    <x v="3"/>
    <x v="1"/>
    <x v="0"/>
    <n v="15526003.630000001"/>
    <x v="3"/>
    <x v="1"/>
    <x v="0"/>
    <x v="14"/>
    <x v="5"/>
    <x v="3"/>
    <x v="5"/>
    <x v="3"/>
    <x v="9"/>
    <n v="15"/>
    <x v="0"/>
  </r>
  <r>
    <d v="2020-07-15T00:00:00"/>
    <x v="3"/>
    <x v="2"/>
    <x v="1"/>
    <n v="111360538430.03999"/>
    <x v="3"/>
    <x v="2"/>
    <x v="1"/>
    <x v="15"/>
    <x v="5"/>
    <x v="3"/>
    <x v="5"/>
    <x v="3"/>
    <x v="9"/>
    <n v="15"/>
    <x v="0"/>
  </r>
  <r>
    <d v="2020-07-14T00:00:00"/>
    <x v="1"/>
    <x v="0"/>
    <x v="2"/>
    <n v="8599.34"/>
    <x v="1"/>
    <x v="0"/>
    <x v="2"/>
    <x v="2"/>
    <x v="5"/>
    <x v="3"/>
    <x v="5"/>
    <x v="3"/>
    <x v="9"/>
    <n v="14"/>
    <x v="0"/>
  </r>
  <r>
    <d v="2020-07-14T00:00:00"/>
    <x v="2"/>
    <x v="1"/>
    <x v="2"/>
    <n v="15308.07"/>
    <x v="2"/>
    <x v="1"/>
    <x v="2"/>
    <x v="3"/>
    <x v="5"/>
    <x v="3"/>
    <x v="5"/>
    <x v="3"/>
    <x v="9"/>
    <n v="14"/>
    <x v="0"/>
  </r>
  <r>
    <d v="2020-07-14T00:00:00"/>
    <x v="3"/>
    <x v="2"/>
    <x v="2"/>
    <n v="200692.99"/>
    <x v="3"/>
    <x v="2"/>
    <x v="2"/>
    <x v="6"/>
    <x v="5"/>
    <x v="3"/>
    <x v="5"/>
    <x v="3"/>
    <x v="9"/>
    <n v="14"/>
    <x v="0"/>
  </r>
  <r>
    <d v="2020-07-14T00:00:00"/>
    <x v="0"/>
    <x v="1"/>
    <x v="1"/>
    <n v="213566591.43000001"/>
    <x v="0"/>
    <x v="1"/>
    <x v="1"/>
    <x v="5"/>
    <x v="5"/>
    <x v="3"/>
    <x v="5"/>
    <x v="3"/>
    <x v="9"/>
    <n v="14"/>
    <x v="0"/>
  </r>
  <r>
    <d v="2020-07-14T00:00:00"/>
    <x v="3"/>
    <x v="3"/>
    <x v="0"/>
    <n v="1872540210.0899999"/>
    <x v="3"/>
    <x v="3"/>
    <x v="0"/>
    <x v="9"/>
    <x v="5"/>
    <x v="3"/>
    <x v="5"/>
    <x v="3"/>
    <x v="9"/>
    <n v="14"/>
    <x v="0"/>
  </r>
  <r>
    <d v="2020-07-14T00:00:00"/>
    <x v="1"/>
    <x v="0"/>
    <x v="0"/>
    <n v="75640805.549999997"/>
    <x v="1"/>
    <x v="0"/>
    <x v="0"/>
    <x v="10"/>
    <x v="5"/>
    <x v="3"/>
    <x v="5"/>
    <x v="3"/>
    <x v="9"/>
    <n v="14"/>
    <x v="0"/>
  </r>
  <r>
    <d v="2020-07-14T00:00:00"/>
    <x v="1"/>
    <x v="0"/>
    <x v="1"/>
    <n v="9715250619.8500004"/>
    <x v="1"/>
    <x v="0"/>
    <x v="1"/>
    <x v="11"/>
    <x v="5"/>
    <x v="3"/>
    <x v="5"/>
    <x v="3"/>
    <x v="9"/>
    <n v="14"/>
    <x v="0"/>
  </r>
  <r>
    <d v="2020-07-14T00:00:00"/>
    <x v="0"/>
    <x v="1"/>
    <x v="0"/>
    <n v="44491161.100000001"/>
    <x v="0"/>
    <x v="1"/>
    <x v="0"/>
    <x v="1"/>
    <x v="5"/>
    <x v="3"/>
    <x v="5"/>
    <x v="3"/>
    <x v="9"/>
    <n v="14"/>
    <x v="0"/>
  </r>
  <r>
    <d v="2020-07-14T00:00:00"/>
    <x v="2"/>
    <x v="1"/>
    <x v="0"/>
    <n v="88226822.480000004"/>
    <x v="2"/>
    <x v="1"/>
    <x v="0"/>
    <x v="8"/>
    <x v="5"/>
    <x v="3"/>
    <x v="5"/>
    <x v="3"/>
    <x v="9"/>
    <n v="14"/>
    <x v="0"/>
  </r>
  <r>
    <d v="2020-07-14T00:00:00"/>
    <x v="0"/>
    <x v="0"/>
    <x v="0"/>
    <n v="-1266.79"/>
    <x v="0"/>
    <x v="0"/>
    <x v="0"/>
    <x v="0"/>
    <x v="5"/>
    <x v="3"/>
    <x v="5"/>
    <x v="3"/>
    <x v="9"/>
    <n v="14"/>
    <x v="1"/>
  </r>
  <r>
    <d v="2020-07-14T00:00:00"/>
    <x v="2"/>
    <x v="1"/>
    <x v="1"/>
    <n v="48711327.399999999"/>
    <x v="2"/>
    <x v="1"/>
    <x v="1"/>
    <x v="7"/>
    <x v="5"/>
    <x v="3"/>
    <x v="5"/>
    <x v="3"/>
    <x v="9"/>
    <n v="14"/>
    <x v="0"/>
  </r>
  <r>
    <d v="2020-07-14T00:00:00"/>
    <x v="3"/>
    <x v="3"/>
    <x v="1"/>
    <n v="129418.29"/>
    <x v="3"/>
    <x v="3"/>
    <x v="1"/>
    <x v="4"/>
    <x v="5"/>
    <x v="3"/>
    <x v="5"/>
    <x v="3"/>
    <x v="9"/>
    <n v="14"/>
    <x v="0"/>
  </r>
  <r>
    <d v="2020-07-14T00:00:00"/>
    <x v="3"/>
    <x v="2"/>
    <x v="0"/>
    <n v="549317099.04999995"/>
    <x v="3"/>
    <x v="2"/>
    <x v="0"/>
    <x v="12"/>
    <x v="5"/>
    <x v="3"/>
    <x v="5"/>
    <x v="3"/>
    <x v="9"/>
    <n v="14"/>
    <x v="0"/>
  </r>
  <r>
    <d v="2020-07-14T00:00:00"/>
    <x v="3"/>
    <x v="1"/>
    <x v="0"/>
    <n v="8893681.0199999996"/>
    <x v="3"/>
    <x v="1"/>
    <x v="0"/>
    <x v="13"/>
    <x v="5"/>
    <x v="3"/>
    <x v="5"/>
    <x v="3"/>
    <x v="9"/>
    <n v="14"/>
    <x v="0"/>
  </r>
  <r>
    <d v="2020-07-14T00:00:00"/>
    <x v="3"/>
    <x v="2"/>
    <x v="1"/>
    <n v="33220163994.549999"/>
    <x v="3"/>
    <x v="2"/>
    <x v="1"/>
    <x v="14"/>
    <x v="5"/>
    <x v="3"/>
    <x v="5"/>
    <x v="3"/>
    <x v="9"/>
    <n v="14"/>
    <x v="0"/>
  </r>
  <r>
    <d v="2020-07-13T00:00:00"/>
    <x v="1"/>
    <x v="0"/>
    <x v="2"/>
    <n v="34507.78"/>
    <x v="1"/>
    <x v="0"/>
    <x v="2"/>
    <x v="1"/>
    <x v="5"/>
    <x v="3"/>
    <x v="5"/>
    <x v="3"/>
    <x v="9"/>
    <n v="13"/>
    <x v="0"/>
  </r>
  <r>
    <d v="2020-07-13T00:00:00"/>
    <x v="2"/>
    <x v="1"/>
    <x v="0"/>
    <n v="87718471.049999997"/>
    <x v="2"/>
    <x v="1"/>
    <x v="0"/>
    <x v="5"/>
    <x v="5"/>
    <x v="3"/>
    <x v="5"/>
    <x v="3"/>
    <x v="9"/>
    <n v="13"/>
    <x v="0"/>
  </r>
  <r>
    <d v="2020-07-13T00:00:00"/>
    <x v="3"/>
    <x v="3"/>
    <x v="0"/>
    <n v="1709244800.48"/>
    <x v="3"/>
    <x v="3"/>
    <x v="0"/>
    <x v="6"/>
    <x v="5"/>
    <x v="3"/>
    <x v="5"/>
    <x v="3"/>
    <x v="9"/>
    <n v="13"/>
    <x v="0"/>
  </r>
  <r>
    <d v="2020-07-13T00:00:00"/>
    <x v="3"/>
    <x v="2"/>
    <x v="2"/>
    <n v="188122.99"/>
    <x v="3"/>
    <x v="2"/>
    <x v="2"/>
    <x v="3"/>
    <x v="5"/>
    <x v="3"/>
    <x v="5"/>
    <x v="3"/>
    <x v="9"/>
    <n v="13"/>
    <x v="0"/>
  </r>
  <r>
    <d v="2020-07-13T00:00:00"/>
    <x v="0"/>
    <x v="1"/>
    <x v="1"/>
    <n v="104998169.31"/>
    <x v="0"/>
    <x v="1"/>
    <x v="1"/>
    <x v="2"/>
    <x v="5"/>
    <x v="3"/>
    <x v="5"/>
    <x v="3"/>
    <x v="9"/>
    <n v="13"/>
    <x v="0"/>
  </r>
  <r>
    <d v="2020-07-13T00:00:00"/>
    <x v="1"/>
    <x v="0"/>
    <x v="0"/>
    <n v="52913913.530000001"/>
    <x v="1"/>
    <x v="0"/>
    <x v="0"/>
    <x v="7"/>
    <x v="5"/>
    <x v="3"/>
    <x v="5"/>
    <x v="3"/>
    <x v="9"/>
    <n v="13"/>
    <x v="0"/>
  </r>
  <r>
    <d v="2020-07-13T00:00:00"/>
    <x v="0"/>
    <x v="1"/>
    <x v="0"/>
    <n v="7943684.6600000001"/>
    <x v="0"/>
    <x v="1"/>
    <x v="0"/>
    <x v="0"/>
    <x v="5"/>
    <x v="3"/>
    <x v="5"/>
    <x v="3"/>
    <x v="9"/>
    <n v="13"/>
    <x v="0"/>
  </r>
  <r>
    <d v="2020-07-13T00:00:00"/>
    <x v="2"/>
    <x v="1"/>
    <x v="1"/>
    <n v="9655887.1099999994"/>
    <x v="2"/>
    <x v="1"/>
    <x v="1"/>
    <x v="4"/>
    <x v="5"/>
    <x v="3"/>
    <x v="5"/>
    <x v="3"/>
    <x v="9"/>
    <n v="13"/>
    <x v="0"/>
  </r>
  <r>
    <d v="2020-07-13T00:00:00"/>
    <x v="1"/>
    <x v="0"/>
    <x v="1"/>
    <n v="3801713128.6799998"/>
    <x v="1"/>
    <x v="0"/>
    <x v="1"/>
    <x v="8"/>
    <x v="5"/>
    <x v="3"/>
    <x v="5"/>
    <x v="3"/>
    <x v="9"/>
    <n v="13"/>
    <x v="0"/>
  </r>
  <r>
    <d v="2020-07-13T00:00:00"/>
    <x v="3"/>
    <x v="2"/>
    <x v="0"/>
    <n v="547403221.39999998"/>
    <x v="3"/>
    <x v="2"/>
    <x v="0"/>
    <x v="9"/>
    <x v="5"/>
    <x v="3"/>
    <x v="5"/>
    <x v="3"/>
    <x v="9"/>
    <n v="13"/>
    <x v="0"/>
  </r>
  <r>
    <d v="2020-07-13T00:00:00"/>
    <x v="3"/>
    <x v="2"/>
    <x v="1"/>
    <n v="33124382544.139999"/>
    <x v="3"/>
    <x v="2"/>
    <x v="1"/>
    <x v="10"/>
    <x v="5"/>
    <x v="3"/>
    <x v="5"/>
    <x v="3"/>
    <x v="9"/>
    <n v="13"/>
    <x v="0"/>
  </r>
  <r>
    <d v="2020-07-13T00:00:00"/>
    <x v="3"/>
    <x v="1"/>
    <x v="0"/>
    <n v="43106161.649999999"/>
    <x v="3"/>
    <x v="1"/>
    <x v="0"/>
    <x v="11"/>
    <x v="5"/>
    <x v="3"/>
    <x v="5"/>
    <x v="3"/>
    <x v="9"/>
    <n v="13"/>
    <x v="0"/>
  </r>
  <r>
    <d v="2020-07-10T00:00:00"/>
    <x v="1"/>
    <x v="0"/>
    <x v="2"/>
    <n v="7186.88"/>
    <x v="1"/>
    <x v="0"/>
    <x v="2"/>
    <x v="1"/>
    <x v="5"/>
    <x v="3"/>
    <x v="5"/>
    <x v="3"/>
    <x v="9"/>
    <n v="10"/>
    <x v="0"/>
  </r>
  <r>
    <d v="2020-07-10T00:00:00"/>
    <x v="2"/>
    <x v="1"/>
    <x v="1"/>
    <n v="9385394.8000000007"/>
    <x v="2"/>
    <x v="1"/>
    <x v="1"/>
    <x v="6"/>
    <x v="5"/>
    <x v="3"/>
    <x v="5"/>
    <x v="3"/>
    <x v="9"/>
    <n v="10"/>
    <x v="0"/>
  </r>
  <r>
    <d v="2020-07-10T00:00:00"/>
    <x v="2"/>
    <x v="1"/>
    <x v="2"/>
    <n v="1104.7"/>
    <x v="2"/>
    <x v="1"/>
    <x v="2"/>
    <x v="2"/>
    <x v="5"/>
    <x v="3"/>
    <x v="5"/>
    <x v="3"/>
    <x v="9"/>
    <n v="10"/>
    <x v="0"/>
  </r>
  <r>
    <d v="2020-07-10T00:00:00"/>
    <x v="0"/>
    <x v="1"/>
    <x v="1"/>
    <n v="68077087.280000001"/>
    <x v="0"/>
    <x v="1"/>
    <x v="1"/>
    <x v="4"/>
    <x v="5"/>
    <x v="3"/>
    <x v="5"/>
    <x v="3"/>
    <x v="9"/>
    <n v="10"/>
    <x v="0"/>
  </r>
  <r>
    <d v="2020-07-10T00:00:00"/>
    <x v="1"/>
    <x v="0"/>
    <x v="0"/>
    <n v="35890788.829999998"/>
    <x v="1"/>
    <x v="0"/>
    <x v="0"/>
    <x v="9"/>
    <x v="5"/>
    <x v="3"/>
    <x v="5"/>
    <x v="3"/>
    <x v="9"/>
    <n v="10"/>
    <x v="0"/>
  </r>
  <r>
    <d v="2020-07-10T00:00:00"/>
    <x v="0"/>
    <x v="1"/>
    <x v="0"/>
    <n v="29487381.949999999"/>
    <x v="0"/>
    <x v="1"/>
    <x v="0"/>
    <x v="0"/>
    <x v="5"/>
    <x v="3"/>
    <x v="5"/>
    <x v="3"/>
    <x v="9"/>
    <n v="10"/>
    <x v="0"/>
  </r>
  <r>
    <d v="2020-07-10T00:00:00"/>
    <x v="3"/>
    <x v="2"/>
    <x v="2"/>
    <n v="1360946"/>
    <x v="3"/>
    <x v="2"/>
    <x v="2"/>
    <x v="5"/>
    <x v="5"/>
    <x v="3"/>
    <x v="5"/>
    <x v="3"/>
    <x v="9"/>
    <n v="10"/>
    <x v="0"/>
  </r>
  <r>
    <d v="2020-07-10T00:00:00"/>
    <x v="2"/>
    <x v="1"/>
    <x v="0"/>
    <n v="91090947.569999993"/>
    <x v="2"/>
    <x v="1"/>
    <x v="0"/>
    <x v="7"/>
    <x v="5"/>
    <x v="3"/>
    <x v="5"/>
    <x v="3"/>
    <x v="9"/>
    <n v="10"/>
    <x v="0"/>
  </r>
  <r>
    <d v="2020-07-10T00:00:00"/>
    <x v="3"/>
    <x v="3"/>
    <x v="1"/>
    <n v="9786.27"/>
    <x v="3"/>
    <x v="3"/>
    <x v="1"/>
    <x v="3"/>
    <x v="5"/>
    <x v="3"/>
    <x v="5"/>
    <x v="3"/>
    <x v="9"/>
    <n v="10"/>
    <x v="0"/>
  </r>
  <r>
    <d v="2020-07-10T00:00:00"/>
    <x v="3"/>
    <x v="3"/>
    <x v="0"/>
    <n v="1085418793.73"/>
    <x v="3"/>
    <x v="3"/>
    <x v="0"/>
    <x v="8"/>
    <x v="5"/>
    <x v="3"/>
    <x v="5"/>
    <x v="3"/>
    <x v="9"/>
    <n v="10"/>
    <x v="0"/>
  </r>
  <r>
    <d v="2020-07-10T00:00:00"/>
    <x v="1"/>
    <x v="0"/>
    <x v="1"/>
    <n v="1397813974.0899999"/>
    <x v="1"/>
    <x v="0"/>
    <x v="1"/>
    <x v="10"/>
    <x v="5"/>
    <x v="3"/>
    <x v="5"/>
    <x v="3"/>
    <x v="9"/>
    <n v="10"/>
    <x v="0"/>
  </r>
  <r>
    <d v="2020-07-10T00:00:00"/>
    <x v="3"/>
    <x v="2"/>
    <x v="0"/>
    <n v="351288749.06"/>
    <x v="3"/>
    <x v="2"/>
    <x v="0"/>
    <x v="11"/>
    <x v="5"/>
    <x v="3"/>
    <x v="5"/>
    <x v="3"/>
    <x v="9"/>
    <n v="10"/>
    <x v="0"/>
  </r>
  <r>
    <d v="2020-07-10T00:00:00"/>
    <x v="3"/>
    <x v="2"/>
    <x v="1"/>
    <n v="17136427059.07"/>
    <x v="3"/>
    <x v="2"/>
    <x v="1"/>
    <x v="12"/>
    <x v="5"/>
    <x v="3"/>
    <x v="5"/>
    <x v="3"/>
    <x v="9"/>
    <n v="10"/>
    <x v="0"/>
  </r>
  <r>
    <d v="2020-07-10T00:00:00"/>
    <x v="3"/>
    <x v="1"/>
    <x v="0"/>
    <n v="14517643.279999999"/>
    <x v="3"/>
    <x v="1"/>
    <x v="0"/>
    <x v="13"/>
    <x v="5"/>
    <x v="3"/>
    <x v="5"/>
    <x v="3"/>
    <x v="9"/>
    <n v="10"/>
    <x v="0"/>
  </r>
  <r>
    <d v="2020-07-09T00:00:00"/>
    <x v="2"/>
    <x v="1"/>
    <x v="1"/>
    <n v="37277003.380000003"/>
    <x v="2"/>
    <x v="1"/>
    <x v="1"/>
    <x v="6"/>
    <x v="5"/>
    <x v="3"/>
    <x v="5"/>
    <x v="3"/>
    <x v="9"/>
    <n v="9"/>
    <x v="0"/>
  </r>
  <r>
    <d v="2020-07-09T00:00:00"/>
    <x v="1"/>
    <x v="0"/>
    <x v="2"/>
    <n v="3455.05"/>
    <x v="1"/>
    <x v="0"/>
    <x v="2"/>
    <x v="2"/>
    <x v="5"/>
    <x v="3"/>
    <x v="5"/>
    <x v="3"/>
    <x v="9"/>
    <n v="9"/>
    <x v="0"/>
  </r>
  <r>
    <d v="2020-07-09T00:00:00"/>
    <x v="2"/>
    <x v="1"/>
    <x v="0"/>
    <n v="111431327.01000001"/>
    <x v="2"/>
    <x v="1"/>
    <x v="0"/>
    <x v="7"/>
    <x v="5"/>
    <x v="3"/>
    <x v="5"/>
    <x v="3"/>
    <x v="9"/>
    <n v="9"/>
    <x v="0"/>
  </r>
  <r>
    <d v="2020-07-09T00:00:00"/>
    <x v="3"/>
    <x v="2"/>
    <x v="2"/>
    <n v="-61021"/>
    <x v="3"/>
    <x v="2"/>
    <x v="2"/>
    <x v="5"/>
    <x v="5"/>
    <x v="3"/>
    <x v="5"/>
    <x v="3"/>
    <x v="9"/>
    <n v="9"/>
    <x v="1"/>
  </r>
  <r>
    <d v="2020-07-09T00:00:00"/>
    <x v="0"/>
    <x v="1"/>
    <x v="1"/>
    <n v="55530252.789999999"/>
    <x v="0"/>
    <x v="1"/>
    <x v="1"/>
    <x v="3"/>
    <x v="5"/>
    <x v="3"/>
    <x v="5"/>
    <x v="3"/>
    <x v="9"/>
    <n v="9"/>
    <x v="0"/>
  </r>
  <r>
    <d v="2020-07-09T00:00:00"/>
    <x v="2"/>
    <x v="1"/>
    <x v="2"/>
    <n v="38612.04"/>
    <x v="2"/>
    <x v="1"/>
    <x v="2"/>
    <x v="4"/>
    <x v="5"/>
    <x v="3"/>
    <x v="5"/>
    <x v="3"/>
    <x v="9"/>
    <n v="9"/>
    <x v="0"/>
  </r>
  <r>
    <d v="2020-07-09T00:00:00"/>
    <x v="3"/>
    <x v="3"/>
    <x v="0"/>
    <n v="1769824784.4000001"/>
    <x v="3"/>
    <x v="3"/>
    <x v="0"/>
    <x v="8"/>
    <x v="5"/>
    <x v="3"/>
    <x v="5"/>
    <x v="3"/>
    <x v="9"/>
    <n v="9"/>
    <x v="0"/>
  </r>
  <r>
    <d v="2020-07-09T00:00:00"/>
    <x v="0"/>
    <x v="1"/>
    <x v="0"/>
    <n v="10596738.15"/>
    <x v="0"/>
    <x v="1"/>
    <x v="0"/>
    <x v="1"/>
    <x v="5"/>
    <x v="3"/>
    <x v="5"/>
    <x v="3"/>
    <x v="9"/>
    <n v="9"/>
    <x v="0"/>
  </r>
  <r>
    <d v="2020-07-09T00:00:00"/>
    <x v="0"/>
    <x v="0"/>
    <x v="0"/>
    <n v="-1435"/>
    <x v="0"/>
    <x v="0"/>
    <x v="0"/>
    <x v="0"/>
    <x v="5"/>
    <x v="3"/>
    <x v="5"/>
    <x v="3"/>
    <x v="9"/>
    <n v="9"/>
    <x v="1"/>
  </r>
  <r>
    <d v="2020-07-09T00:00:00"/>
    <x v="1"/>
    <x v="0"/>
    <x v="0"/>
    <n v="48426811.539999999"/>
    <x v="1"/>
    <x v="0"/>
    <x v="0"/>
    <x v="9"/>
    <x v="5"/>
    <x v="3"/>
    <x v="5"/>
    <x v="3"/>
    <x v="9"/>
    <n v="9"/>
    <x v="0"/>
  </r>
  <r>
    <d v="2020-07-09T00:00:00"/>
    <x v="1"/>
    <x v="0"/>
    <x v="1"/>
    <n v="1350725084.6400001"/>
    <x v="1"/>
    <x v="0"/>
    <x v="1"/>
    <x v="10"/>
    <x v="5"/>
    <x v="3"/>
    <x v="5"/>
    <x v="3"/>
    <x v="9"/>
    <n v="9"/>
    <x v="0"/>
  </r>
  <r>
    <d v="2020-07-09T00:00:00"/>
    <x v="3"/>
    <x v="2"/>
    <x v="0"/>
    <n v="358035716.02999997"/>
    <x v="3"/>
    <x v="2"/>
    <x v="0"/>
    <x v="11"/>
    <x v="5"/>
    <x v="3"/>
    <x v="5"/>
    <x v="3"/>
    <x v="9"/>
    <n v="9"/>
    <x v="0"/>
  </r>
  <r>
    <d v="2020-07-09T00:00:00"/>
    <x v="3"/>
    <x v="2"/>
    <x v="1"/>
    <n v="6698311722.1599998"/>
    <x v="3"/>
    <x v="2"/>
    <x v="1"/>
    <x v="12"/>
    <x v="5"/>
    <x v="3"/>
    <x v="5"/>
    <x v="3"/>
    <x v="9"/>
    <n v="9"/>
    <x v="0"/>
  </r>
  <r>
    <d v="2020-07-09T00:00:00"/>
    <x v="3"/>
    <x v="1"/>
    <x v="0"/>
    <n v="13627815.800000001"/>
    <x v="3"/>
    <x v="1"/>
    <x v="0"/>
    <x v="13"/>
    <x v="5"/>
    <x v="3"/>
    <x v="5"/>
    <x v="3"/>
    <x v="9"/>
    <n v="9"/>
    <x v="0"/>
  </r>
  <r>
    <d v="2020-07-08T00:00:00"/>
    <x v="2"/>
    <x v="1"/>
    <x v="0"/>
    <n v="77402875.359999999"/>
    <x v="2"/>
    <x v="1"/>
    <x v="0"/>
    <x v="5"/>
    <x v="5"/>
    <x v="3"/>
    <x v="5"/>
    <x v="3"/>
    <x v="9"/>
    <n v="8"/>
    <x v="0"/>
  </r>
  <r>
    <d v="2020-07-08T00:00:00"/>
    <x v="2"/>
    <x v="1"/>
    <x v="1"/>
    <n v="9582163.9399999995"/>
    <x v="2"/>
    <x v="1"/>
    <x v="1"/>
    <x v="6"/>
    <x v="5"/>
    <x v="3"/>
    <x v="5"/>
    <x v="3"/>
    <x v="9"/>
    <n v="8"/>
    <x v="0"/>
  </r>
  <r>
    <d v="2020-07-08T00:00:00"/>
    <x v="3"/>
    <x v="2"/>
    <x v="2"/>
    <n v="30075"/>
    <x v="3"/>
    <x v="2"/>
    <x v="2"/>
    <x v="4"/>
    <x v="5"/>
    <x v="3"/>
    <x v="5"/>
    <x v="3"/>
    <x v="9"/>
    <n v="8"/>
    <x v="0"/>
  </r>
  <r>
    <d v="2020-07-08T00:00:00"/>
    <x v="1"/>
    <x v="0"/>
    <x v="1"/>
    <n v="4902683930.1800003"/>
    <x v="1"/>
    <x v="0"/>
    <x v="1"/>
    <x v="8"/>
    <x v="5"/>
    <x v="3"/>
    <x v="5"/>
    <x v="3"/>
    <x v="9"/>
    <n v="8"/>
    <x v="0"/>
  </r>
  <r>
    <d v="2020-07-08T00:00:00"/>
    <x v="0"/>
    <x v="1"/>
    <x v="0"/>
    <n v="23546193.469999999"/>
    <x v="0"/>
    <x v="1"/>
    <x v="0"/>
    <x v="1"/>
    <x v="5"/>
    <x v="3"/>
    <x v="5"/>
    <x v="3"/>
    <x v="9"/>
    <n v="8"/>
    <x v="0"/>
  </r>
  <r>
    <d v="2020-07-08T00:00:00"/>
    <x v="0"/>
    <x v="0"/>
    <x v="0"/>
    <n v="889.82"/>
    <x v="0"/>
    <x v="0"/>
    <x v="0"/>
    <x v="0"/>
    <x v="5"/>
    <x v="3"/>
    <x v="5"/>
    <x v="3"/>
    <x v="9"/>
    <n v="8"/>
    <x v="0"/>
  </r>
  <r>
    <d v="2020-07-08T00:00:00"/>
    <x v="1"/>
    <x v="0"/>
    <x v="0"/>
    <n v="33780509.670000002"/>
    <x v="1"/>
    <x v="0"/>
    <x v="0"/>
    <x v="9"/>
    <x v="5"/>
    <x v="3"/>
    <x v="5"/>
    <x v="3"/>
    <x v="9"/>
    <n v="8"/>
    <x v="0"/>
  </r>
  <r>
    <d v="2020-07-08T00:00:00"/>
    <x v="1"/>
    <x v="0"/>
    <x v="2"/>
    <n v="2120.7600000000002"/>
    <x v="1"/>
    <x v="0"/>
    <x v="2"/>
    <x v="2"/>
    <x v="5"/>
    <x v="3"/>
    <x v="5"/>
    <x v="3"/>
    <x v="9"/>
    <n v="8"/>
    <x v="0"/>
  </r>
  <r>
    <d v="2020-07-08T00:00:00"/>
    <x v="0"/>
    <x v="1"/>
    <x v="1"/>
    <n v="59543225.630000003"/>
    <x v="0"/>
    <x v="1"/>
    <x v="1"/>
    <x v="3"/>
    <x v="5"/>
    <x v="3"/>
    <x v="5"/>
    <x v="3"/>
    <x v="9"/>
    <n v="8"/>
    <x v="0"/>
  </r>
  <r>
    <d v="2020-07-08T00:00:00"/>
    <x v="3"/>
    <x v="3"/>
    <x v="0"/>
    <n v="2892140078.0599999"/>
    <x v="3"/>
    <x v="3"/>
    <x v="0"/>
    <x v="7"/>
    <x v="5"/>
    <x v="3"/>
    <x v="5"/>
    <x v="3"/>
    <x v="9"/>
    <n v="8"/>
    <x v="0"/>
  </r>
  <r>
    <d v="2020-07-08T00:00:00"/>
    <x v="3"/>
    <x v="2"/>
    <x v="0"/>
    <n v="383971457.43000001"/>
    <x v="3"/>
    <x v="2"/>
    <x v="0"/>
    <x v="10"/>
    <x v="5"/>
    <x v="3"/>
    <x v="5"/>
    <x v="3"/>
    <x v="9"/>
    <n v="8"/>
    <x v="0"/>
  </r>
  <r>
    <d v="2020-07-08T00:00:00"/>
    <x v="3"/>
    <x v="2"/>
    <x v="1"/>
    <n v="11583239816.85"/>
    <x v="3"/>
    <x v="2"/>
    <x v="1"/>
    <x v="11"/>
    <x v="5"/>
    <x v="3"/>
    <x v="5"/>
    <x v="3"/>
    <x v="9"/>
    <n v="8"/>
    <x v="0"/>
  </r>
  <r>
    <d v="2020-07-08T00:00:00"/>
    <x v="3"/>
    <x v="1"/>
    <x v="0"/>
    <n v="14654692.689999999"/>
    <x v="3"/>
    <x v="1"/>
    <x v="0"/>
    <x v="12"/>
    <x v="5"/>
    <x v="3"/>
    <x v="5"/>
    <x v="3"/>
    <x v="9"/>
    <n v="8"/>
    <x v="0"/>
  </r>
  <r>
    <d v="2020-07-07T00:00:00"/>
    <x v="2"/>
    <x v="1"/>
    <x v="1"/>
    <n v="14770083.460000001"/>
    <x v="2"/>
    <x v="1"/>
    <x v="1"/>
    <x v="5"/>
    <x v="5"/>
    <x v="3"/>
    <x v="5"/>
    <x v="3"/>
    <x v="9"/>
    <n v="7"/>
    <x v="0"/>
  </r>
  <r>
    <d v="2020-07-07T00:00:00"/>
    <x v="2"/>
    <x v="1"/>
    <x v="0"/>
    <n v="107757449.84"/>
    <x v="2"/>
    <x v="1"/>
    <x v="0"/>
    <x v="6"/>
    <x v="5"/>
    <x v="3"/>
    <x v="5"/>
    <x v="3"/>
    <x v="9"/>
    <n v="7"/>
    <x v="0"/>
  </r>
  <r>
    <d v="2020-07-07T00:00:00"/>
    <x v="2"/>
    <x v="1"/>
    <x v="2"/>
    <n v="1152213.22"/>
    <x v="2"/>
    <x v="1"/>
    <x v="2"/>
    <x v="1"/>
    <x v="5"/>
    <x v="3"/>
    <x v="5"/>
    <x v="3"/>
    <x v="9"/>
    <n v="7"/>
    <x v="0"/>
  </r>
  <r>
    <d v="2020-07-07T00:00:00"/>
    <x v="3"/>
    <x v="3"/>
    <x v="0"/>
    <n v="1232052542.9000001"/>
    <x v="3"/>
    <x v="3"/>
    <x v="0"/>
    <x v="7"/>
    <x v="5"/>
    <x v="3"/>
    <x v="5"/>
    <x v="3"/>
    <x v="9"/>
    <n v="7"/>
    <x v="0"/>
  </r>
  <r>
    <d v="2020-07-07T00:00:00"/>
    <x v="0"/>
    <x v="1"/>
    <x v="1"/>
    <n v="26169113.140000001"/>
    <x v="0"/>
    <x v="1"/>
    <x v="1"/>
    <x v="3"/>
    <x v="5"/>
    <x v="3"/>
    <x v="5"/>
    <x v="3"/>
    <x v="9"/>
    <n v="7"/>
    <x v="0"/>
  </r>
  <r>
    <d v="2020-07-07T00:00:00"/>
    <x v="1"/>
    <x v="0"/>
    <x v="0"/>
    <n v="37411276.710000001"/>
    <x v="1"/>
    <x v="0"/>
    <x v="0"/>
    <x v="9"/>
    <x v="5"/>
    <x v="3"/>
    <x v="5"/>
    <x v="3"/>
    <x v="9"/>
    <n v="7"/>
    <x v="0"/>
  </r>
  <r>
    <d v="2020-07-07T00:00:00"/>
    <x v="3"/>
    <x v="2"/>
    <x v="2"/>
    <n v="215604"/>
    <x v="3"/>
    <x v="2"/>
    <x v="2"/>
    <x v="4"/>
    <x v="5"/>
    <x v="3"/>
    <x v="5"/>
    <x v="3"/>
    <x v="9"/>
    <n v="7"/>
    <x v="0"/>
  </r>
  <r>
    <d v="2020-07-07T00:00:00"/>
    <x v="0"/>
    <x v="1"/>
    <x v="0"/>
    <n v="4504964.49"/>
    <x v="0"/>
    <x v="1"/>
    <x v="0"/>
    <x v="0"/>
    <x v="5"/>
    <x v="3"/>
    <x v="5"/>
    <x v="3"/>
    <x v="9"/>
    <n v="7"/>
    <x v="0"/>
  </r>
  <r>
    <d v="2020-07-07T00:00:00"/>
    <x v="1"/>
    <x v="0"/>
    <x v="2"/>
    <n v="67553.38"/>
    <x v="1"/>
    <x v="0"/>
    <x v="2"/>
    <x v="2"/>
    <x v="5"/>
    <x v="3"/>
    <x v="5"/>
    <x v="3"/>
    <x v="9"/>
    <n v="7"/>
    <x v="0"/>
  </r>
  <r>
    <d v="2020-07-07T00:00:00"/>
    <x v="1"/>
    <x v="0"/>
    <x v="1"/>
    <n v="2518878487.9299998"/>
    <x v="1"/>
    <x v="0"/>
    <x v="1"/>
    <x v="8"/>
    <x v="5"/>
    <x v="3"/>
    <x v="5"/>
    <x v="3"/>
    <x v="9"/>
    <n v="7"/>
    <x v="0"/>
  </r>
  <r>
    <d v="2020-07-07T00:00:00"/>
    <x v="3"/>
    <x v="2"/>
    <x v="0"/>
    <n v="683473041.45000005"/>
    <x v="3"/>
    <x v="2"/>
    <x v="0"/>
    <x v="10"/>
    <x v="5"/>
    <x v="3"/>
    <x v="5"/>
    <x v="3"/>
    <x v="9"/>
    <n v="7"/>
    <x v="0"/>
  </r>
  <r>
    <d v="2020-07-07T00:00:00"/>
    <x v="3"/>
    <x v="1"/>
    <x v="0"/>
    <n v="8490663.8399999999"/>
    <x v="3"/>
    <x v="1"/>
    <x v="0"/>
    <x v="11"/>
    <x v="5"/>
    <x v="3"/>
    <x v="5"/>
    <x v="3"/>
    <x v="9"/>
    <n v="7"/>
    <x v="0"/>
  </r>
  <r>
    <d v="2020-07-07T00:00:00"/>
    <x v="3"/>
    <x v="2"/>
    <x v="1"/>
    <n v="4507760958.21"/>
    <x v="3"/>
    <x v="2"/>
    <x v="1"/>
    <x v="12"/>
    <x v="5"/>
    <x v="3"/>
    <x v="5"/>
    <x v="3"/>
    <x v="9"/>
    <n v="7"/>
    <x v="0"/>
  </r>
  <r>
    <d v="2020-07-06T00:00:00"/>
    <x v="1"/>
    <x v="0"/>
    <x v="2"/>
    <n v="25760.03"/>
    <x v="1"/>
    <x v="0"/>
    <x v="2"/>
    <x v="1"/>
    <x v="5"/>
    <x v="3"/>
    <x v="5"/>
    <x v="3"/>
    <x v="9"/>
    <n v="6"/>
    <x v="0"/>
  </r>
  <r>
    <d v="2020-07-06T00:00:00"/>
    <x v="2"/>
    <x v="1"/>
    <x v="0"/>
    <n v="1176283.07"/>
    <x v="2"/>
    <x v="1"/>
    <x v="0"/>
    <x v="6"/>
    <x v="5"/>
    <x v="3"/>
    <x v="5"/>
    <x v="3"/>
    <x v="9"/>
    <n v="6"/>
    <x v="0"/>
  </r>
  <r>
    <d v="2020-07-06T00:00:00"/>
    <x v="0"/>
    <x v="1"/>
    <x v="1"/>
    <n v="9075577.3499999996"/>
    <x v="0"/>
    <x v="1"/>
    <x v="1"/>
    <x v="2"/>
    <x v="5"/>
    <x v="3"/>
    <x v="5"/>
    <x v="3"/>
    <x v="9"/>
    <n v="6"/>
    <x v="0"/>
  </r>
  <r>
    <d v="2020-07-06T00:00:00"/>
    <x v="1"/>
    <x v="0"/>
    <x v="0"/>
    <n v="58523857.990000002"/>
    <x v="1"/>
    <x v="0"/>
    <x v="0"/>
    <x v="7"/>
    <x v="5"/>
    <x v="3"/>
    <x v="5"/>
    <x v="3"/>
    <x v="9"/>
    <n v="6"/>
    <x v="0"/>
  </r>
  <r>
    <d v="2020-07-06T00:00:00"/>
    <x v="0"/>
    <x v="1"/>
    <x v="0"/>
    <n v="10589140.060000001"/>
    <x v="0"/>
    <x v="1"/>
    <x v="0"/>
    <x v="0"/>
    <x v="5"/>
    <x v="3"/>
    <x v="5"/>
    <x v="3"/>
    <x v="9"/>
    <n v="6"/>
    <x v="0"/>
  </r>
  <r>
    <d v="2020-07-06T00:00:00"/>
    <x v="2"/>
    <x v="1"/>
    <x v="1"/>
    <n v="-235960.13"/>
    <x v="2"/>
    <x v="1"/>
    <x v="1"/>
    <x v="5"/>
    <x v="5"/>
    <x v="3"/>
    <x v="5"/>
    <x v="3"/>
    <x v="9"/>
    <n v="6"/>
    <x v="1"/>
  </r>
  <r>
    <d v="2020-07-06T00:00:00"/>
    <x v="3"/>
    <x v="2"/>
    <x v="2"/>
    <n v="26205"/>
    <x v="3"/>
    <x v="2"/>
    <x v="2"/>
    <x v="3"/>
    <x v="5"/>
    <x v="3"/>
    <x v="5"/>
    <x v="3"/>
    <x v="9"/>
    <n v="6"/>
    <x v="0"/>
  </r>
  <r>
    <d v="2020-07-06T00:00:00"/>
    <x v="3"/>
    <x v="3"/>
    <x v="0"/>
    <n v="912670480.57000005"/>
    <x v="3"/>
    <x v="3"/>
    <x v="0"/>
    <x v="4"/>
    <x v="5"/>
    <x v="3"/>
    <x v="5"/>
    <x v="3"/>
    <x v="9"/>
    <n v="6"/>
    <x v="0"/>
  </r>
  <r>
    <d v="2020-07-06T00:00:00"/>
    <x v="1"/>
    <x v="0"/>
    <x v="1"/>
    <n v="1322080561.8299999"/>
    <x v="1"/>
    <x v="0"/>
    <x v="1"/>
    <x v="8"/>
    <x v="5"/>
    <x v="3"/>
    <x v="5"/>
    <x v="3"/>
    <x v="9"/>
    <n v="6"/>
    <x v="0"/>
  </r>
  <r>
    <d v="2020-07-06T00:00:00"/>
    <x v="3"/>
    <x v="2"/>
    <x v="0"/>
    <n v="233629547.66999999"/>
    <x v="3"/>
    <x v="2"/>
    <x v="0"/>
    <x v="9"/>
    <x v="5"/>
    <x v="3"/>
    <x v="5"/>
    <x v="3"/>
    <x v="9"/>
    <n v="6"/>
    <x v="0"/>
  </r>
  <r>
    <d v="2020-07-06T00:00:00"/>
    <x v="3"/>
    <x v="2"/>
    <x v="1"/>
    <n v="15524808181.299999"/>
    <x v="3"/>
    <x v="2"/>
    <x v="1"/>
    <x v="10"/>
    <x v="5"/>
    <x v="3"/>
    <x v="5"/>
    <x v="3"/>
    <x v="9"/>
    <n v="6"/>
    <x v="0"/>
  </r>
  <r>
    <d v="2020-07-06T00:00:00"/>
    <x v="3"/>
    <x v="1"/>
    <x v="0"/>
    <n v="36412526.549999997"/>
    <x v="3"/>
    <x v="1"/>
    <x v="0"/>
    <x v="11"/>
    <x v="5"/>
    <x v="3"/>
    <x v="5"/>
    <x v="3"/>
    <x v="9"/>
    <n v="6"/>
    <x v="0"/>
  </r>
  <r>
    <d v="2020-07-03T00:00:00"/>
    <x v="1"/>
    <x v="0"/>
    <x v="2"/>
    <n v="36937.870000000003"/>
    <x v="1"/>
    <x v="0"/>
    <x v="2"/>
    <x v="2"/>
    <x v="5"/>
    <x v="3"/>
    <x v="5"/>
    <x v="3"/>
    <x v="9"/>
    <n v="3"/>
    <x v="0"/>
  </r>
  <r>
    <d v="2020-07-03T00:00:00"/>
    <x v="2"/>
    <x v="1"/>
    <x v="0"/>
    <n v="75620453.170000002"/>
    <x v="2"/>
    <x v="1"/>
    <x v="0"/>
    <x v="7"/>
    <x v="5"/>
    <x v="3"/>
    <x v="5"/>
    <x v="3"/>
    <x v="9"/>
    <n v="3"/>
    <x v="0"/>
  </r>
  <r>
    <d v="2020-07-03T00:00:00"/>
    <x v="3"/>
    <x v="3"/>
    <x v="0"/>
    <n v="481096122.68000001"/>
    <x v="3"/>
    <x v="3"/>
    <x v="0"/>
    <x v="8"/>
    <x v="5"/>
    <x v="3"/>
    <x v="5"/>
    <x v="3"/>
    <x v="9"/>
    <n v="3"/>
    <x v="0"/>
  </r>
  <r>
    <d v="2020-07-03T00:00:00"/>
    <x v="3"/>
    <x v="3"/>
    <x v="1"/>
    <n v="3271162.77"/>
    <x v="3"/>
    <x v="3"/>
    <x v="1"/>
    <x v="4"/>
    <x v="5"/>
    <x v="3"/>
    <x v="5"/>
    <x v="3"/>
    <x v="9"/>
    <n v="3"/>
    <x v="0"/>
  </r>
  <r>
    <d v="2020-07-03T00:00:00"/>
    <x v="0"/>
    <x v="1"/>
    <x v="1"/>
    <n v="138829066.78999999"/>
    <x v="0"/>
    <x v="1"/>
    <x v="1"/>
    <x v="5"/>
    <x v="5"/>
    <x v="3"/>
    <x v="5"/>
    <x v="3"/>
    <x v="9"/>
    <n v="3"/>
    <x v="0"/>
  </r>
  <r>
    <d v="2020-07-03T00:00:00"/>
    <x v="1"/>
    <x v="0"/>
    <x v="1"/>
    <n v="783156630.70000005"/>
    <x v="1"/>
    <x v="0"/>
    <x v="1"/>
    <x v="10"/>
    <x v="5"/>
    <x v="3"/>
    <x v="5"/>
    <x v="3"/>
    <x v="9"/>
    <n v="3"/>
    <x v="0"/>
  </r>
  <r>
    <d v="2020-07-03T00:00:00"/>
    <x v="1"/>
    <x v="0"/>
    <x v="0"/>
    <n v="31706564.41"/>
    <x v="1"/>
    <x v="0"/>
    <x v="0"/>
    <x v="11"/>
    <x v="5"/>
    <x v="3"/>
    <x v="5"/>
    <x v="3"/>
    <x v="9"/>
    <n v="3"/>
    <x v="0"/>
  </r>
  <r>
    <d v="2020-07-03T00:00:00"/>
    <x v="0"/>
    <x v="1"/>
    <x v="0"/>
    <n v="13252572.789999999"/>
    <x v="0"/>
    <x v="1"/>
    <x v="0"/>
    <x v="1"/>
    <x v="5"/>
    <x v="3"/>
    <x v="5"/>
    <x v="3"/>
    <x v="9"/>
    <n v="3"/>
    <x v="0"/>
  </r>
  <r>
    <d v="2020-07-03T00:00:00"/>
    <x v="3"/>
    <x v="2"/>
    <x v="2"/>
    <n v="133417"/>
    <x v="3"/>
    <x v="2"/>
    <x v="2"/>
    <x v="6"/>
    <x v="5"/>
    <x v="3"/>
    <x v="5"/>
    <x v="3"/>
    <x v="9"/>
    <n v="3"/>
    <x v="0"/>
  </r>
  <r>
    <d v="2020-07-03T00:00:00"/>
    <x v="2"/>
    <x v="1"/>
    <x v="2"/>
    <n v="36372.46"/>
    <x v="2"/>
    <x v="1"/>
    <x v="2"/>
    <x v="3"/>
    <x v="5"/>
    <x v="3"/>
    <x v="5"/>
    <x v="3"/>
    <x v="9"/>
    <n v="3"/>
    <x v="0"/>
  </r>
  <r>
    <d v="2020-07-03T00:00:00"/>
    <x v="2"/>
    <x v="1"/>
    <x v="1"/>
    <n v="25931549.27"/>
    <x v="2"/>
    <x v="1"/>
    <x v="1"/>
    <x v="9"/>
    <x v="5"/>
    <x v="3"/>
    <x v="5"/>
    <x v="3"/>
    <x v="9"/>
    <n v="3"/>
    <x v="0"/>
  </r>
  <r>
    <d v="2020-07-03T00:00:00"/>
    <x v="0"/>
    <x v="0"/>
    <x v="0"/>
    <n v="7642.41"/>
    <x v="0"/>
    <x v="0"/>
    <x v="0"/>
    <x v="0"/>
    <x v="5"/>
    <x v="3"/>
    <x v="5"/>
    <x v="3"/>
    <x v="9"/>
    <n v="3"/>
    <x v="0"/>
  </r>
  <r>
    <d v="2020-07-03T00:00:00"/>
    <x v="3"/>
    <x v="2"/>
    <x v="0"/>
    <n v="766494074.99000001"/>
    <x v="3"/>
    <x v="2"/>
    <x v="0"/>
    <x v="12"/>
    <x v="5"/>
    <x v="3"/>
    <x v="5"/>
    <x v="3"/>
    <x v="9"/>
    <n v="3"/>
    <x v="0"/>
  </r>
  <r>
    <d v="2020-07-03T00:00:00"/>
    <x v="3"/>
    <x v="2"/>
    <x v="1"/>
    <n v="6726180973.1400003"/>
    <x v="3"/>
    <x v="2"/>
    <x v="1"/>
    <x v="13"/>
    <x v="5"/>
    <x v="3"/>
    <x v="5"/>
    <x v="3"/>
    <x v="9"/>
    <n v="3"/>
    <x v="0"/>
  </r>
  <r>
    <d v="2020-07-03T00:00:00"/>
    <x v="3"/>
    <x v="1"/>
    <x v="0"/>
    <n v="18919951.609999999"/>
    <x v="3"/>
    <x v="1"/>
    <x v="0"/>
    <x v="14"/>
    <x v="5"/>
    <x v="3"/>
    <x v="5"/>
    <x v="3"/>
    <x v="9"/>
    <n v="3"/>
    <x v="0"/>
  </r>
  <r>
    <d v="2020-07-02T00:00:00"/>
    <x v="1"/>
    <x v="0"/>
    <x v="2"/>
    <n v="8368"/>
    <x v="1"/>
    <x v="0"/>
    <x v="2"/>
    <x v="1"/>
    <x v="5"/>
    <x v="3"/>
    <x v="5"/>
    <x v="3"/>
    <x v="9"/>
    <n v="2"/>
    <x v="0"/>
  </r>
  <r>
    <d v="2020-07-02T00:00:00"/>
    <x v="2"/>
    <x v="1"/>
    <x v="0"/>
    <n v="112398128.38"/>
    <x v="2"/>
    <x v="1"/>
    <x v="0"/>
    <x v="6"/>
    <x v="5"/>
    <x v="3"/>
    <x v="5"/>
    <x v="3"/>
    <x v="9"/>
    <n v="2"/>
    <x v="0"/>
  </r>
  <r>
    <d v="2020-07-02T00:00:00"/>
    <x v="3"/>
    <x v="2"/>
    <x v="2"/>
    <n v="88366"/>
    <x v="3"/>
    <x v="2"/>
    <x v="2"/>
    <x v="4"/>
    <x v="5"/>
    <x v="3"/>
    <x v="5"/>
    <x v="3"/>
    <x v="9"/>
    <n v="2"/>
    <x v="0"/>
  </r>
  <r>
    <d v="2020-07-02T00:00:00"/>
    <x v="0"/>
    <x v="1"/>
    <x v="1"/>
    <n v="55102324.729999997"/>
    <x v="0"/>
    <x v="1"/>
    <x v="1"/>
    <x v="3"/>
    <x v="5"/>
    <x v="3"/>
    <x v="5"/>
    <x v="3"/>
    <x v="9"/>
    <n v="2"/>
    <x v="0"/>
  </r>
  <r>
    <d v="2020-07-02T00:00:00"/>
    <x v="0"/>
    <x v="1"/>
    <x v="0"/>
    <n v="21179956.359999999"/>
    <x v="0"/>
    <x v="1"/>
    <x v="0"/>
    <x v="0"/>
    <x v="5"/>
    <x v="3"/>
    <x v="5"/>
    <x v="3"/>
    <x v="9"/>
    <n v="2"/>
    <x v="0"/>
  </r>
  <r>
    <d v="2020-07-02T00:00:00"/>
    <x v="3"/>
    <x v="3"/>
    <x v="0"/>
    <n v="1042487985.2"/>
    <x v="3"/>
    <x v="3"/>
    <x v="0"/>
    <x v="7"/>
    <x v="5"/>
    <x v="3"/>
    <x v="5"/>
    <x v="3"/>
    <x v="9"/>
    <n v="2"/>
    <x v="0"/>
  </r>
  <r>
    <d v="2020-07-02T00:00:00"/>
    <x v="3"/>
    <x v="3"/>
    <x v="1"/>
    <n v="85736.15"/>
    <x v="3"/>
    <x v="3"/>
    <x v="1"/>
    <x v="2"/>
    <x v="5"/>
    <x v="3"/>
    <x v="5"/>
    <x v="3"/>
    <x v="9"/>
    <n v="2"/>
    <x v="0"/>
  </r>
  <r>
    <d v="2020-07-02T00:00:00"/>
    <x v="2"/>
    <x v="1"/>
    <x v="1"/>
    <n v="15295890.4"/>
    <x v="2"/>
    <x v="1"/>
    <x v="1"/>
    <x v="5"/>
    <x v="5"/>
    <x v="3"/>
    <x v="5"/>
    <x v="3"/>
    <x v="9"/>
    <n v="2"/>
    <x v="0"/>
  </r>
  <r>
    <d v="2020-07-02T00:00:00"/>
    <x v="1"/>
    <x v="0"/>
    <x v="1"/>
    <n v="1279826035.3"/>
    <x v="1"/>
    <x v="0"/>
    <x v="1"/>
    <x v="8"/>
    <x v="5"/>
    <x v="3"/>
    <x v="5"/>
    <x v="3"/>
    <x v="9"/>
    <n v="2"/>
    <x v="0"/>
  </r>
  <r>
    <d v="2020-07-02T00:00:00"/>
    <x v="1"/>
    <x v="0"/>
    <x v="0"/>
    <n v="70311750.780000001"/>
    <x v="1"/>
    <x v="0"/>
    <x v="0"/>
    <x v="9"/>
    <x v="5"/>
    <x v="3"/>
    <x v="5"/>
    <x v="3"/>
    <x v="9"/>
    <n v="2"/>
    <x v="0"/>
  </r>
  <r>
    <d v="2020-07-02T00:00:00"/>
    <x v="3"/>
    <x v="2"/>
    <x v="0"/>
    <n v="308162912.11000001"/>
    <x v="3"/>
    <x v="2"/>
    <x v="0"/>
    <x v="10"/>
    <x v="5"/>
    <x v="3"/>
    <x v="5"/>
    <x v="3"/>
    <x v="9"/>
    <n v="2"/>
    <x v="0"/>
  </r>
  <r>
    <d v="2020-07-02T00:00:00"/>
    <x v="3"/>
    <x v="2"/>
    <x v="1"/>
    <n v="10594286706.93"/>
    <x v="3"/>
    <x v="2"/>
    <x v="1"/>
    <x v="11"/>
    <x v="5"/>
    <x v="3"/>
    <x v="5"/>
    <x v="3"/>
    <x v="9"/>
    <n v="2"/>
    <x v="0"/>
  </r>
  <r>
    <d v="2020-07-02T00:00:00"/>
    <x v="3"/>
    <x v="1"/>
    <x v="0"/>
    <n v="17510187.670000002"/>
    <x v="3"/>
    <x v="1"/>
    <x v="0"/>
    <x v="12"/>
    <x v="5"/>
    <x v="3"/>
    <x v="5"/>
    <x v="3"/>
    <x v="9"/>
    <n v="2"/>
    <x v="0"/>
  </r>
  <r>
    <d v="2020-07-01T00:00:00"/>
    <x v="1"/>
    <x v="0"/>
    <x v="2"/>
    <n v="63099.4"/>
    <x v="1"/>
    <x v="0"/>
    <x v="2"/>
    <x v="1"/>
    <x v="5"/>
    <x v="3"/>
    <x v="5"/>
    <x v="3"/>
    <x v="9"/>
    <n v="1"/>
    <x v="0"/>
  </r>
  <r>
    <d v="2020-07-01T00:00:00"/>
    <x v="2"/>
    <x v="1"/>
    <x v="0"/>
    <n v="92736039.469999999"/>
    <x v="2"/>
    <x v="1"/>
    <x v="0"/>
    <x v="5"/>
    <x v="5"/>
    <x v="3"/>
    <x v="5"/>
    <x v="3"/>
    <x v="9"/>
    <n v="1"/>
    <x v="0"/>
  </r>
  <r>
    <d v="2020-07-01T00:00:00"/>
    <x v="0"/>
    <x v="1"/>
    <x v="1"/>
    <n v="77843183.890000001"/>
    <x v="0"/>
    <x v="1"/>
    <x v="1"/>
    <x v="2"/>
    <x v="5"/>
    <x v="3"/>
    <x v="5"/>
    <x v="3"/>
    <x v="9"/>
    <n v="1"/>
    <x v="0"/>
  </r>
  <r>
    <d v="2020-07-01T00:00:00"/>
    <x v="3"/>
    <x v="3"/>
    <x v="0"/>
    <n v="4143573109.5300002"/>
    <x v="3"/>
    <x v="3"/>
    <x v="0"/>
    <x v="6"/>
    <x v="5"/>
    <x v="3"/>
    <x v="5"/>
    <x v="3"/>
    <x v="9"/>
    <n v="1"/>
    <x v="0"/>
  </r>
  <r>
    <d v="2020-07-01T00:00:00"/>
    <x v="0"/>
    <x v="1"/>
    <x v="0"/>
    <n v="7548744.5700000003"/>
    <x v="0"/>
    <x v="1"/>
    <x v="0"/>
    <x v="0"/>
    <x v="5"/>
    <x v="3"/>
    <x v="5"/>
    <x v="3"/>
    <x v="9"/>
    <n v="1"/>
    <x v="0"/>
  </r>
  <r>
    <d v="2020-07-01T00:00:00"/>
    <x v="1"/>
    <x v="0"/>
    <x v="1"/>
    <n v="2258415225.4299998"/>
    <x v="1"/>
    <x v="0"/>
    <x v="1"/>
    <x v="8"/>
    <x v="5"/>
    <x v="3"/>
    <x v="5"/>
    <x v="3"/>
    <x v="9"/>
    <n v="1"/>
    <x v="0"/>
  </r>
  <r>
    <d v="2020-07-01T00:00:00"/>
    <x v="3"/>
    <x v="2"/>
    <x v="2"/>
    <n v="194317.09"/>
    <x v="3"/>
    <x v="2"/>
    <x v="2"/>
    <x v="3"/>
    <x v="5"/>
    <x v="3"/>
    <x v="5"/>
    <x v="3"/>
    <x v="9"/>
    <n v="1"/>
    <x v="0"/>
  </r>
  <r>
    <d v="2020-07-01T00:00:00"/>
    <x v="2"/>
    <x v="1"/>
    <x v="1"/>
    <n v="31165153.550000001"/>
    <x v="2"/>
    <x v="1"/>
    <x v="1"/>
    <x v="4"/>
    <x v="5"/>
    <x v="3"/>
    <x v="5"/>
    <x v="3"/>
    <x v="9"/>
    <n v="1"/>
    <x v="0"/>
  </r>
  <r>
    <d v="2020-07-01T00:00:00"/>
    <x v="1"/>
    <x v="0"/>
    <x v="0"/>
    <n v="47674253.609999999"/>
    <x v="1"/>
    <x v="0"/>
    <x v="0"/>
    <x v="7"/>
    <x v="5"/>
    <x v="3"/>
    <x v="5"/>
    <x v="3"/>
    <x v="9"/>
    <n v="1"/>
    <x v="0"/>
  </r>
  <r>
    <d v="2020-07-01T00:00:00"/>
    <x v="3"/>
    <x v="2"/>
    <x v="0"/>
    <n v="376300828.06"/>
    <x v="3"/>
    <x v="2"/>
    <x v="0"/>
    <x v="9"/>
    <x v="5"/>
    <x v="3"/>
    <x v="5"/>
    <x v="3"/>
    <x v="9"/>
    <n v="1"/>
    <x v="0"/>
  </r>
  <r>
    <d v="2020-07-01T00:00:00"/>
    <x v="3"/>
    <x v="1"/>
    <x v="0"/>
    <n v="16781974.140000001"/>
    <x v="3"/>
    <x v="1"/>
    <x v="0"/>
    <x v="10"/>
    <x v="5"/>
    <x v="3"/>
    <x v="5"/>
    <x v="3"/>
    <x v="9"/>
    <n v="1"/>
    <x v="0"/>
  </r>
  <r>
    <d v="2020-07-01T00:00:00"/>
    <x v="3"/>
    <x v="2"/>
    <x v="1"/>
    <n v="23019569547.880001"/>
    <x v="3"/>
    <x v="2"/>
    <x v="1"/>
    <x v="11"/>
    <x v="5"/>
    <x v="3"/>
    <x v="5"/>
    <x v="3"/>
    <x v="9"/>
    <n v="1"/>
    <x v="0"/>
  </r>
  <r>
    <d v="2020-06-30T00:00:00"/>
    <x v="1"/>
    <x v="0"/>
    <x v="2"/>
    <n v="2777.85"/>
    <x v="1"/>
    <x v="0"/>
    <x v="2"/>
    <x v="1"/>
    <x v="5"/>
    <x v="0"/>
    <x v="5"/>
    <x v="0"/>
    <x v="10"/>
    <n v="30"/>
    <x v="0"/>
  </r>
  <r>
    <d v="2020-06-30T00:00:00"/>
    <x v="2"/>
    <x v="1"/>
    <x v="0"/>
    <n v="82685853.879999995"/>
    <x v="2"/>
    <x v="1"/>
    <x v="0"/>
    <x v="5"/>
    <x v="5"/>
    <x v="0"/>
    <x v="5"/>
    <x v="0"/>
    <x v="10"/>
    <n v="30"/>
    <x v="0"/>
  </r>
  <r>
    <d v="2020-06-30T00:00:00"/>
    <x v="2"/>
    <x v="1"/>
    <x v="2"/>
    <n v="28398.22"/>
    <x v="2"/>
    <x v="1"/>
    <x v="2"/>
    <x v="2"/>
    <x v="5"/>
    <x v="0"/>
    <x v="5"/>
    <x v="0"/>
    <x v="10"/>
    <n v="30"/>
    <x v="0"/>
  </r>
  <r>
    <d v="2020-06-30T00:00:00"/>
    <x v="3"/>
    <x v="3"/>
    <x v="0"/>
    <n v="3163050151.5"/>
    <x v="3"/>
    <x v="3"/>
    <x v="0"/>
    <x v="6"/>
    <x v="5"/>
    <x v="0"/>
    <x v="5"/>
    <x v="0"/>
    <x v="10"/>
    <n v="30"/>
    <x v="0"/>
  </r>
  <r>
    <d v="2020-06-30T00:00:00"/>
    <x v="2"/>
    <x v="1"/>
    <x v="1"/>
    <n v="18346950.199999999"/>
    <x v="2"/>
    <x v="1"/>
    <x v="1"/>
    <x v="7"/>
    <x v="5"/>
    <x v="0"/>
    <x v="5"/>
    <x v="0"/>
    <x v="10"/>
    <n v="30"/>
    <x v="0"/>
  </r>
  <r>
    <d v="2020-06-30T00:00:00"/>
    <x v="3"/>
    <x v="2"/>
    <x v="2"/>
    <n v="183168.67"/>
    <x v="3"/>
    <x v="2"/>
    <x v="2"/>
    <x v="4"/>
    <x v="5"/>
    <x v="0"/>
    <x v="5"/>
    <x v="0"/>
    <x v="10"/>
    <n v="30"/>
    <x v="0"/>
  </r>
  <r>
    <d v="2020-06-30T00:00:00"/>
    <x v="0"/>
    <x v="1"/>
    <x v="1"/>
    <n v="162502411.34"/>
    <x v="0"/>
    <x v="1"/>
    <x v="1"/>
    <x v="3"/>
    <x v="5"/>
    <x v="0"/>
    <x v="5"/>
    <x v="0"/>
    <x v="10"/>
    <n v="30"/>
    <x v="0"/>
  </r>
  <r>
    <d v="2020-06-30T00:00:00"/>
    <x v="0"/>
    <x v="1"/>
    <x v="0"/>
    <n v="14792150.390000001"/>
    <x v="0"/>
    <x v="1"/>
    <x v="0"/>
    <x v="0"/>
    <x v="5"/>
    <x v="0"/>
    <x v="5"/>
    <x v="0"/>
    <x v="10"/>
    <n v="30"/>
    <x v="0"/>
  </r>
  <r>
    <d v="2020-06-30T00:00:00"/>
    <x v="1"/>
    <x v="0"/>
    <x v="1"/>
    <n v="1307261772.6300001"/>
    <x v="1"/>
    <x v="0"/>
    <x v="1"/>
    <x v="9"/>
    <x v="5"/>
    <x v="0"/>
    <x v="5"/>
    <x v="0"/>
    <x v="10"/>
    <n v="30"/>
    <x v="0"/>
  </r>
  <r>
    <d v="2020-06-30T00:00:00"/>
    <x v="1"/>
    <x v="0"/>
    <x v="0"/>
    <n v="81468019.180000007"/>
    <x v="1"/>
    <x v="0"/>
    <x v="0"/>
    <x v="8"/>
    <x v="5"/>
    <x v="0"/>
    <x v="5"/>
    <x v="0"/>
    <x v="10"/>
    <n v="30"/>
    <x v="0"/>
  </r>
  <r>
    <d v="2020-06-30T00:00:00"/>
    <x v="3"/>
    <x v="2"/>
    <x v="0"/>
    <n v="795691049.48000002"/>
    <x v="3"/>
    <x v="2"/>
    <x v="0"/>
    <x v="10"/>
    <x v="5"/>
    <x v="0"/>
    <x v="5"/>
    <x v="0"/>
    <x v="10"/>
    <n v="30"/>
    <x v="0"/>
  </r>
  <r>
    <d v="2020-06-30T00:00:00"/>
    <x v="3"/>
    <x v="1"/>
    <x v="0"/>
    <n v="9139377.4299999997"/>
    <x v="3"/>
    <x v="1"/>
    <x v="0"/>
    <x v="11"/>
    <x v="5"/>
    <x v="0"/>
    <x v="5"/>
    <x v="0"/>
    <x v="10"/>
    <n v="30"/>
    <x v="0"/>
  </r>
  <r>
    <d v="2020-06-30T00:00:00"/>
    <x v="3"/>
    <x v="2"/>
    <x v="1"/>
    <n v="6377794153.0900002"/>
    <x v="3"/>
    <x v="2"/>
    <x v="1"/>
    <x v="12"/>
    <x v="5"/>
    <x v="0"/>
    <x v="5"/>
    <x v="0"/>
    <x v="10"/>
    <n v="30"/>
    <x v="0"/>
  </r>
  <r>
    <d v="2020-06-29T00:00:00"/>
    <x v="2"/>
    <x v="1"/>
    <x v="0"/>
    <n v="79348093.269999996"/>
    <x v="2"/>
    <x v="1"/>
    <x v="0"/>
    <x v="5"/>
    <x v="5"/>
    <x v="0"/>
    <x v="5"/>
    <x v="0"/>
    <x v="10"/>
    <n v="29"/>
    <x v="0"/>
  </r>
  <r>
    <d v="2020-06-29T00:00:00"/>
    <x v="2"/>
    <x v="1"/>
    <x v="1"/>
    <n v="15702499.220000001"/>
    <x v="2"/>
    <x v="1"/>
    <x v="1"/>
    <x v="7"/>
    <x v="5"/>
    <x v="0"/>
    <x v="5"/>
    <x v="0"/>
    <x v="10"/>
    <n v="29"/>
    <x v="0"/>
  </r>
  <r>
    <d v="2020-06-29T00:00:00"/>
    <x v="0"/>
    <x v="1"/>
    <x v="1"/>
    <n v="91786488.120000005"/>
    <x v="0"/>
    <x v="1"/>
    <x v="1"/>
    <x v="3"/>
    <x v="5"/>
    <x v="0"/>
    <x v="5"/>
    <x v="0"/>
    <x v="10"/>
    <n v="29"/>
    <x v="0"/>
  </r>
  <r>
    <d v="2020-06-29T00:00:00"/>
    <x v="0"/>
    <x v="1"/>
    <x v="0"/>
    <n v="5292315.45"/>
    <x v="0"/>
    <x v="1"/>
    <x v="0"/>
    <x v="0"/>
    <x v="5"/>
    <x v="0"/>
    <x v="5"/>
    <x v="0"/>
    <x v="10"/>
    <n v="29"/>
    <x v="0"/>
  </r>
  <r>
    <d v="2020-06-29T00:00:00"/>
    <x v="1"/>
    <x v="0"/>
    <x v="0"/>
    <n v="53539617.899999999"/>
    <x v="1"/>
    <x v="0"/>
    <x v="0"/>
    <x v="8"/>
    <x v="5"/>
    <x v="0"/>
    <x v="5"/>
    <x v="0"/>
    <x v="10"/>
    <n v="29"/>
    <x v="0"/>
  </r>
  <r>
    <d v="2020-06-29T00:00:00"/>
    <x v="3"/>
    <x v="2"/>
    <x v="2"/>
    <n v="183383.99"/>
    <x v="3"/>
    <x v="2"/>
    <x v="2"/>
    <x v="4"/>
    <x v="5"/>
    <x v="0"/>
    <x v="5"/>
    <x v="0"/>
    <x v="10"/>
    <n v="29"/>
    <x v="0"/>
  </r>
  <r>
    <d v="2020-06-29T00:00:00"/>
    <x v="1"/>
    <x v="0"/>
    <x v="2"/>
    <n v="15134.74"/>
    <x v="1"/>
    <x v="0"/>
    <x v="2"/>
    <x v="1"/>
    <x v="5"/>
    <x v="0"/>
    <x v="5"/>
    <x v="0"/>
    <x v="10"/>
    <n v="29"/>
    <x v="0"/>
  </r>
  <r>
    <d v="2020-06-29T00:00:00"/>
    <x v="3"/>
    <x v="3"/>
    <x v="1"/>
    <n v="183290.75"/>
    <x v="3"/>
    <x v="3"/>
    <x v="1"/>
    <x v="2"/>
    <x v="5"/>
    <x v="0"/>
    <x v="5"/>
    <x v="0"/>
    <x v="10"/>
    <n v="29"/>
    <x v="0"/>
  </r>
  <r>
    <d v="2020-06-29T00:00:00"/>
    <x v="3"/>
    <x v="3"/>
    <x v="0"/>
    <n v="1545023110.27"/>
    <x v="3"/>
    <x v="3"/>
    <x v="0"/>
    <x v="6"/>
    <x v="5"/>
    <x v="0"/>
    <x v="5"/>
    <x v="0"/>
    <x v="10"/>
    <n v="29"/>
    <x v="0"/>
  </r>
  <r>
    <d v="2020-06-29T00:00:00"/>
    <x v="1"/>
    <x v="0"/>
    <x v="1"/>
    <n v="961334999.26999998"/>
    <x v="1"/>
    <x v="0"/>
    <x v="1"/>
    <x v="9"/>
    <x v="5"/>
    <x v="0"/>
    <x v="5"/>
    <x v="0"/>
    <x v="10"/>
    <n v="29"/>
    <x v="0"/>
  </r>
  <r>
    <d v="2020-06-29T00:00:00"/>
    <x v="3"/>
    <x v="2"/>
    <x v="0"/>
    <n v="457569076.29000002"/>
    <x v="3"/>
    <x v="2"/>
    <x v="0"/>
    <x v="10"/>
    <x v="5"/>
    <x v="0"/>
    <x v="5"/>
    <x v="0"/>
    <x v="10"/>
    <n v="29"/>
    <x v="0"/>
  </r>
  <r>
    <d v="2020-06-29T00:00:00"/>
    <x v="3"/>
    <x v="2"/>
    <x v="1"/>
    <n v="18800115537.09"/>
    <x v="3"/>
    <x v="2"/>
    <x v="1"/>
    <x v="11"/>
    <x v="5"/>
    <x v="0"/>
    <x v="5"/>
    <x v="0"/>
    <x v="10"/>
    <n v="29"/>
    <x v="0"/>
  </r>
  <r>
    <d v="2020-06-29T00:00:00"/>
    <x v="3"/>
    <x v="1"/>
    <x v="0"/>
    <n v="42349833.170000002"/>
    <x v="3"/>
    <x v="1"/>
    <x v="0"/>
    <x v="12"/>
    <x v="5"/>
    <x v="0"/>
    <x v="5"/>
    <x v="0"/>
    <x v="10"/>
    <n v="29"/>
    <x v="0"/>
  </r>
  <r>
    <d v="2020-06-26T00:00:00"/>
    <x v="1"/>
    <x v="0"/>
    <x v="2"/>
    <n v="34632.82"/>
    <x v="1"/>
    <x v="0"/>
    <x v="2"/>
    <x v="2"/>
    <x v="5"/>
    <x v="0"/>
    <x v="5"/>
    <x v="0"/>
    <x v="10"/>
    <n v="26"/>
    <x v="0"/>
  </r>
  <r>
    <d v="2020-06-26T00:00:00"/>
    <x v="3"/>
    <x v="2"/>
    <x v="2"/>
    <n v="489839.99"/>
    <x v="3"/>
    <x v="2"/>
    <x v="2"/>
    <x v="4"/>
    <x v="5"/>
    <x v="0"/>
    <x v="5"/>
    <x v="0"/>
    <x v="10"/>
    <n v="26"/>
    <x v="0"/>
  </r>
  <r>
    <d v="2020-06-26T00:00:00"/>
    <x v="2"/>
    <x v="1"/>
    <x v="1"/>
    <n v="8177568.9299999997"/>
    <x v="2"/>
    <x v="1"/>
    <x v="1"/>
    <x v="8"/>
    <x v="5"/>
    <x v="0"/>
    <x v="5"/>
    <x v="0"/>
    <x v="10"/>
    <n v="26"/>
    <x v="0"/>
  </r>
  <r>
    <d v="2020-06-26T00:00:00"/>
    <x v="0"/>
    <x v="1"/>
    <x v="0"/>
    <n v="22092037.710000001"/>
    <x v="0"/>
    <x v="1"/>
    <x v="0"/>
    <x v="1"/>
    <x v="5"/>
    <x v="0"/>
    <x v="5"/>
    <x v="0"/>
    <x v="10"/>
    <n v="26"/>
    <x v="0"/>
  </r>
  <r>
    <d v="2020-06-26T00:00:00"/>
    <x v="0"/>
    <x v="1"/>
    <x v="1"/>
    <n v="64606600.770000003"/>
    <x v="0"/>
    <x v="1"/>
    <x v="1"/>
    <x v="6"/>
    <x v="5"/>
    <x v="0"/>
    <x v="5"/>
    <x v="0"/>
    <x v="10"/>
    <n v="26"/>
    <x v="0"/>
  </r>
  <r>
    <d v="2020-06-26T00:00:00"/>
    <x v="3"/>
    <x v="3"/>
    <x v="0"/>
    <n v="1797135625.5699999"/>
    <x v="3"/>
    <x v="3"/>
    <x v="0"/>
    <x v="9"/>
    <x v="5"/>
    <x v="0"/>
    <x v="5"/>
    <x v="0"/>
    <x v="10"/>
    <n v="26"/>
    <x v="0"/>
  </r>
  <r>
    <d v="2020-06-26T00:00:00"/>
    <x v="1"/>
    <x v="0"/>
    <x v="1"/>
    <n v="396395115.48000002"/>
    <x v="1"/>
    <x v="0"/>
    <x v="1"/>
    <x v="11"/>
    <x v="5"/>
    <x v="0"/>
    <x v="5"/>
    <x v="0"/>
    <x v="10"/>
    <n v="26"/>
    <x v="0"/>
  </r>
  <r>
    <d v="2020-06-26T00:00:00"/>
    <x v="2"/>
    <x v="1"/>
    <x v="2"/>
    <n v="30502.15"/>
    <x v="2"/>
    <x v="1"/>
    <x v="2"/>
    <x v="3"/>
    <x v="5"/>
    <x v="0"/>
    <x v="5"/>
    <x v="0"/>
    <x v="10"/>
    <n v="26"/>
    <x v="0"/>
  </r>
  <r>
    <d v="2020-06-26T00:00:00"/>
    <x v="0"/>
    <x v="0"/>
    <x v="0"/>
    <n v="2474.2800000000002"/>
    <x v="0"/>
    <x v="0"/>
    <x v="0"/>
    <x v="0"/>
    <x v="5"/>
    <x v="0"/>
    <x v="5"/>
    <x v="0"/>
    <x v="10"/>
    <n v="26"/>
    <x v="0"/>
  </r>
  <r>
    <d v="2020-06-26T00:00:00"/>
    <x v="3"/>
    <x v="3"/>
    <x v="1"/>
    <n v="350"/>
    <x v="3"/>
    <x v="3"/>
    <x v="1"/>
    <x v="5"/>
    <x v="5"/>
    <x v="0"/>
    <x v="5"/>
    <x v="0"/>
    <x v="10"/>
    <n v="26"/>
    <x v="0"/>
  </r>
  <r>
    <d v="2020-06-26T00:00:00"/>
    <x v="2"/>
    <x v="1"/>
    <x v="0"/>
    <n v="90964314.519999996"/>
    <x v="2"/>
    <x v="1"/>
    <x v="0"/>
    <x v="7"/>
    <x v="5"/>
    <x v="0"/>
    <x v="5"/>
    <x v="0"/>
    <x v="10"/>
    <n v="26"/>
    <x v="0"/>
  </r>
  <r>
    <d v="2020-06-26T00:00:00"/>
    <x v="1"/>
    <x v="0"/>
    <x v="0"/>
    <n v="51154793.909999996"/>
    <x v="1"/>
    <x v="0"/>
    <x v="0"/>
    <x v="10"/>
    <x v="5"/>
    <x v="0"/>
    <x v="5"/>
    <x v="0"/>
    <x v="10"/>
    <n v="26"/>
    <x v="0"/>
  </r>
  <r>
    <d v="2020-06-26T00:00:00"/>
    <x v="3"/>
    <x v="2"/>
    <x v="0"/>
    <n v="410847235.06"/>
    <x v="3"/>
    <x v="2"/>
    <x v="0"/>
    <x v="12"/>
    <x v="5"/>
    <x v="0"/>
    <x v="5"/>
    <x v="0"/>
    <x v="10"/>
    <n v="26"/>
    <x v="0"/>
  </r>
  <r>
    <d v="2020-06-26T00:00:00"/>
    <x v="3"/>
    <x v="2"/>
    <x v="1"/>
    <n v="9248317670.2999992"/>
    <x v="3"/>
    <x v="2"/>
    <x v="1"/>
    <x v="13"/>
    <x v="5"/>
    <x v="0"/>
    <x v="5"/>
    <x v="0"/>
    <x v="10"/>
    <n v="26"/>
    <x v="0"/>
  </r>
  <r>
    <d v="2020-06-26T00:00:00"/>
    <x v="3"/>
    <x v="1"/>
    <x v="0"/>
    <n v="14166123.17"/>
    <x v="3"/>
    <x v="1"/>
    <x v="0"/>
    <x v="14"/>
    <x v="5"/>
    <x v="0"/>
    <x v="5"/>
    <x v="0"/>
    <x v="10"/>
    <n v="26"/>
    <x v="0"/>
  </r>
  <r>
    <d v="2020-06-25T00:00:00"/>
    <x v="1"/>
    <x v="0"/>
    <x v="2"/>
    <n v="6731.05"/>
    <x v="1"/>
    <x v="0"/>
    <x v="2"/>
    <x v="1"/>
    <x v="5"/>
    <x v="0"/>
    <x v="5"/>
    <x v="0"/>
    <x v="10"/>
    <n v="25"/>
    <x v="0"/>
  </r>
  <r>
    <d v="2020-06-25T00:00:00"/>
    <x v="2"/>
    <x v="1"/>
    <x v="0"/>
    <n v="98818891.719999999"/>
    <x v="2"/>
    <x v="1"/>
    <x v="0"/>
    <x v="4"/>
    <x v="5"/>
    <x v="0"/>
    <x v="5"/>
    <x v="0"/>
    <x v="10"/>
    <n v="25"/>
    <x v="0"/>
  </r>
  <r>
    <d v="2020-06-25T00:00:00"/>
    <x v="2"/>
    <x v="1"/>
    <x v="1"/>
    <n v="14309347.5"/>
    <x v="2"/>
    <x v="1"/>
    <x v="1"/>
    <x v="5"/>
    <x v="5"/>
    <x v="0"/>
    <x v="5"/>
    <x v="0"/>
    <x v="10"/>
    <n v="25"/>
    <x v="0"/>
  </r>
  <r>
    <d v="2020-06-25T00:00:00"/>
    <x v="3"/>
    <x v="2"/>
    <x v="2"/>
    <n v="229739.99"/>
    <x v="3"/>
    <x v="2"/>
    <x v="2"/>
    <x v="3"/>
    <x v="5"/>
    <x v="0"/>
    <x v="5"/>
    <x v="0"/>
    <x v="10"/>
    <n v="25"/>
    <x v="0"/>
  </r>
  <r>
    <d v="2020-06-25T00:00:00"/>
    <x v="0"/>
    <x v="1"/>
    <x v="0"/>
    <n v="15704803.310000001"/>
    <x v="0"/>
    <x v="1"/>
    <x v="0"/>
    <x v="0"/>
    <x v="5"/>
    <x v="0"/>
    <x v="5"/>
    <x v="0"/>
    <x v="10"/>
    <n v="25"/>
    <x v="0"/>
  </r>
  <r>
    <d v="2020-06-25T00:00:00"/>
    <x v="0"/>
    <x v="1"/>
    <x v="1"/>
    <n v="78227411.659999996"/>
    <x v="0"/>
    <x v="1"/>
    <x v="1"/>
    <x v="2"/>
    <x v="5"/>
    <x v="0"/>
    <x v="5"/>
    <x v="0"/>
    <x v="10"/>
    <n v="25"/>
    <x v="0"/>
  </r>
  <r>
    <d v="2020-06-25T00:00:00"/>
    <x v="3"/>
    <x v="3"/>
    <x v="0"/>
    <n v="2388966397.29"/>
    <x v="3"/>
    <x v="3"/>
    <x v="0"/>
    <x v="6"/>
    <x v="5"/>
    <x v="0"/>
    <x v="5"/>
    <x v="0"/>
    <x v="10"/>
    <n v="25"/>
    <x v="0"/>
  </r>
  <r>
    <d v="2020-06-25T00:00:00"/>
    <x v="1"/>
    <x v="0"/>
    <x v="1"/>
    <n v="796218567.00999999"/>
    <x v="1"/>
    <x v="0"/>
    <x v="1"/>
    <x v="7"/>
    <x v="5"/>
    <x v="0"/>
    <x v="5"/>
    <x v="0"/>
    <x v="10"/>
    <n v="25"/>
    <x v="0"/>
  </r>
  <r>
    <d v="2020-06-25T00:00:00"/>
    <x v="1"/>
    <x v="0"/>
    <x v="0"/>
    <n v="42121188.060000002"/>
    <x v="1"/>
    <x v="0"/>
    <x v="0"/>
    <x v="8"/>
    <x v="5"/>
    <x v="0"/>
    <x v="5"/>
    <x v="0"/>
    <x v="10"/>
    <n v="25"/>
    <x v="0"/>
  </r>
  <r>
    <d v="2020-06-25T00:00:00"/>
    <x v="3"/>
    <x v="2"/>
    <x v="0"/>
    <n v="270930073.31999999"/>
    <x v="3"/>
    <x v="2"/>
    <x v="0"/>
    <x v="9"/>
    <x v="5"/>
    <x v="0"/>
    <x v="5"/>
    <x v="0"/>
    <x v="10"/>
    <n v="25"/>
    <x v="0"/>
  </r>
  <r>
    <d v="2020-06-25T00:00:00"/>
    <x v="3"/>
    <x v="2"/>
    <x v="1"/>
    <n v="3176273009.3000002"/>
    <x v="3"/>
    <x v="2"/>
    <x v="1"/>
    <x v="10"/>
    <x v="5"/>
    <x v="0"/>
    <x v="5"/>
    <x v="0"/>
    <x v="10"/>
    <n v="25"/>
    <x v="0"/>
  </r>
  <r>
    <d v="2020-06-25T00:00:00"/>
    <x v="3"/>
    <x v="1"/>
    <x v="0"/>
    <n v="13033553.050000001"/>
    <x v="3"/>
    <x v="1"/>
    <x v="0"/>
    <x v="11"/>
    <x v="5"/>
    <x v="0"/>
    <x v="5"/>
    <x v="0"/>
    <x v="10"/>
    <n v="25"/>
    <x v="0"/>
  </r>
  <r>
    <d v="2020-06-24T00:00:00"/>
    <x v="1"/>
    <x v="0"/>
    <x v="2"/>
    <n v="5355.06"/>
    <x v="1"/>
    <x v="0"/>
    <x v="2"/>
    <x v="1"/>
    <x v="5"/>
    <x v="0"/>
    <x v="5"/>
    <x v="0"/>
    <x v="10"/>
    <n v="24"/>
    <x v="0"/>
  </r>
  <r>
    <d v="2020-06-24T00:00:00"/>
    <x v="2"/>
    <x v="1"/>
    <x v="1"/>
    <n v="103676953.09999999"/>
    <x v="2"/>
    <x v="1"/>
    <x v="1"/>
    <x v="6"/>
    <x v="5"/>
    <x v="0"/>
    <x v="5"/>
    <x v="0"/>
    <x v="10"/>
    <n v="24"/>
    <x v="0"/>
  </r>
  <r>
    <d v="2020-06-24T00:00:00"/>
    <x v="3"/>
    <x v="3"/>
    <x v="0"/>
    <n v="1370291224.3299999"/>
    <x v="3"/>
    <x v="3"/>
    <x v="0"/>
    <x v="7"/>
    <x v="5"/>
    <x v="0"/>
    <x v="5"/>
    <x v="0"/>
    <x v="10"/>
    <n v="24"/>
    <x v="0"/>
  </r>
  <r>
    <d v="2020-06-24T00:00:00"/>
    <x v="0"/>
    <x v="1"/>
    <x v="0"/>
    <n v="11826786.939999999"/>
    <x v="0"/>
    <x v="1"/>
    <x v="0"/>
    <x v="0"/>
    <x v="5"/>
    <x v="0"/>
    <x v="5"/>
    <x v="0"/>
    <x v="10"/>
    <n v="24"/>
    <x v="0"/>
  </r>
  <r>
    <d v="2020-06-24T00:00:00"/>
    <x v="3"/>
    <x v="2"/>
    <x v="2"/>
    <n v="101112.04"/>
    <x v="3"/>
    <x v="2"/>
    <x v="2"/>
    <x v="4"/>
    <x v="5"/>
    <x v="0"/>
    <x v="5"/>
    <x v="0"/>
    <x v="10"/>
    <n v="24"/>
    <x v="0"/>
  </r>
  <r>
    <d v="2020-06-24T00:00:00"/>
    <x v="3"/>
    <x v="3"/>
    <x v="1"/>
    <n v="103999.32"/>
    <x v="3"/>
    <x v="3"/>
    <x v="1"/>
    <x v="2"/>
    <x v="5"/>
    <x v="0"/>
    <x v="5"/>
    <x v="0"/>
    <x v="10"/>
    <n v="24"/>
    <x v="0"/>
  </r>
  <r>
    <d v="2020-06-24T00:00:00"/>
    <x v="1"/>
    <x v="0"/>
    <x v="0"/>
    <n v="49712150.869999997"/>
    <x v="1"/>
    <x v="0"/>
    <x v="0"/>
    <x v="8"/>
    <x v="5"/>
    <x v="0"/>
    <x v="5"/>
    <x v="0"/>
    <x v="10"/>
    <n v="24"/>
    <x v="0"/>
  </r>
  <r>
    <d v="2020-06-24T00:00:00"/>
    <x v="0"/>
    <x v="1"/>
    <x v="1"/>
    <n v="188980643.71000001"/>
    <x v="0"/>
    <x v="1"/>
    <x v="1"/>
    <x v="3"/>
    <x v="5"/>
    <x v="0"/>
    <x v="5"/>
    <x v="0"/>
    <x v="10"/>
    <n v="24"/>
    <x v="0"/>
  </r>
  <r>
    <d v="2020-06-24T00:00:00"/>
    <x v="2"/>
    <x v="1"/>
    <x v="0"/>
    <n v="88817864.159999996"/>
    <x v="2"/>
    <x v="1"/>
    <x v="0"/>
    <x v="5"/>
    <x v="5"/>
    <x v="0"/>
    <x v="5"/>
    <x v="0"/>
    <x v="10"/>
    <n v="24"/>
    <x v="0"/>
  </r>
  <r>
    <d v="2020-06-24T00:00:00"/>
    <x v="1"/>
    <x v="0"/>
    <x v="1"/>
    <n v="1739628250.5"/>
    <x v="1"/>
    <x v="0"/>
    <x v="1"/>
    <x v="9"/>
    <x v="5"/>
    <x v="0"/>
    <x v="5"/>
    <x v="0"/>
    <x v="10"/>
    <n v="24"/>
    <x v="0"/>
  </r>
  <r>
    <d v="2020-06-24T00:00:00"/>
    <x v="3"/>
    <x v="2"/>
    <x v="0"/>
    <n v="284941275.51999998"/>
    <x v="3"/>
    <x v="2"/>
    <x v="0"/>
    <x v="10"/>
    <x v="5"/>
    <x v="0"/>
    <x v="5"/>
    <x v="0"/>
    <x v="10"/>
    <n v="24"/>
    <x v="0"/>
  </r>
  <r>
    <d v="2020-06-24T00:00:00"/>
    <x v="3"/>
    <x v="2"/>
    <x v="1"/>
    <n v="8381611691.2600002"/>
    <x v="3"/>
    <x v="2"/>
    <x v="1"/>
    <x v="11"/>
    <x v="5"/>
    <x v="0"/>
    <x v="5"/>
    <x v="0"/>
    <x v="10"/>
    <n v="24"/>
    <x v="0"/>
  </r>
  <r>
    <d v="2020-06-24T00:00:00"/>
    <x v="3"/>
    <x v="1"/>
    <x v="0"/>
    <n v="13324287.130000001"/>
    <x v="3"/>
    <x v="1"/>
    <x v="0"/>
    <x v="12"/>
    <x v="5"/>
    <x v="0"/>
    <x v="5"/>
    <x v="0"/>
    <x v="10"/>
    <n v="24"/>
    <x v="0"/>
  </r>
  <r>
    <d v="2020-06-23T00:00:00"/>
    <x v="3"/>
    <x v="2"/>
    <x v="2"/>
    <n v="281494"/>
    <x v="3"/>
    <x v="2"/>
    <x v="2"/>
    <x v="4"/>
    <x v="5"/>
    <x v="0"/>
    <x v="5"/>
    <x v="0"/>
    <x v="10"/>
    <n v="23"/>
    <x v="0"/>
  </r>
  <r>
    <d v="2020-06-23T00:00:00"/>
    <x v="2"/>
    <x v="1"/>
    <x v="2"/>
    <n v="73690.38"/>
    <x v="2"/>
    <x v="1"/>
    <x v="2"/>
    <x v="3"/>
    <x v="5"/>
    <x v="0"/>
    <x v="5"/>
    <x v="0"/>
    <x v="10"/>
    <n v="23"/>
    <x v="0"/>
  </r>
  <r>
    <d v="2020-06-23T00:00:00"/>
    <x v="2"/>
    <x v="1"/>
    <x v="1"/>
    <n v="16650469.67"/>
    <x v="2"/>
    <x v="1"/>
    <x v="1"/>
    <x v="8"/>
    <x v="5"/>
    <x v="0"/>
    <x v="5"/>
    <x v="0"/>
    <x v="10"/>
    <n v="23"/>
    <x v="0"/>
  </r>
  <r>
    <d v="2020-06-23T00:00:00"/>
    <x v="3"/>
    <x v="3"/>
    <x v="0"/>
    <n v="1339562692.9400001"/>
    <x v="3"/>
    <x v="3"/>
    <x v="0"/>
    <x v="9"/>
    <x v="5"/>
    <x v="0"/>
    <x v="5"/>
    <x v="0"/>
    <x v="10"/>
    <n v="23"/>
    <x v="0"/>
  </r>
  <r>
    <d v="2020-06-23T00:00:00"/>
    <x v="0"/>
    <x v="1"/>
    <x v="0"/>
    <n v="16200053.57"/>
    <x v="0"/>
    <x v="1"/>
    <x v="0"/>
    <x v="1"/>
    <x v="5"/>
    <x v="0"/>
    <x v="5"/>
    <x v="0"/>
    <x v="10"/>
    <n v="23"/>
    <x v="0"/>
  </r>
  <r>
    <d v="2020-06-23T00:00:00"/>
    <x v="3"/>
    <x v="3"/>
    <x v="1"/>
    <n v="53165.21"/>
    <x v="3"/>
    <x v="3"/>
    <x v="1"/>
    <x v="5"/>
    <x v="5"/>
    <x v="0"/>
    <x v="5"/>
    <x v="0"/>
    <x v="10"/>
    <n v="23"/>
    <x v="0"/>
  </r>
  <r>
    <d v="2020-06-23T00:00:00"/>
    <x v="1"/>
    <x v="0"/>
    <x v="1"/>
    <n v="2018835149.6400001"/>
    <x v="1"/>
    <x v="0"/>
    <x v="1"/>
    <x v="11"/>
    <x v="5"/>
    <x v="0"/>
    <x v="5"/>
    <x v="0"/>
    <x v="10"/>
    <n v="23"/>
    <x v="0"/>
  </r>
  <r>
    <d v="2020-06-23T00:00:00"/>
    <x v="0"/>
    <x v="1"/>
    <x v="1"/>
    <n v="93949765.75"/>
    <x v="0"/>
    <x v="1"/>
    <x v="1"/>
    <x v="6"/>
    <x v="5"/>
    <x v="0"/>
    <x v="5"/>
    <x v="0"/>
    <x v="10"/>
    <n v="23"/>
    <x v="0"/>
  </r>
  <r>
    <d v="2020-06-23T00:00:00"/>
    <x v="1"/>
    <x v="0"/>
    <x v="2"/>
    <n v="8619.2000000000007"/>
    <x v="1"/>
    <x v="0"/>
    <x v="2"/>
    <x v="2"/>
    <x v="5"/>
    <x v="0"/>
    <x v="5"/>
    <x v="0"/>
    <x v="10"/>
    <n v="23"/>
    <x v="0"/>
  </r>
  <r>
    <d v="2020-06-23T00:00:00"/>
    <x v="0"/>
    <x v="0"/>
    <x v="0"/>
    <n v="440"/>
    <x v="0"/>
    <x v="0"/>
    <x v="0"/>
    <x v="0"/>
    <x v="5"/>
    <x v="0"/>
    <x v="5"/>
    <x v="0"/>
    <x v="10"/>
    <n v="23"/>
    <x v="0"/>
  </r>
  <r>
    <d v="2020-06-23T00:00:00"/>
    <x v="2"/>
    <x v="1"/>
    <x v="0"/>
    <n v="80745284.810000002"/>
    <x v="2"/>
    <x v="1"/>
    <x v="0"/>
    <x v="7"/>
    <x v="5"/>
    <x v="0"/>
    <x v="5"/>
    <x v="0"/>
    <x v="10"/>
    <n v="23"/>
    <x v="0"/>
  </r>
  <r>
    <d v="2020-06-23T00:00:00"/>
    <x v="1"/>
    <x v="0"/>
    <x v="0"/>
    <n v="80093420.549999997"/>
    <x v="1"/>
    <x v="0"/>
    <x v="0"/>
    <x v="10"/>
    <x v="5"/>
    <x v="0"/>
    <x v="5"/>
    <x v="0"/>
    <x v="10"/>
    <n v="23"/>
    <x v="0"/>
  </r>
  <r>
    <d v="2020-06-23T00:00:00"/>
    <x v="3"/>
    <x v="2"/>
    <x v="0"/>
    <n v="316694017.51999998"/>
    <x v="3"/>
    <x v="2"/>
    <x v="0"/>
    <x v="12"/>
    <x v="5"/>
    <x v="0"/>
    <x v="5"/>
    <x v="0"/>
    <x v="10"/>
    <n v="23"/>
    <x v="0"/>
  </r>
  <r>
    <d v="2020-06-23T00:00:00"/>
    <x v="3"/>
    <x v="1"/>
    <x v="0"/>
    <n v="8368096.2199999997"/>
    <x v="3"/>
    <x v="1"/>
    <x v="0"/>
    <x v="13"/>
    <x v="5"/>
    <x v="0"/>
    <x v="5"/>
    <x v="0"/>
    <x v="10"/>
    <n v="23"/>
    <x v="0"/>
  </r>
  <r>
    <d v="2020-06-23T00:00:00"/>
    <x v="3"/>
    <x v="2"/>
    <x v="1"/>
    <n v="2850813951.6300001"/>
    <x v="3"/>
    <x v="2"/>
    <x v="1"/>
    <x v="14"/>
    <x v="5"/>
    <x v="0"/>
    <x v="5"/>
    <x v="0"/>
    <x v="10"/>
    <n v="23"/>
    <x v="0"/>
  </r>
  <r>
    <d v="2020-06-22T00:00:00"/>
    <x v="1"/>
    <x v="0"/>
    <x v="2"/>
    <n v="1997.7"/>
    <x v="1"/>
    <x v="0"/>
    <x v="2"/>
    <x v="1"/>
    <x v="5"/>
    <x v="0"/>
    <x v="5"/>
    <x v="0"/>
    <x v="10"/>
    <n v="22"/>
    <x v="0"/>
  </r>
  <r>
    <d v="2020-06-22T00:00:00"/>
    <x v="3"/>
    <x v="2"/>
    <x v="2"/>
    <n v="183341.01"/>
    <x v="3"/>
    <x v="2"/>
    <x v="2"/>
    <x v="2"/>
    <x v="5"/>
    <x v="0"/>
    <x v="5"/>
    <x v="0"/>
    <x v="10"/>
    <n v="22"/>
    <x v="0"/>
  </r>
  <r>
    <d v="2020-06-22T00:00:00"/>
    <x v="2"/>
    <x v="1"/>
    <x v="1"/>
    <n v="12497715.74"/>
    <x v="2"/>
    <x v="1"/>
    <x v="1"/>
    <x v="5"/>
    <x v="5"/>
    <x v="0"/>
    <x v="5"/>
    <x v="0"/>
    <x v="10"/>
    <n v="22"/>
    <x v="0"/>
  </r>
  <r>
    <d v="2020-06-22T00:00:00"/>
    <x v="0"/>
    <x v="1"/>
    <x v="0"/>
    <n v="6991358.3700000001"/>
    <x v="0"/>
    <x v="1"/>
    <x v="0"/>
    <x v="0"/>
    <x v="5"/>
    <x v="0"/>
    <x v="5"/>
    <x v="0"/>
    <x v="10"/>
    <n v="22"/>
    <x v="0"/>
  </r>
  <r>
    <d v="2020-06-22T00:00:00"/>
    <x v="1"/>
    <x v="0"/>
    <x v="1"/>
    <n v="1968187034.8800001"/>
    <x v="1"/>
    <x v="0"/>
    <x v="1"/>
    <x v="8"/>
    <x v="5"/>
    <x v="0"/>
    <x v="5"/>
    <x v="0"/>
    <x v="10"/>
    <n v="22"/>
    <x v="0"/>
  </r>
  <r>
    <d v="2020-06-22T00:00:00"/>
    <x v="0"/>
    <x v="1"/>
    <x v="1"/>
    <n v="29983807.030000001"/>
    <x v="0"/>
    <x v="1"/>
    <x v="1"/>
    <x v="4"/>
    <x v="5"/>
    <x v="0"/>
    <x v="5"/>
    <x v="0"/>
    <x v="10"/>
    <n v="22"/>
    <x v="0"/>
  </r>
  <r>
    <d v="2020-06-22T00:00:00"/>
    <x v="2"/>
    <x v="1"/>
    <x v="0"/>
    <n v="58541889.619999997"/>
    <x v="2"/>
    <x v="1"/>
    <x v="0"/>
    <x v="6"/>
    <x v="5"/>
    <x v="0"/>
    <x v="5"/>
    <x v="0"/>
    <x v="10"/>
    <n v="22"/>
    <x v="0"/>
  </r>
  <r>
    <d v="2020-06-22T00:00:00"/>
    <x v="3"/>
    <x v="3"/>
    <x v="0"/>
    <n v="1698764659.46"/>
    <x v="3"/>
    <x v="3"/>
    <x v="0"/>
    <x v="7"/>
    <x v="5"/>
    <x v="0"/>
    <x v="5"/>
    <x v="0"/>
    <x v="10"/>
    <n v="22"/>
    <x v="0"/>
  </r>
  <r>
    <d v="2020-06-22T00:00:00"/>
    <x v="3"/>
    <x v="3"/>
    <x v="1"/>
    <n v="128766.44"/>
    <x v="3"/>
    <x v="3"/>
    <x v="1"/>
    <x v="3"/>
    <x v="5"/>
    <x v="0"/>
    <x v="5"/>
    <x v="0"/>
    <x v="10"/>
    <n v="22"/>
    <x v="0"/>
  </r>
  <r>
    <d v="2020-06-22T00:00:00"/>
    <x v="1"/>
    <x v="0"/>
    <x v="0"/>
    <n v="59551235.530000001"/>
    <x v="1"/>
    <x v="0"/>
    <x v="0"/>
    <x v="9"/>
    <x v="5"/>
    <x v="0"/>
    <x v="5"/>
    <x v="0"/>
    <x v="10"/>
    <n v="22"/>
    <x v="0"/>
  </r>
  <r>
    <d v="2020-06-22T00:00:00"/>
    <x v="3"/>
    <x v="2"/>
    <x v="0"/>
    <n v="4179655892.8600001"/>
    <x v="3"/>
    <x v="2"/>
    <x v="0"/>
    <x v="10"/>
    <x v="5"/>
    <x v="0"/>
    <x v="5"/>
    <x v="0"/>
    <x v="10"/>
    <n v="22"/>
    <x v="0"/>
  </r>
  <r>
    <d v="2020-06-22T00:00:00"/>
    <x v="3"/>
    <x v="2"/>
    <x v="1"/>
    <n v="13173315242.65"/>
    <x v="3"/>
    <x v="2"/>
    <x v="1"/>
    <x v="11"/>
    <x v="5"/>
    <x v="0"/>
    <x v="5"/>
    <x v="0"/>
    <x v="10"/>
    <n v="22"/>
    <x v="0"/>
  </r>
  <r>
    <d v="2020-06-22T00:00:00"/>
    <x v="3"/>
    <x v="1"/>
    <x v="0"/>
    <n v="41847579.549999997"/>
    <x v="3"/>
    <x v="1"/>
    <x v="0"/>
    <x v="12"/>
    <x v="5"/>
    <x v="0"/>
    <x v="5"/>
    <x v="0"/>
    <x v="10"/>
    <n v="22"/>
    <x v="0"/>
  </r>
  <r>
    <d v="2020-06-19T00:00:00"/>
    <x v="3"/>
    <x v="2"/>
    <x v="2"/>
    <n v="90631.97"/>
    <x v="3"/>
    <x v="2"/>
    <x v="2"/>
    <x v="6"/>
    <x v="5"/>
    <x v="0"/>
    <x v="5"/>
    <x v="0"/>
    <x v="10"/>
    <n v="19"/>
    <x v="0"/>
  </r>
  <r>
    <d v="2020-06-19T00:00:00"/>
    <x v="2"/>
    <x v="1"/>
    <x v="0"/>
    <n v="102768918.7"/>
    <x v="2"/>
    <x v="1"/>
    <x v="0"/>
    <x v="7"/>
    <x v="5"/>
    <x v="0"/>
    <x v="5"/>
    <x v="0"/>
    <x v="10"/>
    <n v="19"/>
    <x v="0"/>
  </r>
  <r>
    <d v="2020-06-19T00:00:00"/>
    <x v="2"/>
    <x v="1"/>
    <x v="1"/>
    <n v="13776286.16"/>
    <x v="2"/>
    <x v="1"/>
    <x v="1"/>
    <x v="8"/>
    <x v="5"/>
    <x v="0"/>
    <x v="5"/>
    <x v="0"/>
    <x v="10"/>
    <n v="19"/>
    <x v="0"/>
  </r>
  <r>
    <d v="2020-06-19T00:00:00"/>
    <x v="2"/>
    <x v="1"/>
    <x v="2"/>
    <n v="8088.98"/>
    <x v="2"/>
    <x v="1"/>
    <x v="2"/>
    <x v="3"/>
    <x v="5"/>
    <x v="0"/>
    <x v="5"/>
    <x v="0"/>
    <x v="10"/>
    <n v="19"/>
    <x v="0"/>
  </r>
  <r>
    <d v="2020-06-19T00:00:00"/>
    <x v="0"/>
    <x v="1"/>
    <x v="0"/>
    <n v="17499777.920000002"/>
    <x v="0"/>
    <x v="1"/>
    <x v="0"/>
    <x v="1"/>
    <x v="5"/>
    <x v="0"/>
    <x v="5"/>
    <x v="0"/>
    <x v="10"/>
    <n v="19"/>
    <x v="0"/>
  </r>
  <r>
    <d v="2020-06-19T00:00:00"/>
    <x v="3"/>
    <x v="3"/>
    <x v="0"/>
    <n v="1280309384.05"/>
    <x v="3"/>
    <x v="3"/>
    <x v="0"/>
    <x v="9"/>
    <x v="5"/>
    <x v="0"/>
    <x v="5"/>
    <x v="0"/>
    <x v="10"/>
    <n v="19"/>
    <x v="0"/>
  </r>
  <r>
    <d v="2020-06-19T00:00:00"/>
    <x v="0"/>
    <x v="1"/>
    <x v="1"/>
    <n v="68150372.099999994"/>
    <x v="0"/>
    <x v="1"/>
    <x v="1"/>
    <x v="5"/>
    <x v="5"/>
    <x v="0"/>
    <x v="5"/>
    <x v="0"/>
    <x v="10"/>
    <n v="19"/>
    <x v="0"/>
  </r>
  <r>
    <d v="2020-06-19T00:00:00"/>
    <x v="1"/>
    <x v="0"/>
    <x v="0"/>
    <n v="50160733.810000002"/>
    <x v="1"/>
    <x v="0"/>
    <x v="0"/>
    <x v="11"/>
    <x v="5"/>
    <x v="0"/>
    <x v="5"/>
    <x v="0"/>
    <x v="10"/>
    <n v="19"/>
    <x v="0"/>
  </r>
  <r>
    <d v="2020-06-19T00:00:00"/>
    <x v="0"/>
    <x v="0"/>
    <x v="0"/>
    <n v="838.38"/>
    <x v="0"/>
    <x v="0"/>
    <x v="0"/>
    <x v="0"/>
    <x v="5"/>
    <x v="0"/>
    <x v="5"/>
    <x v="0"/>
    <x v="10"/>
    <n v="19"/>
    <x v="0"/>
  </r>
  <r>
    <d v="2020-06-19T00:00:00"/>
    <x v="3"/>
    <x v="3"/>
    <x v="1"/>
    <n v="15685.66"/>
    <x v="3"/>
    <x v="3"/>
    <x v="1"/>
    <x v="4"/>
    <x v="5"/>
    <x v="0"/>
    <x v="5"/>
    <x v="0"/>
    <x v="10"/>
    <n v="19"/>
    <x v="0"/>
  </r>
  <r>
    <d v="2020-06-19T00:00:00"/>
    <x v="1"/>
    <x v="0"/>
    <x v="2"/>
    <n v="5562.23"/>
    <x v="1"/>
    <x v="0"/>
    <x v="2"/>
    <x v="2"/>
    <x v="5"/>
    <x v="0"/>
    <x v="5"/>
    <x v="0"/>
    <x v="10"/>
    <n v="19"/>
    <x v="0"/>
  </r>
  <r>
    <d v="2020-06-19T00:00:00"/>
    <x v="1"/>
    <x v="0"/>
    <x v="1"/>
    <n v="1262398190.4000001"/>
    <x v="1"/>
    <x v="0"/>
    <x v="1"/>
    <x v="10"/>
    <x v="5"/>
    <x v="0"/>
    <x v="5"/>
    <x v="0"/>
    <x v="10"/>
    <n v="19"/>
    <x v="0"/>
  </r>
  <r>
    <d v="2020-06-19T00:00:00"/>
    <x v="3"/>
    <x v="2"/>
    <x v="0"/>
    <n v="409258373.06999999"/>
    <x v="3"/>
    <x v="2"/>
    <x v="0"/>
    <x v="12"/>
    <x v="5"/>
    <x v="0"/>
    <x v="5"/>
    <x v="0"/>
    <x v="10"/>
    <n v="19"/>
    <x v="0"/>
  </r>
  <r>
    <d v="2020-06-19T00:00:00"/>
    <x v="3"/>
    <x v="2"/>
    <x v="1"/>
    <n v="8272746193.0900002"/>
    <x v="3"/>
    <x v="2"/>
    <x v="1"/>
    <x v="13"/>
    <x v="5"/>
    <x v="0"/>
    <x v="5"/>
    <x v="0"/>
    <x v="10"/>
    <n v="19"/>
    <x v="0"/>
  </r>
  <r>
    <d v="2020-06-19T00:00:00"/>
    <x v="3"/>
    <x v="1"/>
    <x v="0"/>
    <n v="14245161.15"/>
    <x v="3"/>
    <x v="1"/>
    <x v="0"/>
    <x v="14"/>
    <x v="5"/>
    <x v="0"/>
    <x v="5"/>
    <x v="0"/>
    <x v="10"/>
    <n v="19"/>
    <x v="0"/>
  </r>
  <r>
    <d v="2020-06-18T00:00:00"/>
    <x v="1"/>
    <x v="0"/>
    <x v="2"/>
    <n v="1723.29"/>
    <x v="1"/>
    <x v="0"/>
    <x v="2"/>
    <x v="1"/>
    <x v="5"/>
    <x v="0"/>
    <x v="5"/>
    <x v="0"/>
    <x v="10"/>
    <n v="18"/>
    <x v="0"/>
  </r>
  <r>
    <d v="2020-06-18T00:00:00"/>
    <x v="2"/>
    <x v="1"/>
    <x v="0"/>
    <n v="93329642.030000001"/>
    <x v="2"/>
    <x v="1"/>
    <x v="0"/>
    <x v="4"/>
    <x v="5"/>
    <x v="0"/>
    <x v="5"/>
    <x v="0"/>
    <x v="10"/>
    <n v="18"/>
    <x v="0"/>
  </r>
  <r>
    <d v="2020-06-18T00:00:00"/>
    <x v="2"/>
    <x v="1"/>
    <x v="1"/>
    <n v="19772018.93"/>
    <x v="2"/>
    <x v="1"/>
    <x v="1"/>
    <x v="5"/>
    <x v="5"/>
    <x v="0"/>
    <x v="5"/>
    <x v="0"/>
    <x v="10"/>
    <n v="18"/>
    <x v="0"/>
  </r>
  <r>
    <d v="2020-06-18T00:00:00"/>
    <x v="0"/>
    <x v="1"/>
    <x v="1"/>
    <n v="95058202.340000004"/>
    <x v="0"/>
    <x v="1"/>
    <x v="1"/>
    <x v="2"/>
    <x v="5"/>
    <x v="0"/>
    <x v="5"/>
    <x v="0"/>
    <x v="10"/>
    <n v="18"/>
    <x v="0"/>
  </r>
  <r>
    <d v="2020-06-18T00:00:00"/>
    <x v="0"/>
    <x v="1"/>
    <x v="0"/>
    <n v="9556615.0700000003"/>
    <x v="0"/>
    <x v="1"/>
    <x v="0"/>
    <x v="0"/>
    <x v="5"/>
    <x v="0"/>
    <x v="5"/>
    <x v="0"/>
    <x v="10"/>
    <n v="18"/>
    <x v="0"/>
  </r>
  <r>
    <d v="2020-06-18T00:00:00"/>
    <x v="3"/>
    <x v="3"/>
    <x v="0"/>
    <n v="1931024535.99"/>
    <x v="3"/>
    <x v="3"/>
    <x v="0"/>
    <x v="6"/>
    <x v="5"/>
    <x v="0"/>
    <x v="5"/>
    <x v="0"/>
    <x v="10"/>
    <n v="18"/>
    <x v="0"/>
  </r>
  <r>
    <d v="2020-06-18T00:00:00"/>
    <x v="1"/>
    <x v="0"/>
    <x v="1"/>
    <n v="1432190223.9000001"/>
    <x v="1"/>
    <x v="0"/>
    <x v="1"/>
    <x v="7"/>
    <x v="5"/>
    <x v="0"/>
    <x v="5"/>
    <x v="0"/>
    <x v="10"/>
    <n v="18"/>
    <x v="0"/>
  </r>
  <r>
    <d v="2020-06-18T00:00:00"/>
    <x v="3"/>
    <x v="2"/>
    <x v="2"/>
    <n v="29240"/>
    <x v="3"/>
    <x v="2"/>
    <x v="2"/>
    <x v="3"/>
    <x v="5"/>
    <x v="0"/>
    <x v="5"/>
    <x v="0"/>
    <x v="10"/>
    <n v="18"/>
    <x v="0"/>
  </r>
  <r>
    <d v="2020-06-18T00:00:00"/>
    <x v="1"/>
    <x v="0"/>
    <x v="0"/>
    <n v="74575328.450000003"/>
    <x v="1"/>
    <x v="0"/>
    <x v="0"/>
    <x v="8"/>
    <x v="5"/>
    <x v="0"/>
    <x v="5"/>
    <x v="0"/>
    <x v="10"/>
    <n v="18"/>
    <x v="0"/>
  </r>
  <r>
    <d v="2020-06-18T00:00:00"/>
    <x v="3"/>
    <x v="2"/>
    <x v="0"/>
    <n v="234479639.46000001"/>
    <x v="3"/>
    <x v="2"/>
    <x v="0"/>
    <x v="9"/>
    <x v="5"/>
    <x v="0"/>
    <x v="5"/>
    <x v="0"/>
    <x v="10"/>
    <n v="18"/>
    <x v="0"/>
  </r>
  <r>
    <d v="2020-06-18T00:00:00"/>
    <x v="3"/>
    <x v="2"/>
    <x v="1"/>
    <n v="3339131985.6300001"/>
    <x v="3"/>
    <x v="2"/>
    <x v="1"/>
    <x v="10"/>
    <x v="5"/>
    <x v="0"/>
    <x v="5"/>
    <x v="0"/>
    <x v="10"/>
    <n v="18"/>
    <x v="0"/>
  </r>
  <r>
    <d v="2020-06-18T00:00:00"/>
    <x v="3"/>
    <x v="1"/>
    <x v="0"/>
    <n v="13796228.029999999"/>
    <x v="3"/>
    <x v="1"/>
    <x v="0"/>
    <x v="11"/>
    <x v="5"/>
    <x v="0"/>
    <x v="5"/>
    <x v="0"/>
    <x v="10"/>
    <n v="18"/>
    <x v="0"/>
  </r>
  <r>
    <d v="2020-06-17T00:00:00"/>
    <x v="3"/>
    <x v="2"/>
    <x v="2"/>
    <n v="12385"/>
    <x v="3"/>
    <x v="2"/>
    <x v="2"/>
    <x v="4"/>
    <x v="5"/>
    <x v="0"/>
    <x v="5"/>
    <x v="0"/>
    <x v="10"/>
    <n v="17"/>
    <x v="0"/>
  </r>
  <r>
    <d v="2020-06-17T00:00:00"/>
    <x v="0"/>
    <x v="1"/>
    <x v="1"/>
    <n v="64075221.759999998"/>
    <x v="0"/>
    <x v="1"/>
    <x v="1"/>
    <x v="3"/>
    <x v="5"/>
    <x v="0"/>
    <x v="5"/>
    <x v="0"/>
    <x v="10"/>
    <n v="17"/>
    <x v="0"/>
  </r>
  <r>
    <d v="2020-06-17T00:00:00"/>
    <x v="1"/>
    <x v="0"/>
    <x v="1"/>
    <n v="3319621472.1900001"/>
    <x v="1"/>
    <x v="0"/>
    <x v="1"/>
    <x v="8"/>
    <x v="5"/>
    <x v="0"/>
    <x v="5"/>
    <x v="0"/>
    <x v="10"/>
    <n v="17"/>
    <x v="0"/>
  </r>
  <r>
    <d v="2020-06-17T00:00:00"/>
    <x v="0"/>
    <x v="1"/>
    <x v="0"/>
    <n v="8286487.1200000001"/>
    <x v="0"/>
    <x v="1"/>
    <x v="0"/>
    <x v="1"/>
    <x v="5"/>
    <x v="0"/>
    <x v="5"/>
    <x v="0"/>
    <x v="10"/>
    <n v="17"/>
    <x v="0"/>
  </r>
  <r>
    <d v="2020-06-17T00:00:00"/>
    <x v="0"/>
    <x v="0"/>
    <x v="0"/>
    <n v="709.05"/>
    <x v="0"/>
    <x v="0"/>
    <x v="0"/>
    <x v="0"/>
    <x v="5"/>
    <x v="0"/>
    <x v="5"/>
    <x v="0"/>
    <x v="10"/>
    <n v="17"/>
    <x v="0"/>
  </r>
  <r>
    <d v="2020-06-17T00:00:00"/>
    <x v="3"/>
    <x v="3"/>
    <x v="0"/>
    <n v="904326399.25"/>
    <x v="3"/>
    <x v="3"/>
    <x v="0"/>
    <x v="7"/>
    <x v="5"/>
    <x v="0"/>
    <x v="5"/>
    <x v="0"/>
    <x v="10"/>
    <n v="17"/>
    <x v="0"/>
  </r>
  <r>
    <d v="2020-06-17T00:00:00"/>
    <x v="1"/>
    <x v="0"/>
    <x v="2"/>
    <n v="7706.93"/>
    <x v="1"/>
    <x v="0"/>
    <x v="2"/>
    <x v="2"/>
    <x v="5"/>
    <x v="0"/>
    <x v="5"/>
    <x v="0"/>
    <x v="10"/>
    <n v="17"/>
    <x v="0"/>
  </r>
  <r>
    <d v="2020-06-17T00:00:00"/>
    <x v="2"/>
    <x v="1"/>
    <x v="0"/>
    <n v="80494900.989999995"/>
    <x v="2"/>
    <x v="1"/>
    <x v="0"/>
    <x v="5"/>
    <x v="5"/>
    <x v="0"/>
    <x v="5"/>
    <x v="0"/>
    <x v="10"/>
    <n v="17"/>
    <x v="0"/>
  </r>
  <r>
    <d v="2020-06-17T00:00:00"/>
    <x v="2"/>
    <x v="1"/>
    <x v="1"/>
    <n v="10619378.699999999"/>
    <x v="2"/>
    <x v="1"/>
    <x v="1"/>
    <x v="6"/>
    <x v="5"/>
    <x v="0"/>
    <x v="5"/>
    <x v="0"/>
    <x v="10"/>
    <n v="17"/>
    <x v="0"/>
  </r>
  <r>
    <d v="2020-06-17T00:00:00"/>
    <x v="1"/>
    <x v="0"/>
    <x v="0"/>
    <n v="68539218.980000004"/>
    <x v="1"/>
    <x v="0"/>
    <x v="0"/>
    <x v="9"/>
    <x v="5"/>
    <x v="0"/>
    <x v="5"/>
    <x v="0"/>
    <x v="10"/>
    <n v="17"/>
    <x v="0"/>
  </r>
  <r>
    <d v="2020-06-17T00:00:00"/>
    <x v="3"/>
    <x v="2"/>
    <x v="0"/>
    <n v="243502927.03999999"/>
    <x v="3"/>
    <x v="2"/>
    <x v="0"/>
    <x v="10"/>
    <x v="5"/>
    <x v="0"/>
    <x v="5"/>
    <x v="0"/>
    <x v="10"/>
    <n v="17"/>
    <x v="0"/>
  </r>
  <r>
    <d v="2020-06-17T00:00:00"/>
    <x v="3"/>
    <x v="1"/>
    <x v="0"/>
    <n v="15144314.42"/>
    <x v="3"/>
    <x v="1"/>
    <x v="0"/>
    <x v="11"/>
    <x v="5"/>
    <x v="0"/>
    <x v="5"/>
    <x v="0"/>
    <x v="10"/>
    <n v="17"/>
    <x v="0"/>
  </r>
  <r>
    <d v="2020-06-17T00:00:00"/>
    <x v="3"/>
    <x v="2"/>
    <x v="1"/>
    <n v="8892874413.7000008"/>
    <x v="3"/>
    <x v="2"/>
    <x v="1"/>
    <x v="12"/>
    <x v="5"/>
    <x v="0"/>
    <x v="5"/>
    <x v="0"/>
    <x v="10"/>
    <n v="17"/>
    <x v="0"/>
  </r>
  <r>
    <d v="2020-06-16T00:00:00"/>
    <x v="2"/>
    <x v="1"/>
    <x v="1"/>
    <n v="7886249.4699999997"/>
    <x v="2"/>
    <x v="1"/>
    <x v="1"/>
    <x v="6"/>
    <x v="5"/>
    <x v="0"/>
    <x v="5"/>
    <x v="0"/>
    <x v="10"/>
    <n v="16"/>
    <x v="0"/>
  </r>
  <r>
    <d v="2020-06-16T00:00:00"/>
    <x v="2"/>
    <x v="1"/>
    <x v="2"/>
    <n v="241.75"/>
    <x v="2"/>
    <x v="1"/>
    <x v="2"/>
    <x v="2"/>
    <x v="5"/>
    <x v="0"/>
    <x v="5"/>
    <x v="0"/>
    <x v="10"/>
    <n v="16"/>
    <x v="0"/>
  </r>
  <r>
    <d v="2020-06-16T00:00:00"/>
    <x v="3"/>
    <x v="3"/>
    <x v="0"/>
    <n v="1799297178.45"/>
    <x v="3"/>
    <x v="3"/>
    <x v="0"/>
    <x v="7"/>
    <x v="5"/>
    <x v="0"/>
    <x v="5"/>
    <x v="0"/>
    <x v="10"/>
    <n v="16"/>
    <x v="0"/>
  </r>
  <r>
    <d v="2020-06-16T00:00:00"/>
    <x v="0"/>
    <x v="1"/>
    <x v="1"/>
    <n v="127681758.09"/>
    <x v="0"/>
    <x v="1"/>
    <x v="1"/>
    <x v="4"/>
    <x v="5"/>
    <x v="0"/>
    <x v="5"/>
    <x v="0"/>
    <x v="10"/>
    <n v="16"/>
    <x v="0"/>
  </r>
  <r>
    <d v="2020-06-16T00:00:00"/>
    <x v="0"/>
    <x v="1"/>
    <x v="0"/>
    <n v="16576924.9"/>
    <x v="0"/>
    <x v="1"/>
    <x v="0"/>
    <x v="1"/>
    <x v="5"/>
    <x v="0"/>
    <x v="5"/>
    <x v="0"/>
    <x v="10"/>
    <n v="16"/>
    <x v="0"/>
  </r>
  <r>
    <d v="2020-06-16T00:00:00"/>
    <x v="1"/>
    <x v="0"/>
    <x v="1"/>
    <n v="1745576143.6600001"/>
    <x v="1"/>
    <x v="0"/>
    <x v="1"/>
    <x v="9"/>
    <x v="5"/>
    <x v="0"/>
    <x v="5"/>
    <x v="0"/>
    <x v="10"/>
    <n v="16"/>
    <x v="0"/>
  </r>
  <r>
    <d v="2020-06-16T00:00:00"/>
    <x v="3"/>
    <x v="2"/>
    <x v="2"/>
    <n v="55897"/>
    <x v="3"/>
    <x v="2"/>
    <x v="2"/>
    <x v="5"/>
    <x v="5"/>
    <x v="0"/>
    <x v="5"/>
    <x v="0"/>
    <x v="10"/>
    <n v="16"/>
    <x v="0"/>
  </r>
  <r>
    <d v="2020-06-16T00:00:00"/>
    <x v="0"/>
    <x v="0"/>
    <x v="0"/>
    <n v="58.5"/>
    <x v="0"/>
    <x v="0"/>
    <x v="0"/>
    <x v="0"/>
    <x v="5"/>
    <x v="0"/>
    <x v="5"/>
    <x v="0"/>
    <x v="10"/>
    <n v="16"/>
    <x v="0"/>
  </r>
  <r>
    <d v="2020-06-16T00:00:00"/>
    <x v="3"/>
    <x v="3"/>
    <x v="1"/>
    <n v="77172.009999999995"/>
    <x v="3"/>
    <x v="3"/>
    <x v="1"/>
    <x v="3"/>
    <x v="5"/>
    <x v="0"/>
    <x v="5"/>
    <x v="0"/>
    <x v="10"/>
    <n v="16"/>
    <x v="0"/>
  </r>
  <r>
    <d v="2020-06-16T00:00:00"/>
    <x v="2"/>
    <x v="1"/>
    <x v="0"/>
    <n v="82328166.489999995"/>
    <x v="2"/>
    <x v="1"/>
    <x v="0"/>
    <x v="8"/>
    <x v="5"/>
    <x v="0"/>
    <x v="5"/>
    <x v="0"/>
    <x v="10"/>
    <n v="16"/>
    <x v="0"/>
  </r>
  <r>
    <d v="2020-06-16T00:00:00"/>
    <x v="1"/>
    <x v="0"/>
    <x v="0"/>
    <n v="106559085.66"/>
    <x v="1"/>
    <x v="0"/>
    <x v="0"/>
    <x v="10"/>
    <x v="5"/>
    <x v="0"/>
    <x v="5"/>
    <x v="0"/>
    <x v="10"/>
    <n v="16"/>
    <x v="0"/>
  </r>
  <r>
    <d v="2020-06-16T00:00:00"/>
    <x v="3"/>
    <x v="2"/>
    <x v="0"/>
    <n v="421964245.10000002"/>
    <x v="3"/>
    <x v="2"/>
    <x v="0"/>
    <x v="11"/>
    <x v="5"/>
    <x v="0"/>
    <x v="5"/>
    <x v="0"/>
    <x v="10"/>
    <n v="16"/>
    <x v="0"/>
  </r>
  <r>
    <d v="2020-06-16T00:00:00"/>
    <x v="3"/>
    <x v="1"/>
    <x v="0"/>
    <n v="9201919.4199999999"/>
    <x v="3"/>
    <x v="1"/>
    <x v="0"/>
    <x v="12"/>
    <x v="5"/>
    <x v="0"/>
    <x v="5"/>
    <x v="0"/>
    <x v="10"/>
    <n v="16"/>
    <x v="0"/>
  </r>
  <r>
    <d v="2020-06-16T00:00:00"/>
    <x v="3"/>
    <x v="2"/>
    <x v="1"/>
    <n v="11667026029.33"/>
    <x v="3"/>
    <x v="2"/>
    <x v="1"/>
    <x v="13"/>
    <x v="5"/>
    <x v="0"/>
    <x v="5"/>
    <x v="0"/>
    <x v="10"/>
    <n v="16"/>
    <x v="0"/>
  </r>
  <r>
    <d v="2020-06-15T00:00:00"/>
    <x v="3"/>
    <x v="2"/>
    <x v="2"/>
    <n v="125640.14"/>
    <x v="3"/>
    <x v="2"/>
    <x v="2"/>
    <x v="3"/>
    <x v="5"/>
    <x v="0"/>
    <x v="5"/>
    <x v="0"/>
    <x v="10"/>
    <n v="15"/>
    <x v="0"/>
  </r>
  <r>
    <d v="2020-06-15T00:00:00"/>
    <x v="2"/>
    <x v="1"/>
    <x v="1"/>
    <n v="8736004.2599999998"/>
    <x v="2"/>
    <x v="1"/>
    <x v="1"/>
    <x v="7"/>
    <x v="5"/>
    <x v="0"/>
    <x v="5"/>
    <x v="0"/>
    <x v="10"/>
    <n v="15"/>
    <x v="0"/>
  </r>
  <r>
    <d v="2020-06-15T00:00:00"/>
    <x v="1"/>
    <x v="0"/>
    <x v="2"/>
    <n v="279.58999999999997"/>
    <x v="1"/>
    <x v="0"/>
    <x v="2"/>
    <x v="2"/>
    <x v="5"/>
    <x v="0"/>
    <x v="5"/>
    <x v="0"/>
    <x v="10"/>
    <n v="15"/>
    <x v="0"/>
  </r>
  <r>
    <d v="2020-06-15T00:00:00"/>
    <x v="2"/>
    <x v="1"/>
    <x v="2"/>
    <n v="-3000"/>
    <x v="2"/>
    <x v="1"/>
    <x v="2"/>
    <x v="5"/>
    <x v="5"/>
    <x v="0"/>
    <x v="5"/>
    <x v="0"/>
    <x v="10"/>
    <n v="15"/>
    <x v="1"/>
  </r>
  <r>
    <d v="2020-06-15T00:00:00"/>
    <x v="3"/>
    <x v="3"/>
    <x v="0"/>
    <n v="1345664154.5"/>
    <x v="3"/>
    <x v="3"/>
    <x v="0"/>
    <x v="8"/>
    <x v="5"/>
    <x v="0"/>
    <x v="5"/>
    <x v="0"/>
    <x v="10"/>
    <n v="15"/>
    <x v="0"/>
  </r>
  <r>
    <d v="2020-06-15T00:00:00"/>
    <x v="0"/>
    <x v="1"/>
    <x v="0"/>
    <n v="13796158.48"/>
    <x v="0"/>
    <x v="1"/>
    <x v="0"/>
    <x v="1"/>
    <x v="5"/>
    <x v="0"/>
    <x v="5"/>
    <x v="0"/>
    <x v="10"/>
    <n v="15"/>
    <x v="0"/>
  </r>
  <r>
    <d v="2020-06-15T00:00:00"/>
    <x v="1"/>
    <x v="0"/>
    <x v="1"/>
    <n v="1207010193.02"/>
    <x v="1"/>
    <x v="0"/>
    <x v="1"/>
    <x v="9"/>
    <x v="5"/>
    <x v="0"/>
    <x v="5"/>
    <x v="0"/>
    <x v="10"/>
    <n v="15"/>
    <x v="0"/>
  </r>
  <r>
    <d v="2020-06-15T00:00:00"/>
    <x v="0"/>
    <x v="0"/>
    <x v="0"/>
    <n v="1000"/>
    <x v="0"/>
    <x v="0"/>
    <x v="0"/>
    <x v="0"/>
    <x v="5"/>
    <x v="0"/>
    <x v="5"/>
    <x v="0"/>
    <x v="10"/>
    <n v="15"/>
    <x v="0"/>
  </r>
  <r>
    <d v="2020-06-15T00:00:00"/>
    <x v="0"/>
    <x v="1"/>
    <x v="1"/>
    <n v="54355945.119999997"/>
    <x v="0"/>
    <x v="1"/>
    <x v="1"/>
    <x v="4"/>
    <x v="5"/>
    <x v="0"/>
    <x v="5"/>
    <x v="0"/>
    <x v="10"/>
    <n v="15"/>
    <x v="0"/>
  </r>
  <r>
    <d v="2020-06-15T00:00:00"/>
    <x v="2"/>
    <x v="1"/>
    <x v="0"/>
    <n v="73687245.310000002"/>
    <x v="2"/>
    <x v="1"/>
    <x v="0"/>
    <x v="6"/>
    <x v="5"/>
    <x v="0"/>
    <x v="5"/>
    <x v="0"/>
    <x v="10"/>
    <n v="15"/>
    <x v="0"/>
  </r>
  <r>
    <d v="2020-06-15T00:00:00"/>
    <x v="1"/>
    <x v="0"/>
    <x v="0"/>
    <n v="78531423.379999995"/>
    <x v="1"/>
    <x v="0"/>
    <x v="0"/>
    <x v="10"/>
    <x v="5"/>
    <x v="0"/>
    <x v="5"/>
    <x v="0"/>
    <x v="10"/>
    <n v="15"/>
    <x v="0"/>
  </r>
  <r>
    <d v="2020-06-15T00:00:00"/>
    <x v="3"/>
    <x v="2"/>
    <x v="0"/>
    <n v="473649388.85000002"/>
    <x v="3"/>
    <x v="2"/>
    <x v="0"/>
    <x v="11"/>
    <x v="5"/>
    <x v="0"/>
    <x v="5"/>
    <x v="0"/>
    <x v="10"/>
    <n v="15"/>
    <x v="0"/>
  </r>
  <r>
    <d v="2020-06-15T00:00:00"/>
    <x v="3"/>
    <x v="2"/>
    <x v="1"/>
    <n v="24629014715.580002"/>
    <x v="3"/>
    <x v="2"/>
    <x v="1"/>
    <x v="12"/>
    <x v="5"/>
    <x v="0"/>
    <x v="5"/>
    <x v="0"/>
    <x v="10"/>
    <n v="15"/>
    <x v="0"/>
  </r>
  <r>
    <d v="2020-06-15T00:00:00"/>
    <x v="3"/>
    <x v="1"/>
    <x v="0"/>
    <n v="46177510.310000002"/>
    <x v="3"/>
    <x v="1"/>
    <x v="0"/>
    <x v="13"/>
    <x v="5"/>
    <x v="0"/>
    <x v="5"/>
    <x v="0"/>
    <x v="10"/>
    <n v="15"/>
    <x v="0"/>
  </r>
  <r>
    <d v="2020-06-12T00:00:00"/>
    <x v="2"/>
    <x v="1"/>
    <x v="1"/>
    <n v="5639917.4199999999"/>
    <x v="2"/>
    <x v="1"/>
    <x v="1"/>
    <x v="7"/>
    <x v="5"/>
    <x v="0"/>
    <x v="5"/>
    <x v="0"/>
    <x v="10"/>
    <n v="12"/>
    <x v="0"/>
  </r>
  <r>
    <d v="2020-06-12T00:00:00"/>
    <x v="0"/>
    <x v="1"/>
    <x v="0"/>
    <n v="16158179.9"/>
    <x v="0"/>
    <x v="1"/>
    <x v="0"/>
    <x v="1"/>
    <x v="5"/>
    <x v="0"/>
    <x v="5"/>
    <x v="0"/>
    <x v="10"/>
    <n v="12"/>
    <x v="0"/>
  </r>
  <r>
    <d v="2020-06-12T00:00:00"/>
    <x v="3"/>
    <x v="2"/>
    <x v="2"/>
    <n v="175929.26"/>
    <x v="3"/>
    <x v="2"/>
    <x v="2"/>
    <x v="5"/>
    <x v="5"/>
    <x v="0"/>
    <x v="5"/>
    <x v="0"/>
    <x v="10"/>
    <n v="12"/>
    <x v="0"/>
  </r>
  <r>
    <d v="2020-06-12T00:00:00"/>
    <x v="3"/>
    <x v="3"/>
    <x v="0"/>
    <n v="1864150777.3800001"/>
    <x v="3"/>
    <x v="3"/>
    <x v="0"/>
    <x v="8"/>
    <x v="5"/>
    <x v="0"/>
    <x v="5"/>
    <x v="0"/>
    <x v="10"/>
    <n v="12"/>
    <x v="0"/>
  </r>
  <r>
    <d v="2020-06-12T00:00:00"/>
    <x v="1"/>
    <x v="0"/>
    <x v="1"/>
    <n v="502697997.31999999"/>
    <x v="1"/>
    <x v="0"/>
    <x v="1"/>
    <x v="10"/>
    <x v="5"/>
    <x v="0"/>
    <x v="5"/>
    <x v="0"/>
    <x v="10"/>
    <n v="12"/>
    <x v="0"/>
  </r>
  <r>
    <d v="2020-06-12T00:00:00"/>
    <x v="1"/>
    <x v="0"/>
    <x v="2"/>
    <n v="26519.919999999998"/>
    <x v="1"/>
    <x v="0"/>
    <x v="2"/>
    <x v="4"/>
    <x v="5"/>
    <x v="0"/>
    <x v="5"/>
    <x v="0"/>
    <x v="10"/>
    <n v="12"/>
    <x v="0"/>
  </r>
  <r>
    <d v="2020-06-12T00:00:00"/>
    <x v="2"/>
    <x v="1"/>
    <x v="0"/>
    <n v="93926799.079999998"/>
    <x v="2"/>
    <x v="1"/>
    <x v="0"/>
    <x v="6"/>
    <x v="5"/>
    <x v="0"/>
    <x v="5"/>
    <x v="0"/>
    <x v="10"/>
    <n v="12"/>
    <x v="0"/>
  </r>
  <r>
    <d v="2020-06-12T00:00:00"/>
    <x v="2"/>
    <x v="1"/>
    <x v="2"/>
    <n v="18327.990000000002"/>
    <x v="2"/>
    <x v="1"/>
    <x v="2"/>
    <x v="2"/>
    <x v="5"/>
    <x v="0"/>
    <x v="5"/>
    <x v="0"/>
    <x v="10"/>
    <n v="12"/>
    <x v="0"/>
  </r>
  <r>
    <d v="2020-06-12T00:00:00"/>
    <x v="0"/>
    <x v="0"/>
    <x v="0"/>
    <n v="4500"/>
    <x v="0"/>
    <x v="0"/>
    <x v="0"/>
    <x v="0"/>
    <x v="5"/>
    <x v="0"/>
    <x v="5"/>
    <x v="0"/>
    <x v="10"/>
    <n v="12"/>
    <x v="0"/>
  </r>
  <r>
    <d v="2020-06-12T00:00:00"/>
    <x v="0"/>
    <x v="1"/>
    <x v="1"/>
    <n v="52033738.369999997"/>
    <x v="0"/>
    <x v="1"/>
    <x v="1"/>
    <x v="3"/>
    <x v="5"/>
    <x v="0"/>
    <x v="5"/>
    <x v="0"/>
    <x v="10"/>
    <n v="12"/>
    <x v="0"/>
  </r>
  <r>
    <d v="2020-06-12T00:00:00"/>
    <x v="1"/>
    <x v="0"/>
    <x v="0"/>
    <n v="39968179.57"/>
    <x v="1"/>
    <x v="0"/>
    <x v="0"/>
    <x v="9"/>
    <x v="5"/>
    <x v="0"/>
    <x v="5"/>
    <x v="0"/>
    <x v="10"/>
    <n v="12"/>
    <x v="0"/>
  </r>
  <r>
    <d v="2020-06-12T00:00:00"/>
    <x v="3"/>
    <x v="2"/>
    <x v="0"/>
    <n v="377198926.87"/>
    <x v="3"/>
    <x v="2"/>
    <x v="0"/>
    <x v="11"/>
    <x v="5"/>
    <x v="0"/>
    <x v="5"/>
    <x v="0"/>
    <x v="10"/>
    <n v="12"/>
    <x v="0"/>
  </r>
  <r>
    <d v="2020-06-12T00:00:00"/>
    <x v="3"/>
    <x v="2"/>
    <x v="1"/>
    <n v="10755525598.299999"/>
    <x v="3"/>
    <x v="2"/>
    <x v="1"/>
    <x v="12"/>
    <x v="5"/>
    <x v="0"/>
    <x v="5"/>
    <x v="0"/>
    <x v="10"/>
    <n v="12"/>
    <x v="0"/>
  </r>
  <r>
    <d v="2020-06-12T00:00:00"/>
    <x v="3"/>
    <x v="1"/>
    <x v="0"/>
    <n v="14297188.539999999"/>
    <x v="3"/>
    <x v="1"/>
    <x v="0"/>
    <x v="13"/>
    <x v="5"/>
    <x v="0"/>
    <x v="5"/>
    <x v="0"/>
    <x v="10"/>
    <n v="12"/>
    <x v="0"/>
  </r>
  <r>
    <d v="2020-06-11T00:00:00"/>
    <x v="0"/>
    <x v="1"/>
    <x v="0"/>
    <n v="9610955.0099999998"/>
    <x v="0"/>
    <x v="1"/>
    <x v="0"/>
    <x v="1"/>
    <x v="5"/>
    <x v="0"/>
    <x v="5"/>
    <x v="0"/>
    <x v="10"/>
    <n v="11"/>
    <x v="0"/>
  </r>
  <r>
    <d v="2020-06-11T00:00:00"/>
    <x v="1"/>
    <x v="0"/>
    <x v="2"/>
    <n v="1668.38"/>
    <x v="1"/>
    <x v="0"/>
    <x v="2"/>
    <x v="2"/>
    <x v="5"/>
    <x v="0"/>
    <x v="5"/>
    <x v="0"/>
    <x v="10"/>
    <n v="11"/>
    <x v="0"/>
  </r>
  <r>
    <d v="2020-06-11T00:00:00"/>
    <x v="2"/>
    <x v="1"/>
    <x v="0"/>
    <n v="80180985.930000007"/>
    <x v="2"/>
    <x v="1"/>
    <x v="0"/>
    <x v="7"/>
    <x v="5"/>
    <x v="0"/>
    <x v="5"/>
    <x v="0"/>
    <x v="10"/>
    <n v="11"/>
    <x v="0"/>
  </r>
  <r>
    <d v="2020-06-11T00:00:00"/>
    <x v="3"/>
    <x v="2"/>
    <x v="2"/>
    <n v="41401.14"/>
    <x v="3"/>
    <x v="2"/>
    <x v="2"/>
    <x v="5"/>
    <x v="5"/>
    <x v="0"/>
    <x v="5"/>
    <x v="0"/>
    <x v="10"/>
    <n v="11"/>
    <x v="0"/>
  </r>
  <r>
    <d v="2020-06-11T00:00:00"/>
    <x v="0"/>
    <x v="1"/>
    <x v="1"/>
    <n v="53818722.039999999"/>
    <x v="0"/>
    <x v="1"/>
    <x v="1"/>
    <x v="4"/>
    <x v="5"/>
    <x v="0"/>
    <x v="5"/>
    <x v="0"/>
    <x v="10"/>
    <n v="11"/>
    <x v="0"/>
  </r>
  <r>
    <d v="2020-06-11T00:00:00"/>
    <x v="0"/>
    <x v="0"/>
    <x v="0"/>
    <n v="250"/>
    <x v="0"/>
    <x v="0"/>
    <x v="0"/>
    <x v="0"/>
    <x v="5"/>
    <x v="0"/>
    <x v="5"/>
    <x v="0"/>
    <x v="10"/>
    <n v="11"/>
    <x v="0"/>
  </r>
  <r>
    <d v="2020-06-11T00:00:00"/>
    <x v="3"/>
    <x v="3"/>
    <x v="0"/>
    <n v="1150047495.5699999"/>
    <x v="3"/>
    <x v="3"/>
    <x v="0"/>
    <x v="8"/>
    <x v="5"/>
    <x v="0"/>
    <x v="5"/>
    <x v="0"/>
    <x v="10"/>
    <n v="11"/>
    <x v="0"/>
  </r>
  <r>
    <d v="2020-06-11T00:00:00"/>
    <x v="2"/>
    <x v="1"/>
    <x v="1"/>
    <n v="4768447.59"/>
    <x v="2"/>
    <x v="1"/>
    <x v="1"/>
    <x v="6"/>
    <x v="5"/>
    <x v="0"/>
    <x v="5"/>
    <x v="0"/>
    <x v="10"/>
    <n v="11"/>
    <x v="0"/>
  </r>
  <r>
    <d v="2020-06-11T00:00:00"/>
    <x v="3"/>
    <x v="3"/>
    <x v="1"/>
    <n v="10606.07"/>
    <x v="3"/>
    <x v="3"/>
    <x v="1"/>
    <x v="3"/>
    <x v="5"/>
    <x v="0"/>
    <x v="5"/>
    <x v="0"/>
    <x v="10"/>
    <n v="11"/>
    <x v="0"/>
  </r>
  <r>
    <d v="2020-06-11T00:00:00"/>
    <x v="1"/>
    <x v="0"/>
    <x v="1"/>
    <n v="520766977.22000003"/>
    <x v="1"/>
    <x v="0"/>
    <x v="1"/>
    <x v="9"/>
    <x v="5"/>
    <x v="0"/>
    <x v="5"/>
    <x v="0"/>
    <x v="10"/>
    <n v="11"/>
    <x v="0"/>
  </r>
  <r>
    <d v="2020-06-11T00:00:00"/>
    <x v="1"/>
    <x v="0"/>
    <x v="0"/>
    <n v="70622997.060000002"/>
    <x v="1"/>
    <x v="0"/>
    <x v="0"/>
    <x v="10"/>
    <x v="5"/>
    <x v="0"/>
    <x v="5"/>
    <x v="0"/>
    <x v="10"/>
    <n v="11"/>
    <x v="0"/>
  </r>
  <r>
    <d v="2020-06-11T00:00:00"/>
    <x v="3"/>
    <x v="2"/>
    <x v="0"/>
    <n v="303579270.43000001"/>
    <x v="3"/>
    <x v="2"/>
    <x v="0"/>
    <x v="11"/>
    <x v="5"/>
    <x v="0"/>
    <x v="5"/>
    <x v="0"/>
    <x v="10"/>
    <n v="11"/>
    <x v="0"/>
  </r>
  <r>
    <d v="2020-06-11T00:00:00"/>
    <x v="3"/>
    <x v="2"/>
    <x v="1"/>
    <n v="4412532896.4499998"/>
    <x v="3"/>
    <x v="2"/>
    <x v="1"/>
    <x v="12"/>
    <x v="5"/>
    <x v="0"/>
    <x v="5"/>
    <x v="0"/>
    <x v="10"/>
    <n v="11"/>
    <x v="0"/>
  </r>
  <r>
    <d v="2020-06-11T00:00:00"/>
    <x v="3"/>
    <x v="1"/>
    <x v="0"/>
    <n v="13947841.66"/>
    <x v="3"/>
    <x v="1"/>
    <x v="0"/>
    <x v="13"/>
    <x v="5"/>
    <x v="0"/>
    <x v="5"/>
    <x v="0"/>
    <x v="10"/>
    <n v="11"/>
    <x v="0"/>
  </r>
  <r>
    <d v="2020-06-10T00:00:00"/>
    <x v="2"/>
    <x v="1"/>
    <x v="0"/>
    <n v="71342426.090000004"/>
    <x v="2"/>
    <x v="1"/>
    <x v="0"/>
    <x v="7"/>
    <x v="5"/>
    <x v="0"/>
    <x v="5"/>
    <x v="0"/>
    <x v="10"/>
    <n v="10"/>
    <x v="0"/>
  </r>
  <r>
    <d v="2020-06-10T00:00:00"/>
    <x v="3"/>
    <x v="3"/>
    <x v="0"/>
    <n v="1104343954.1300001"/>
    <x v="3"/>
    <x v="3"/>
    <x v="0"/>
    <x v="8"/>
    <x v="5"/>
    <x v="0"/>
    <x v="5"/>
    <x v="0"/>
    <x v="10"/>
    <n v="10"/>
    <x v="0"/>
  </r>
  <r>
    <d v="2020-06-10T00:00:00"/>
    <x v="3"/>
    <x v="3"/>
    <x v="1"/>
    <n v="3269285.56"/>
    <x v="3"/>
    <x v="3"/>
    <x v="1"/>
    <x v="3"/>
    <x v="5"/>
    <x v="0"/>
    <x v="5"/>
    <x v="0"/>
    <x v="10"/>
    <n v="10"/>
    <x v="0"/>
  </r>
  <r>
    <d v="2020-06-10T00:00:00"/>
    <x v="0"/>
    <x v="1"/>
    <x v="1"/>
    <n v="37426093.68"/>
    <x v="0"/>
    <x v="1"/>
    <x v="1"/>
    <x v="4"/>
    <x v="5"/>
    <x v="0"/>
    <x v="5"/>
    <x v="0"/>
    <x v="10"/>
    <n v="10"/>
    <x v="0"/>
  </r>
  <r>
    <d v="2020-06-10T00:00:00"/>
    <x v="1"/>
    <x v="0"/>
    <x v="0"/>
    <n v="67257533.299999997"/>
    <x v="1"/>
    <x v="0"/>
    <x v="0"/>
    <x v="10"/>
    <x v="5"/>
    <x v="0"/>
    <x v="5"/>
    <x v="0"/>
    <x v="10"/>
    <n v="10"/>
    <x v="0"/>
  </r>
  <r>
    <d v="2020-06-10T00:00:00"/>
    <x v="3"/>
    <x v="2"/>
    <x v="2"/>
    <n v="241661.99"/>
    <x v="3"/>
    <x v="2"/>
    <x v="2"/>
    <x v="5"/>
    <x v="5"/>
    <x v="0"/>
    <x v="5"/>
    <x v="0"/>
    <x v="10"/>
    <n v="10"/>
    <x v="0"/>
  </r>
  <r>
    <d v="2020-06-10T00:00:00"/>
    <x v="0"/>
    <x v="0"/>
    <x v="0"/>
    <n v="-55"/>
    <x v="0"/>
    <x v="0"/>
    <x v="0"/>
    <x v="0"/>
    <x v="5"/>
    <x v="0"/>
    <x v="5"/>
    <x v="0"/>
    <x v="10"/>
    <n v="10"/>
    <x v="1"/>
  </r>
  <r>
    <d v="2020-06-10T00:00:00"/>
    <x v="0"/>
    <x v="1"/>
    <x v="0"/>
    <n v="28105218.449999999"/>
    <x v="0"/>
    <x v="1"/>
    <x v="0"/>
    <x v="1"/>
    <x v="5"/>
    <x v="0"/>
    <x v="5"/>
    <x v="0"/>
    <x v="10"/>
    <n v="10"/>
    <x v="0"/>
  </r>
  <r>
    <d v="2020-06-10T00:00:00"/>
    <x v="1"/>
    <x v="0"/>
    <x v="2"/>
    <n v="9674.75"/>
    <x v="1"/>
    <x v="0"/>
    <x v="2"/>
    <x v="2"/>
    <x v="5"/>
    <x v="0"/>
    <x v="5"/>
    <x v="0"/>
    <x v="10"/>
    <n v="10"/>
    <x v="0"/>
  </r>
  <r>
    <d v="2020-06-10T00:00:00"/>
    <x v="2"/>
    <x v="1"/>
    <x v="1"/>
    <n v="9657706.0500000007"/>
    <x v="2"/>
    <x v="1"/>
    <x v="1"/>
    <x v="6"/>
    <x v="5"/>
    <x v="0"/>
    <x v="5"/>
    <x v="0"/>
    <x v="10"/>
    <n v="10"/>
    <x v="0"/>
  </r>
  <r>
    <d v="2020-06-10T00:00:00"/>
    <x v="1"/>
    <x v="0"/>
    <x v="1"/>
    <n v="2233678321.9000001"/>
    <x v="1"/>
    <x v="0"/>
    <x v="1"/>
    <x v="9"/>
    <x v="5"/>
    <x v="0"/>
    <x v="5"/>
    <x v="0"/>
    <x v="10"/>
    <n v="10"/>
    <x v="0"/>
  </r>
  <r>
    <d v="2020-06-10T00:00:00"/>
    <x v="3"/>
    <x v="2"/>
    <x v="0"/>
    <n v="370152482.88"/>
    <x v="3"/>
    <x v="2"/>
    <x v="0"/>
    <x v="11"/>
    <x v="5"/>
    <x v="0"/>
    <x v="5"/>
    <x v="0"/>
    <x v="10"/>
    <n v="10"/>
    <x v="0"/>
  </r>
  <r>
    <d v="2020-06-10T00:00:00"/>
    <x v="3"/>
    <x v="2"/>
    <x v="1"/>
    <n v="9164051118.0799999"/>
    <x v="3"/>
    <x v="2"/>
    <x v="1"/>
    <x v="12"/>
    <x v="5"/>
    <x v="0"/>
    <x v="5"/>
    <x v="0"/>
    <x v="10"/>
    <n v="10"/>
    <x v="0"/>
  </r>
  <r>
    <d v="2020-06-10T00:00:00"/>
    <x v="3"/>
    <x v="1"/>
    <x v="0"/>
    <n v="13199031.199999999"/>
    <x v="3"/>
    <x v="1"/>
    <x v="0"/>
    <x v="13"/>
    <x v="5"/>
    <x v="0"/>
    <x v="5"/>
    <x v="0"/>
    <x v="10"/>
    <n v="10"/>
    <x v="0"/>
  </r>
  <r>
    <d v="2020-06-09T00:00:00"/>
    <x v="2"/>
    <x v="1"/>
    <x v="1"/>
    <n v="5039528.4400000004"/>
    <x v="2"/>
    <x v="1"/>
    <x v="1"/>
    <x v="6"/>
    <x v="5"/>
    <x v="0"/>
    <x v="5"/>
    <x v="0"/>
    <x v="10"/>
    <n v="9"/>
    <x v="0"/>
  </r>
  <r>
    <d v="2020-06-09T00:00:00"/>
    <x v="1"/>
    <x v="0"/>
    <x v="2"/>
    <n v="24941.57"/>
    <x v="1"/>
    <x v="0"/>
    <x v="2"/>
    <x v="2"/>
    <x v="5"/>
    <x v="0"/>
    <x v="5"/>
    <x v="0"/>
    <x v="10"/>
    <n v="9"/>
    <x v="0"/>
  </r>
  <r>
    <d v="2020-06-09T00:00:00"/>
    <x v="2"/>
    <x v="1"/>
    <x v="2"/>
    <n v="1290350.51"/>
    <x v="2"/>
    <x v="1"/>
    <x v="2"/>
    <x v="3"/>
    <x v="5"/>
    <x v="0"/>
    <x v="5"/>
    <x v="0"/>
    <x v="10"/>
    <n v="9"/>
    <x v="0"/>
  </r>
  <r>
    <d v="2020-06-09T00:00:00"/>
    <x v="3"/>
    <x v="2"/>
    <x v="2"/>
    <n v="117900.99"/>
    <x v="3"/>
    <x v="2"/>
    <x v="2"/>
    <x v="5"/>
    <x v="5"/>
    <x v="0"/>
    <x v="5"/>
    <x v="0"/>
    <x v="10"/>
    <n v="9"/>
    <x v="0"/>
  </r>
  <r>
    <d v="2020-06-09T00:00:00"/>
    <x v="0"/>
    <x v="1"/>
    <x v="1"/>
    <n v="40526522.280000001"/>
    <x v="0"/>
    <x v="1"/>
    <x v="1"/>
    <x v="4"/>
    <x v="5"/>
    <x v="0"/>
    <x v="5"/>
    <x v="0"/>
    <x v="10"/>
    <n v="9"/>
    <x v="0"/>
  </r>
  <r>
    <d v="2020-06-09T00:00:00"/>
    <x v="3"/>
    <x v="3"/>
    <x v="0"/>
    <n v="2041499890.5"/>
    <x v="3"/>
    <x v="3"/>
    <x v="0"/>
    <x v="8"/>
    <x v="5"/>
    <x v="0"/>
    <x v="5"/>
    <x v="0"/>
    <x v="10"/>
    <n v="9"/>
    <x v="0"/>
  </r>
  <r>
    <d v="2020-06-09T00:00:00"/>
    <x v="1"/>
    <x v="0"/>
    <x v="1"/>
    <n v="1004137384.97"/>
    <x v="1"/>
    <x v="0"/>
    <x v="1"/>
    <x v="9"/>
    <x v="5"/>
    <x v="0"/>
    <x v="5"/>
    <x v="0"/>
    <x v="10"/>
    <n v="9"/>
    <x v="0"/>
  </r>
  <r>
    <d v="2020-06-09T00:00:00"/>
    <x v="0"/>
    <x v="0"/>
    <x v="0"/>
    <n v="6202.72"/>
    <x v="0"/>
    <x v="0"/>
    <x v="0"/>
    <x v="0"/>
    <x v="5"/>
    <x v="0"/>
    <x v="5"/>
    <x v="0"/>
    <x v="10"/>
    <n v="9"/>
    <x v="0"/>
  </r>
  <r>
    <d v="2020-06-09T00:00:00"/>
    <x v="0"/>
    <x v="1"/>
    <x v="0"/>
    <n v="30651377.079999998"/>
    <x v="0"/>
    <x v="1"/>
    <x v="0"/>
    <x v="1"/>
    <x v="5"/>
    <x v="0"/>
    <x v="5"/>
    <x v="0"/>
    <x v="10"/>
    <n v="9"/>
    <x v="0"/>
  </r>
  <r>
    <d v="2020-06-09T00:00:00"/>
    <x v="2"/>
    <x v="1"/>
    <x v="0"/>
    <n v="111073131.36"/>
    <x v="2"/>
    <x v="1"/>
    <x v="0"/>
    <x v="7"/>
    <x v="5"/>
    <x v="0"/>
    <x v="5"/>
    <x v="0"/>
    <x v="10"/>
    <n v="9"/>
    <x v="0"/>
  </r>
  <r>
    <d v="2020-06-09T00:00:00"/>
    <x v="1"/>
    <x v="0"/>
    <x v="0"/>
    <n v="72030906.340000004"/>
    <x v="1"/>
    <x v="0"/>
    <x v="0"/>
    <x v="10"/>
    <x v="5"/>
    <x v="0"/>
    <x v="5"/>
    <x v="0"/>
    <x v="10"/>
    <n v="9"/>
    <x v="0"/>
  </r>
  <r>
    <d v="2020-06-09T00:00:00"/>
    <x v="3"/>
    <x v="2"/>
    <x v="0"/>
    <n v="608283851.23000002"/>
    <x v="3"/>
    <x v="2"/>
    <x v="0"/>
    <x v="11"/>
    <x v="5"/>
    <x v="0"/>
    <x v="5"/>
    <x v="0"/>
    <x v="10"/>
    <n v="9"/>
    <x v="0"/>
  </r>
  <r>
    <d v="2020-06-09T00:00:00"/>
    <x v="3"/>
    <x v="2"/>
    <x v="1"/>
    <n v="2616476831.3899999"/>
    <x v="3"/>
    <x v="2"/>
    <x v="1"/>
    <x v="12"/>
    <x v="5"/>
    <x v="0"/>
    <x v="5"/>
    <x v="0"/>
    <x v="10"/>
    <n v="9"/>
    <x v="0"/>
  </r>
  <r>
    <d v="2020-06-09T00:00:00"/>
    <x v="3"/>
    <x v="1"/>
    <x v="0"/>
    <n v="8458698.4800000004"/>
    <x v="3"/>
    <x v="1"/>
    <x v="0"/>
    <x v="13"/>
    <x v="5"/>
    <x v="0"/>
    <x v="5"/>
    <x v="0"/>
    <x v="10"/>
    <n v="9"/>
    <x v="0"/>
  </r>
  <r>
    <d v="2020-06-08T00:00:00"/>
    <x v="1"/>
    <x v="0"/>
    <x v="2"/>
    <n v="21565.15"/>
    <x v="1"/>
    <x v="0"/>
    <x v="2"/>
    <x v="1"/>
    <x v="5"/>
    <x v="0"/>
    <x v="5"/>
    <x v="0"/>
    <x v="10"/>
    <n v="8"/>
    <x v="0"/>
  </r>
  <r>
    <d v="2020-06-08T00:00:00"/>
    <x v="3"/>
    <x v="3"/>
    <x v="1"/>
    <n v="1532106.36"/>
    <x v="3"/>
    <x v="3"/>
    <x v="1"/>
    <x v="2"/>
    <x v="5"/>
    <x v="0"/>
    <x v="5"/>
    <x v="0"/>
    <x v="10"/>
    <n v="8"/>
    <x v="0"/>
  </r>
  <r>
    <d v="2020-06-08T00:00:00"/>
    <x v="0"/>
    <x v="1"/>
    <x v="1"/>
    <n v="31958143.829999998"/>
    <x v="0"/>
    <x v="1"/>
    <x v="1"/>
    <x v="3"/>
    <x v="5"/>
    <x v="0"/>
    <x v="5"/>
    <x v="0"/>
    <x v="10"/>
    <n v="8"/>
    <x v="0"/>
  </r>
  <r>
    <d v="2020-06-08T00:00:00"/>
    <x v="3"/>
    <x v="2"/>
    <x v="2"/>
    <n v="865256.01"/>
    <x v="3"/>
    <x v="2"/>
    <x v="2"/>
    <x v="4"/>
    <x v="5"/>
    <x v="0"/>
    <x v="5"/>
    <x v="0"/>
    <x v="10"/>
    <n v="8"/>
    <x v="0"/>
  </r>
  <r>
    <d v="2020-06-08T00:00:00"/>
    <x v="2"/>
    <x v="1"/>
    <x v="1"/>
    <n v="1735934.88"/>
    <x v="2"/>
    <x v="1"/>
    <x v="1"/>
    <x v="5"/>
    <x v="5"/>
    <x v="0"/>
    <x v="5"/>
    <x v="0"/>
    <x v="10"/>
    <n v="8"/>
    <x v="0"/>
  </r>
  <r>
    <d v="2020-06-08T00:00:00"/>
    <x v="0"/>
    <x v="1"/>
    <x v="0"/>
    <n v="49208025.170000002"/>
    <x v="0"/>
    <x v="1"/>
    <x v="0"/>
    <x v="0"/>
    <x v="5"/>
    <x v="0"/>
    <x v="5"/>
    <x v="0"/>
    <x v="10"/>
    <n v="8"/>
    <x v="0"/>
  </r>
  <r>
    <d v="2020-06-08T00:00:00"/>
    <x v="2"/>
    <x v="1"/>
    <x v="0"/>
    <n v="87322099.150000006"/>
    <x v="2"/>
    <x v="1"/>
    <x v="0"/>
    <x v="6"/>
    <x v="5"/>
    <x v="0"/>
    <x v="5"/>
    <x v="0"/>
    <x v="10"/>
    <n v="8"/>
    <x v="0"/>
  </r>
  <r>
    <d v="2020-06-08T00:00:00"/>
    <x v="3"/>
    <x v="3"/>
    <x v="0"/>
    <n v="1594741175.29"/>
    <x v="3"/>
    <x v="3"/>
    <x v="0"/>
    <x v="7"/>
    <x v="5"/>
    <x v="0"/>
    <x v="5"/>
    <x v="0"/>
    <x v="10"/>
    <n v="8"/>
    <x v="0"/>
  </r>
  <r>
    <d v="2020-06-08T00:00:00"/>
    <x v="1"/>
    <x v="0"/>
    <x v="1"/>
    <n v="797007546.26999998"/>
    <x v="1"/>
    <x v="0"/>
    <x v="1"/>
    <x v="8"/>
    <x v="5"/>
    <x v="0"/>
    <x v="5"/>
    <x v="0"/>
    <x v="10"/>
    <n v="8"/>
    <x v="0"/>
  </r>
  <r>
    <d v="2020-06-08T00:00:00"/>
    <x v="1"/>
    <x v="0"/>
    <x v="0"/>
    <n v="43744890.039999999"/>
    <x v="1"/>
    <x v="0"/>
    <x v="0"/>
    <x v="9"/>
    <x v="5"/>
    <x v="0"/>
    <x v="5"/>
    <x v="0"/>
    <x v="10"/>
    <n v="8"/>
    <x v="0"/>
  </r>
  <r>
    <d v="2020-06-08T00:00:00"/>
    <x v="3"/>
    <x v="2"/>
    <x v="0"/>
    <n v="482729295.67000002"/>
    <x v="3"/>
    <x v="2"/>
    <x v="0"/>
    <x v="10"/>
    <x v="5"/>
    <x v="0"/>
    <x v="5"/>
    <x v="0"/>
    <x v="10"/>
    <n v="8"/>
    <x v="0"/>
  </r>
  <r>
    <d v="2020-06-08T00:00:00"/>
    <x v="3"/>
    <x v="2"/>
    <x v="1"/>
    <n v="13198711334.01"/>
    <x v="3"/>
    <x v="2"/>
    <x v="1"/>
    <x v="11"/>
    <x v="5"/>
    <x v="0"/>
    <x v="5"/>
    <x v="0"/>
    <x v="10"/>
    <n v="8"/>
    <x v="0"/>
  </r>
  <r>
    <d v="2020-06-08T00:00:00"/>
    <x v="3"/>
    <x v="1"/>
    <x v="0"/>
    <n v="42128833.759999998"/>
    <x v="3"/>
    <x v="1"/>
    <x v="0"/>
    <x v="12"/>
    <x v="5"/>
    <x v="0"/>
    <x v="5"/>
    <x v="0"/>
    <x v="10"/>
    <n v="8"/>
    <x v="0"/>
  </r>
  <r>
    <d v="2020-06-05T00:00:00"/>
    <x v="2"/>
    <x v="1"/>
    <x v="1"/>
    <n v="2520867.16"/>
    <x v="2"/>
    <x v="1"/>
    <x v="1"/>
    <x v="6"/>
    <x v="5"/>
    <x v="0"/>
    <x v="5"/>
    <x v="0"/>
    <x v="10"/>
    <n v="5"/>
    <x v="0"/>
  </r>
  <r>
    <d v="2020-06-05T00:00:00"/>
    <x v="2"/>
    <x v="1"/>
    <x v="0"/>
    <n v="86681652.370000005"/>
    <x v="2"/>
    <x v="1"/>
    <x v="0"/>
    <x v="7"/>
    <x v="5"/>
    <x v="0"/>
    <x v="5"/>
    <x v="0"/>
    <x v="10"/>
    <n v="5"/>
    <x v="0"/>
  </r>
  <r>
    <d v="2020-06-05T00:00:00"/>
    <x v="1"/>
    <x v="0"/>
    <x v="2"/>
    <n v="35498.58"/>
    <x v="1"/>
    <x v="0"/>
    <x v="2"/>
    <x v="2"/>
    <x v="5"/>
    <x v="0"/>
    <x v="5"/>
    <x v="0"/>
    <x v="10"/>
    <n v="5"/>
    <x v="0"/>
  </r>
  <r>
    <d v="2020-06-05T00:00:00"/>
    <x v="2"/>
    <x v="1"/>
    <x v="2"/>
    <n v="509199.83"/>
    <x v="2"/>
    <x v="1"/>
    <x v="2"/>
    <x v="3"/>
    <x v="5"/>
    <x v="0"/>
    <x v="5"/>
    <x v="0"/>
    <x v="10"/>
    <n v="5"/>
    <x v="0"/>
  </r>
  <r>
    <d v="2020-06-05T00:00:00"/>
    <x v="1"/>
    <x v="0"/>
    <x v="0"/>
    <n v="38970755.140000001"/>
    <x v="1"/>
    <x v="0"/>
    <x v="0"/>
    <x v="10"/>
    <x v="5"/>
    <x v="0"/>
    <x v="5"/>
    <x v="0"/>
    <x v="10"/>
    <n v="5"/>
    <x v="0"/>
  </r>
  <r>
    <d v="2020-06-05T00:00:00"/>
    <x v="3"/>
    <x v="2"/>
    <x v="2"/>
    <n v="147383.94"/>
    <x v="3"/>
    <x v="2"/>
    <x v="2"/>
    <x v="5"/>
    <x v="5"/>
    <x v="0"/>
    <x v="5"/>
    <x v="0"/>
    <x v="10"/>
    <n v="5"/>
    <x v="0"/>
  </r>
  <r>
    <d v="2020-06-05T00:00:00"/>
    <x v="0"/>
    <x v="1"/>
    <x v="1"/>
    <n v="37641749.420000002"/>
    <x v="0"/>
    <x v="1"/>
    <x v="1"/>
    <x v="4"/>
    <x v="5"/>
    <x v="0"/>
    <x v="5"/>
    <x v="0"/>
    <x v="10"/>
    <n v="5"/>
    <x v="0"/>
  </r>
  <r>
    <d v="2020-06-05T00:00:00"/>
    <x v="0"/>
    <x v="1"/>
    <x v="0"/>
    <n v="11213091.640000001"/>
    <x v="0"/>
    <x v="1"/>
    <x v="0"/>
    <x v="1"/>
    <x v="5"/>
    <x v="0"/>
    <x v="5"/>
    <x v="0"/>
    <x v="10"/>
    <n v="5"/>
    <x v="0"/>
  </r>
  <r>
    <d v="2020-06-05T00:00:00"/>
    <x v="0"/>
    <x v="0"/>
    <x v="0"/>
    <n v="2680.32"/>
    <x v="0"/>
    <x v="0"/>
    <x v="0"/>
    <x v="0"/>
    <x v="5"/>
    <x v="0"/>
    <x v="5"/>
    <x v="0"/>
    <x v="10"/>
    <n v="5"/>
    <x v="0"/>
  </r>
  <r>
    <d v="2020-06-05T00:00:00"/>
    <x v="3"/>
    <x v="3"/>
    <x v="0"/>
    <n v="1030241645.16"/>
    <x v="3"/>
    <x v="3"/>
    <x v="0"/>
    <x v="8"/>
    <x v="5"/>
    <x v="0"/>
    <x v="5"/>
    <x v="0"/>
    <x v="10"/>
    <n v="5"/>
    <x v="0"/>
  </r>
  <r>
    <d v="2020-06-05T00:00:00"/>
    <x v="1"/>
    <x v="0"/>
    <x v="1"/>
    <n v="435016090.05000001"/>
    <x v="1"/>
    <x v="0"/>
    <x v="1"/>
    <x v="9"/>
    <x v="5"/>
    <x v="0"/>
    <x v="5"/>
    <x v="0"/>
    <x v="10"/>
    <n v="5"/>
    <x v="0"/>
  </r>
  <r>
    <d v="2020-06-05T00:00:00"/>
    <x v="3"/>
    <x v="2"/>
    <x v="0"/>
    <n v="323108877.88"/>
    <x v="3"/>
    <x v="2"/>
    <x v="0"/>
    <x v="11"/>
    <x v="5"/>
    <x v="0"/>
    <x v="5"/>
    <x v="0"/>
    <x v="10"/>
    <n v="5"/>
    <x v="0"/>
  </r>
  <r>
    <d v="2020-06-05T00:00:00"/>
    <x v="3"/>
    <x v="2"/>
    <x v="1"/>
    <n v="6099864218.6199999"/>
    <x v="3"/>
    <x v="2"/>
    <x v="1"/>
    <x v="12"/>
    <x v="5"/>
    <x v="0"/>
    <x v="5"/>
    <x v="0"/>
    <x v="10"/>
    <n v="5"/>
    <x v="0"/>
  </r>
  <r>
    <d v="2020-06-05T00:00:00"/>
    <x v="3"/>
    <x v="1"/>
    <x v="0"/>
    <n v="14587758.02"/>
    <x v="3"/>
    <x v="1"/>
    <x v="0"/>
    <x v="13"/>
    <x v="5"/>
    <x v="0"/>
    <x v="5"/>
    <x v="0"/>
    <x v="10"/>
    <n v="5"/>
    <x v="0"/>
  </r>
  <r>
    <d v="2020-06-04T00:00:00"/>
    <x v="2"/>
    <x v="1"/>
    <x v="1"/>
    <n v="2613525.4300000002"/>
    <x v="2"/>
    <x v="1"/>
    <x v="1"/>
    <x v="5"/>
    <x v="5"/>
    <x v="0"/>
    <x v="5"/>
    <x v="0"/>
    <x v="10"/>
    <n v="4"/>
    <x v="0"/>
  </r>
  <r>
    <d v="2020-06-04T00:00:00"/>
    <x v="3"/>
    <x v="2"/>
    <x v="2"/>
    <n v="62661.99"/>
    <x v="3"/>
    <x v="2"/>
    <x v="2"/>
    <x v="4"/>
    <x v="5"/>
    <x v="0"/>
    <x v="5"/>
    <x v="0"/>
    <x v="10"/>
    <n v="4"/>
    <x v="0"/>
  </r>
  <r>
    <d v="2020-06-04T00:00:00"/>
    <x v="1"/>
    <x v="0"/>
    <x v="1"/>
    <n v="498650431.83999997"/>
    <x v="1"/>
    <x v="0"/>
    <x v="1"/>
    <x v="8"/>
    <x v="5"/>
    <x v="0"/>
    <x v="5"/>
    <x v="0"/>
    <x v="10"/>
    <n v="4"/>
    <x v="0"/>
  </r>
  <r>
    <d v="2020-06-04T00:00:00"/>
    <x v="0"/>
    <x v="1"/>
    <x v="0"/>
    <n v="7663065.0499999998"/>
    <x v="0"/>
    <x v="1"/>
    <x v="0"/>
    <x v="1"/>
    <x v="5"/>
    <x v="0"/>
    <x v="5"/>
    <x v="0"/>
    <x v="10"/>
    <n v="4"/>
    <x v="0"/>
  </r>
  <r>
    <d v="2020-06-04T00:00:00"/>
    <x v="1"/>
    <x v="0"/>
    <x v="2"/>
    <n v="4689.34"/>
    <x v="1"/>
    <x v="0"/>
    <x v="2"/>
    <x v="2"/>
    <x v="5"/>
    <x v="0"/>
    <x v="5"/>
    <x v="0"/>
    <x v="10"/>
    <n v="4"/>
    <x v="0"/>
  </r>
  <r>
    <d v="2020-06-04T00:00:00"/>
    <x v="0"/>
    <x v="0"/>
    <x v="0"/>
    <n v="270"/>
    <x v="0"/>
    <x v="0"/>
    <x v="0"/>
    <x v="0"/>
    <x v="5"/>
    <x v="0"/>
    <x v="5"/>
    <x v="0"/>
    <x v="10"/>
    <n v="4"/>
    <x v="0"/>
  </r>
  <r>
    <d v="2020-06-04T00:00:00"/>
    <x v="0"/>
    <x v="1"/>
    <x v="1"/>
    <n v="20457400.530000001"/>
    <x v="0"/>
    <x v="1"/>
    <x v="1"/>
    <x v="3"/>
    <x v="5"/>
    <x v="0"/>
    <x v="5"/>
    <x v="0"/>
    <x v="10"/>
    <n v="4"/>
    <x v="0"/>
  </r>
  <r>
    <d v="2020-06-04T00:00:00"/>
    <x v="2"/>
    <x v="1"/>
    <x v="0"/>
    <n v="59410768.399999999"/>
    <x v="2"/>
    <x v="1"/>
    <x v="0"/>
    <x v="6"/>
    <x v="5"/>
    <x v="0"/>
    <x v="5"/>
    <x v="0"/>
    <x v="10"/>
    <n v="4"/>
    <x v="0"/>
  </r>
  <r>
    <d v="2020-06-04T00:00:00"/>
    <x v="3"/>
    <x v="3"/>
    <x v="0"/>
    <n v="688305446.60000002"/>
    <x v="3"/>
    <x v="3"/>
    <x v="0"/>
    <x v="7"/>
    <x v="5"/>
    <x v="0"/>
    <x v="5"/>
    <x v="0"/>
    <x v="10"/>
    <n v="4"/>
    <x v="0"/>
  </r>
  <r>
    <d v="2020-06-04T00:00:00"/>
    <x v="1"/>
    <x v="0"/>
    <x v="0"/>
    <n v="55371900.909999996"/>
    <x v="1"/>
    <x v="0"/>
    <x v="0"/>
    <x v="9"/>
    <x v="5"/>
    <x v="0"/>
    <x v="5"/>
    <x v="0"/>
    <x v="10"/>
    <n v="4"/>
    <x v="0"/>
  </r>
  <r>
    <d v="2020-06-04T00:00:00"/>
    <x v="3"/>
    <x v="2"/>
    <x v="0"/>
    <n v="363637085.87"/>
    <x v="3"/>
    <x v="2"/>
    <x v="0"/>
    <x v="10"/>
    <x v="5"/>
    <x v="0"/>
    <x v="5"/>
    <x v="0"/>
    <x v="10"/>
    <n v="4"/>
    <x v="0"/>
  </r>
  <r>
    <d v="2020-06-04T00:00:00"/>
    <x v="3"/>
    <x v="2"/>
    <x v="1"/>
    <n v="2578603493.25"/>
    <x v="3"/>
    <x v="2"/>
    <x v="1"/>
    <x v="11"/>
    <x v="5"/>
    <x v="0"/>
    <x v="5"/>
    <x v="0"/>
    <x v="10"/>
    <n v="4"/>
    <x v="0"/>
  </r>
  <r>
    <d v="2020-06-04T00:00:00"/>
    <x v="3"/>
    <x v="1"/>
    <x v="0"/>
    <n v="14248000.800000001"/>
    <x v="3"/>
    <x v="1"/>
    <x v="0"/>
    <x v="12"/>
    <x v="5"/>
    <x v="0"/>
    <x v="5"/>
    <x v="0"/>
    <x v="10"/>
    <n v="4"/>
    <x v="0"/>
  </r>
  <r>
    <d v="2020-06-03T00:00:00"/>
    <x v="2"/>
    <x v="1"/>
    <x v="0"/>
    <n v="68458718.659999996"/>
    <x v="2"/>
    <x v="1"/>
    <x v="0"/>
    <x v="5"/>
    <x v="5"/>
    <x v="0"/>
    <x v="5"/>
    <x v="0"/>
    <x v="10"/>
    <n v="3"/>
    <x v="0"/>
  </r>
  <r>
    <d v="2020-06-03T00:00:00"/>
    <x v="2"/>
    <x v="1"/>
    <x v="1"/>
    <n v="2555338.41"/>
    <x v="2"/>
    <x v="1"/>
    <x v="1"/>
    <x v="6"/>
    <x v="5"/>
    <x v="0"/>
    <x v="5"/>
    <x v="0"/>
    <x v="10"/>
    <n v="3"/>
    <x v="0"/>
  </r>
  <r>
    <d v="2020-06-03T00:00:00"/>
    <x v="3"/>
    <x v="3"/>
    <x v="0"/>
    <n v="1381220011.6600001"/>
    <x v="3"/>
    <x v="3"/>
    <x v="0"/>
    <x v="7"/>
    <x v="5"/>
    <x v="0"/>
    <x v="5"/>
    <x v="0"/>
    <x v="10"/>
    <n v="3"/>
    <x v="0"/>
  </r>
  <r>
    <d v="2020-06-03T00:00:00"/>
    <x v="1"/>
    <x v="0"/>
    <x v="1"/>
    <n v="1173666328.8499999"/>
    <x v="1"/>
    <x v="0"/>
    <x v="1"/>
    <x v="8"/>
    <x v="5"/>
    <x v="0"/>
    <x v="5"/>
    <x v="0"/>
    <x v="10"/>
    <n v="3"/>
    <x v="0"/>
  </r>
  <r>
    <d v="2020-06-03T00:00:00"/>
    <x v="0"/>
    <x v="1"/>
    <x v="1"/>
    <n v="37150373.799999997"/>
    <x v="0"/>
    <x v="1"/>
    <x v="1"/>
    <x v="3"/>
    <x v="5"/>
    <x v="0"/>
    <x v="5"/>
    <x v="0"/>
    <x v="10"/>
    <n v="3"/>
    <x v="0"/>
  </r>
  <r>
    <d v="2020-06-03T00:00:00"/>
    <x v="3"/>
    <x v="2"/>
    <x v="2"/>
    <n v="247025.99"/>
    <x v="3"/>
    <x v="2"/>
    <x v="2"/>
    <x v="4"/>
    <x v="5"/>
    <x v="0"/>
    <x v="5"/>
    <x v="0"/>
    <x v="10"/>
    <n v="3"/>
    <x v="0"/>
  </r>
  <r>
    <d v="2020-06-03T00:00:00"/>
    <x v="0"/>
    <x v="1"/>
    <x v="0"/>
    <n v="13176499.380000001"/>
    <x v="0"/>
    <x v="1"/>
    <x v="0"/>
    <x v="1"/>
    <x v="5"/>
    <x v="0"/>
    <x v="5"/>
    <x v="0"/>
    <x v="10"/>
    <n v="3"/>
    <x v="0"/>
  </r>
  <r>
    <d v="2020-06-03T00:00:00"/>
    <x v="0"/>
    <x v="0"/>
    <x v="0"/>
    <n v="200"/>
    <x v="0"/>
    <x v="0"/>
    <x v="0"/>
    <x v="0"/>
    <x v="5"/>
    <x v="0"/>
    <x v="5"/>
    <x v="0"/>
    <x v="10"/>
    <n v="3"/>
    <x v="0"/>
  </r>
  <r>
    <d v="2020-06-03T00:00:00"/>
    <x v="1"/>
    <x v="0"/>
    <x v="2"/>
    <n v="17413.97"/>
    <x v="1"/>
    <x v="0"/>
    <x v="2"/>
    <x v="2"/>
    <x v="5"/>
    <x v="0"/>
    <x v="5"/>
    <x v="0"/>
    <x v="10"/>
    <n v="3"/>
    <x v="0"/>
  </r>
  <r>
    <d v="2020-06-03T00:00:00"/>
    <x v="1"/>
    <x v="0"/>
    <x v="0"/>
    <n v="42786168.259999998"/>
    <x v="1"/>
    <x v="0"/>
    <x v="0"/>
    <x v="9"/>
    <x v="5"/>
    <x v="0"/>
    <x v="5"/>
    <x v="0"/>
    <x v="10"/>
    <n v="3"/>
    <x v="0"/>
  </r>
  <r>
    <d v="2020-06-03T00:00:00"/>
    <x v="3"/>
    <x v="2"/>
    <x v="0"/>
    <n v="384499549.13999999"/>
    <x v="3"/>
    <x v="2"/>
    <x v="0"/>
    <x v="10"/>
    <x v="5"/>
    <x v="0"/>
    <x v="5"/>
    <x v="0"/>
    <x v="10"/>
    <n v="3"/>
    <x v="0"/>
  </r>
  <r>
    <d v="2020-06-03T00:00:00"/>
    <x v="3"/>
    <x v="2"/>
    <x v="1"/>
    <n v="11635224332.48"/>
    <x v="3"/>
    <x v="2"/>
    <x v="1"/>
    <x v="11"/>
    <x v="5"/>
    <x v="0"/>
    <x v="5"/>
    <x v="0"/>
    <x v="10"/>
    <n v="3"/>
    <x v="0"/>
  </r>
  <r>
    <d v="2020-06-03T00:00:00"/>
    <x v="3"/>
    <x v="1"/>
    <x v="0"/>
    <n v="15142600.609999999"/>
    <x v="3"/>
    <x v="1"/>
    <x v="0"/>
    <x v="12"/>
    <x v="5"/>
    <x v="0"/>
    <x v="5"/>
    <x v="0"/>
    <x v="10"/>
    <n v="3"/>
    <x v="0"/>
  </r>
  <r>
    <d v="2020-06-02T00:00:00"/>
    <x v="2"/>
    <x v="1"/>
    <x v="1"/>
    <n v="5480265.3700000001"/>
    <x v="2"/>
    <x v="1"/>
    <x v="1"/>
    <x v="7"/>
    <x v="5"/>
    <x v="0"/>
    <x v="5"/>
    <x v="0"/>
    <x v="10"/>
    <n v="2"/>
    <x v="0"/>
  </r>
  <r>
    <d v="2020-06-02T00:00:00"/>
    <x v="2"/>
    <x v="1"/>
    <x v="0"/>
    <n v="65045805.979999997"/>
    <x v="2"/>
    <x v="1"/>
    <x v="0"/>
    <x v="8"/>
    <x v="5"/>
    <x v="0"/>
    <x v="5"/>
    <x v="0"/>
    <x v="10"/>
    <n v="2"/>
    <x v="0"/>
  </r>
  <r>
    <d v="2020-06-02T00:00:00"/>
    <x v="2"/>
    <x v="1"/>
    <x v="2"/>
    <n v="31975.13"/>
    <x v="2"/>
    <x v="1"/>
    <x v="2"/>
    <x v="2"/>
    <x v="5"/>
    <x v="0"/>
    <x v="5"/>
    <x v="0"/>
    <x v="10"/>
    <n v="2"/>
    <x v="0"/>
  </r>
  <r>
    <d v="2020-06-02T00:00:00"/>
    <x v="1"/>
    <x v="0"/>
    <x v="2"/>
    <n v="61999.01"/>
    <x v="1"/>
    <x v="0"/>
    <x v="2"/>
    <x v="3"/>
    <x v="5"/>
    <x v="0"/>
    <x v="5"/>
    <x v="0"/>
    <x v="10"/>
    <n v="2"/>
    <x v="0"/>
  </r>
  <r>
    <d v="2020-06-02T00:00:00"/>
    <x v="3"/>
    <x v="3"/>
    <x v="1"/>
    <n v="238206.54"/>
    <x v="3"/>
    <x v="3"/>
    <x v="1"/>
    <x v="4"/>
    <x v="5"/>
    <x v="0"/>
    <x v="5"/>
    <x v="0"/>
    <x v="10"/>
    <n v="2"/>
    <x v="0"/>
  </r>
  <r>
    <d v="2020-06-02T00:00:00"/>
    <x v="0"/>
    <x v="1"/>
    <x v="1"/>
    <n v="30309338.32"/>
    <x v="0"/>
    <x v="1"/>
    <x v="1"/>
    <x v="5"/>
    <x v="5"/>
    <x v="0"/>
    <x v="5"/>
    <x v="0"/>
    <x v="10"/>
    <n v="2"/>
    <x v="0"/>
  </r>
  <r>
    <d v="2020-06-02T00:00:00"/>
    <x v="3"/>
    <x v="2"/>
    <x v="2"/>
    <n v="80410"/>
    <x v="3"/>
    <x v="2"/>
    <x v="2"/>
    <x v="6"/>
    <x v="5"/>
    <x v="0"/>
    <x v="5"/>
    <x v="0"/>
    <x v="10"/>
    <n v="2"/>
    <x v="0"/>
  </r>
  <r>
    <d v="2020-06-02T00:00:00"/>
    <x v="0"/>
    <x v="1"/>
    <x v="0"/>
    <n v="10564175.5"/>
    <x v="0"/>
    <x v="1"/>
    <x v="0"/>
    <x v="1"/>
    <x v="5"/>
    <x v="0"/>
    <x v="5"/>
    <x v="0"/>
    <x v="10"/>
    <n v="2"/>
    <x v="0"/>
  </r>
  <r>
    <d v="2020-06-02T00:00:00"/>
    <x v="0"/>
    <x v="0"/>
    <x v="0"/>
    <n v="110"/>
    <x v="0"/>
    <x v="0"/>
    <x v="0"/>
    <x v="0"/>
    <x v="5"/>
    <x v="0"/>
    <x v="5"/>
    <x v="0"/>
    <x v="10"/>
    <n v="2"/>
    <x v="0"/>
  </r>
  <r>
    <d v="2020-06-02T00:00:00"/>
    <x v="3"/>
    <x v="3"/>
    <x v="0"/>
    <n v="940312425.58000004"/>
    <x v="3"/>
    <x v="3"/>
    <x v="0"/>
    <x v="9"/>
    <x v="5"/>
    <x v="0"/>
    <x v="5"/>
    <x v="0"/>
    <x v="10"/>
    <n v="2"/>
    <x v="0"/>
  </r>
  <r>
    <d v="2020-06-02T00:00:00"/>
    <x v="1"/>
    <x v="0"/>
    <x v="0"/>
    <n v="39195900.630000003"/>
    <x v="1"/>
    <x v="0"/>
    <x v="0"/>
    <x v="11"/>
    <x v="5"/>
    <x v="0"/>
    <x v="5"/>
    <x v="0"/>
    <x v="10"/>
    <n v="2"/>
    <x v="0"/>
  </r>
  <r>
    <d v="2020-06-02T00:00:00"/>
    <x v="1"/>
    <x v="0"/>
    <x v="1"/>
    <n v="492212645.56"/>
    <x v="1"/>
    <x v="0"/>
    <x v="1"/>
    <x v="10"/>
    <x v="5"/>
    <x v="0"/>
    <x v="5"/>
    <x v="0"/>
    <x v="10"/>
    <n v="2"/>
    <x v="0"/>
  </r>
  <r>
    <d v="2020-06-02T00:00:00"/>
    <x v="3"/>
    <x v="2"/>
    <x v="0"/>
    <n v="690728347.94000006"/>
    <x v="3"/>
    <x v="2"/>
    <x v="0"/>
    <x v="12"/>
    <x v="5"/>
    <x v="0"/>
    <x v="5"/>
    <x v="0"/>
    <x v="10"/>
    <n v="2"/>
    <x v="0"/>
  </r>
  <r>
    <d v="2020-06-02T00:00:00"/>
    <x v="3"/>
    <x v="2"/>
    <x v="1"/>
    <n v="20628918175.259998"/>
    <x v="3"/>
    <x v="2"/>
    <x v="1"/>
    <x v="13"/>
    <x v="5"/>
    <x v="0"/>
    <x v="5"/>
    <x v="0"/>
    <x v="10"/>
    <n v="2"/>
    <x v="0"/>
  </r>
  <r>
    <d v="2020-06-02T00:00:00"/>
    <x v="3"/>
    <x v="1"/>
    <x v="0"/>
    <n v="10662555.85"/>
    <x v="3"/>
    <x v="1"/>
    <x v="0"/>
    <x v="14"/>
    <x v="5"/>
    <x v="0"/>
    <x v="5"/>
    <x v="0"/>
    <x v="10"/>
    <n v="2"/>
    <x v="0"/>
  </r>
  <r>
    <d v="2020-06-01T00:00:00"/>
    <x v="0"/>
    <x v="0"/>
    <x v="0"/>
    <n v="-6167.9"/>
    <x v="0"/>
    <x v="0"/>
    <x v="0"/>
    <x v="0"/>
    <x v="5"/>
    <x v="0"/>
    <x v="5"/>
    <x v="0"/>
    <x v="10"/>
    <n v="1"/>
    <x v="1"/>
  </r>
  <r>
    <d v="2020-06-01T00:00:00"/>
    <x v="0"/>
    <x v="1"/>
    <x v="1"/>
    <n v="13068330.699999999"/>
    <x v="0"/>
    <x v="1"/>
    <x v="1"/>
    <x v="3"/>
    <x v="5"/>
    <x v="0"/>
    <x v="5"/>
    <x v="0"/>
    <x v="10"/>
    <n v="1"/>
    <x v="0"/>
  </r>
  <r>
    <d v="2020-06-01T00:00:00"/>
    <x v="1"/>
    <x v="0"/>
    <x v="0"/>
    <n v="67846124.209999993"/>
    <x v="1"/>
    <x v="0"/>
    <x v="0"/>
    <x v="9"/>
    <x v="5"/>
    <x v="0"/>
    <x v="5"/>
    <x v="0"/>
    <x v="10"/>
    <n v="1"/>
    <x v="0"/>
  </r>
  <r>
    <d v="2020-06-01T00:00:00"/>
    <x v="3"/>
    <x v="2"/>
    <x v="1"/>
    <n v="14929880656.700001"/>
    <x v="3"/>
    <x v="2"/>
    <x v="1"/>
    <x v="5"/>
    <x v="5"/>
    <x v="0"/>
    <x v="5"/>
    <x v="0"/>
    <x v="10"/>
    <n v="1"/>
    <x v="0"/>
  </r>
  <r>
    <d v="2020-06-01T00:00:00"/>
    <x v="3"/>
    <x v="2"/>
    <x v="2"/>
    <n v="256616"/>
    <x v="3"/>
    <x v="2"/>
    <x v="2"/>
    <x v="4"/>
    <x v="5"/>
    <x v="0"/>
    <x v="5"/>
    <x v="0"/>
    <x v="10"/>
    <n v="1"/>
    <x v="0"/>
  </r>
  <r>
    <d v="2020-06-01T00:00:00"/>
    <x v="2"/>
    <x v="1"/>
    <x v="0"/>
    <n v="80236564"/>
    <x v="2"/>
    <x v="1"/>
    <x v="0"/>
    <x v="7"/>
    <x v="5"/>
    <x v="0"/>
    <x v="5"/>
    <x v="0"/>
    <x v="10"/>
    <n v="1"/>
    <x v="0"/>
  </r>
  <r>
    <d v="2020-06-01T00:00:00"/>
    <x v="0"/>
    <x v="1"/>
    <x v="0"/>
    <n v="12857116.57"/>
    <x v="0"/>
    <x v="1"/>
    <x v="0"/>
    <x v="1"/>
    <x v="5"/>
    <x v="0"/>
    <x v="5"/>
    <x v="0"/>
    <x v="10"/>
    <n v="1"/>
    <x v="0"/>
  </r>
  <r>
    <d v="2020-06-01T00:00:00"/>
    <x v="2"/>
    <x v="1"/>
    <x v="1"/>
    <n v="-9272828.2599999998"/>
    <x v="2"/>
    <x v="1"/>
    <x v="1"/>
    <x v="6"/>
    <x v="5"/>
    <x v="0"/>
    <x v="5"/>
    <x v="0"/>
    <x v="10"/>
    <n v="1"/>
    <x v="1"/>
  </r>
  <r>
    <d v="2020-06-01T00:00:00"/>
    <x v="1"/>
    <x v="0"/>
    <x v="2"/>
    <n v="37970.870000000003"/>
    <x v="1"/>
    <x v="0"/>
    <x v="2"/>
    <x v="2"/>
    <x v="5"/>
    <x v="0"/>
    <x v="5"/>
    <x v="0"/>
    <x v="10"/>
    <n v="1"/>
    <x v="0"/>
  </r>
  <r>
    <d v="2020-06-01T00:00:00"/>
    <x v="3"/>
    <x v="3"/>
    <x v="0"/>
    <n v="3608732308.75"/>
    <x v="3"/>
    <x v="3"/>
    <x v="0"/>
    <x v="8"/>
    <x v="5"/>
    <x v="0"/>
    <x v="5"/>
    <x v="0"/>
    <x v="10"/>
    <n v="1"/>
    <x v="0"/>
  </r>
  <r>
    <d v="2020-06-01T00:00:00"/>
    <x v="1"/>
    <x v="0"/>
    <x v="1"/>
    <n v="229149404.78999999"/>
    <x v="1"/>
    <x v="0"/>
    <x v="1"/>
    <x v="10"/>
    <x v="5"/>
    <x v="0"/>
    <x v="5"/>
    <x v="0"/>
    <x v="10"/>
    <n v="1"/>
    <x v="0"/>
  </r>
  <r>
    <d v="2020-06-01T00:00:00"/>
    <x v="3"/>
    <x v="2"/>
    <x v="0"/>
    <n v="419220808.66000003"/>
    <x v="3"/>
    <x v="2"/>
    <x v="0"/>
    <x v="11"/>
    <x v="5"/>
    <x v="0"/>
    <x v="5"/>
    <x v="0"/>
    <x v="10"/>
    <n v="1"/>
    <x v="0"/>
  </r>
  <r>
    <d v="2020-06-01T00:00:00"/>
    <x v="3"/>
    <x v="1"/>
    <x v="0"/>
    <n v="44036169.159999996"/>
    <x v="3"/>
    <x v="1"/>
    <x v="0"/>
    <x v="12"/>
    <x v="5"/>
    <x v="0"/>
    <x v="5"/>
    <x v="0"/>
    <x v="10"/>
    <n v="1"/>
    <x v="0"/>
  </r>
  <r>
    <d v="2020-05-29T00:00:00"/>
    <x v="2"/>
    <x v="1"/>
    <x v="1"/>
    <n v="5165800.2300000004"/>
    <x v="2"/>
    <x v="1"/>
    <x v="1"/>
    <x v="6"/>
    <x v="5"/>
    <x v="0"/>
    <x v="5"/>
    <x v="0"/>
    <x v="11"/>
    <n v="29"/>
    <x v="0"/>
  </r>
  <r>
    <d v="2020-05-29T00:00:00"/>
    <x v="1"/>
    <x v="0"/>
    <x v="2"/>
    <n v="14403.15"/>
    <x v="1"/>
    <x v="0"/>
    <x v="2"/>
    <x v="2"/>
    <x v="5"/>
    <x v="0"/>
    <x v="5"/>
    <x v="0"/>
    <x v="11"/>
    <n v="29"/>
    <x v="0"/>
  </r>
  <r>
    <d v="2020-05-29T00:00:00"/>
    <x v="2"/>
    <x v="1"/>
    <x v="2"/>
    <n v="21231.16"/>
    <x v="2"/>
    <x v="1"/>
    <x v="2"/>
    <x v="3"/>
    <x v="5"/>
    <x v="0"/>
    <x v="5"/>
    <x v="0"/>
    <x v="11"/>
    <n v="29"/>
    <x v="0"/>
  </r>
  <r>
    <d v="2020-05-29T00:00:00"/>
    <x v="1"/>
    <x v="0"/>
    <x v="1"/>
    <n v="92072327.620000005"/>
    <x v="1"/>
    <x v="0"/>
    <x v="1"/>
    <x v="9"/>
    <x v="5"/>
    <x v="0"/>
    <x v="5"/>
    <x v="0"/>
    <x v="11"/>
    <n v="29"/>
    <x v="0"/>
  </r>
  <r>
    <d v="2020-05-29T00:00:00"/>
    <x v="0"/>
    <x v="1"/>
    <x v="1"/>
    <n v="28345441.84"/>
    <x v="0"/>
    <x v="1"/>
    <x v="1"/>
    <x v="4"/>
    <x v="5"/>
    <x v="0"/>
    <x v="5"/>
    <x v="0"/>
    <x v="11"/>
    <n v="29"/>
    <x v="0"/>
  </r>
  <r>
    <d v="2020-05-29T00:00:00"/>
    <x v="3"/>
    <x v="2"/>
    <x v="2"/>
    <n v="382261.01"/>
    <x v="3"/>
    <x v="2"/>
    <x v="2"/>
    <x v="5"/>
    <x v="5"/>
    <x v="0"/>
    <x v="5"/>
    <x v="0"/>
    <x v="11"/>
    <n v="29"/>
    <x v="0"/>
  </r>
  <r>
    <d v="2020-05-29T00:00:00"/>
    <x v="0"/>
    <x v="1"/>
    <x v="0"/>
    <n v="11144776.789999999"/>
    <x v="0"/>
    <x v="1"/>
    <x v="0"/>
    <x v="1"/>
    <x v="5"/>
    <x v="0"/>
    <x v="5"/>
    <x v="0"/>
    <x v="11"/>
    <n v="29"/>
    <x v="0"/>
  </r>
  <r>
    <d v="2020-05-29T00:00:00"/>
    <x v="0"/>
    <x v="0"/>
    <x v="0"/>
    <n v="247.88"/>
    <x v="0"/>
    <x v="0"/>
    <x v="0"/>
    <x v="0"/>
    <x v="5"/>
    <x v="0"/>
    <x v="5"/>
    <x v="0"/>
    <x v="11"/>
    <n v="29"/>
    <x v="0"/>
  </r>
  <r>
    <d v="2020-05-29T00:00:00"/>
    <x v="3"/>
    <x v="3"/>
    <x v="0"/>
    <n v="1855460785.3800001"/>
    <x v="3"/>
    <x v="3"/>
    <x v="0"/>
    <x v="8"/>
    <x v="5"/>
    <x v="0"/>
    <x v="5"/>
    <x v="0"/>
    <x v="11"/>
    <n v="29"/>
    <x v="0"/>
  </r>
  <r>
    <d v="2020-05-29T00:00:00"/>
    <x v="2"/>
    <x v="1"/>
    <x v="0"/>
    <n v="67613201.099999994"/>
    <x v="2"/>
    <x v="1"/>
    <x v="0"/>
    <x v="7"/>
    <x v="5"/>
    <x v="0"/>
    <x v="5"/>
    <x v="0"/>
    <x v="11"/>
    <n v="29"/>
    <x v="0"/>
  </r>
  <r>
    <d v="2020-05-29T00:00:00"/>
    <x v="1"/>
    <x v="0"/>
    <x v="0"/>
    <n v="42440496.350000001"/>
    <x v="1"/>
    <x v="0"/>
    <x v="0"/>
    <x v="10"/>
    <x v="5"/>
    <x v="0"/>
    <x v="5"/>
    <x v="0"/>
    <x v="11"/>
    <n v="29"/>
    <x v="0"/>
  </r>
  <r>
    <d v="2020-05-29T00:00:00"/>
    <x v="3"/>
    <x v="2"/>
    <x v="0"/>
    <n v="464724998.05000001"/>
    <x v="3"/>
    <x v="2"/>
    <x v="0"/>
    <x v="11"/>
    <x v="5"/>
    <x v="0"/>
    <x v="5"/>
    <x v="0"/>
    <x v="11"/>
    <n v="29"/>
    <x v="0"/>
  </r>
  <r>
    <d v="2020-05-29T00:00:00"/>
    <x v="3"/>
    <x v="2"/>
    <x v="1"/>
    <n v="9962655239.6499996"/>
    <x v="3"/>
    <x v="2"/>
    <x v="1"/>
    <x v="12"/>
    <x v="5"/>
    <x v="0"/>
    <x v="5"/>
    <x v="0"/>
    <x v="11"/>
    <n v="29"/>
    <x v="0"/>
  </r>
  <r>
    <d v="2020-05-29T00:00:00"/>
    <x v="3"/>
    <x v="1"/>
    <x v="0"/>
    <n v="13911696.5"/>
    <x v="3"/>
    <x v="1"/>
    <x v="0"/>
    <x v="13"/>
    <x v="5"/>
    <x v="0"/>
    <x v="5"/>
    <x v="0"/>
    <x v="11"/>
    <n v="29"/>
    <x v="0"/>
  </r>
  <r>
    <d v="2020-05-28T00:00:00"/>
    <x v="3"/>
    <x v="2"/>
    <x v="2"/>
    <n v="735239.99"/>
    <x v="3"/>
    <x v="2"/>
    <x v="2"/>
    <x v="4"/>
    <x v="5"/>
    <x v="0"/>
    <x v="5"/>
    <x v="0"/>
    <x v="11"/>
    <n v="28"/>
    <x v="0"/>
  </r>
  <r>
    <d v="2020-05-28T00:00:00"/>
    <x v="2"/>
    <x v="1"/>
    <x v="1"/>
    <n v="18110618.34"/>
    <x v="2"/>
    <x v="1"/>
    <x v="1"/>
    <x v="5"/>
    <x v="5"/>
    <x v="0"/>
    <x v="5"/>
    <x v="0"/>
    <x v="11"/>
    <n v="28"/>
    <x v="0"/>
  </r>
  <r>
    <d v="2020-05-28T00:00:00"/>
    <x v="1"/>
    <x v="0"/>
    <x v="2"/>
    <n v="1985.1"/>
    <x v="1"/>
    <x v="0"/>
    <x v="2"/>
    <x v="2"/>
    <x v="5"/>
    <x v="0"/>
    <x v="5"/>
    <x v="0"/>
    <x v="11"/>
    <n v="28"/>
    <x v="0"/>
  </r>
  <r>
    <d v="2020-05-28T00:00:00"/>
    <x v="0"/>
    <x v="1"/>
    <x v="1"/>
    <n v="24576257.199999999"/>
    <x v="0"/>
    <x v="1"/>
    <x v="1"/>
    <x v="3"/>
    <x v="5"/>
    <x v="0"/>
    <x v="5"/>
    <x v="0"/>
    <x v="11"/>
    <n v="28"/>
    <x v="0"/>
  </r>
  <r>
    <d v="2020-05-28T00:00:00"/>
    <x v="1"/>
    <x v="0"/>
    <x v="1"/>
    <n v="1131425918.1300001"/>
    <x v="1"/>
    <x v="0"/>
    <x v="1"/>
    <x v="7"/>
    <x v="5"/>
    <x v="0"/>
    <x v="5"/>
    <x v="0"/>
    <x v="11"/>
    <n v="28"/>
    <x v="0"/>
  </r>
  <r>
    <d v="2020-05-28T00:00:00"/>
    <x v="1"/>
    <x v="0"/>
    <x v="0"/>
    <n v="64898173.57"/>
    <x v="1"/>
    <x v="0"/>
    <x v="0"/>
    <x v="9"/>
    <x v="5"/>
    <x v="0"/>
    <x v="5"/>
    <x v="0"/>
    <x v="11"/>
    <n v="28"/>
    <x v="0"/>
  </r>
  <r>
    <d v="2020-05-28T00:00:00"/>
    <x v="0"/>
    <x v="0"/>
    <x v="0"/>
    <n v="-411.5"/>
    <x v="0"/>
    <x v="0"/>
    <x v="0"/>
    <x v="0"/>
    <x v="5"/>
    <x v="0"/>
    <x v="5"/>
    <x v="0"/>
    <x v="11"/>
    <n v="28"/>
    <x v="1"/>
  </r>
  <r>
    <d v="2020-05-28T00:00:00"/>
    <x v="0"/>
    <x v="1"/>
    <x v="0"/>
    <n v="12971887.68"/>
    <x v="0"/>
    <x v="1"/>
    <x v="0"/>
    <x v="1"/>
    <x v="5"/>
    <x v="0"/>
    <x v="5"/>
    <x v="0"/>
    <x v="11"/>
    <n v="28"/>
    <x v="0"/>
  </r>
  <r>
    <d v="2020-05-28T00:00:00"/>
    <x v="3"/>
    <x v="3"/>
    <x v="0"/>
    <n v="2030280618.1500001"/>
    <x v="3"/>
    <x v="3"/>
    <x v="0"/>
    <x v="8"/>
    <x v="5"/>
    <x v="0"/>
    <x v="5"/>
    <x v="0"/>
    <x v="11"/>
    <n v="28"/>
    <x v="0"/>
  </r>
  <r>
    <d v="2020-05-28T00:00:00"/>
    <x v="2"/>
    <x v="1"/>
    <x v="0"/>
    <n v="84341689.640000001"/>
    <x v="2"/>
    <x v="1"/>
    <x v="0"/>
    <x v="6"/>
    <x v="5"/>
    <x v="0"/>
    <x v="5"/>
    <x v="0"/>
    <x v="11"/>
    <n v="28"/>
    <x v="0"/>
  </r>
  <r>
    <d v="2020-05-28T00:00:00"/>
    <x v="3"/>
    <x v="2"/>
    <x v="0"/>
    <n v="604968299.36000001"/>
    <x v="3"/>
    <x v="2"/>
    <x v="0"/>
    <x v="10"/>
    <x v="5"/>
    <x v="0"/>
    <x v="5"/>
    <x v="0"/>
    <x v="11"/>
    <n v="28"/>
    <x v="0"/>
  </r>
  <r>
    <d v="2020-05-28T00:00:00"/>
    <x v="3"/>
    <x v="1"/>
    <x v="0"/>
    <n v="12220917.539999999"/>
    <x v="3"/>
    <x v="1"/>
    <x v="0"/>
    <x v="11"/>
    <x v="5"/>
    <x v="0"/>
    <x v="5"/>
    <x v="0"/>
    <x v="11"/>
    <n v="28"/>
    <x v="0"/>
  </r>
  <r>
    <d v="2020-05-28T00:00:00"/>
    <x v="3"/>
    <x v="2"/>
    <x v="1"/>
    <n v="8198278497.1300001"/>
    <x v="3"/>
    <x v="2"/>
    <x v="1"/>
    <x v="12"/>
    <x v="5"/>
    <x v="0"/>
    <x v="5"/>
    <x v="0"/>
    <x v="11"/>
    <n v="28"/>
    <x v="0"/>
  </r>
  <r>
    <d v="2020-05-27T00:00:00"/>
    <x v="2"/>
    <x v="1"/>
    <x v="1"/>
    <n v="30138254.050000001"/>
    <x v="2"/>
    <x v="1"/>
    <x v="1"/>
    <x v="7"/>
    <x v="5"/>
    <x v="0"/>
    <x v="5"/>
    <x v="0"/>
    <x v="11"/>
    <n v="27"/>
    <x v="0"/>
  </r>
  <r>
    <d v="2020-05-27T00:00:00"/>
    <x v="2"/>
    <x v="1"/>
    <x v="2"/>
    <n v="1556.78"/>
    <x v="2"/>
    <x v="1"/>
    <x v="2"/>
    <x v="3"/>
    <x v="5"/>
    <x v="0"/>
    <x v="5"/>
    <x v="0"/>
    <x v="11"/>
    <n v="27"/>
    <x v="0"/>
  </r>
  <r>
    <d v="2020-05-27T00:00:00"/>
    <x v="3"/>
    <x v="3"/>
    <x v="0"/>
    <n v="978492888.47000003"/>
    <x v="3"/>
    <x v="3"/>
    <x v="0"/>
    <x v="8"/>
    <x v="5"/>
    <x v="0"/>
    <x v="5"/>
    <x v="0"/>
    <x v="11"/>
    <n v="27"/>
    <x v="0"/>
  </r>
  <r>
    <d v="2020-05-27T00:00:00"/>
    <x v="0"/>
    <x v="1"/>
    <x v="1"/>
    <n v="32189964.190000001"/>
    <x v="0"/>
    <x v="1"/>
    <x v="1"/>
    <x v="4"/>
    <x v="5"/>
    <x v="0"/>
    <x v="5"/>
    <x v="0"/>
    <x v="11"/>
    <n v="27"/>
    <x v="0"/>
  </r>
  <r>
    <d v="2020-05-27T00:00:00"/>
    <x v="3"/>
    <x v="2"/>
    <x v="2"/>
    <n v="184104"/>
    <x v="3"/>
    <x v="2"/>
    <x v="2"/>
    <x v="5"/>
    <x v="5"/>
    <x v="0"/>
    <x v="5"/>
    <x v="0"/>
    <x v="11"/>
    <n v="27"/>
    <x v="0"/>
  </r>
  <r>
    <d v="2020-05-27T00:00:00"/>
    <x v="2"/>
    <x v="1"/>
    <x v="0"/>
    <n v="52088266.939999998"/>
    <x v="2"/>
    <x v="1"/>
    <x v="0"/>
    <x v="6"/>
    <x v="5"/>
    <x v="0"/>
    <x v="5"/>
    <x v="0"/>
    <x v="11"/>
    <n v="27"/>
    <x v="0"/>
  </r>
  <r>
    <d v="2020-05-27T00:00:00"/>
    <x v="0"/>
    <x v="1"/>
    <x v="0"/>
    <n v="13294825.029999999"/>
    <x v="0"/>
    <x v="1"/>
    <x v="0"/>
    <x v="1"/>
    <x v="5"/>
    <x v="0"/>
    <x v="5"/>
    <x v="0"/>
    <x v="11"/>
    <n v="27"/>
    <x v="0"/>
  </r>
  <r>
    <d v="2020-05-27T00:00:00"/>
    <x v="1"/>
    <x v="0"/>
    <x v="2"/>
    <n v="51152.45"/>
    <x v="1"/>
    <x v="0"/>
    <x v="2"/>
    <x v="2"/>
    <x v="5"/>
    <x v="0"/>
    <x v="5"/>
    <x v="0"/>
    <x v="11"/>
    <n v="27"/>
    <x v="0"/>
  </r>
  <r>
    <d v="2020-05-27T00:00:00"/>
    <x v="0"/>
    <x v="0"/>
    <x v="0"/>
    <n v="7433.26"/>
    <x v="0"/>
    <x v="0"/>
    <x v="0"/>
    <x v="0"/>
    <x v="5"/>
    <x v="0"/>
    <x v="5"/>
    <x v="0"/>
    <x v="11"/>
    <n v="27"/>
    <x v="0"/>
  </r>
  <r>
    <d v="2020-05-27T00:00:00"/>
    <x v="1"/>
    <x v="0"/>
    <x v="1"/>
    <n v="469624153.06"/>
    <x v="1"/>
    <x v="0"/>
    <x v="1"/>
    <x v="10"/>
    <x v="5"/>
    <x v="0"/>
    <x v="5"/>
    <x v="0"/>
    <x v="11"/>
    <n v="27"/>
    <x v="0"/>
  </r>
  <r>
    <d v="2020-05-27T00:00:00"/>
    <x v="1"/>
    <x v="0"/>
    <x v="0"/>
    <n v="87255191.930000007"/>
    <x v="1"/>
    <x v="0"/>
    <x v="0"/>
    <x v="9"/>
    <x v="5"/>
    <x v="0"/>
    <x v="5"/>
    <x v="0"/>
    <x v="11"/>
    <n v="27"/>
    <x v="0"/>
  </r>
  <r>
    <d v="2020-05-27T00:00:00"/>
    <x v="3"/>
    <x v="2"/>
    <x v="0"/>
    <n v="414731720.94999999"/>
    <x v="3"/>
    <x v="2"/>
    <x v="0"/>
    <x v="11"/>
    <x v="5"/>
    <x v="0"/>
    <x v="5"/>
    <x v="0"/>
    <x v="11"/>
    <n v="27"/>
    <x v="0"/>
  </r>
  <r>
    <d v="2020-05-27T00:00:00"/>
    <x v="3"/>
    <x v="1"/>
    <x v="0"/>
    <n v="11704292.390000001"/>
    <x v="3"/>
    <x v="1"/>
    <x v="0"/>
    <x v="12"/>
    <x v="5"/>
    <x v="0"/>
    <x v="5"/>
    <x v="0"/>
    <x v="11"/>
    <n v="27"/>
    <x v="0"/>
  </r>
  <r>
    <d v="2020-05-27T00:00:00"/>
    <x v="3"/>
    <x v="2"/>
    <x v="1"/>
    <n v="4133330839.6100001"/>
    <x v="3"/>
    <x v="2"/>
    <x v="1"/>
    <x v="13"/>
    <x v="5"/>
    <x v="0"/>
    <x v="5"/>
    <x v="0"/>
    <x v="11"/>
    <n v="27"/>
    <x v="0"/>
  </r>
  <r>
    <d v="2020-05-26T00:00:00"/>
    <x v="2"/>
    <x v="1"/>
    <x v="1"/>
    <n v="19156714.109999999"/>
    <x v="2"/>
    <x v="1"/>
    <x v="1"/>
    <x v="5"/>
    <x v="5"/>
    <x v="0"/>
    <x v="5"/>
    <x v="0"/>
    <x v="11"/>
    <n v="26"/>
    <x v="0"/>
  </r>
  <r>
    <d v="2020-05-26T00:00:00"/>
    <x v="1"/>
    <x v="0"/>
    <x v="2"/>
    <n v="6479.26"/>
    <x v="1"/>
    <x v="0"/>
    <x v="2"/>
    <x v="2"/>
    <x v="5"/>
    <x v="0"/>
    <x v="5"/>
    <x v="0"/>
    <x v="11"/>
    <n v="26"/>
    <x v="0"/>
  </r>
  <r>
    <d v="2020-05-26T00:00:00"/>
    <x v="3"/>
    <x v="3"/>
    <x v="0"/>
    <n v="1121204428.47"/>
    <x v="3"/>
    <x v="3"/>
    <x v="0"/>
    <x v="7"/>
    <x v="5"/>
    <x v="0"/>
    <x v="5"/>
    <x v="0"/>
    <x v="11"/>
    <n v="26"/>
    <x v="0"/>
  </r>
  <r>
    <d v="2020-05-26T00:00:00"/>
    <x v="1"/>
    <x v="0"/>
    <x v="0"/>
    <n v="48971963.759999998"/>
    <x v="1"/>
    <x v="0"/>
    <x v="0"/>
    <x v="8"/>
    <x v="5"/>
    <x v="0"/>
    <x v="5"/>
    <x v="0"/>
    <x v="11"/>
    <n v="26"/>
    <x v="0"/>
  </r>
  <r>
    <d v="2020-05-26T00:00:00"/>
    <x v="0"/>
    <x v="1"/>
    <x v="1"/>
    <n v="26183232.460000001"/>
    <x v="0"/>
    <x v="1"/>
    <x v="1"/>
    <x v="3"/>
    <x v="5"/>
    <x v="0"/>
    <x v="5"/>
    <x v="0"/>
    <x v="11"/>
    <n v="26"/>
    <x v="0"/>
  </r>
  <r>
    <d v="2020-05-26T00:00:00"/>
    <x v="1"/>
    <x v="0"/>
    <x v="1"/>
    <n v="430196674.69"/>
    <x v="1"/>
    <x v="0"/>
    <x v="1"/>
    <x v="9"/>
    <x v="5"/>
    <x v="0"/>
    <x v="5"/>
    <x v="0"/>
    <x v="11"/>
    <n v="26"/>
    <x v="0"/>
  </r>
  <r>
    <d v="2020-05-26T00:00:00"/>
    <x v="3"/>
    <x v="2"/>
    <x v="2"/>
    <n v="254590"/>
    <x v="3"/>
    <x v="2"/>
    <x v="2"/>
    <x v="4"/>
    <x v="5"/>
    <x v="0"/>
    <x v="5"/>
    <x v="0"/>
    <x v="11"/>
    <n v="26"/>
    <x v="0"/>
  </r>
  <r>
    <d v="2020-05-26T00:00:00"/>
    <x v="0"/>
    <x v="1"/>
    <x v="0"/>
    <n v="22103417.359999999"/>
    <x v="0"/>
    <x v="1"/>
    <x v="0"/>
    <x v="1"/>
    <x v="5"/>
    <x v="0"/>
    <x v="5"/>
    <x v="0"/>
    <x v="11"/>
    <n v="26"/>
    <x v="0"/>
  </r>
  <r>
    <d v="2020-05-26T00:00:00"/>
    <x v="0"/>
    <x v="0"/>
    <x v="0"/>
    <n v="800"/>
    <x v="0"/>
    <x v="0"/>
    <x v="0"/>
    <x v="0"/>
    <x v="5"/>
    <x v="0"/>
    <x v="5"/>
    <x v="0"/>
    <x v="11"/>
    <n v="26"/>
    <x v="0"/>
  </r>
  <r>
    <d v="2020-05-26T00:00:00"/>
    <x v="2"/>
    <x v="1"/>
    <x v="0"/>
    <n v="65911726.07"/>
    <x v="2"/>
    <x v="1"/>
    <x v="0"/>
    <x v="6"/>
    <x v="5"/>
    <x v="0"/>
    <x v="5"/>
    <x v="0"/>
    <x v="11"/>
    <n v="26"/>
    <x v="0"/>
  </r>
  <r>
    <d v="2020-05-26T00:00:00"/>
    <x v="3"/>
    <x v="2"/>
    <x v="0"/>
    <n v="332093148.55000001"/>
    <x v="3"/>
    <x v="2"/>
    <x v="0"/>
    <x v="10"/>
    <x v="5"/>
    <x v="0"/>
    <x v="5"/>
    <x v="0"/>
    <x v="11"/>
    <n v="26"/>
    <x v="0"/>
  </r>
  <r>
    <d v="2020-05-26T00:00:00"/>
    <x v="3"/>
    <x v="2"/>
    <x v="1"/>
    <n v="14014988207.790001"/>
    <x v="3"/>
    <x v="2"/>
    <x v="1"/>
    <x v="11"/>
    <x v="5"/>
    <x v="0"/>
    <x v="5"/>
    <x v="0"/>
    <x v="11"/>
    <n v="26"/>
    <x v="0"/>
  </r>
  <r>
    <d v="2020-05-26T00:00:00"/>
    <x v="3"/>
    <x v="1"/>
    <x v="0"/>
    <n v="45733814.390000001"/>
    <x v="3"/>
    <x v="1"/>
    <x v="0"/>
    <x v="12"/>
    <x v="5"/>
    <x v="0"/>
    <x v="5"/>
    <x v="0"/>
    <x v="11"/>
    <n v="26"/>
    <x v="0"/>
  </r>
  <r>
    <d v="2020-05-22T00:00:00"/>
    <x v="2"/>
    <x v="1"/>
    <x v="1"/>
    <n v="9959116.5299999993"/>
    <x v="2"/>
    <x v="1"/>
    <x v="1"/>
    <x v="7"/>
    <x v="5"/>
    <x v="0"/>
    <x v="5"/>
    <x v="0"/>
    <x v="11"/>
    <n v="22"/>
    <x v="0"/>
  </r>
  <r>
    <d v="2020-05-22T00:00:00"/>
    <x v="2"/>
    <x v="1"/>
    <x v="2"/>
    <n v="7888.93"/>
    <x v="2"/>
    <x v="1"/>
    <x v="2"/>
    <x v="3"/>
    <x v="5"/>
    <x v="0"/>
    <x v="5"/>
    <x v="0"/>
    <x v="11"/>
    <n v="22"/>
    <x v="0"/>
  </r>
  <r>
    <d v="2020-05-22T00:00:00"/>
    <x v="0"/>
    <x v="1"/>
    <x v="1"/>
    <n v="23371838.52"/>
    <x v="0"/>
    <x v="1"/>
    <x v="1"/>
    <x v="4"/>
    <x v="5"/>
    <x v="0"/>
    <x v="5"/>
    <x v="0"/>
    <x v="11"/>
    <n v="22"/>
    <x v="0"/>
  </r>
  <r>
    <d v="2020-05-22T00:00:00"/>
    <x v="1"/>
    <x v="0"/>
    <x v="1"/>
    <n v="135069972.53"/>
    <x v="1"/>
    <x v="0"/>
    <x v="1"/>
    <x v="10"/>
    <x v="5"/>
    <x v="0"/>
    <x v="5"/>
    <x v="0"/>
    <x v="11"/>
    <n v="22"/>
    <x v="0"/>
  </r>
  <r>
    <d v="2020-05-22T00:00:00"/>
    <x v="3"/>
    <x v="2"/>
    <x v="2"/>
    <n v="142656"/>
    <x v="3"/>
    <x v="2"/>
    <x v="2"/>
    <x v="5"/>
    <x v="5"/>
    <x v="0"/>
    <x v="5"/>
    <x v="0"/>
    <x v="11"/>
    <n v="22"/>
    <x v="0"/>
  </r>
  <r>
    <d v="2020-05-22T00:00:00"/>
    <x v="0"/>
    <x v="1"/>
    <x v="0"/>
    <n v="10645645.52"/>
    <x v="0"/>
    <x v="1"/>
    <x v="0"/>
    <x v="1"/>
    <x v="5"/>
    <x v="0"/>
    <x v="5"/>
    <x v="0"/>
    <x v="11"/>
    <n v="22"/>
    <x v="0"/>
  </r>
  <r>
    <d v="2020-05-22T00:00:00"/>
    <x v="3"/>
    <x v="3"/>
    <x v="0"/>
    <n v="1083979945.2"/>
    <x v="3"/>
    <x v="3"/>
    <x v="0"/>
    <x v="8"/>
    <x v="5"/>
    <x v="0"/>
    <x v="5"/>
    <x v="0"/>
    <x v="11"/>
    <n v="22"/>
    <x v="0"/>
  </r>
  <r>
    <d v="2020-05-22T00:00:00"/>
    <x v="1"/>
    <x v="0"/>
    <x v="0"/>
    <n v="39501220.780000001"/>
    <x v="1"/>
    <x v="0"/>
    <x v="0"/>
    <x v="9"/>
    <x v="5"/>
    <x v="0"/>
    <x v="5"/>
    <x v="0"/>
    <x v="11"/>
    <n v="22"/>
    <x v="0"/>
  </r>
  <r>
    <d v="2020-05-22T00:00:00"/>
    <x v="0"/>
    <x v="0"/>
    <x v="0"/>
    <n v="357"/>
    <x v="0"/>
    <x v="0"/>
    <x v="0"/>
    <x v="0"/>
    <x v="5"/>
    <x v="0"/>
    <x v="5"/>
    <x v="0"/>
    <x v="11"/>
    <n v="22"/>
    <x v="0"/>
  </r>
  <r>
    <d v="2020-05-22T00:00:00"/>
    <x v="1"/>
    <x v="0"/>
    <x v="2"/>
    <n v="3856.35"/>
    <x v="1"/>
    <x v="0"/>
    <x v="2"/>
    <x v="2"/>
    <x v="5"/>
    <x v="0"/>
    <x v="5"/>
    <x v="0"/>
    <x v="11"/>
    <n v="22"/>
    <x v="0"/>
  </r>
  <r>
    <d v="2020-05-22T00:00:00"/>
    <x v="2"/>
    <x v="1"/>
    <x v="0"/>
    <n v="71159578.230000004"/>
    <x v="2"/>
    <x v="1"/>
    <x v="0"/>
    <x v="6"/>
    <x v="5"/>
    <x v="0"/>
    <x v="5"/>
    <x v="0"/>
    <x v="11"/>
    <n v="22"/>
    <x v="0"/>
  </r>
  <r>
    <d v="2020-05-22T00:00:00"/>
    <x v="3"/>
    <x v="2"/>
    <x v="0"/>
    <n v="3524250633.4400001"/>
    <x v="3"/>
    <x v="2"/>
    <x v="0"/>
    <x v="11"/>
    <x v="5"/>
    <x v="0"/>
    <x v="5"/>
    <x v="0"/>
    <x v="11"/>
    <n v="22"/>
    <x v="0"/>
  </r>
  <r>
    <d v="2020-05-22T00:00:00"/>
    <x v="3"/>
    <x v="1"/>
    <x v="0"/>
    <n v="14891724.210000001"/>
    <x v="3"/>
    <x v="1"/>
    <x v="0"/>
    <x v="12"/>
    <x v="5"/>
    <x v="0"/>
    <x v="5"/>
    <x v="0"/>
    <x v="11"/>
    <n v="22"/>
    <x v="0"/>
  </r>
  <r>
    <d v="2020-05-22T00:00:00"/>
    <x v="3"/>
    <x v="2"/>
    <x v="1"/>
    <n v="5843409755.0200005"/>
    <x v="3"/>
    <x v="2"/>
    <x v="1"/>
    <x v="13"/>
    <x v="5"/>
    <x v="0"/>
    <x v="5"/>
    <x v="0"/>
    <x v="11"/>
    <n v="22"/>
    <x v="0"/>
  </r>
  <r>
    <d v="2020-05-21T00:00:00"/>
    <x v="2"/>
    <x v="1"/>
    <x v="0"/>
    <n v="186469340.19"/>
    <x v="2"/>
    <x v="1"/>
    <x v="0"/>
    <x v="4"/>
    <x v="5"/>
    <x v="0"/>
    <x v="5"/>
    <x v="0"/>
    <x v="11"/>
    <n v="21"/>
    <x v="0"/>
  </r>
  <r>
    <d v="2020-05-21T00:00:00"/>
    <x v="2"/>
    <x v="1"/>
    <x v="1"/>
    <n v="10204655.18"/>
    <x v="2"/>
    <x v="1"/>
    <x v="1"/>
    <x v="5"/>
    <x v="5"/>
    <x v="0"/>
    <x v="5"/>
    <x v="0"/>
    <x v="11"/>
    <n v="21"/>
    <x v="0"/>
  </r>
  <r>
    <d v="2020-05-21T00:00:00"/>
    <x v="1"/>
    <x v="0"/>
    <x v="2"/>
    <n v="976.72"/>
    <x v="1"/>
    <x v="0"/>
    <x v="2"/>
    <x v="1"/>
    <x v="5"/>
    <x v="0"/>
    <x v="5"/>
    <x v="0"/>
    <x v="11"/>
    <n v="21"/>
    <x v="0"/>
  </r>
  <r>
    <d v="2020-05-21T00:00:00"/>
    <x v="0"/>
    <x v="1"/>
    <x v="1"/>
    <n v="22424380.91"/>
    <x v="0"/>
    <x v="1"/>
    <x v="1"/>
    <x v="2"/>
    <x v="5"/>
    <x v="0"/>
    <x v="5"/>
    <x v="0"/>
    <x v="11"/>
    <n v="21"/>
    <x v="0"/>
  </r>
  <r>
    <d v="2020-05-21T00:00:00"/>
    <x v="1"/>
    <x v="0"/>
    <x v="0"/>
    <n v="53670102.539999999"/>
    <x v="1"/>
    <x v="0"/>
    <x v="0"/>
    <x v="6"/>
    <x v="5"/>
    <x v="0"/>
    <x v="5"/>
    <x v="0"/>
    <x v="11"/>
    <n v="21"/>
    <x v="0"/>
  </r>
  <r>
    <d v="2020-05-21T00:00:00"/>
    <x v="1"/>
    <x v="0"/>
    <x v="1"/>
    <n v="451113993.44999999"/>
    <x v="1"/>
    <x v="0"/>
    <x v="1"/>
    <x v="7"/>
    <x v="5"/>
    <x v="0"/>
    <x v="5"/>
    <x v="0"/>
    <x v="11"/>
    <n v="21"/>
    <x v="0"/>
  </r>
  <r>
    <d v="2020-05-21T00:00:00"/>
    <x v="3"/>
    <x v="3"/>
    <x v="0"/>
    <n v="1803407058.75"/>
    <x v="3"/>
    <x v="3"/>
    <x v="0"/>
    <x v="8"/>
    <x v="5"/>
    <x v="0"/>
    <x v="5"/>
    <x v="0"/>
    <x v="11"/>
    <n v="21"/>
    <x v="0"/>
  </r>
  <r>
    <d v="2020-05-21T00:00:00"/>
    <x v="0"/>
    <x v="1"/>
    <x v="0"/>
    <n v="14130298.310000001"/>
    <x v="0"/>
    <x v="1"/>
    <x v="0"/>
    <x v="0"/>
    <x v="5"/>
    <x v="0"/>
    <x v="5"/>
    <x v="0"/>
    <x v="11"/>
    <n v="21"/>
    <x v="0"/>
  </r>
  <r>
    <d v="2020-05-21T00:00:00"/>
    <x v="3"/>
    <x v="2"/>
    <x v="2"/>
    <n v="335396"/>
    <x v="3"/>
    <x v="2"/>
    <x v="2"/>
    <x v="3"/>
    <x v="5"/>
    <x v="0"/>
    <x v="5"/>
    <x v="0"/>
    <x v="11"/>
    <n v="21"/>
    <x v="0"/>
  </r>
  <r>
    <d v="2020-05-21T00:00:00"/>
    <x v="3"/>
    <x v="2"/>
    <x v="0"/>
    <n v="274946375.81999999"/>
    <x v="3"/>
    <x v="2"/>
    <x v="0"/>
    <x v="9"/>
    <x v="5"/>
    <x v="0"/>
    <x v="5"/>
    <x v="0"/>
    <x v="11"/>
    <n v="21"/>
    <x v="0"/>
  </r>
  <r>
    <d v="2020-05-21T00:00:00"/>
    <x v="3"/>
    <x v="2"/>
    <x v="1"/>
    <n v="3197595494.0799999"/>
    <x v="3"/>
    <x v="2"/>
    <x v="1"/>
    <x v="10"/>
    <x v="5"/>
    <x v="0"/>
    <x v="5"/>
    <x v="0"/>
    <x v="11"/>
    <n v="21"/>
    <x v="0"/>
  </r>
  <r>
    <d v="2020-05-21T00:00:00"/>
    <x v="3"/>
    <x v="1"/>
    <x v="0"/>
    <n v="13597950.1"/>
    <x v="3"/>
    <x v="1"/>
    <x v="0"/>
    <x v="11"/>
    <x v="5"/>
    <x v="0"/>
    <x v="5"/>
    <x v="0"/>
    <x v="11"/>
    <n v="21"/>
    <x v="0"/>
  </r>
  <r>
    <d v="2020-05-20T00:00:00"/>
    <x v="2"/>
    <x v="1"/>
    <x v="1"/>
    <n v="-21581811.25"/>
    <x v="2"/>
    <x v="1"/>
    <x v="1"/>
    <x v="5"/>
    <x v="5"/>
    <x v="0"/>
    <x v="5"/>
    <x v="0"/>
    <x v="11"/>
    <n v="20"/>
    <x v="1"/>
  </r>
  <r>
    <d v="2020-05-20T00:00:00"/>
    <x v="1"/>
    <x v="0"/>
    <x v="2"/>
    <n v="1523.19"/>
    <x v="1"/>
    <x v="0"/>
    <x v="2"/>
    <x v="2"/>
    <x v="5"/>
    <x v="0"/>
    <x v="5"/>
    <x v="0"/>
    <x v="11"/>
    <n v="20"/>
    <x v="0"/>
  </r>
  <r>
    <d v="2020-05-20T00:00:00"/>
    <x v="1"/>
    <x v="0"/>
    <x v="1"/>
    <n v="661981569.20000005"/>
    <x v="1"/>
    <x v="0"/>
    <x v="1"/>
    <x v="9"/>
    <x v="5"/>
    <x v="0"/>
    <x v="5"/>
    <x v="0"/>
    <x v="11"/>
    <n v="20"/>
    <x v="0"/>
  </r>
  <r>
    <d v="2020-05-20T00:00:00"/>
    <x v="3"/>
    <x v="2"/>
    <x v="2"/>
    <n v="236509"/>
    <x v="3"/>
    <x v="2"/>
    <x v="2"/>
    <x v="4"/>
    <x v="5"/>
    <x v="0"/>
    <x v="5"/>
    <x v="0"/>
    <x v="11"/>
    <n v="20"/>
    <x v="0"/>
  </r>
  <r>
    <d v="2020-05-20T00:00:00"/>
    <x v="0"/>
    <x v="1"/>
    <x v="0"/>
    <n v="12490009.869999999"/>
    <x v="0"/>
    <x v="1"/>
    <x v="0"/>
    <x v="1"/>
    <x v="5"/>
    <x v="0"/>
    <x v="5"/>
    <x v="0"/>
    <x v="11"/>
    <n v="20"/>
    <x v="0"/>
  </r>
  <r>
    <d v="2020-05-20T00:00:00"/>
    <x v="2"/>
    <x v="1"/>
    <x v="0"/>
    <n v="69084313.719999999"/>
    <x v="2"/>
    <x v="1"/>
    <x v="0"/>
    <x v="6"/>
    <x v="5"/>
    <x v="0"/>
    <x v="5"/>
    <x v="0"/>
    <x v="11"/>
    <n v="20"/>
    <x v="0"/>
  </r>
  <r>
    <d v="2020-05-20T00:00:00"/>
    <x v="0"/>
    <x v="0"/>
    <x v="0"/>
    <n v="0.1"/>
    <x v="0"/>
    <x v="0"/>
    <x v="0"/>
    <x v="0"/>
    <x v="5"/>
    <x v="0"/>
    <x v="5"/>
    <x v="0"/>
    <x v="11"/>
    <n v="20"/>
    <x v="0"/>
  </r>
  <r>
    <d v="2020-05-20T00:00:00"/>
    <x v="3"/>
    <x v="3"/>
    <x v="0"/>
    <n v="3248216668.54"/>
    <x v="3"/>
    <x v="3"/>
    <x v="0"/>
    <x v="7"/>
    <x v="5"/>
    <x v="0"/>
    <x v="5"/>
    <x v="0"/>
    <x v="11"/>
    <n v="20"/>
    <x v="0"/>
  </r>
  <r>
    <d v="2020-05-20T00:00:00"/>
    <x v="0"/>
    <x v="1"/>
    <x v="1"/>
    <n v="24017801.510000002"/>
    <x v="0"/>
    <x v="1"/>
    <x v="1"/>
    <x v="3"/>
    <x v="5"/>
    <x v="0"/>
    <x v="5"/>
    <x v="0"/>
    <x v="11"/>
    <n v="20"/>
    <x v="0"/>
  </r>
  <r>
    <d v="2020-05-20T00:00:00"/>
    <x v="1"/>
    <x v="0"/>
    <x v="0"/>
    <n v="53741758.93"/>
    <x v="1"/>
    <x v="0"/>
    <x v="0"/>
    <x v="8"/>
    <x v="5"/>
    <x v="0"/>
    <x v="5"/>
    <x v="0"/>
    <x v="11"/>
    <n v="20"/>
    <x v="0"/>
  </r>
  <r>
    <d v="2020-05-20T00:00:00"/>
    <x v="3"/>
    <x v="2"/>
    <x v="0"/>
    <n v="493042699.33999997"/>
    <x v="3"/>
    <x v="2"/>
    <x v="0"/>
    <x v="10"/>
    <x v="5"/>
    <x v="0"/>
    <x v="5"/>
    <x v="0"/>
    <x v="11"/>
    <n v="20"/>
    <x v="0"/>
  </r>
  <r>
    <d v="2020-05-20T00:00:00"/>
    <x v="3"/>
    <x v="2"/>
    <x v="1"/>
    <n v="9893684266.6900005"/>
    <x v="3"/>
    <x v="2"/>
    <x v="1"/>
    <x v="11"/>
    <x v="5"/>
    <x v="0"/>
    <x v="5"/>
    <x v="0"/>
    <x v="11"/>
    <n v="20"/>
    <x v="0"/>
  </r>
  <r>
    <d v="2020-05-20T00:00:00"/>
    <x v="3"/>
    <x v="1"/>
    <x v="0"/>
    <n v="14782809.189999999"/>
    <x v="3"/>
    <x v="1"/>
    <x v="0"/>
    <x v="12"/>
    <x v="5"/>
    <x v="0"/>
    <x v="5"/>
    <x v="0"/>
    <x v="11"/>
    <n v="20"/>
    <x v="0"/>
  </r>
  <r>
    <d v="2020-05-19T00:00:00"/>
    <x v="2"/>
    <x v="1"/>
    <x v="1"/>
    <n v="124050002.29000001"/>
    <x v="2"/>
    <x v="1"/>
    <x v="1"/>
    <x v="6"/>
    <x v="5"/>
    <x v="0"/>
    <x v="5"/>
    <x v="0"/>
    <x v="11"/>
    <n v="19"/>
    <x v="0"/>
  </r>
  <r>
    <d v="2020-05-19T00:00:00"/>
    <x v="2"/>
    <x v="1"/>
    <x v="2"/>
    <n v="175.72"/>
    <x v="2"/>
    <x v="1"/>
    <x v="2"/>
    <x v="2"/>
    <x v="5"/>
    <x v="0"/>
    <x v="5"/>
    <x v="0"/>
    <x v="11"/>
    <n v="19"/>
    <x v="0"/>
  </r>
  <r>
    <d v="2020-05-19T00:00:00"/>
    <x v="1"/>
    <x v="0"/>
    <x v="2"/>
    <n v="4917.7700000000004"/>
    <x v="1"/>
    <x v="0"/>
    <x v="2"/>
    <x v="3"/>
    <x v="5"/>
    <x v="0"/>
    <x v="5"/>
    <x v="0"/>
    <x v="11"/>
    <n v="19"/>
    <x v="0"/>
  </r>
  <r>
    <d v="2020-05-19T00:00:00"/>
    <x v="2"/>
    <x v="1"/>
    <x v="0"/>
    <n v="64660491.840000004"/>
    <x v="2"/>
    <x v="1"/>
    <x v="0"/>
    <x v="7"/>
    <x v="5"/>
    <x v="0"/>
    <x v="5"/>
    <x v="0"/>
    <x v="11"/>
    <n v="19"/>
    <x v="0"/>
  </r>
  <r>
    <d v="2020-05-19T00:00:00"/>
    <x v="0"/>
    <x v="1"/>
    <x v="1"/>
    <n v="33503805.18"/>
    <x v="0"/>
    <x v="1"/>
    <x v="1"/>
    <x v="4"/>
    <x v="5"/>
    <x v="0"/>
    <x v="5"/>
    <x v="0"/>
    <x v="11"/>
    <n v="19"/>
    <x v="0"/>
  </r>
  <r>
    <d v="2020-05-19T00:00:00"/>
    <x v="1"/>
    <x v="0"/>
    <x v="0"/>
    <n v="40740895.700000003"/>
    <x v="1"/>
    <x v="0"/>
    <x v="0"/>
    <x v="9"/>
    <x v="5"/>
    <x v="0"/>
    <x v="5"/>
    <x v="0"/>
    <x v="11"/>
    <n v="19"/>
    <x v="0"/>
  </r>
  <r>
    <d v="2020-05-19T00:00:00"/>
    <x v="0"/>
    <x v="1"/>
    <x v="0"/>
    <n v="15760130.82"/>
    <x v="0"/>
    <x v="1"/>
    <x v="0"/>
    <x v="1"/>
    <x v="5"/>
    <x v="0"/>
    <x v="5"/>
    <x v="0"/>
    <x v="11"/>
    <n v="19"/>
    <x v="0"/>
  </r>
  <r>
    <d v="2020-05-19T00:00:00"/>
    <x v="3"/>
    <x v="2"/>
    <x v="2"/>
    <n v="75597"/>
    <x v="3"/>
    <x v="2"/>
    <x v="2"/>
    <x v="5"/>
    <x v="5"/>
    <x v="0"/>
    <x v="5"/>
    <x v="0"/>
    <x v="11"/>
    <n v="19"/>
    <x v="0"/>
  </r>
  <r>
    <d v="2020-05-19T00:00:00"/>
    <x v="0"/>
    <x v="0"/>
    <x v="0"/>
    <n v="147"/>
    <x v="0"/>
    <x v="0"/>
    <x v="0"/>
    <x v="0"/>
    <x v="5"/>
    <x v="0"/>
    <x v="5"/>
    <x v="0"/>
    <x v="11"/>
    <n v="19"/>
    <x v="0"/>
  </r>
  <r>
    <d v="2020-05-19T00:00:00"/>
    <x v="3"/>
    <x v="3"/>
    <x v="0"/>
    <n v="2902260896.5"/>
    <x v="3"/>
    <x v="3"/>
    <x v="0"/>
    <x v="8"/>
    <x v="5"/>
    <x v="0"/>
    <x v="5"/>
    <x v="0"/>
    <x v="11"/>
    <n v="19"/>
    <x v="0"/>
  </r>
  <r>
    <d v="2020-05-19T00:00:00"/>
    <x v="1"/>
    <x v="0"/>
    <x v="1"/>
    <n v="398128881.95999998"/>
    <x v="1"/>
    <x v="0"/>
    <x v="1"/>
    <x v="10"/>
    <x v="5"/>
    <x v="0"/>
    <x v="5"/>
    <x v="0"/>
    <x v="11"/>
    <n v="19"/>
    <x v="0"/>
  </r>
  <r>
    <d v="2020-05-19T00:00:00"/>
    <x v="3"/>
    <x v="2"/>
    <x v="0"/>
    <n v="337638400.19"/>
    <x v="3"/>
    <x v="2"/>
    <x v="0"/>
    <x v="11"/>
    <x v="5"/>
    <x v="0"/>
    <x v="5"/>
    <x v="0"/>
    <x v="11"/>
    <n v="19"/>
    <x v="0"/>
  </r>
  <r>
    <d v="2020-05-19T00:00:00"/>
    <x v="3"/>
    <x v="1"/>
    <x v="0"/>
    <n v="8314804.9299999997"/>
    <x v="3"/>
    <x v="1"/>
    <x v="0"/>
    <x v="12"/>
    <x v="5"/>
    <x v="0"/>
    <x v="5"/>
    <x v="0"/>
    <x v="11"/>
    <n v="19"/>
    <x v="0"/>
  </r>
  <r>
    <d v="2020-05-19T00:00:00"/>
    <x v="3"/>
    <x v="2"/>
    <x v="1"/>
    <n v="3311800700.0900002"/>
    <x v="3"/>
    <x v="2"/>
    <x v="1"/>
    <x v="13"/>
    <x v="5"/>
    <x v="0"/>
    <x v="5"/>
    <x v="0"/>
    <x v="11"/>
    <n v="19"/>
    <x v="0"/>
  </r>
  <r>
    <d v="2020-05-18T00:00:00"/>
    <x v="2"/>
    <x v="1"/>
    <x v="1"/>
    <n v="-75189573.769999996"/>
    <x v="2"/>
    <x v="1"/>
    <x v="1"/>
    <x v="4"/>
    <x v="5"/>
    <x v="0"/>
    <x v="5"/>
    <x v="0"/>
    <x v="11"/>
    <n v="18"/>
    <x v="1"/>
  </r>
  <r>
    <d v="2020-05-18T00:00:00"/>
    <x v="2"/>
    <x v="1"/>
    <x v="0"/>
    <n v="50625808.539999999"/>
    <x v="2"/>
    <x v="1"/>
    <x v="0"/>
    <x v="5"/>
    <x v="5"/>
    <x v="0"/>
    <x v="5"/>
    <x v="0"/>
    <x v="11"/>
    <n v="18"/>
    <x v="0"/>
  </r>
  <r>
    <d v="2020-05-18T00:00:00"/>
    <x v="1"/>
    <x v="0"/>
    <x v="2"/>
    <n v="1023.74"/>
    <x v="1"/>
    <x v="0"/>
    <x v="2"/>
    <x v="1"/>
    <x v="5"/>
    <x v="0"/>
    <x v="5"/>
    <x v="0"/>
    <x v="11"/>
    <n v="18"/>
    <x v="0"/>
  </r>
  <r>
    <d v="2020-05-18T00:00:00"/>
    <x v="3"/>
    <x v="3"/>
    <x v="0"/>
    <n v="1300941624.04"/>
    <x v="3"/>
    <x v="3"/>
    <x v="0"/>
    <x v="6"/>
    <x v="5"/>
    <x v="0"/>
    <x v="5"/>
    <x v="0"/>
    <x v="11"/>
    <n v="18"/>
    <x v="0"/>
  </r>
  <r>
    <d v="2020-05-18T00:00:00"/>
    <x v="0"/>
    <x v="1"/>
    <x v="1"/>
    <n v="10970636.48"/>
    <x v="0"/>
    <x v="1"/>
    <x v="1"/>
    <x v="2"/>
    <x v="5"/>
    <x v="0"/>
    <x v="5"/>
    <x v="0"/>
    <x v="11"/>
    <n v="18"/>
    <x v="0"/>
  </r>
  <r>
    <d v="2020-05-18T00:00:00"/>
    <x v="0"/>
    <x v="1"/>
    <x v="0"/>
    <n v="8097889.0199999996"/>
    <x v="0"/>
    <x v="1"/>
    <x v="0"/>
    <x v="0"/>
    <x v="5"/>
    <x v="0"/>
    <x v="5"/>
    <x v="0"/>
    <x v="11"/>
    <n v="18"/>
    <x v="0"/>
  </r>
  <r>
    <d v="2020-05-18T00:00:00"/>
    <x v="3"/>
    <x v="2"/>
    <x v="2"/>
    <n v="153464"/>
    <x v="3"/>
    <x v="2"/>
    <x v="2"/>
    <x v="3"/>
    <x v="5"/>
    <x v="0"/>
    <x v="5"/>
    <x v="0"/>
    <x v="11"/>
    <n v="18"/>
    <x v="0"/>
  </r>
  <r>
    <d v="2020-05-18T00:00:00"/>
    <x v="1"/>
    <x v="0"/>
    <x v="0"/>
    <n v="41281099.420000002"/>
    <x v="1"/>
    <x v="0"/>
    <x v="0"/>
    <x v="7"/>
    <x v="5"/>
    <x v="0"/>
    <x v="5"/>
    <x v="0"/>
    <x v="11"/>
    <n v="18"/>
    <x v="0"/>
  </r>
  <r>
    <d v="2020-05-18T00:00:00"/>
    <x v="1"/>
    <x v="0"/>
    <x v="1"/>
    <n v="383712785.68000001"/>
    <x v="1"/>
    <x v="0"/>
    <x v="1"/>
    <x v="8"/>
    <x v="5"/>
    <x v="0"/>
    <x v="5"/>
    <x v="0"/>
    <x v="11"/>
    <n v="18"/>
    <x v="0"/>
  </r>
  <r>
    <d v="2020-05-18T00:00:00"/>
    <x v="3"/>
    <x v="2"/>
    <x v="0"/>
    <n v="363042885.87"/>
    <x v="3"/>
    <x v="2"/>
    <x v="0"/>
    <x v="9"/>
    <x v="5"/>
    <x v="0"/>
    <x v="5"/>
    <x v="0"/>
    <x v="11"/>
    <n v="18"/>
    <x v="0"/>
  </r>
  <r>
    <d v="2020-05-18T00:00:00"/>
    <x v="3"/>
    <x v="2"/>
    <x v="1"/>
    <n v="23522913884.91"/>
    <x v="3"/>
    <x v="2"/>
    <x v="1"/>
    <x v="10"/>
    <x v="5"/>
    <x v="0"/>
    <x v="5"/>
    <x v="0"/>
    <x v="11"/>
    <n v="18"/>
    <x v="0"/>
  </r>
  <r>
    <d v="2020-05-18T00:00:00"/>
    <x v="3"/>
    <x v="1"/>
    <x v="0"/>
    <n v="42733054.530000001"/>
    <x v="3"/>
    <x v="1"/>
    <x v="0"/>
    <x v="11"/>
    <x v="5"/>
    <x v="0"/>
    <x v="5"/>
    <x v="0"/>
    <x v="11"/>
    <n v="18"/>
    <x v="0"/>
  </r>
  <r>
    <d v="2020-05-15T00:00:00"/>
    <x v="2"/>
    <x v="1"/>
    <x v="0"/>
    <n v="51966561.780000001"/>
    <x v="2"/>
    <x v="1"/>
    <x v="0"/>
    <x v="5"/>
    <x v="5"/>
    <x v="0"/>
    <x v="5"/>
    <x v="0"/>
    <x v="11"/>
    <n v="15"/>
    <x v="0"/>
  </r>
  <r>
    <d v="2020-05-15T00:00:00"/>
    <x v="2"/>
    <x v="1"/>
    <x v="1"/>
    <n v="70247979.400000006"/>
    <x v="2"/>
    <x v="1"/>
    <x v="1"/>
    <x v="6"/>
    <x v="5"/>
    <x v="0"/>
    <x v="5"/>
    <x v="0"/>
    <x v="11"/>
    <n v="15"/>
    <x v="0"/>
  </r>
  <r>
    <d v="2020-05-15T00:00:00"/>
    <x v="1"/>
    <x v="0"/>
    <x v="2"/>
    <n v="2786.13"/>
    <x v="1"/>
    <x v="0"/>
    <x v="2"/>
    <x v="1"/>
    <x v="5"/>
    <x v="0"/>
    <x v="5"/>
    <x v="0"/>
    <x v="11"/>
    <n v="15"/>
    <x v="0"/>
  </r>
  <r>
    <d v="2020-05-15T00:00:00"/>
    <x v="2"/>
    <x v="1"/>
    <x v="2"/>
    <n v="3857.44"/>
    <x v="2"/>
    <x v="1"/>
    <x v="2"/>
    <x v="2"/>
    <x v="5"/>
    <x v="0"/>
    <x v="5"/>
    <x v="0"/>
    <x v="11"/>
    <n v="15"/>
    <x v="0"/>
  </r>
  <r>
    <d v="2020-05-15T00:00:00"/>
    <x v="3"/>
    <x v="2"/>
    <x v="2"/>
    <n v="149112"/>
    <x v="3"/>
    <x v="2"/>
    <x v="2"/>
    <x v="4"/>
    <x v="5"/>
    <x v="0"/>
    <x v="5"/>
    <x v="0"/>
    <x v="11"/>
    <n v="15"/>
    <x v="0"/>
  </r>
  <r>
    <d v="2020-05-15T00:00:00"/>
    <x v="1"/>
    <x v="0"/>
    <x v="0"/>
    <n v="35024254.310000002"/>
    <x v="1"/>
    <x v="0"/>
    <x v="0"/>
    <x v="8"/>
    <x v="5"/>
    <x v="0"/>
    <x v="5"/>
    <x v="0"/>
    <x v="11"/>
    <n v="15"/>
    <x v="0"/>
  </r>
  <r>
    <d v="2020-05-15T00:00:00"/>
    <x v="0"/>
    <x v="1"/>
    <x v="1"/>
    <n v="19339269.449999999"/>
    <x v="0"/>
    <x v="1"/>
    <x v="1"/>
    <x v="3"/>
    <x v="5"/>
    <x v="0"/>
    <x v="5"/>
    <x v="0"/>
    <x v="11"/>
    <n v="15"/>
    <x v="0"/>
  </r>
  <r>
    <d v="2020-05-15T00:00:00"/>
    <x v="0"/>
    <x v="1"/>
    <x v="0"/>
    <n v="10712845.380000001"/>
    <x v="0"/>
    <x v="1"/>
    <x v="0"/>
    <x v="0"/>
    <x v="5"/>
    <x v="0"/>
    <x v="5"/>
    <x v="0"/>
    <x v="11"/>
    <n v="15"/>
    <x v="0"/>
  </r>
  <r>
    <d v="2020-05-15T00:00:00"/>
    <x v="1"/>
    <x v="0"/>
    <x v="1"/>
    <n v="117918700.90000001"/>
    <x v="1"/>
    <x v="0"/>
    <x v="1"/>
    <x v="9"/>
    <x v="5"/>
    <x v="0"/>
    <x v="5"/>
    <x v="0"/>
    <x v="11"/>
    <n v="15"/>
    <x v="0"/>
  </r>
  <r>
    <d v="2020-05-15T00:00:00"/>
    <x v="3"/>
    <x v="3"/>
    <x v="0"/>
    <n v="1140389115.1700001"/>
    <x v="3"/>
    <x v="3"/>
    <x v="0"/>
    <x v="7"/>
    <x v="5"/>
    <x v="0"/>
    <x v="5"/>
    <x v="0"/>
    <x v="11"/>
    <n v="15"/>
    <x v="0"/>
  </r>
  <r>
    <d v="2020-05-15T00:00:00"/>
    <x v="3"/>
    <x v="2"/>
    <x v="0"/>
    <n v="393563875.24000001"/>
    <x v="3"/>
    <x v="2"/>
    <x v="0"/>
    <x v="10"/>
    <x v="5"/>
    <x v="0"/>
    <x v="5"/>
    <x v="0"/>
    <x v="11"/>
    <n v="15"/>
    <x v="0"/>
  </r>
  <r>
    <d v="2020-05-15T00:00:00"/>
    <x v="3"/>
    <x v="2"/>
    <x v="1"/>
    <n v="10996771501.620001"/>
    <x v="3"/>
    <x v="2"/>
    <x v="1"/>
    <x v="11"/>
    <x v="5"/>
    <x v="0"/>
    <x v="5"/>
    <x v="0"/>
    <x v="11"/>
    <n v="15"/>
    <x v="0"/>
  </r>
  <r>
    <d v="2020-05-15T00:00:00"/>
    <x v="3"/>
    <x v="1"/>
    <x v="0"/>
    <n v="14445210.93"/>
    <x v="3"/>
    <x v="1"/>
    <x v="0"/>
    <x v="12"/>
    <x v="5"/>
    <x v="0"/>
    <x v="5"/>
    <x v="0"/>
    <x v="11"/>
    <n v="15"/>
    <x v="0"/>
  </r>
  <r>
    <d v="2020-05-14T00:00:00"/>
    <x v="2"/>
    <x v="1"/>
    <x v="0"/>
    <n v="81738855.939999998"/>
    <x v="2"/>
    <x v="1"/>
    <x v="0"/>
    <x v="5"/>
    <x v="5"/>
    <x v="0"/>
    <x v="5"/>
    <x v="0"/>
    <x v="11"/>
    <n v="14"/>
    <x v="0"/>
  </r>
  <r>
    <d v="2020-05-14T00:00:00"/>
    <x v="2"/>
    <x v="1"/>
    <x v="1"/>
    <n v="150195799.47999999"/>
    <x v="2"/>
    <x v="1"/>
    <x v="1"/>
    <x v="6"/>
    <x v="5"/>
    <x v="0"/>
    <x v="5"/>
    <x v="0"/>
    <x v="11"/>
    <n v="14"/>
    <x v="0"/>
  </r>
  <r>
    <d v="2020-05-14T00:00:00"/>
    <x v="1"/>
    <x v="0"/>
    <x v="2"/>
    <n v="617.67999999999995"/>
    <x v="1"/>
    <x v="0"/>
    <x v="2"/>
    <x v="1"/>
    <x v="5"/>
    <x v="0"/>
    <x v="5"/>
    <x v="0"/>
    <x v="11"/>
    <n v="14"/>
    <x v="0"/>
  </r>
  <r>
    <d v="2020-05-14T00:00:00"/>
    <x v="0"/>
    <x v="1"/>
    <x v="1"/>
    <n v="66623781.049999997"/>
    <x v="0"/>
    <x v="1"/>
    <x v="1"/>
    <x v="3"/>
    <x v="5"/>
    <x v="0"/>
    <x v="5"/>
    <x v="0"/>
    <x v="11"/>
    <n v="14"/>
    <x v="0"/>
  </r>
  <r>
    <d v="2020-05-14T00:00:00"/>
    <x v="1"/>
    <x v="0"/>
    <x v="0"/>
    <n v="49357131.979999997"/>
    <x v="1"/>
    <x v="0"/>
    <x v="0"/>
    <x v="7"/>
    <x v="5"/>
    <x v="0"/>
    <x v="5"/>
    <x v="0"/>
    <x v="11"/>
    <n v="14"/>
    <x v="0"/>
  </r>
  <r>
    <d v="2020-05-14T00:00:00"/>
    <x v="3"/>
    <x v="2"/>
    <x v="2"/>
    <n v="125863"/>
    <x v="3"/>
    <x v="2"/>
    <x v="2"/>
    <x v="4"/>
    <x v="5"/>
    <x v="0"/>
    <x v="5"/>
    <x v="0"/>
    <x v="11"/>
    <n v="14"/>
    <x v="0"/>
  </r>
  <r>
    <d v="2020-05-14T00:00:00"/>
    <x v="1"/>
    <x v="0"/>
    <x v="1"/>
    <n v="240210731.09"/>
    <x v="1"/>
    <x v="0"/>
    <x v="1"/>
    <x v="8"/>
    <x v="5"/>
    <x v="0"/>
    <x v="5"/>
    <x v="0"/>
    <x v="11"/>
    <n v="14"/>
    <x v="0"/>
  </r>
  <r>
    <d v="2020-05-14T00:00:00"/>
    <x v="0"/>
    <x v="1"/>
    <x v="0"/>
    <n v="26650246.350000001"/>
    <x v="0"/>
    <x v="1"/>
    <x v="0"/>
    <x v="0"/>
    <x v="5"/>
    <x v="0"/>
    <x v="5"/>
    <x v="0"/>
    <x v="11"/>
    <n v="14"/>
    <x v="0"/>
  </r>
  <r>
    <d v="2020-05-14T00:00:00"/>
    <x v="3"/>
    <x v="3"/>
    <x v="0"/>
    <n v="961481181.39999998"/>
    <x v="3"/>
    <x v="3"/>
    <x v="0"/>
    <x v="9"/>
    <x v="5"/>
    <x v="0"/>
    <x v="5"/>
    <x v="0"/>
    <x v="11"/>
    <n v="14"/>
    <x v="0"/>
  </r>
  <r>
    <d v="2020-05-14T00:00:00"/>
    <x v="3"/>
    <x v="3"/>
    <x v="1"/>
    <n v="9400.25"/>
    <x v="3"/>
    <x v="3"/>
    <x v="1"/>
    <x v="2"/>
    <x v="5"/>
    <x v="0"/>
    <x v="5"/>
    <x v="0"/>
    <x v="11"/>
    <n v="14"/>
    <x v="0"/>
  </r>
  <r>
    <d v="2020-05-14T00:00:00"/>
    <x v="3"/>
    <x v="2"/>
    <x v="0"/>
    <n v="375395770.92000002"/>
    <x v="3"/>
    <x v="2"/>
    <x v="0"/>
    <x v="10"/>
    <x v="5"/>
    <x v="0"/>
    <x v="5"/>
    <x v="0"/>
    <x v="11"/>
    <n v="14"/>
    <x v="0"/>
  </r>
  <r>
    <d v="2020-05-14T00:00:00"/>
    <x v="3"/>
    <x v="2"/>
    <x v="1"/>
    <n v="3547938326.2800002"/>
    <x v="3"/>
    <x v="2"/>
    <x v="1"/>
    <x v="11"/>
    <x v="5"/>
    <x v="0"/>
    <x v="5"/>
    <x v="0"/>
    <x v="11"/>
    <n v="14"/>
    <x v="0"/>
  </r>
  <r>
    <d v="2020-05-14T00:00:00"/>
    <x v="3"/>
    <x v="1"/>
    <x v="0"/>
    <n v="12976492.609999999"/>
    <x v="3"/>
    <x v="1"/>
    <x v="0"/>
    <x v="12"/>
    <x v="5"/>
    <x v="0"/>
    <x v="5"/>
    <x v="0"/>
    <x v="11"/>
    <n v="14"/>
    <x v="0"/>
  </r>
  <r>
    <d v="2020-05-13T00:00:00"/>
    <x v="2"/>
    <x v="1"/>
    <x v="1"/>
    <n v="2753341.95"/>
    <x v="2"/>
    <x v="1"/>
    <x v="1"/>
    <x v="6"/>
    <x v="5"/>
    <x v="0"/>
    <x v="5"/>
    <x v="0"/>
    <x v="11"/>
    <n v="13"/>
    <x v="0"/>
  </r>
  <r>
    <d v="2020-05-13T00:00:00"/>
    <x v="2"/>
    <x v="1"/>
    <x v="0"/>
    <n v="60086042.829999998"/>
    <x v="2"/>
    <x v="1"/>
    <x v="0"/>
    <x v="7"/>
    <x v="5"/>
    <x v="0"/>
    <x v="5"/>
    <x v="0"/>
    <x v="11"/>
    <n v="13"/>
    <x v="0"/>
  </r>
  <r>
    <d v="2020-05-13T00:00:00"/>
    <x v="3"/>
    <x v="3"/>
    <x v="1"/>
    <n v="3808923.33"/>
    <x v="3"/>
    <x v="3"/>
    <x v="1"/>
    <x v="3"/>
    <x v="5"/>
    <x v="0"/>
    <x v="5"/>
    <x v="0"/>
    <x v="11"/>
    <n v="13"/>
    <x v="0"/>
  </r>
  <r>
    <d v="2020-05-13T00:00:00"/>
    <x v="0"/>
    <x v="1"/>
    <x v="1"/>
    <n v="9004103.0199999996"/>
    <x v="0"/>
    <x v="1"/>
    <x v="1"/>
    <x v="4"/>
    <x v="5"/>
    <x v="0"/>
    <x v="5"/>
    <x v="0"/>
    <x v="11"/>
    <n v="13"/>
    <x v="0"/>
  </r>
  <r>
    <d v="2020-05-13T00:00:00"/>
    <x v="1"/>
    <x v="0"/>
    <x v="0"/>
    <n v="44526034.75"/>
    <x v="1"/>
    <x v="0"/>
    <x v="0"/>
    <x v="8"/>
    <x v="5"/>
    <x v="0"/>
    <x v="5"/>
    <x v="0"/>
    <x v="11"/>
    <n v="13"/>
    <x v="0"/>
  </r>
  <r>
    <d v="2020-05-13T00:00:00"/>
    <x v="0"/>
    <x v="1"/>
    <x v="0"/>
    <n v="-119599323.51000001"/>
    <x v="0"/>
    <x v="1"/>
    <x v="0"/>
    <x v="1"/>
    <x v="5"/>
    <x v="0"/>
    <x v="5"/>
    <x v="0"/>
    <x v="11"/>
    <n v="13"/>
    <x v="1"/>
  </r>
  <r>
    <d v="2020-05-13T00:00:00"/>
    <x v="3"/>
    <x v="3"/>
    <x v="0"/>
    <n v="2508477659.29"/>
    <x v="3"/>
    <x v="3"/>
    <x v="0"/>
    <x v="9"/>
    <x v="5"/>
    <x v="0"/>
    <x v="5"/>
    <x v="0"/>
    <x v="11"/>
    <n v="13"/>
    <x v="0"/>
  </r>
  <r>
    <d v="2020-05-13T00:00:00"/>
    <x v="3"/>
    <x v="2"/>
    <x v="2"/>
    <n v="122714"/>
    <x v="3"/>
    <x v="2"/>
    <x v="2"/>
    <x v="5"/>
    <x v="5"/>
    <x v="0"/>
    <x v="5"/>
    <x v="0"/>
    <x v="11"/>
    <n v="13"/>
    <x v="0"/>
  </r>
  <r>
    <d v="2020-05-13T00:00:00"/>
    <x v="0"/>
    <x v="0"/>
    <x v="0"/>
    <n v="100"/>
    <x v="0"/>
    <x v="0"/>
    <x v="0"/>
    <x v="0"/>
    <x v="5"/>
    <x v="0"/>
    <x v="5"/>
    <x v="0"/>
    <x v="11"/>
    <n v="13"/>
    <x v="0"/>
  </r>
  <r>
    <d v="2020-05-13T00:00:00"/>
    <x v="1"/>
    <x v="0"/>
    <x v="2"/>
    <n v="2113.27"/>
    <x v="1"/>
    <x v="0"/>
    <x v="2"/>
    <x v="2"/>
    <x v="5"/>
    <x v="0"/>
    <x v="5"/>
    <x v="0"/>
    <x v="11"/>
    <n v="13"/>
    <x v="0"/>
  </r>
  <r>
    <d v="2020-05-13T00:00:00"/>
    <x v="1"/>
    <x v="0"/>
    <x v="1"/>
    <n v="802765770.61000001"/>
    <x v="1"/>
    <x v="0"/>
    <x v="1"/>
    <x v="10"/>
    <x v="5"/>
    <x v="0"/>
    <x v="5"/>
    <x v="0"/>
    <x v="11"/>
    <n v="13"/>
    <x v="0"/>
  </r>
  <r>
    <d v="2020-05-13T00:00:00"/>
    <x v="3"/>
    <x v="2"/>
    <x v="0"/>
    <n v="292155419.56999999"/>
    <x v="3"/>
    <x v="2"/>
    <x v="0"/>
    <x v="11"/>
    <x v="5"/>
    <x v="0"/>
    <x v="5"/>
    <x v="0"/>
    <x v="11"/>
    <n v="13"/>
    <x v="0"/>
  </r>
  <r>
    <d v="2020-05-13T00:00:00"/>
    <x v="3"/>
    <x v="2"/>
    <x v="1"/>
    <n v="7500050053.9700003"/>
    <x v="3"/>
    <x v="2"/>
    <x v="1"/>
    <x v="12"/>
    <x v="5"/>
    <x v="0"/>
    <x v="5"/>
    <x v="0"/>
    <x v="11"/>
    <n v="13"/>
    <x v="0"/>
  </r>
  <r>
    <d v="2020-05-13T00:00:00"/>
    <x v="3"/>
    <x v="1"/>
    <x v="0"/>
    <n v="13512701.039999999"/>
    <x v="3"/>
    <x v="1"/>
    <x v="0"/>
    <x v="13"/>
    <x v="5"/>
    <x v="0"/>
    <x v="5"/>
    <x v="0"/>
    <x v="11"/>
    <n v="13"/>
    <x v="0"/>
  </r>
  <r>
    <d v="2020-05-12T00:00:00"/>
    <x v="2"/>
    <x v="1"/>
    <x v="1"/>
    <n v="10246499.119999999"/>
    <x v="2"/>
    <x v="1"/>
    <x v="1"/>
    <x v="7"/>
    <x v="5"/>
    <x v="0"/>
    <x v="5"/>
    <x v="0"/>
    <x v="11"/>
    <n v="12"/>
    <x v="0"/>
  </r>
  <r>
    <d v="2020-05-12T00:00:00"/>
    <x v="2"/>
    <x v="1"/>
    <x v="2"/>
    <n v="2054.5700000000002"/>
    <x v="2"/>
    <x v="1"/>
    <x v="2"/>
    <x v="2"/>
    <x v="5"/>
    <x v="0"/>
    <x v="5"/>
    <x v="0"/>
    <x v="11"/>
    <n v="12"/>
    <x v="0"/>
  </r>
  <r>
    <d v="2020-05-12T00:00:00"/>
    <x v="1"/>
    <x v="0"/>
    <x v="2"/>
    <n v="36481.019999999997"/>
    <x v="1"/>
    <x v="0"/>
    <x v="2"/>
    <x v="3"/>
    <x v="5"/>
    <x v="0"/>
    <x v="5"/>
    <x v="0"/>
    <x v="11"/>
    <n v="12"/>
    <x v="0"/>
  </r>
  <r>
    <d v="2020-05-12T00:00:00"/>
    <x v="2"/>
    <x v="1"/>
    <x v="0"/>
    <n v="55936396.600000001"/>
    <x v="2"/>
    <x v="1"/>
    <x v="0"/>
    <x v="8"/>
    <x v="5"/>
    <x v="0"/>
    <x v="5"/>
    <x v="0"/>
    <x v="11"/>
    <n v="12"/>
    <x v="0"/>
  </r>
  <r>
    <d v="2020-05-12T00:00:00"/>
    <x v="0"/>
    <x v="1"/>
    <x v="0"/>
    <n v="10148081.07"/>
    <x v="0"/>
    <x v="1"/>
    <x v="0"/>
    <x v="1"/>
    <x v="5"/>
    <x v="0"/>
    <x v="5"/>
    <x v="0"/>
    <x v="11"/>
    <n v="12"/>
    <x v="0"/>
  </r>
  <r>
    <d v="2020-05-12T00:00:00"/>
    <x v="3"/>
    <x v="3"/>
    <x v="0"/>
    <n v="1821007584.52"/>
    <x v="3"/>
    <x v="3"/>
    <x v="0"/>
    <x v="9"/>
    <x v="5"/>
    <x v="0"/>
    <x v="5"/>
    <x v="0"/>
    <x v="11"/>
    <n v="12"/>
    <x v="0"/>
  </r>
  <r>
    <d v="2020-05-12T00:00:00"/>
    <x v="0"/>
    <x v="1"/>
    <x v="1"/>
    <n v="23934949.859999999"/>
    <x v="0"/>
    <x v="1"/>
    <x v="1"/>
    <x v="5"/>
    <x v="5"/>
    <x v="0"/>
    <x v="5"/>
    <x v="0"/>
    <x v="11"/>
    <n v="12"/>
    <x v="0"/>
  </r>
  <r>
    <d v="2020-05-12T00:00:00"/>
    <x v="1"/>
    <x v="0"/>
    <x v="1"/>
    <n v="433247804.38999999"/>
    <x v="1"/>
    <x v="0"/>
    <x v="1"/>
    <x v="10"/>
    <x v="5"/>
    <x v="0"/>
    <x v="5"/>
    <x v="0"/>
    <x v="11"/>
    <n v="12"/>
    <x v="0"/>
  </r>
  <r>
    <d v="2020-05-12T00:00:00"/>
    <x v="3"/>
    <x v="2"/>
    <x v="2"/>
    <n v="86078"/>
    <x v="3"/>
    <x v="2"/>
    <x v="2"/>
    <x v="6"/>
    <x v="5"/>
    <x v="0"/>
    <x v="5"/>
    <x v="0"/>
    <x v="11"/>
    <n v="12"/>
    <x v="0"/>
  </r>
  <r>
    <d v="2020-05-12T00:00:00"/>
    <x v="0"/>
    <x v="0"/>
    <x v="0"/>
    <n v="4114.83"/>
    <x v="0"/>
    <x v="0"/>
    <x v="0"/>
    <x v="0"/>
    <x v="5"/>
    <x v="0"/>
    <x v="5"/>
    <x v="0"/>
    <x v="11"/>
    <n v="12"/>
    <x v="0"/>
  </r>
  <r>
    <d v="2020-05-12T00:00:00"/>
    <x v="3"/>
    <x v="3"/>
    <x v="1"/>
    <n v="2315635.19"/>
    <x v="3"/>
    <x v="3"/>
    <x v="1"/>
    <x v="4"/>
    <x v="5"/>
    <x v="0"/>
    <x v="5"/>
    <x v="0"/>
    <x v="11"/>
    <n v="12"/>
    <x v="0"/>
  </r>
  <r>
    <d v="2020-05-12T00:00:00"/>
    <x v="1"/>
    <x v="0"/>
    <x v="0"/>
    <n v="43126337.759999998"/>
    <x v="1"/>
    <x v="0"/>
    <x v="0"/>
    <x v="11"/>
    <x v="5"/>
    <x v="0"/>
    <x v="5"/>
    <x v="0"/>
    <x v="11"/>
    <n v="12"/>
    <x v="0"/>
  </r>
  <r>
    <d v="2020-05-12T00:00:00"/>
    <x v="3"/>
    <x v="2"/>
    <x v="0"/>
    <n v="380760875.44999999"/>
    <x v="3"/>
    <x v="2"/>
    <x v="0"/>
    <x v="12"/>
    <x v="5"/>
    <x v="0"/>
    <x v="5"/>
    <x v="0"/>
    <x v="11"/>
    <n v="12"/>
    <x v="0"/>
  </r>
  <r>
    <d v="2020-05-12T00:00:00"/>
    <x v="3"/>
    <x v="1"/>
    <x v="0"/>
    <n v="7498772.3399999999"/>
    <x v="3"/>
    <x v="1"/>
    <x v="0"/>
    <x v="13"/>
    <x v="5"/>
    <x v="0"/>
    <x v="5"/>
    <x v="0"/>
    <x v="11"/>
    <n v="12"/>
    <x v="0"/>
  </r>
  <r>
    <d v="2020-05-12T00:00:00"/>
    <x v="3"/>
    <x v="2"/>
    <x v="1"/>
    <n v="2810629089.4200001"/>
    <x v="3"/>
    <x v="2"/>
    <x v="1"/>
    <x v="14"/>
    <x v="5"/>
    <x v="0"/>
    <x v="5"/>
    <x v="0"/>
    <x v="11"/>
    <n v="12"/>
    <x v="0"/>
  </r>
  <r>
    <d v="2020-05-11T00:00:00"/>
    <x v="0"/>
    <x v="1"/>
    <x v="0"/>
    <n v="14046378.300000001"/>
    <x v="0"/>
    <x v="1"/>
    <x v="0"/>
    <x v="0"/>
    <x v="5"/>
    <x v="0"/>
    <x v="5"/>
    <x v="0"/>
    <x v="11"/>
    <n v="11"/>
    <x v="0"/>
  </r>
  <r>
    <d v="2020-05-11T00:00:00"/>
    <x v="3"/>
    <x v="3"/>
    <x v="0"/>
    <n v="1336976572.03"/>
    <x v="3"/>
    <x v="3"/>
    <x v="0"/>
    <x v="7"/>
    <x v="5"/>
    <x v="0"/>
    <x v="5"/>
    <x v="0"/>
    <x v="11"/>
    <n v="11"/>
    <x v="0"/>
  </r>
  <r>
    <d v="2020-05-11T00:00:00"/>
    <x v="0"/>
    <x v="1"/>
    <x v="1"/>
    <n v="8457626.4199999999"/>
    <x v="0"/>
    <x v="1"/>
    <x v="1"/>
    <x v="3"/>
    <x v="5"/>
    <x v="0"/>
    <x v="5"/>
    <x v="0"/>
    <x v="11"/>
    <n v="11"/>
    <x v="0"/>
  </r>
  <r>
    <d v="2020-05-11T00:00:00"/>
    <x v="1"/>
    <x v="0"/>
    <x v="0"/>
    <n v="60282682.159999996"/>
    <x v="1"/>
    <x v="0"/>
    <x v="0"/>
    <x v="8"/>
    <x v="5"/>
    <x v="0"/>
    <x v="5"/>
    <x v="0"/>
    <x v="11"/>
    <n v="11"/>
    <x v="0"/>
  </r>
  <r>
    <d v="2020-05-11T00:00:00"/>
    <x v="3"/>
    <x v="2"/>
    <x v="2"/>
    <n v="103527"/>
    <x v="3"/>
    <x v="2"/>
    <x v="2"/>
    <x v="4"/>
    <x v="5"/>
    <x v="0"/>
    <x v="5"/>
    <x v="0"/>
    <x v="11"/>
    <n v="11"/>
    <x v="0"/>
  </r>
  <r>
    <d v="2020-05-11T00:00:00"/>
    <x v="2"/>
    <x v="1"/>
    <x v="0"/>
    <n v="48272955.299999997"/>
    <x v="2"/>
    <x v="1"/>
    <x v="0"/>
    <x v="6"/>
    <x v="5"/>
    <x v="0"/>
    <x v="5"/>
    <x v="0"/>
    <x v="11"/>
    <n v="11"/>
    <x v="0"/>
  </r>
  <r>
    <d v="2020-05-11T00:00:00"/>
    <x v="1"/>
    <x v="0"/>
    <x v="2"/>
    <n v="1009.47"/>
    <x v="1"/>
    <x v="0"/>
    <x v="2"/>
    <x v="1"/>
    <x v="5"/>
    <x v="0"/>
    <x v="5"/>
    <x v="0"/>
    <x v="11"/>
    <n v="11"/>
    <x v="0"/>
  </r>
  <r>
    <d v="2020-05-11T00:00:00"/>
    <x v="3"/>
    <x v="3"/>
    <x v="1"/>
    <n v="72974.039999999994"/>
    <x v="3"/>
    <x v="3"/>
    <x v="1"/>
    <x v="2"/>
    <x v="5"/>
    <x v="0"/>
    <x v="5"/>
    <x v="0"/>
    <x v="11"/>
    <n v="11"/>
    <x v="0"/>
  </r>
  <r>
    <d v="2020-05-11T00:00:00"/>
    <x v="2"/>
    <x v="1"/>
    <x v="1"/>
    <n v="7351074.9500000002"/>
    <x v="2"/>
    <x v="1"/>
    <x v="1"/>
    <x v="5"/>
    <x v="5"/>
    <x v="0"/>
    <x v="5"/>
    <x v="0"/>
    <x v="11"/>
    <n v="11"/>
    <x v="0"/>
  </r>
  <r>
    <d v="2020-05-11T00:00:00"/>
    <x v="1"/>
    <x v="0"/>
    <x v="1"/>
    <n v="442553585.69"/>
    <x v="1"/>
    <x v="0"/>
    <x v="1"/>
    <x v="9"/>
    <x v="5"/>
    <x v="0"/>
    <x v="5"/>
    <x v="0"/>
    <x v="11"/>
    <n v="11"/>
    <x v="0"/>
  </r>
  <r>
    <d v="2020-05-11T00:00:00"/>
    <x v="3"/>
    <x v="2"/>
    <x v="0"/>
    <n v="412772008.69999999"/>
    <x v="3"/>
    <x v="2"/>
    <x v="0"/>
    <x v="10"/>
    <x v="5"/>
    <x v="0"/>
    <x v="5"/>
    <x v="0"/>
    <x v="11"/>
    <n v="11"/>
    <x v="0"/>
  </r>
  <r>
    <d v="2020-05-11T00:00:00"/>
    <x v="3"/>
    <x v="2"/>
    <x v="1"/>
    <n v="12407716509.129999"/>
    <x v="3"/>
    <x v="2"/>
    <x v="1"/>
    <x v="11"/>
    <x v="5"/>
    <x v="0"/>
    <x v="5"/>
    <x v="0"/>
    <x v="11"/>
    <n v="11"/>
    <x v="0"/>
  </r>
  <r>
    <d v="2020-05-11T00:00:00"/>
    <x v="3"/>
    <x v="1"/>
    <x v="0"/>
    <n v="38134847.640000001"/>
    <x v="3"/>
    <x v="1"/>
    <x v="0"/>
    <x v="12"/>
    <x v="5"/>
    <x v="0"/>
    <x v="5"/>
    <x v="0"/>
    <x v="11"/>
    <n v="11"/>
    <x v="0"/>
  </r>
  <r>
    <d v="2020-05-08T00:00:00"/>
    <x v="2"/>
    <x v="1"/>
    <x v="0"/>
    <n v="71974662.049999997"/>
    <x v="2"/>
    <x v="1"/>
    <x v="0"/>
    <x v="7"/>
    <x v="5"/>
    <x v="0"/>
    <x v="5"/>
    <x v="0"/>
    <x v="11"/>
    <n v="8"/>
    <x v="0"/>
  </r>
  <r>
    <d v="2020-05-08T00:00:00"/>
    <x v="2"/>
    <x v="1"/>
    <x v="1"/>
    <n v="2446751.61"/>
    <x v="2"/>
    <x v="1"/>
    <x v="1"/>
    <x v="8"/>
    <x v="5"/>
    <x v="0"/>
    <x v="5"/>
    <x v="0"/>
    <x v="11"/>
    <n v="8"/>
    <x v="0"/>
  </r>
  <r>
    <d v="2020-05-08T00:00:00"/>
    <x v="1"/>
    <x v="0"/>
    <x v="2"/>
    <n v="15477.24"/>
    <x v="1"/>
    <x v="0"/>
    <x v="2"/>
    <x v="2"/>
    <x v="5"/>
    <x v="0"/>
    <x v="5"/>
    <x v="0"/>
    <x v="11"/>
    <n v="8"/>
    <x v="0"/>
  </r>
  <r>
    <d v="2020-05-08T00:00:00"/>
    <x v="2"/>
    <x v="1"/>
    <x v="2"/>
    <n v="2924.77"/>
    <x v="2"/>
    <x v="1"/>
    <x v="2"/>
    <x v="3"/>
    <x v="5"/>
    <x v="0"/>
    <x v="5"/>
    <x v="0"/>
    <x v="11"/>
    <n v="8"/>
    <x v="0"/>
  </r>
  <r>
    <d v="2020-05-08T00:00:00"/>
    <x v="0"/>
    <x v="1"/>
    <x v="0"/>
    <n v="23738102.940000001"/>
    <x v="0"/>
    <x v="1"/>
    <x v="0"/>
    <x v="1"/>
    <x v="5"/>
    <x v="0"/>
    <x v="5"/>
    <x v="0"/>
    <x v="11"/>
    <n v="8"/>
    <x v="0"/>
  </r>
  <r>
    <d v="2020-05-08T00:00:00"/>
    <x v="3"/>
    <x v="3"/>
    <x v="0"/>
    <n v="1958975534.74"/>
    <x v="3"/>
    <x v="3"/>
    <x v="0"/>
    <x v="9"/>
    <x v="5"/>
    <x v="0"/>
    <x v="5"/>
    <x v="0"/>
    <x v="11"/>
    <n v="8"/>
    <x v="0"/>
  </r>
  <r>
    <d v="2020-05-08T00:00:00"/>
    <x v="0"/>
    <x v="1"/>
    <x v="1"/>
    <n v="12138271.310000001"/>
    <x v="0"/>
    <x v="1"/>
    <x v="1"/>
    <x v="4"/>
    <x v="5"/>
    <x v="0"/>
    <x v="5"/>
    <x v="0"/>
    <x v="11"/>
    <n v="8"/>
    <x v="0"/>
  </r>
  <r>
    <d v="2020-05-08T00:00:00"/>
    <x v="1"/>
    <x v="0"/>
    <x v="0"/>
    <n v="50053891.170000002"/>
    <x v="1"/>
    <x v="0"/>
    <x v="0"/>
    <x v="10"/>
    <x v="5"/>
    <x v="0"/>
    <x v="5"/>
    <x v="0"/>
    <x v="11"/>
    <n v="8"/>
    <x v="0"/>
  </r>
  <r>
    <d v="2020-05-08T00:00:00"/>
    <x v="3"/>
    <x v="2"/>
    <x v="2"/>
    <n v="256705"/>
    <x v="3"/>
    <x v="2"/>
    <x v="2"/>
    <x v="6"/>
    <x v="5"/>
    <x v="0"/>
    <x v="5"/>
    <x v="0"/>
    <x v="11"/>
    <n v="8"/>
    <x v="0"/>
  </r>
  <r>
    <d v="2020-05-08T00:00:00"/>
    <x v="3"/>
    <x v="3"/>
    <x v="1"/>
    <n v="-5004180"/>
    <x v="3"/>
    <x v="3"/>
    <x v="1"/>
    <x v="5"/>
    <x v="5"/>
    <x v="0"/>
    <x v="5"/>
    <x v="0"/>
    <x v="11"/>
    <n v="8"/>
    <x v="1"/>
  </r>
  <r>
    <d v="2020-05-08T00:00:00"/>
    <x v="0"/>
    <x v="0"/>
    <x v="0"/>
    <n v="1200"/>
    <x v="0"/>
    <x v="0"/>
    <x v="0"/>
    <x v="0"/>
    <x v="5"/>
    <x v="0"/>
    <x v="5"/>
    <x v="0"/>
    <x v="11"/>
    <n v="8"/>
    <x v="0"/>
  </r>
  <r>
    <d v="2020-05-08T00:00:00"/>
    <x v="1"/>
    <x v="0"/>
    <x v="1"/>
    <n v="178852919.41"/>
    <x v="1"/>
    <x v="0"/>
    <x v="1"/>
    <x v="11"/>
    <x v="5"/>
    <x v="0"/>
    <x v="5"/>
    <x v="0"/>
    <x v="11"/>
    <n v="8"/>
    <x v="0"/>
  </r>
  <r>
    <d v="2020-05-08T00:00:00"/>
    <x v="3"/>
    <x v="2"/>
    <x v="0"/>
    <n v="359095577.55000001"/>
    <x v="3"/>
    <x v="2"/>
    <x v="0"/>
    <x v="12"/>
    <x v="5"/>
    <x v="0"/>
    <x v="5"/>
    <x v="0"/>
    <x v="11"/>
    <n v="8"/>
    <x v="0"/>
  </r>
  <r>
    <d v="2020-05-08T00:00:00"/>
    <x v="3"/>
    <x v="2"/>
    <x v="1"/>
    <n v="6441932759.1499996"/>
    <x v="3"/>
    <x v="2"/>
    <x v="1"/>
    <x v="13"/>
    <x v="5"/>
    <x v="0"/>
    <x v="5"/>
    <x v="0"/>
    <x v="11"/>
    <n v="8"/>
    <x v="0"/>
  </r>
  <r>
    <d v="2020-05-08T00:00:00"/>
    <x v="3"/>
    <x v="1"/>
    <x v="0"/>
    <n v="13905711.68"/>
    <x v="3"/>
    <x v="1"/>
    <x v="0"/>
    <x v="14"/>
    <x v="5"/>
    <x v="0"/>
    <x v="5"/>
    <x v="0"/>
    <x v="11"/>
    <n v="8"/>
    <x v="0"/>
  </r>
  <r>
    <d v="2020-05-07T00:00:00"/>
    <x v="2"/>
    <x v="1"/>
    <x v="0"/>
    <n v="62946162.340000004"/>
    <x v="2"/>
    <x v="1"/>
    <x v="0"/>
    <x v="4"/>
    <x v="5"/>
    <x v="0"/>
    <x v="5"/>
    <x v="0"/>
    <x v="11"/>
    <n v="7"/>
    <x v="0"/>
  </r>
  <r>
    <d v="2020-05-07T00:00:00"/>
    <x v="2"/>
    <x v="1"/>
    <x v="1"/>
    <n v="6614610.9900000002"/>
    <x v="2"/>
    <x v="1"/>
    <x v="1"/>
    <x v="5"/>
    <x v="5"/>
    <x v="0"/>
    <x v="5"/>
    <x v="0"/>
    <x v="11"/>
    <n v="7"/>
    <x v="0"/>
  </r>
  <r>
    <d v="2020-05-07T00:00:00"/>
    <x v="1"/>
    <x v="0"/>
    <x v="2"/>
    <n v="15459.43"/>
    <x v="1"/>
    <x v="0"/>
    <x v="2"/>
    <x v="1"/>
    <x v="5"/>
    <x v="0"/>
    <x v="5"/>
    <x v="0"/>
    <x v="11"/>
    <n v="7"/>
    <x v="0"/>
  </r>
  <r>
    <d v="2020-05-07T00:00:00"/>
    <x v="0"/>
    <x v="1"/>
    <x v="0"/>
    <n v="139983141.38"/>
    <x v="0"/>
    <x v="1"/>
    <x v="0"/>
    <x v="0"/>
    <x v="5"/>
    <x v="0"/>
    <x v="5"/>
    <x v="0"/>
    <x v="11"/>
    <n v="7"/>
    <x v="0"/>
  </r>
  <r>
    <d v="2020-05-07T00:00:00"/>
    <x v="0"/>
    <x v="1"/>
    <x v="1"/>
    <n v="16248592.890000001"/>
    <x v="0"/>
    <x v="1"/>
    <x v="1"/>
    <x v="2"/>
    <x v="5"/>
    <x v="0"/>
    <x v="5"/>
    <x v="0"/>
    <x v="11"/>
    <n v="7"/>
    <x v="0"/>
  </r>
  <r>
    <d v="2020-05-07T00:00:00"/>
    <x v="1"/>
    <x v="0"/>
    <x v="0"/>
    <n v="56907407.090000004"/>
    <x v="1"/>
    <x v="0"/>
    <x v="0"/>
    <x v="6"/>
    <x v="5"/>
    <x v="0"/>
    <x v="5"/>
    <x v="0"/>
    <x v="11"/>
    <n v="7"/>
    <x v="0"/>
  </r>
  <r>
    <d v="2020-05-07T00:00:00"/>
    <x v="3"/>
    <x v="2"/>
    <x v="2"/>
    <n v="202409"/>
    <x v="3"/>
    <x v="2"/>
    <x v="2"/>
    <x v="3"/>
    <x v="5"/>
    <x v="0"/>
    <x v="5"/>
    <x v="0"/>
    <x v="11"/>
    <n v="7"/>
    <x v="0"/>
  </r>
  <r>
    <d v="2020-05-07T00:00:00"/>
    <x v="3"/>
    <x v="3"/>
    <x v="0"/>
    <n v="1825304425.9000001"/>
    <x v="3"/>
    <x v="3"/>
    <x v="0"/>
    <x v="7"/>
    <x v="5"/>
    <x v="0"/>
    <x v="5"/>
    <x v="0"/>
    <x v="11"/>
    <n v="7"/>
    <x v="0"/>
  </r>
  <r>
    <d v="2020-05-07T00:00:00"/>
    <x v="1"/>
    <x v="0"/>
    <x v="1"/>
    <n v="259269809.53"/>
    <x v="1"/>
    <x v="0"/>
    <x v="1"/>
    <x v="8"/>
    <x v="5"/>
    <x v="0"/>
    <x v="5"/>
    <x v="0"/>
    <x v="11"/>
    <n v="7"/>
    <x v="0"/>
  </r>
  <r>
    <d v="2020-05-07T00:00:00"/>
    <x v="3"/>
    <x v="2"/>
    <x v="0"/>
    <n v="387547795.10000002"/>
    <x v="3"/>
    <x v="2"/>
    <x v="0"/>
    <x v="9"/>
    <x v="5"/>
    <x v="0"/>
    <x v="5"/>
    <x v="0"/>
    <x v="11"/>
    <n v="7"/>
    <x v="0"/>
  </r>
  <r>
    <d v="2020-05-07T00:00:00"/>
    <x v="3"/>
    <x v="2"/>
    <x v="1"/>
    <n v="2336640758.73"/>
    <x v="3"/>
    <x v="2"/>
    <x v="1"/>
    <x v="10"/>
    <x v="5"/>
    <x v="0"/>
    <x v="5"/>
    <x v="0"/>
    <x v="11"/>
    <n v="7"/>
    <x v="0"/>
  </r>
  <r>
    <d v="2020-05-07T00:00:00"/>
    <x v="3"/>
    <x v="1"/>
    <x v="0"/>
    <n v="13677000.539999999"/>
    <x v="3"/>
    <x v="1"/>
    <x v="0"/>
    <x v="11"/>
    <x v="5"/>
    <x v="0"/>
    <x v="5"/>
    <x v="0"/>
    <x v="11"/>
    <n v="7"/>
    <x v="0"/>
  </r>
  <r>
    <d v="2020-05-06T00:00:00"/>
    <x v="2"/>
    <x v="1"/>
    <x v="1"/>
    <n v="38472021.530000001"/>
    <x v="2"/>
    <x v="1"/>
    <x v="1"/>
    <x v="5"/>
    <x v="5"/>
    <x v="0"/>
    <x v="5"/>
    <x v="0"/>
    <x v="11"/>
    <n v="6"/>
    <x v="0"/>
  </r>
  <r>
    <d v="2020-05-06T00:00:00"/>
    <x v="0"/>
    <x v="1"/>
    <x v="0"/>
    <n v="8961851.8499999996"/>
    <x v="0"/>
    <x v="1"/>
    <x v="0"/>
    <x v="0"/>
    <x v="5"/>
    <x v="0"/>
    <x v="5"/>
    <x v="0"/>
    <x v="11"/>
    <n v="6"/>
    <x v="0"/>
  </r>
  <r>
    <d v="2020-05-06T00:00:00"/>
    <x v="3"/>
    <x v="3"/>
    <x v="0"/>
    <n v="3558475829.46"/>
    <x v="3"/>
    <x v="3"/>
    <x v="0"/>
    <x v="6"/>
    <x v="5"/>
    <x v="0"/>
    <x v="5"/>
    <x v="0"/>
    <x v="11"/>
    <n v="6"/>
    <x v="0"/>
  </r>
  <r>
    <d v="2020-05-06T00:00:00"/>
    <x v="3"/>
    <x v="2"/>
    <x v="2"/>
    <n v="134185"/>
    <x v="3"/>
    <x v="2"/>
    <x v="2"/>
    <x v="3"/>
    <x v="5"/>
    <x v="0"/>
    <x v="5"/>
    <x v="0"/>
    <x v="11"/>
    <n v="6"/>
    <x v="0"/>
  </r>
  <r>
    <d v="2020-05-06T00:00:00"/>
    <x v="0"/>
    <x v="1"/>
    <x v="1"/>
    <n v="14542251.67"/>
    <x v="0"/>
    <x v="1"/>
    <x v="1"/>
    <x v="2"/>
    <x v="5"/>
    <x v="0"/>
    <x v="5"/>
    <x v="0"/>
    <x v="11"/>
    <n v="6"/>
    <x v="0"/>
  </r>
  <r>
    <d v="2020-05-06T00:00:00"/>
    <x v="1"/>
    <x v="0"/>
    <x v="1"/>
    <n v="873277502.63"/>
    <x v="1"/>
    <x v="0"/>
    <x v="1"/>
    <x v="8"/>
    <x v="5"/>
    <x v="0"/>
    <x v="5"/>
    <x v="0"/>
    <x v="11"/>
    <n v="6"/>
    <x v="0"/>
  </r>
  <r>
    <d v="2020-05-06T00:00:00"/>
    <x v="2"/>
    <x v="1"/>
    <x v="0"/>
    <n v="70491281.280000001"/>
    <x v="2"/>
    <x v="1"/>
    <x v="0"/>
    <x v="4"/>
    <x v="5"/>
    <x v="0"/>
    <x v="5"/>
    <x v="0"/>
    <x v="11"/>
    <n v="6"/>
    <x v="0"/>
  </r>
  <r>
    <d v="2020-05-06T00:00:00"/>
    <x v="1"/>
    <x v="0"/>
    <x v="2"/>
    <n v="2198.3200000000002"/>
    <x v="1"/>
    <x v="0"/>
    <x v="2"/>
    <x v="1"/>
    <x v="5"/>
    <x v="0"/>
    <x v="5"/>
    <x v="0"/>
    <x v="11"/>
    <n v="6"/>
    <x v="0"/>
  </r>
  <r>
    <d v="2020-05-06T00:00:00"/>
    <x v="1"/>
    <x v="0"/>
    <x v="0"/>
    <n v="59936173.880000003"/>
    <x v="1"/>
    <x v="0"/>
    <x v="0"/>
    <x v="7"/>
    <x v="5"/>
    <x v="0"/>
    <x v="5"/>
    <x v="0"/>
    <x v="11"/>
    <n v="6"/>
    <x v="0"/>
  </r>
  <r>
    <d v="2020-05-06T00:00:00"/>
    <x v="3"/>
    <x v="1"/>
    <x v="0"/>
    <n v="15287909.550000001"/>
    <x v="3"/>
    <x v="1"/>
    <x v="0"/>
    <x v="9"/>
    <x v="5"/>
    <x v="0"/>
    <x v="5"/>
    <x v="0"/>
    <x v="11"/>
    <n v="6"/>
    <x v="0"/>
  </r>
  <r>
    <d v="2020-05-06T00:00:00"/>
    <x v="3"/>
    <x v="2"/>
    <x v="0"/>
    <n v="469776863.82999998"/>
    <x v="3"/>
    <x v="2"/>
    <x v="0"/>
    <x v="10"/>
    <x v="5"/>
    <x v="0"/>
    <x v="5"/>
    <x v="0"/>
    <x v="11"/>
    <n v="6"/>
    <x v="0"/>
  </r>
  <r>
    <d v="2020-05-06T00:00:00"/>
    <x v="3"/>
    <x v="2"/>
    <x v="1"/>
    <n v="9847689088.6100006"/>
    <x v="3"/>
    <x v="2"/>
    <x v="1"/>
    <x v="11"/>
    <x v="5"/>
    <x v="0"/>
    <x v="5"/>
    <x v="0"/>
    <x v="11"/>
    <n v="6"/>
    <x v="0"/>
  </r>
  <r>
    <d v="2020-05-05T00:00:00"/>
    <x v="1"/>
    <x v="0"/>
    <x v="2"/>
    <n v="52436.18"/>
    <x v="1"/>
    <x v="0"/>
    <x v="2"/>
    <x v="2"/>
    <x v="5"/>
    <x v="0"/>
    <x v="5"/>
    <x v="0"/>
    <x v="11"/>
    <n v="5"/>
    <x v="0"/>
  </r>
  <r>
    <d v="2020-05-05T00:00:00"/>
    <x v="2"/>
    <x v="1"/>
    <x v="1"/>
    <n v="10958353.539999999"/>
    <x v="2"/>
    <x v="1"/>
    <x v="1"/>
    <x v="7"/>
    <x v="5"/>
    <x v="0"/>
    <x v="5"/>
    <x v="0"/>
    <x v="11"/>
    <n v="5"/>
    <x v="0"/>
  </r>
  <r>
    <d v="2020-05-05T00:00:00"/>
    <x v="2"/>
    <x v="1"/>
    <x v="2"/>
    <n v="7414.13"/>
    <x v="2"/>
    <x v="1"/>
    <x v="2"/>
    <x v="3"/>
    <x v="5"/>
    <x v="0"/>
    <x v="5"/>
    <x v="0"/>
    <x v="11"/>
    <n v="5"/>
    <x v="0"/>
  </r>
  <r>
    <d v="2020-05-05T00:00:00"/>
    <x v="0"/>
    <x v="1"/>
    <x v="0"/>
    <n v="9966832.1699999999"/>
    <x v="0"/>
    <x v="1"/>
    <x v="0"/>
    <x v="1"/>
    <x v="5"/>
    <x v="0"/>
    <x v="5"/>
    <x v="0"/>
    <x v="11"/>
    <n v="5"/>
    <x v="0"/>
  </r>
  <r>
    <d v="2020-05-05T00:00:00"/>
    <x v="3"/>
    <x v="3"/>
    <x v="1"/>
    <n v="723373.19"/>
    <x v="3"/>
    <x v="3"/>
    <x v="1"/>
    <x v="4"/>
    <x v="5"/>
    <x v="0"/>
    <x v="5"/>
    <x v="0"/>
    <x v="11"/>
    <n v="5"/>
    <x v="0"/>
  </r>
  <r>
    <d v="2020-05-05T00:00:00"/>
    <x v="0"/>
    <x v="1"/>
    <x v="1"/>
    <n v="6398572.7400000002"/>
    <x v="0"/>
    <x v="1"/>
    <x v="1"/>
    <x v="5"/>
    <x v="5"/>
    <x v="0"/>
    <x v="5"/>
    <x v="0"/>
    <x v="11"/>
    <n v="5"/>
    <x v="0"/>
  </r>
  <r>
    <d v="2020-05-05T00:00:00"/>
    <x v="1"/>
    <x v="0"/>
    <x v="1"/>
    <n v="447883231.56"/>
    <x v="1"/>
    <x v="0"/>
    <x v="1"/>
    <x v="10"/>
    <x v="5"/>
    <x v="0"/>
    <x v="5"/>
    <x v="0"/>
    <x v="11"/>
    <n v="5"/>
    <x v="0"/>
  </r>
  <r>
    <d v="2020-05-05T00:00:00"/>
    <x v="1"/>
    <x v="0"/>
    <x v="0"/>
    <n v="68448597.540000007"/>
    <x v="1"/>
    <x v="0"/>
    <x v="0"/>
    <x v="11"/>
    <x v="5"/>
    <x v="0"/>
    <x v="5"/>
    <x v="0"/>
    <x v="11"/>
    <n v="5"/>
    <x v="0"/>
  </r>
  <r>
    <d v="2020-05-05T00:00:00"/>
    <x v="3"/>
    <x v="2"/>
    <x v="2"/>
    <n v="60688"/>
    <x v="3"/>
    <x v="2"/>
    <x v="2"/>
    <x v="6"/>
    <x v="5"/>
    <x v="0"/>
    <x v="5"/>
    <x v="0"/>
    <x v="11"/>
    <n v="5"/>
    <x v="0"/>
  </r>
  <r>
    <d v="2020-05-05T00:00:00"/>
    <x v="0"/>
    <x v="0"/>
    <x v="0"/>
    <n v="3304.58"/>
    <x v="0"/>
    <x v="0"/>
    <x v="0"/>
    <x v="0"/>
    <x v="5"/>
    <x v="0"/>
    <x v="5"/>
    <x v="0"/>
    <x v="11"/>
    <n v="5"/>
    <x v="0"/>
  </r>
  <r>
    <d v="2020-05-05T00:00:00"/>
    <x v="3"/>
    <x v="3"/>
    <x v="0"/>
    <n v="5639536643.7299995"/>
    <x v="3"/>
    <x v="3"/>
    <x v="0"/>
    <x v="9"/>
    <x v="5"/>
    <x v="0"/>
    <x v="5"/>
    <x v="0"/>
    <x v="11"/>
    <n v="5"/>
    <x v="0"/>
  </r>
  <r>
    <d v="2020-05-05T00:00:00"/>
    <x v="2"/>
    <x v="1"/>
    <x v="0"/>
    <n v="58123277.280000001"/>
    <x v="2"/>
    <x v="1"/>
    <x v="0"/>
    <x v="8"/>
    <x v="5"/>
    <x v="0"/>
    <x v="5"/>
    <x v="0"/>
    <x v="11"/>
    <n v="5"/>
    <x v="0"/>
  </r>
  <r>
    <d v="2020-05-05T00:00:00"/>
    <x v="3"/>
    <x v="1"/>
    <x v="0"/>
    <n v="8670167.25"/>
    <x v="3"/>
    <x v="1"/>
    <x v="0"/>
    <x v="12"/>
    <x v="5"/>
    <x v="0"/>
    <x v="5"/>
    <x v="0"/>
    <x v="11"/>
    <n v="5"/>
    <x v="0"/>
  </r>
  <r>
    <d v="2020-05-05T00:00:00"/>
    <x v="3"/>
    <x v="2"/>
    <x v="0"/>
    <n v="597843938.86000001"/>
    <x v="3"/>
    <x v="2"/>
    <x v="0"/>
    <x v="13"/>
    <x v="5"/>
    <x v="0"/>
    <x v="5"/>
    <x v="0"/>
    <x v="11"/>
    <n v="5"/>
    <x v="0"/>
  </r>
  <r>
    <d v="2020-05-05T00:00:00"/>
    <x v="3"/>
    <x v="2"/>
    <x v="1"/>
    <n v="2703271221.1199999"/>
    <x v="3"/>
    <x v="2"/>
    <x v="1"/>
    <x v="14"/>
    <x v="5"/>
    <x v="0"/>
    <x v="5"/>
    <x v="0"/>
    <x v="11"/>
    <n v="5"/>
    <x v="0"/>
  </r>
  <r>
    <d v="2020-05-04T00:00:00"/>
    <x v="2"/>
    <x v="1"/>
    <x v="0"/>
    <n v="119750161.5"/>
    <x v="2"/>
    <x v="1"/>
    <x v="0"/>
    <x v="5"/>
    <x v="5"/>
    <x v="0"/>
    <x v="5"/>
    <x v="0"/>
    <x v="11"/>
    <n v="4"/>
    <x v="0"/>
  </r>
  <r>
    <d v="2020-05-04T00:00:00"/>
    <x v="0"/>
    <x v="1"/>
    <x v="0"/>
    <n v="14926824.300000001"/>
    <x v="0"/>
    <x v="1"/>
    <x v="0"/>
    <x v="1"/>
    <x v="5"/>
    <x v="0"/>
    <x v="5"/>
    <x v="0"/>
    <x v="11"/>
    <n v="4"/>
    <x v="0"/>
  </r>
  <r>
    <d v="2020-05-04T00:00:00"/>
    <x v="1"/>
    <x v="0"/>
    <x v="0"/>
    <n v="57226281.909999996"/>
    <x v="1"/>
    <x v="0"/>
    <x v="0"/>
    <x v="8"/>
    <x v="5"/>
    <x v="0"/>
    <x v="5"/>
    <x v="0"/>
    <x v="11"/>
    <n v="4"/>
    <x v="0"/>
  </r>
  <r>
    <d v="2020-05-04T00:00:00"/>
    <x v="3"/>
    <x v="2"/>
    <x v="2"/>
    <n v="284734"/>
    <x v="3"/>
    <x v="2"/>
    <x v="2"/>
    <x v="4"/>
    <x v="5"/>
    <x v="0"/>
    <x v="5"/>
    <x v="0"/>
    <x v="11"/>
    <n v="4"/>
    <x v="0"/>
  </r>
  <r>
    <d v="2020-05-04T00:00:00"/>
    <x v="0"/>
    <x v="0"/>
    <x v="0"/>
    <n v="-300000"/>
    <x v="0"/>
    <x v="0"/>
    <x v="0"/>
    <x v="0"/>
    <x v="5"/>
    <x v="0"/>
    <x v="5"/>
    <x v="0"/>
    <x v="11"/>
    <n v="4"/>
    <x v="1"/>
  </r>
  <r>
    <d v="2020-05-04T00:00:00"/>
    <x v="1"/>
    <x v="0"/>
    <x v="2"/>
    <n v="18609.16"/>
    <x v="1"/>
    <x v="0"/>
    <x v="2"/>
    <x v="2"/>
    <x v="5"/>
    <x v="0"/>
    <x v="5"/>
    <x v="0"/>
    <x v="11"/>
    <n v="4"/>
    <x v="0"/>
  </r>
  <r>
    <d v="2020-05-04T00:00:00"/>
    <x v="0"/>
    <x v="1"/>
    <x v="1"/>
    <n v="12522718.77"/>
    <x v="0"/>
    <x v="1"/>
    <x v="1"/>
    <x v="3"/>
    <x v="5"/>
    <x v="0"/>
    <x v="5"/>
    <x v="0"/>
    <x v="11"/>
    <n v="4"/>
    <x v="0"/>
  </r>
  <r>
    <d v="2020-05-04T00:00:00"/>
    <x v="2"/>
    <x v="1"/>
    <x v="1"/>
    <n v="17638526.57"/>
    <x v="2"/>
    <x v="1"/>
    <x v="1"/>
    <x v="6"/>
    <x v="5"/>
    <x v="0"/>
    <x v="5"/>
    <x v="0"/>
    <x v="11"/>
    <n v="4"/>
    <x v="0"/>
  </r>
  <r>
    <d v="2020-05-04T00:00:00"/>
    <x v="3"/>
    <x v="3"/>
    <x v="0"/>
    <n v="4418093435.7399998"/>
    <x v="3"/>
    <x v="3"/>
    <x v="0"/>
    <x v="7"/>
    <x v="5"/>
    <x v="0"/>
    <x v="5"/>
    <x v="0"/>
    <x v="11"/>
    <n v="4"/>
    <x v="0"/>
  </r>
  <r>
    <d v="2020-05-04T00:00:00"/>
    <x v="1"/>
    <x v="0"/>
    <x v="1"/>
    <n v="366306830.60000002"/>
    <x v="1"/>
    <x v="0"/>
    <x v="1"/>
    <x v="9"/>
    <x v="5"/>
    <x v="0"/>
    <x v="5"/>
    <x v="0"/>
    <x v="11"/>
    <n v="4"/>
    <x v="0"/>
  </r>
  <r>
    <d v="2020-05-04T00:00:00"/>
    <x v="3"/>
    <x v="2"/>
    <x v="0"/>
    <n v="696245070.44000006"/>
    <x v="3"/>
    <x v="2"/>
    <x v="0"/>
    <x v="10"/>
    <x v="5"/>
    <x v="0"/>
    <x v="5"/>
    <x v="0"/>
    <x v="11"/>
    <n v="4"/>
    <x v="0"/>
  </r>
  <r>
    <d v="2020-05-04T00:00:00"/>
    <x v="3"/>
    <x v="2"/>
    <x v="1"/>
    <n v="18324561298.400002"/>
    <x v="3"/>
    <x v="2"/>
    <x v="1"/>
    <x v="11"/>
    <x v="5"/>
    <x v="0"/>
    <x v="5"/>
    <x v="0"/>
    <x v="11"/>
    <n v="4"/>
    <x v="0"/>
  </r>
  <r>
    <d v="2020-05-04T00:00:00"/>
    <x v="3"/>
    <x v="1"/>
    <x v="0"/>
    <n v="43038420.270000003"/>
    <x v="3"/>
    <x v="1"/>
    <x v="0"/>
    <x v="12"/>
    <x v="5"/>
    <x v="0"/>
    <x v="5"/>
    <x v="0"/>
    <x v="11"/>
    <n v="4"/>
    <x v="0"/>
  </r>
  <r>
    <d v="2020-05-01T00:00:00"/>
    <x v="2"/>
    <x v="1"/>
    <x v="1"/>
    <n v="6823979.4500000002"/>
    <x v="2"/>
    <x v="1"/>
    <x v="1"/>
    <x v="6"/>
    <x v="5"/>
    <x v="0"/>
    <x v="5"/>
    <x v="0"/>
    <x v="11"/>
    <n v="1"/>
    <x v="0"/>
  </r>
  <r>
    <d v="2020-05-01T00:00:00"/>
    <x v="1"/>
    <x v="0"/>
    <x v="2"/>
    <n v="15084.18"/>
    <x v="1"/>
    <x v="0"/>
    <x v="2"/>
    <x v="1"/>
    <x v="5"/>
    <x v="0"/>
    <x v="5"/>
    <x v="0"/>
    <x v="11"/>
    <n v="1"/>
    <x v="0"/>
  </r>
  <r>
    <d v="2020-05-01T00:00:00"/>
    <x v="0"/>
    <x v="1"/>
    <x v="0"/>
    <n v="14227624.27"/>
    <x v="0"/>
    <x v="1"/>
    <x v="0"/>
    <x v="0"/>
    <x v="5"/>
    <x v="0"/>
    <x v="5"/>
    <x v="0"/>
    <x v="11"/>
    <n v="1"/>
    <x v="0"/>
  </r>
  <r>
    <d v="2020-05-01T00:00:00"/>
    <x v="2"/>
    <x v="1"/>
    <x v="2"/>
    <n v="13801.51"/>
    <x v="2"/>
    <x v="1"/>
    <x v="2"/>
    <x v="2"/>
    <x v="5"/>
    <x v="0"/>
    <x v="5"/>
    <x v="0"/>
    <x v="11"/>
    <n v="1"/>
    <x v="0"/>
  </r>
  <r>
    <d v="2020-05-01T00:00:00"/>
    <x v="3"/>
    <x v="3"/>
    <x v="0"/>
    <n v="8151704527.2399998"/>
    <x v="3"/>
    <x v="3"/>
    <x v="0"/>
    <x v="8"/>
    <x v="5"/>
    <x v="0"/>
    <x v="5"/>
    <x v="0"/>
    <x v="11"/>
    <n v="1"/>
    <x v="0"/>
  </r>
  <r>
    <d v="2020-05-01T00:00:00"/>
    <x v="0"/>
    <x v="1"/>
    <x v="1"/>
    <n v="18973628.34"/>
    <x v="0"/>
    <x v="1"/>
    <x v="1"/>
    <x v="4"/>
    <x v="5"/>
    <x v="0"/>
    <x v="5"/>
    <x v="0"/>
    <x v="11"/>
    <n v="1"/>
    <x v="0"/>
  </r>
  <r>
    <d v="2020-05-01T00:00:00"/>
    <x v="1"/>
    <x v="0"/>
    <x v="1"/>
    <n v="144733012.66"/>
    <x v="1"/>
    <x v="0"/>
    <x v="1"/>
    <x v="10"/>
    <x v="5"/>
    <x v="0"/>
    <x v="5"/>
    <x v="0"/>
    <x v="11"/>
    <n v="1"/>
    <x v="0"/>
  </r>
  <r>
    <d v="2020-05-01T00:00:00"/>
    <x v="3"/>
    <x v="2"/>
    <x v="2"/>
    <n v="121978"/>
    <x v="3"/>
    <x v="2"/>
    <x v="2"/>
    <x v="5"/>
    <x v="5"/>
    <x v="0"/>
    <x v="5"/>
    <x v="0"/>
    <x v="11"/>
    <n v="1"/>
    <x v="0"/>
  </r>
  <r>
    <d v="2020-05-01T00:00:00"/>
    <x v="3"/>
    <x v="3"/>
    <x v="1"/>
    <n v="4066801.92"/>
    <x v="3"/>
    <x v="3"/>
    <x v="1"/>
    <x v="3"/>
    <x v="5"/>
    <x v="0"/>
    <x v="5"/>
    <x v="0"/>
    <x v="11"/>
    <n v="1"/>
    <x v="0"/>
  </r>
  <r>
    <d v="2020-05-01T00:00:00"/>
    <x v="1"/>
    <x v="0"/>
    <x v="0"/>
    <n v="38967058.770000003"/>
    <x v="1"/>
    <x v="0"/>
    <x v="0"/>
    <x v="9"/>
    <x v="5"/>
    <x v="0"/>
    <x v="5"/>
    <x v="0"/>
    <x v="11"/>
    <n v="1"/>
    <x v="0"/>
  </r>
  <r>
    <d v="2020-05-01T00:00:00"/>
    <x v="2"/>
    <x v="1"/>
    <x v="0"/>
    <n v="55213503.649999999"/>
    <x v="2"/>
    <x v="1"/>
    <x v="0"/>
    <x v="7"/>
    <x v="5"/>
    <x v="0"/>
    <x v="5"/>
    <x v="0"/>
    <x v="11"/>
    <n v="1"/>
    <x v="0"/>
  </r>
  <r>
    <d v="2020-05-01T00:00:00"/>
    <x v="3"/>
    <x v="2"/>
    <x v="0"/>
    <n v="348876799.57999998"/>
    <x v="3"/>
    <x v="2"/>
    <x v="0"/>
    <x v="11"/>
    <x v="5"/>
    <x v="0"/>
    <x v="5"/>
    <x v="0"/>
    <x v="11"/>
    <n v="1"/>
    <x v="0"/>
  </r>
  <r>
    <d v="2020-05-01T00:00:00"/>
    <x v="3"/>
    <x v="1"/>
    <x v="0"/>
    <n v="15583819.810000001"/>
    <x v="3"/>
    <x v="1"/>
    <x v="0"/>
    <x v="12"/>
    <x v="5"/>
    <x v="0"/>
    <x v="5"/>
    <x v="0"/>
    <x v="11"/>
    <n v="1"/>
    <x v="0"/>
  </r>
  <r>
    <d v="2020-05-01T00:00:00"/>
    <x v="3"/>
    <x v="2"/>
    <x v="1"/>
    <n v="23012634485.130001"/>
    <x v="3"/>
    <x v="2"/>
    <x v="1"/>
    <x v="13"/>
    <x v="5"/>
    <x v="0"/>
    <x v="5"/>
    <x v="0"/>
    <x v="11"/>
    <n v="1"/>
    <x v="0"/>
  </r>
  <r>
    <d v="2020-04-30T00:00:00"/>
    <x v="0"/>
    <x v="0"/>
    <x v="0"/>
    <n v="30"/>
    <x v="0"/>
    <x v="0"/>
    <x v="0"/>
    <x v="0"/>
    <x v="5"/>
    <x v="0"/>
    <x v="5"/>
    <x v="0"/>
    <x v="0"/>
    <n v="30"/>
    <x v="0"/>
  </r>
  <r>
    <d v="2020-04-30T00:00:00"/>
    <x v="2"/>
    <x v="1"/>
    <x v="1"/>
    <n v="30671424.219999999"/>
    <x v="2"/>
    <x v="1"/>
    <x v="1"/>
    <x v="5"/>
    <x v="5"/>
    <x v="0"/>
    <x v="5"/>
    <x v="0"/>
    <x v="0"/>
    <n v="30"/>
    <x v="0"/>
  </r>
  <r>
    <d v="2020-04-30T00:00:00"/>
    <x v="0"/>
    <x v="1"/>
    <x v="0"/>
    <n v="8314794.0599999996"/>
    <x v="0"/>
    <x v="1"/>
    <x v="0"/>
    <x v="1"/>
    <x v="5"/>
    <x v="0"/>
    <x v="5"/>
    <x v="0"/>
    <x v="0"/>
    <n v="30"/>
    <x v="0"/>
  </r>
  <r>
    <d v="2020-04-30T00:00:00"/>
    <x v="3"/>
    <x v="2"/>
    <x v="2"/>
    <n v="40406"/>
    <x v="3"/>
    <x v="2"/>
    <x v="2"/>
    <x v="4"/>
    <x v="5"/>
    <x v="0"/>
    <x v="5"/>
    <x v="0"/>
    <x v="0"/>
    <n v="30"/>
    <x v="0"/>
  </r>
  <r>
    <d v="2020-04-30T00:00:00"/>
    <x v="0"/>
    <x v="1"/>
    <x v="1"/>
    <n v="25862583.309999999"/>
    <x v="0"/>
    <x v="1"/>
    <x v="1"/>
    <x v="3"/>
    <x v="5"/>
    <x v="0"/>
    <x v="5"/>
    <x v="0"/>
    <x v="0"/>
    <n v="30"/>
    <x v="0"/>
  </r>
  <r>
    <d v="2020-04-30T00:00:00"/>
    <x v="3"/>
    <x v="3"/>
    <x v="0"/>
    <n v="4872392570.6999998"/>
    <x v="3"/>
    <x v="3"/>
    <x v="0"/>
    <x v="7"/>
    <x v="5"/>
    <x v="0"/>
    <x v="5"/>
    <x v="0"/>
    <x v="0"/>
    <n v="30"/>
    <x v="0"/>
  </r>
  <r>
    <d v="2020-04-30T00:00:00"/>
    <x v="1"/>
    <x v="0"/>
    <x v="0"/>
    <n v="54103370.100000001"/>
    <x v="1"/>
    <x v="0"/>
    <x v="0"/>
    <x v="8"/>
    <x v="5"/>
    <x v="0"/>
    <x v="5"/>
    <x v="0"/>
    <x v="0"/>
    <n v="30"/>
    <x v="0"/>
  </r>
  <r>
    <d v="2020-04-30T00:00:00"/>
    <x v="1"/>
    <x v="0"/>
    <x v="1"/>
    <n v="289724172.14999998"/>
    <x v="1"/>
    <x v="0"/>
    <x v="1"/>
    <x v="9"/>
    <x v="5"/>
    <x v="0"/>
    <x v="5"/>
    <x v="0"/>
    <x v="0"/>
    <n v="30"/>
    <x v="0"/>
  </r>
  <r>
    <d v="2020-04-30T00:00:00"/>
    <x v="1"/>
    <x v="0"/>
    <x v="2"/>
    <n v="2709.33"/>
    <x v="1"/>
    <x v="0"/>
    <x v="2"/>
    <x v="2"/>
    <x v="5"/>
    <x v="0"/>
    <x v="5"/>
    <x v="0"/>
    <x v="0"/>
    <n v="30"/>
    <x v="0"/>
  </r>
  <r>
    <d v="2020-04-30T00:00:00"/>
    <x v="2"/>
    <x v="1"/>
    <x v="0"/>
    <n v="65932093.689999998"/>
    <x v="2"/>
    <x v="1"/>
    <x v="0"/>
    <x v="6"/>
    <x v="5"/>
    <x v="0"/>
    <x v="5"/>
    <x v="0"/>
    <x v="0"/>
    <n v="30"/>
    <x v="0"/>
  </r>
  <r>
    <d v="2020-04-30T00:00:00"/>
    <x v="3"/>
    <x v="2"/>
    <x v="0"/>
    <n v="545578972.15999997"/>
    <x v="3"/>
    <x v="2"/>
    <x v="0"/>
    <x v="10"/>
    <x v="5"/>
    <x v="0"/>
    <x v="5"/>
    <x v="0"/>
    <x v="0"/>
    <n v="30"/>
    <x v="0"/>
  </r>
  <r>
    <d v="2020-04-30T00:00:00"/>
    <x v="3"/>
    <x v="1"/>
    <x v="0"/>
    <n v="14158869.01"/>
    <x v="3"/>
    <x v="1"/>
    <x v="0"/>
    <x v="11"/>
    <x v="5"/>
    <x v="0"/>
    <x v="5"/>
    <x v="0"/>
    <x v="0"/>
    <n v="30"/>
    <x v="0"/>
  </r>
  <r>
    <d v="2020-04-30T00:00:00"/>
    <x v="3"/>
    <x v="2"/>
    <x v="1"/>
    <n v="7661647956.1099997"/>
    <x v="3"/>
    <x v="2"/>
    <x v="1"/>
    <x v="12"/>
    <x v="5"/>
    <x v="0"/>
    <x v="5"/>
    <x v="0"/>
    <x v="0"/>
    <n v="30"/>
    <x v="0"/>
  </r>
  <r>
    <d v="2020-04-29T00:00:00"/>
    <x v="2"/>
    <x v="1"/>
    <x v="1"/>
    <n v="7535074"/>
    <x v="2"/>
    <x v="1"/>
    <x v="1"/>
    <x v="4"/>
    <x v="5"/>
    <x v="0"/>
    <x v="5"/>
    <x v="0"/>
    <x v="0"/>
    <n v="29"/>
    <x v="0"/>
  </r>
  <r>
    <d v="2020-04-29T00:00:00"/>
    <x v="1"/>
    <x v="0"/>
    <x v="2"/>
    <n v="4023.55"/>
    <x v="1"/>
    <x v="0"/>
    <x v="2"/>
    <x v="1"/>
    <x v="5"/>
    <x v="0"/>
    <x v="5"/>
    <x v="0"/>
    <x v="0"/>
    <n v="29"/>
    <x v="0"/>
  </r>
  <r>
    <d v="2020-04-29T00:00:00"/>
    <x v="0"/>
    <x v="1"/>
    <x v="0"/>
    <n v="6707463.8899999997"/>
    <x v="0"/>
    <x v="1"/>
    <x v="0"/>
    <x v="0"/>
    <x v="5"/>
    <x v="0"/>
    <x v="5"/>
    <x v="0"/>
    <x v="0"/>
    <n v="29"/>
    <x v="0"/>
  </r>
  <r>
    <d v="2020-04-29T00:00:00"/>
    <x v="3"/>
    <x v="3"/>
    <x v="0"/>
    <n v="7315174249.6199999"/>
    <x v="3"/>
    <x v="3"/>
    <x v="0"/>
    <x v="6"/>
    <x v="5"/>
    <x v="0"/>
    <x v="5"/>
    <x v="0"/>
    <x v="0"/>
    <n v="29"/>
    <x v="0"/>
  </r>
  <r>
    <d v="2020-04-29T00:00:00"/>
    <x v="3"/>
    <x v="2"/>
    <x v="2"/>
    <n v="178780"/>
    <x v="3"/>
    <x v="2"/>
    <x v="2"/>
    <x v="3"/>
    <x v="5"/>
    <x v="0"/>
    <x v="5"/>
    <x v="0"/>
    <x v="0"/>
    <n v="29"/>
    <x v="0"/>
  </r>
  <r>
    <d v="2020-04-29T00:00:00"/>
    <x v="0"/>
    <x v="1"/>
    <x v="1"/>
    <n v="38473776.560000002"/>
    <x v="0"/>
    <x v="1"/>
    <x v="1"/>
    <x v="2"/>
    <x v="5"/>
    <x v="0"/>
    <x v="5"/>
    <x v="0"/>
    <x v="0"/>
    <n v="29"/>
    <x v="0"/>
  </r>
  <r>
    <d v="2020-04-29T00:00:00"/>
    <x v="1"/>
    <x v="0"/>
    <x v="0"/>
    <n v="72095308.030000001"/>
    <x v="1"/>
    <x v="0"/>
    <x v="0"/>
    <x v="7"/>
    <x v="5"/>
    <x v="0"/>
    <x v="5"/>
    <x v="0"/>
    <x v="0"/>
    <n v="29"/>
    <x v="0"/>
  </r>
  <r>
    <d v="2020-04-29T00:00:00"/>
    <x v="2"/>
    <x v="1"/>
    <x v="0"/>
    <n v="101051361.56"/>
    <x v="2"/>
    <x v="1"/>
    <x v="0"/>
    <x v="5"/>
    <x v="5"/>
    <x v="0"/>
    <x v="5"/>
    <x v="0"/>
    <x v="0"/>
    <n v="29"/>
    <x v="0"/>
  </r>
  <r>
    <d v="2020-04-29T00:00:00"/>
    <x v="1"/>
    <x v="0"/>
    <x v="1"/>
    <n v="652656739.25"/>
    <x v="1"/>
    <x v="0"/>
    <x v="1"/>
    <x v="8"/>
    <x v="5"/>
    <x v="0"/>
    <x v="5"/>
    <x v="0"/>
    <x v="0"/>
    <n v="29"/>
    <x v="0"/>
  </r>
  <r>
    <d v="2020-04-29T00:00:00"/>
    <x v="3"/>
    <x v="2"/>
    <x v="0"/>
    <n v="485611115.94"/>
    <x v="3"/>
    <x v="2"/>
    <x v="0"/>
    <x v="9"/>
    <x v="5"/>
    <x v="0"/>
    <x v="5"/>
    <x v="0"/>
    <x v="0"/>
    <n v="29"/>
    <x v="0"/>
  </r>
  <r>
    <d v="2020-04-29T00:00:00"/>
    <x v="3"/>
    <x v="1"/>
    <x v="0"/>
    <n v="15101152.359999999"/>
    <x v="3"/>
    <x v="1"/>
    <x v="0"/>
    <x v="10"/>
    <x v="5"/>
    <x v="0"/>
    <x v="5"/>
    <x v="0"/>
    <x v="0"/>
    <n v="29"/>
    <x v="0"/>
  </r>
  <r>
    <d v="2020-04-29T00:00:00"/>
    <x v="3"/>
    <x v="2"/>
    <x v="1"/>
    <n v="8724475714.9899998"/>
    <x v="3"/>
    <x v="2"/>
    <x v="1"/>
    <x v="11"/>
    <x v="5"/>
    <x v="0"/>
    <x v="5"/>
    <x v="0"/>
    <x v="0"/>
    <n v="29"/>
    <x v="0"/>
  </r>
  <r>
    <d v="2020-04-28T00:00:00"/>
    <x v="1"/>
    <x v="0"/>
    <x v="2"/>
    <n v="32644.14"/>
    <x v="1"/>
    <x v="0"/>
    <x v="2"/>
    <x v="2"/>
    <x v="5"/>
    <x v="0"/>
    <x v="5"/>
    <x v="0"/>
    <x v="0"/>
    <n v="28"/>
    <x v="0"/>
  </r>
  <r>
    <d v="2020-04-28T00:00:00"/>
    <x v="0"/>
    <x v="1"/>
    <x v="0"/>
    <n v="14327302.109999999"/>
    <x v="0"/>
    <x v="1"/>
    <x v="0"/>
    <x v="1"/>
    <x v="5"/>
    <x v="0"/>
    <x v="5"/>
    <x v="0"/>
    <x v="0"/>
    <n v="28"/>
    <x v="0"/>
  </r>
  <r>
    <d v="2020-04-28T00:00:00"/>
    <x v="2"/>
    <x v="1"/>
    <x v="2"/>
    <n v="3399.8"/>
    <x v="2"/>
    <x v="1"/>
    <x v="2"/>
    <x v="3"/>
    <x v="5"/>
    <x v="0"/>
    <x v="5"/>
    <x v="0"/>
    <x v="0"/>
    <n v="28"/>
    <x v="0"/>
  </r>
  <r>
    <d v="2020-04-28T00:00:00"/>
    <x v="0"/>
    <x v="1"/>
    <x v="1"/>
    <n v="12986851.73"/>
    <x v="0"/>
    <x v="1"/>
    <x v="1"/>
    <x v="5"/>
    <x v="5"/>
    <x v="0"/>
    <x v="5"/>
    <x v="0"/>
    <x v="0"/>
    <n v="28"/>
    <x v="0"/>
  </r>
  <r>
    <d v="2020-04-28T00:00:00"/>
    <x v="2"/>
    <x v="1"/>
    <x v="1"/>
    <n v="79253328.420000002"/>
    <x v="2"/>
    <x v="1"/>
    <x v="1"/>
    <x v="6"/>
    <x v="5"/>
    <x v="0"/>
    <x v="5"/>
    <x v="0"/>
    <x v="0"/>
    <n v="28"/>
    <x v="0"/>
  </r>
  <r>
    <d v="2020-04-28T00:00:00"/>
    <x v="1"/>
    <x v="0"/>
    <x v="0"/>
    <n v="86477496.900000006"/>
    <x v="1"/>
    <x v="0"/>
    <x v="0"/>
    <x v="9"/>
    <x v="5"/>
    <x v="0"/>
    <x v="5"/>
    <x v="0"/>
    <x v="0"/>
    <n v="28"/>
    <x v="0"/>
  </r>
  <r>
    <d v="2020-04-28T00:00:00"/>
    <x v="1"/>
    <x v="0"/>
    <x v="1"/>
    <n v="462249613.06999999"/>
    <x v="1"/>
    <x v="0"/>
    <x v="1"/>
    <x v="10"/>
    <x v="5"/>
    <x v="0"/>
    <x v="5"/>
    <x v="0"/>
    <x v="0"/>
    <n v="28"/>
    <x v="0"/>
  </r>
  <r>
    <d v="2020-04-28T00:00:00"/>
    <x v="0"/>
    <x v="0"/>
    <x v="0"/>
    <n v="70.95"/>
    <x v="0"/>
    <x v="0"/>
    <x v="0"/>
    <x v="0"/>
    <x v="5"/>
    <x v="0"/>
    <x v="5"/>
    <x v="0"/>
    <x v="0"/>
    <n v="28"/>
    <x v="0"/>
  </r>
  <r>
    <d v="2020-04-28T00:00:00"/>
    <x v="3"/>
    <x v="3"/>
    <x v="0"/>
    <n v="2621049630.0300002"/>
    <x v="3"/>
    <x v="3"/>
    <x v="0"/>
    <x v="8"/>
    <x v="5"/>
    <x v="0"/>
    <x v="5"/>
    <x v="0"/>
    <x v="0"/>
    <n v="28"/>
    <x v="0"/>
  </r>
  <r>
    <d v="2020-04-28T00:00:00"/>
    <x v="3"/>
    <x v="2"/>
    <x v="2"/>
    <n v="245271"/>
    <x v="3"/>
    <x v="2"/>
    <x v="2"/>
    <x v="4"/>
    <x v="5"/>
    <x v="0"/>
    <x v="5"/>
    <x v="0"/>
    <x v="0"/>
    <n v="28"/>
    <x v="0"/>
  </r>
  <r>
    <d v="2020-04-28T00:00:00"/>
    <x v="2"/>
    <x v="1"/>
    <x v="0"/>
    <n v="47483801.649999999"/>
    <x v="2"/>
    <x v="1"/>
    <x v="0"/>
    <x v="7"/>
    <x v="5"/>
    <x v="0"/>
    <x v="5"/>
    <x v="0"/>
    <x v="0"/>
    <n v="28"/>
    <x v="0"/>
  </r>
  <r>
    <d v="2020-04-28T00:00:00"/>
    <x v="3"/>
    <x v="1"/>
    <x v="0"/>
    <n v="7875726.9299999997"/>
    <x v="3"/>
    <x v="1"/>
    <x v="0"/>
    <x v="11"/>
    <x v="5"/>
    <x v="0"/>
    <x v="5"/>
    <x v="0"/>
    <x v="0"/>
    <n v="28"/>
    <x v="0"/>
  </r>
  <r>
    <d v="2020-04-28T00:00:00"/>
    <x v="3"/>
    <x v="2"/>
    <x v="0"/>
    <n v="369651338.64999998"/>
    <x v="3"/>
    <x v="2"/>
    <x v="0"/>
    <x v="12"/>
    <x v="5"/>
    <x v="0"/>
    <x v="5"/>
    <x v="0"/>
    <x v="0"/>
    <n v="28"/>
    <x v="0"/>
  </r>
  <r>
    <d v="2020-04-28T00:00:00"/>
    <x v="3"/>
    <x v="2"/>
    <x v="1"/>
    <n v="2904854901.6399999"/>
    <x v="3"/>
    <x v="2"/>
    <x v="1"/>
    <x v="13"/>
    <x v="5"/>
    <x v="0"/>
    <x v="5"/>
    <x v="0"/>
    <x v="0"/>
    <n v="28"/>
    <x v="0"/>
  </r>
  <r>
    <d v="2020-04-27T00:00:00"/>
    <x v="2"/>
    <x v="1"/>
    <x v="0"/>
    <n v="56066738.840000004"/>
    <x v="2"/>
    <x v="1"/>
    <x v="0"/>
    <x v="5"/>
    <x v="5"/>
    <x v="0"/>
    <x v="5"/>
    <x v="0"/>
    <x v="0"/>
    <n v="27"/>
    <x v="0"/>
  </r>
  <r>
    <d v="2020-04-27T00:00:00"/>
    <x v="1"/>
    <x v="0"/>
    <x v="2"/>
    <n v="8380.15"/>
    <x v="1"/>
    <x v="0"/>
    <x v="2"/>
    <x v="2"/>
    <x v="5"/>
    <x v="0"/>
    <x v="5"/>
    <x v="0"/>
    <x v="0"/>
    <n v="27"/>
    <x v="0"/>
  </r>
  <r>
    <d v="2020-04-27T00:00:00"/>
    <x v="3"/>
    <x v="3"/>
    <x v="0"/>
    <n v="1646863855.6600001"/>
    <x v="3"/>
    <x v="3"/>
    <x v="0"/>
    <x v="6"/>
    <x v="5"/>
    <x v="0"/>
    <x v="5"/>
    <x v="0"/>
    <x v="0"/>
    <n v="27"/>
    <x v="0"/>
  </r>
  <r>
    <d v="2020-04-27T00:00:00"/>
    <x v="1"/>
    <x v="0"/>
    <x v="0"/>
    <n v="46295464.109999999"/>
    <x v="1"/>
    <x v="0"/>
    <x v="0"/>
    <x v="7"/>
    <x v="5"/>
    <x v="0"/>
    <x v="5"/>
    <x v="0"/>
    <x v="0"/>
    <n v="27"/>
    <x v="0"/>
  </r>
  <r>
    <d v="2020-04-27T00:00:00"/>
    <x v="1"/>
    <x v="0"/>
    <x v="1"/>
    <n v="548049186.76999998"/>
    <x v="1"/>
    <x v="0"/>
    <x v="1"/>
    <x v="8"/>
    <x v="5"/>
    <x v="0"/>
    <x v="5"/>
    <x v="0"/>
    <x v="0"/>
    <n v="27"/>
    <x v="0"/>
  </r>
  <r>
    <d v="2020-04-27T00:00:00"/>
    <x v="3"/>
    <x v="2"/>
    <x v="2"/>
    <n v="-10220.91"/>
    <x v="3"/>
    <x v="2"/>
    <x v="2"/>
    <x v="4"/>
    <x v="5"/>
    <x v="0"/>
    <x v="5"/>
    <x v="0"/>
    <x v="0"/>
    <n v="27"/>
    <x v="1"/>
  </r>
  <r>
    <d v="2020-04-27T00:00:00"/>
    <x v="0"/>
    <x v="1"/>
    <x v="0"/>
    <n v="13660816.119999999"/>
    <x v="0"/>
    <x v="1"/>
    <x v="0"/>
    <x v="1"/>
    <x v="5"/>
    <x v="0"/>
    <x v="5"/>
    <x v="0"/>
    <x v="0"/>
    <n v="27"/>
    <x v="0"/>
  </r>
  <r>
    <d v="2020-04-27T00:00:00"/>
    <x v="0"/>
    <x v="0"/>
    <x v="0"/>
    <n v="3003.45"/>
    <x v="0"/>
    <x v="0"/>
    <x v="0"/>
    <x v="0"/>
    <x v="5"/>
    <x v="0"/>
    <x v="5"/>
    <x v="0"/>
    <x v="0"/>
    <n v="27"/>
    <x v="0"/>
  </r>
  <r>
    <d v="2020-04-27T00:00:00"/>
    <x v="0"/>
    <x v="1"/>
    <x v="1"/>
    <n v="283"/>
    <x v="0"/>
    <x v="1"/>
    <x v="1"/>
    <x v="3"/>
    <x v="5"/>
    <x v="0"/>
    <x v="5"/>
    <x v="0"/>
    <x v="0"/>
    <n v="27"/>
    <x v="0"/>
  </r>
  <r>
    <d v="2020-04-27T00:00:00"/>
    <x v="3"/>
    <x v="2"/>
    <x v="0"/>
    <n v="432063053.13"/>
    <x v="3"/>
    <x v="2"/>
    <x v="0"/>
    <x v="9"/>
    <x v="5"/>
    <x v="0"/>
    <x v="5"/>
    <x v="0"/>
    <x v="0"/>
    <n v="27"/>
    <x v="0"/>
  </r>
  <r>
    <d v="2020-04-27T00:00:00"/>
    <x v="3"/>
    <x v="2"/>
    <x v="1"/>
    <n v="13439475331.959999"/>
    <x v="3"/>
    <x v="2"/>
    <x v="1"/>
    <x v="10"/>
    <x v="5"/>
    <x v="0"/>
    <x v="5"/>
    <x v="0"/>
    <x v="0"/>
    <n v="27"/>
    <x v="0"/>
  </r>
  <r>
    <d v="2020-04-27T00:00:00"/>
    <x v="3"/>
    <x v="1"/>
    <x v="0"/>
    <n v="38202633.810000002"/>
    <x v="3"/>
    <x v="1"/>
    <x v="0"/>
    <x v="11"/>
    <x v="5"/>
    <x v="0"/>
    <x v="5"/>
    <x v="0"/>
    <x v="0"/>
    <n v="27"/>
    <x v="0"/>
  </r>
  <r>
    <d v="2020-04-24T00:00:00"/>
    <x v="1"/>
    <x v="0"/>
    <x v="2"/>
    <n v="7334.5"/>
    <x v="1"/>
    <x v="0"/>
    <x v="2"/>
    <x v="1"/>
    <x v="5"/>
    <x v="0"/>
    <x v="5"/>
    <x v="0"/>
    <x v="0"/>
    <n v="24"/>
    <x v="0"/>
  </r>
  <r>
    <d v="2020-04-24T00:00:00"/>
    <x v="2"/>
    <x v="1"/>
    <x v="2"/>
    <n v="1417.68"/>
    <x v="2"/>
    <x v="1"/>
    <x v="2"/>
    <x v="2"/>
    <x v="5"/>
    <x v="0"/>
    <x v="5"/>
    <x v="0"/>
    <x v="0"/>
    <n v="24"/>
    <x v="0"/>
  </r>
  <r>
    <d v="2020-04-24T00:00:00"/>
    <x v="1"/>
    <x v="0"/>
    <x v="0"/>
    <n v="42107277.450000003"/>
    <x v="1"/>
    <x v="0"/>
    <x v="0"/>
    <x v="6"/>
    <x v="5"/>
    <x v="0"/>
    <x v="5"/>
    <x v="0"/>
    <x v="0"/>
    <n v="24"/>
    <x v="0"/>
  </r>
  <r>
    <d v="2020-04-24T00:00:00"/>
    <x v="1"/>
    <x v="0"/>
    <x v="1"/>
    <n v="669494310.85000002"/>
    <x v="1"/>
    <x v="0"/>
    <x v="1"/>
    <x v="7"/>
    <x v="5"/>
    <x v="0"/>
    <x v="5"/>
    <x v="0"/>
    <x v="0"/>
    <n v="24"/>
    <x v="0"/>
  </r>
  <r>
    <d v="2020-04-24T00:00:00"/>
    <x v="3"/>
    <x v="2"/>
    <x v="2"/>
    <n v="57117"/>
    <x v="3"/>
    <x v="2"/>
    <x v="2"/>
    <x v="3"/>
    <x v="5"/>
    <x v="0"/>
    <x v="5"/>
    <x v="0"/>
    <x v="0"/>
    <n v="24"/>
    <x v="0"/>
  </r>
  <r>
    <d v="2020-04-24T00:00:00"/>
    <x v="0"/>
    <x v="1"/>
    <x v="0"/>
    <n v="33501891.710000001"/>
    <x v="0"/>
    <x v="1"/>
    <x v="0"/>
    <x v="0"/>
    <x v="5"/>
    <x v="0"/>
    <x v="5"/>
    <x v="0"/>
    <x v="0"/>
    <n v="24"/>
    <x v="0"/>
  </r>
  <r>
    <d v="2020-04-24T00:00:00"/>
    <x v="2"/>
    <x v="1"/>
    <x v="0"/>
    <n v="67994491.969999999"/>
    <x v="2"/>
    <x v="1"/>
    <x v="0"/>
    <x v="4"/>
    <x v="5"/>
    <x v="0"/>
    <x v="5"/>
    <x v="0"/>
    <x v="0"/>
    <n v="24"/>
    <x v="0"/>
  </r>
  <r>
    <d v="2020-04-24T00:00:00"/>
    <x v="3"/>
    <x v="3"/>
    <x v="0"/>
    <n v="1578387129.8499999"/>
    <x v="3"/>
    <x v="3"/>
    <x v="0"/>
    <x v="5"/>
    <x v="5"/>
    <x v="0"/>
    <x v="5"/>
    <x v="0"/>
    <x v="0"/>
    <n v="24"/>
    <x v="0"/>
  </r>
  <r>
    <d v="2020-04-24T00:00:00"/>
    <x v="3"/>
    <x v="2"/>
    <x v="0"/>
    <n v="252734477.15000001"/>
    <x v="3"/>
    <x v="2"/>
    <x v="0"/>
    <x v="8"/>
    <x v="5"/>
    <x v="0"/>
    <x v="5"/>
    <x v="0"/>
    <x v="0"/>
    <n v="24"/>
    <x v="0"/>
  </r>
  <r>
    <d v="2020-04-24T00:00:00"/>
    <x v="3"/>
    <x v="1"/>
    <x v="0"/>
    <n v="13595115.76"/>
    <x v="3"/>
    <x v="1"/>
    <x v="0"/>
    <x v="9"/>
    <x v="5"/>
    <x v="0"/>
    <x v="5"/>
    <x v="0"/>
    <x v="0"/>
    <n v="24"/>
    <x v="0"/>
  </r>
  <r>
    <d v="2020-04-24T00:00:00"/>
    <x v="3"/>
    <x v="2"/>
    <x v="1"/>
    <n v="5779813602.25"/>
    <x v="3"/>
    <x v="2"/>
    <x v="1"/>
    <x v="10"/>
    <x v="5"/>
    <x v="0"/>
    <x v="5"/>
    <x v="0"/>
    <x v="0"/>
    <n v="24"/>
    <x v="0"/>
  </r>
  <r>
    <d v="2020-04-23T00:00:00"/>
    <x v="0"/>
    <x v="1"/>
    <x v="0"/>
    <n v="5955005.6200000001"/>
    <x v="0"/>
    <x v="1"/>
    <x v="0"/>
    <x v="1"/>
    <x v="5"/>
    <x v="0"/>
    <x v="5"/>
    <x v="0"/>
    <x v="0"/>
    <n v="23"/>
    <x v="0"/>
  </r>
  <r>
    <d v="2020-04-23T00:00:00"/>
    <x v="0"/>
    <x v="1"/>
    <x v="1"/>
    <n v="-16565.11"/>
    <x v="0"/>
    <x v="1"/>
    <x v="1"/>
    <x v="3"/>
    <x v="5"/>
    <x v="0"/>
    <x v="5"/>
    <x v="0"/>
    <x v="0"/>
    <n v="23"/>
    <x v="1"/>
  </r>
  <r>
    <d v="2020-04-23T00:00:00"/>
    <x v="1"/>
    <x v="0"/>
    <x v="0"/>
    <n v="65793809.299999997"/>
    <x v="1"/>
    <x v="0"/>
    <x v="0"/>
    <x v="6"/>
    <x v="5"/>
    <x v="0"/>
    <x v="5"/>
    <x v="0"/>
    <x v="0"/>
    <n v="23"/>
    <x v="0"/>
  </r>
  <r>
    <d v="2020-04-23T00:00:00"/>
    <x v="3"/>
    <x v="3"/>
    <x v="0"/>
    <n v="1634338757.1400001"/>
    <x v="3"/>
    <x v="3"/>
    <x v="0"/>
    <x v="7"/>
    <x v="5"/>
    <x v="0"/>
    <x v="5"/>
    <x v="0"/>
    <x v="0"/>
    <n v="23"/>
    <x v="0"/>
  </r>
  <r>
    <d v="2020-04-23T00:00:00"/>
    <x v="3"/>
    <x v="2"/>
    <x v="2"/>
    <n v="262119"/>
    <x v="3"/>
    <x v="2"/>
    <x v="2"/>
    <x v="4"/>
    <x v="5"/>
    <x v="0"/>
    <x v="5"/>
    <x v="0"/>
    <x v="0"/>
    <n v="23"/>
    <x v="0"/>
  </r>
  <r>
    <d v="2020-04-23T00:00:00"/>
    <x v="2"/>
    <x v="1"/>
    <x v="0"/>
    <n v="59291472.460000001"/>
    <x v="2"/>
    <x v="1"/>
    <x v="0"/>
    <x v="5"/>
    <x v="5"/>
    <x v="0"/>
    <x v="5"/>
    <x v="0"/>
    <x v="0"/>
    <n v="23"/>
    <x v="0"/>
  </r>
  <r>
    <d v="2020-04-23T00:00:00"/>
    <x v="1"/>
    <x v="0"/>
    <x v="2"/>
    <n v="751.12"/>
    <x v="1"/>
    <x v="0"/>
    <x v="2"/>
    <x v="2"/>
    <x v="5"/>
    <x v="0"/>
    <x v="5"/>
    <x v="0"/>
    <x v="0"/>
    <n v="23"/>
    <x v="0"/>
  </r>
  <r>
    <d v="2020-04-23T00:00:00"/>
    <x v="0"/>
    <x v="0"/>
    <x v="0"/>
    <n v="-71.040000000000006"/>
    <x v="0"/>
    <x v="0"/>
    <x v="0"/>
    <x v="0"/>
    <x v="5"/>
    <x v="0"/>
    <x v="5"/>
    <x v="0"/>
    <x v="0"/>
    <n v="23"/>
    <x v="1"/>
  </r>
  <r>
    <d v="2020-04-23T00:00:00"/>
    <x v="1"/>
    <x v="0"/>
    <x v="1"/>
    <n v="458159958.74000001"/>
    <x v="1"/>
    <x v="0"/>
    <x v="1"/>
    <x v="8"/>
    <x v="5"/>
    <x v="0"/>
    <x v="5"/>
    <x v="0"/>
    <x v="0"/>
    <n v="23"/>
    <x v="0"/>
  </r>
  <r>
    <d v="2020-04-23T00:00:00"/>
    <x v="3"/>
    <x v="2"/>
    <x v="0"/>
    <n v="209743039.12"/>
    <x v="3"/>
    <x v="2"/>
    <x v="0"/>
    <x v="9"/>
    <x v="5"/>
    <x v="0"/>
    <x v="5"/>
    <x v="0"/>
    <x v="0"/>
    <n v="23"/>
    <x v="0"/>
  </r>
  <r>
    <d v="2020-04-23T00:00:00"/>
    <x v="3"/>
    <x v="2"/>
    <x v="1"/>
    <n v="2570161721.5900002"/>
    <x v="3"/>
    <x v="2"/>
    <x v="1"/>
    <x v="10"/>
    <x v="5"/>
    <x v="0"/>
    <x v="5"/>
    <x v="0"/>
    <x v="0"/>
    <n v="23"/>
    <x v="0"/>
  </r>
  <r>
    <d v="2020-04-23T00:00:00"/>
    <x v="3"/>
    <x v="1"/>
    <x v="0"/>
    <n v="13294643.050000001"/>
    <x v="3"/>
    <x v="1"/>
    <x v="0"/>
    <x v="11"/>
    <x v="5"/>
    <x v="0"/>
    <x v="5"/>
    <x v="0"/>
    <x v="0"/>
    <n v="23"/>
    <x v="0"/>
  </r>
  <r>
    <d v="2020-04-22T00:00:00"/>
    <x v="2"/>
    <x v="1"/>
    <x v="0"/>
    <n v="52954702.469999999"/>
    <x v="2"/>
    <x v="1"/>
    <x v="0"/>
    <x v="6"/>
    <x v="5"/>
    <x v="0"/>
    <x v="5"/>
    <x v="0"/>
    <x v="0"/>
    <n v="22"/>
    <x v="0"/>
  </r>
  <r>
    <d v="2020-04-22T00:00:00"/>
    <x v="3"/>
    <x v="3"/>
    <x v="0"/>
    <n v="1320129283.74"/>
    <x v="3"/>
    <x v="3"/>
    <x v="0"/>
    <x v="7"/>
    <x v="5"/>
    <x v="0"/>
    <x v="5"/>
    <x v="0"/>
    <x v="0"/>
    <n v="22"/>
    <x v="0"/>
  </r>
  <r>
    <d v="2020-04-22T00:00:00"/>
    <x v="1"/>
    <x v="0"/>
    <x v="0"/>
    <n v="73192581.959999993"/>
    <x v="1"/>
    <x v="0"/>
    <x v="0"/>
    <x v="8"/>
    <x v="5"/>
    <x v="0"/>
    <x v="5"/>
    <x v="0"/>
    <x v="0"/>
    <n v="22"/>
    <x v="0"/>
  </r>
  <r>
    <d v="2020-04-22T00:00:00"/>
    <x v="0"/>
    <x v="1"/>
    <x v="0"/>
    <n v="12450242.41"/>
    <x v="0"/>
    <x v="1"/>
    <x v="0"/>
    <x v="1"/>
    <x v="5"/>
    <x v="0"/>
    <x v="5"/>
    <x v="0"/>
    <x v="0"/>
    <n v="22"/>
    <x v="0"/>
  </r>
  <r>
    <d v="2020-04-22T00:00:00"/>
    <x v="2"/>
    <x v="1"/>
    <x v="2"/>
    <n v="-67"/>
    <x v="2"/>
    <x v="1"/>
    <x v="2"/>
    <x v="4"/>
    <x v="5"/>
    <x v="0"/>
    <x v="5"/>
    <x v="0"/>
    <x v="0"/>
    <n v="22"/>
    <x v="1"/>
  </r>
  <r>
    <d v="2020-04-22T00:00:00"/>
    <x v="3"/>
    <x v="2"/>
    <x v="2"/>
    <n v="220430"/>
    <x v="3"/>
    <x v="2"/>
    <x v="2"/>
    <x v="5"/>
    <x v="5"/>
    <x v="0"/>
    <x v="5"/>
    <x v="0"/>
    <x v="0"/>
    <n v="22"/>
    <x v="0"/>
  </r>
  <r>
    <d v="2020-04-22T00:00:00"/>
    <x v="1"/>
    <x v="0"/>
    <x v="1"/>
    <n v="2221863919.6900001"/>
    <x v="1"/>
    <x v="0"/>
    <x v="1"/>
    <x v="9"/>
    <x v="5"/>
    <x v="0"/>
    <x v="5"/>
    <x v="0"/>
    <x v="0"/>
    <n v="22"/>
    <x v="0"/>
  </r>
  <r>
    <d v="2020-04-22T00:00:00"/>
    <x v="0"/>
    <x v="0"/>
    <x v="0"/>
    <n v="134.13"/>
    <x v="0"/>
    <x v="0"/>
    <x v="0"/>
    <x v="0"/>
    <x v="5"/>
    <x v="0"/>
    <x v="5"/>
    <x v="0"/>
    <x v="0"/>
    <n v="22"/>
    <x v="0"/>
  </r>
  <r>
    <d v="2020-04-22T00:00:00"/>
    <x v="1"/>
    <x v="0"/>
    <x v="2"/>
    <n v="2763.69"/>
    <x v="1"/>
    <x v="0"/>
    <x v="2"/>
    <x v="2"/>
    <x v="5"/>
    <x v="0"/>
    <x v="5"/>
    <x v="0"/>
    <x v="0"/>
    <n v="22"/>
    <x v="0"/>
  </r>
  <r>
    <d v="2020-04-22T00:00:00"/>
    <x v="0"/>
    <x v="1"/>
    <x v="1"/>
    <n v="765.72"/>
    <x v="0"/>
    <x v="1"/>
    <x v="1"/>
    <x v="3"/>
    <x v="5"/>
    <x v="0"/>
    <x v="5"/>
    <x v="0"/>
    <x v="0"/>
    <n v="22"/>
    <x v="0"/>
  </r>
  <r>
    <d v="2020-04-22T00:00:00"/>
    <x v="3"/>
    <x v="2"/>
    <x v="0"/>
    <n v="3257184489.6999998"/>
    <x v="3"/>
    <x v="2"/>
    <x v="0"/>
    <x v="10"/>
    <x v="5"/>
    <x v="0"/>
    <x v="5"/>
    <x v="0"/>
    <x v="0"/>
    <n v="22"/>
    <x v="0"/>
  </r>
  <r>
    <d v="2020-04-22T00:00:00"/>
    <x v="3"/>
    <x v="1"/>
    <x v="0"/>
    <n v="14831623.26"/>
    <x v="3"/>
    <x v="1"/>
    <x v="0"/>
    <x v="11"/>
    <x v="5"/>
    <x v="0"/>
    <x v="5"/>
    <x v="0"/>
    <x v="0"/>
    <n v="22"/>
    <x v="0"/>
  </r>
  <r>
    <d v="2020-04-22T00:00:00"/>
    <x v="3"/>
    <x v="2"/>
    <x v="1"/>
    <n v="8832685783.8400002"/>
    <x v="3"/>
    <x v="2"/>
    <x v="1"/>
    <x v="12"/>
    <x v="5"/>
    <x v="0"/>
    <x v="5"/>
    <x v="0"/>
    <x v="0"/>
    <n v="22"/>
    <x v="0"/>
  </r>
  <r>
    <d v="2020-04-21T00:00:00"/>
    <x v="2"/>
    <x v="1"/>
    <x v="0"/>
    <n v="46723286.409999996"/>
    <x v="2"/>
    <x v="1"/>
    <x v="0"/>
    <x v="6"/>
    <x v="5"/>
    <x v="0"/>
    <x v="5"/>
    <x v="0"/>
    <x v="0"/>
    <n v="21"/>
    <x v="0"/>
  </r>
  <r>
    <d v="2020-04-21T00:00:00"/>
    <x v="0"/>
    <x v="1"/>
    <x v="0"/>
    <n v="9868322.6500000004"/>
    <x v="0"/>
    <x v="1"/>
    <x v="0"/>
    <x v="1"/>
    <x v="5"/>
    <x v="0"/>
    <x v="5"/>
    <x v="0"/>
    <x v="0"/>
    <n v="21"/>
    <x v="0"/>
  </r>
  <r>
    <d v="2020-04-21T00:00:00"/>
    <x v="1"/>
    <x v="0"/>
    <x v="2"/>
    <n v="12236.01"/>
    <x v="1"/>
    <x v="0"/>
    <x v="2"/>
    <x v="2"/>
    <x v="5"/>
    <x v="0"/>
    <x v="5"/>
    <x v="0"/>
    <x v="0"/>
    <n v="21"/>
    <x v="0"/>
  </r>
  <r>
    <d v="2020-04-21T00:00:00"/>
    <x v="2"/>
    <x v="1"/>
    <x v="2"/>
    <n v="8754.58"/>
    <x v="2"/>
    <x v="1"/>
    <x v="2"/>
    <x v="3"/>
    <x v="5"/>
    <x v="0"/>
    <x v="5"/>
    <x v="0"/>
    <x v="0"/>
    <n v="21"/>
    <x v="0"/>
  </r>
  <r>
    <d v="2020-04-21T00:00:00"/>
    <x v="3"/>
    <x v="3"/>
    <x v="0"/>
    <n v="781529515.94000006"/>
    <x v="3"/>
    <x v="3"/>
    <x v="0"/>
    <x v="7"/>
    <x v="5"/>
    <x v="0"/>
    <x v="5"/>
    <x v="0"/>
    <x v="0"/>
    <n v="21"/>
    <x v="0"/>
  </r>
  <r>
    <d v="2020-04-21T00:00:00"/>
    <x v="1"/>
    <x v="0"/>
    <x v="0"/>
    <n v="79199148.75"/>
    <x v="1"/>
    <x v="0"/>
    <x v="0"/>
    <x v="8"/>
    <x v="5"/>
    <x v="0"/>
    <x v="5"/>
    <x v="0"/>
    <x v="0"/>
    <n v="21"/>
    <x v="0"/>
  </r>
  <r>
    <d v="2020-04-21T00:00:00"/>
    <x v="0"/>
    <x v="1"/>
    <x v="1"/>
    <n v="151.51"/>
    <x v="0"/>
    <x v="1"/>
    <x v="1"/>
    <x v="4"/>
    <x v="5"/>
    <x v="0"/>
    <x v="5"/>
    <x v="0"/>
    <x v="0"/>
    <n v="21"/>
    <x v="0"/>
  </r>
  <r>
    <d v="2020-04-21T00:00:00"/>
    <x v="1"/>
    <x v="0"/>
    <x v="1"/>
    <n v="1976655064.3599999"/>
    <x v="1"/>
    <x v="0"/>
    <x v="1"/>
    <x v="9"/>
    <x v="5"/>
    <x v="0"/>
    <x v="5"/>
    <x v="0"/>
    <x v="0"/>
    <n v="21"/>
    <x v="0"/>
  </r>
  <r>
    <d v="2020-04-21T00:00:00"/>
    <x v="3"/>
    <x v="2"/>
    <x v="2"/>
    <n v="124767"/>
    <x v="3"/>
    <x v="2"/>
    <x v="2"/>
    <x v="5"/>
    <x v="5"/>
    <x v="0"/>
    <x v="5"/>
    <x v="0"/>
    <x v="0"/>
    <n v="21"/>
    <x v="0"/>
  </r>
  <r>
    <d v="2020-04-21T00:00:00"/>
    <x v="0"/>
    <x v="0"/>
    <x v="0"/>
    <n v="20"/>
    <x v="0"/>
    <x v="0"/>
    <x v="0"/>
    <x v="0"/>
    <x v="5"/>
    <x v="0"/>
    <x v="5"/>
    <x v="0"/>
    <x v="0"/>
    <n v="21"/>
    <x v="0"/>
  </r>
  <r>
    <d v="2020-04-21T00:00:00"/>
    <x v="3"/>
    <x v="1"/>
    <x v="0"/>
    <n v="8147224.2999999998"/>
    <x v="3"/>
    <x v="1"/>
    <x v="0"/>
    <x v="10"/>
    <x v="5"/>
    <x v="0"/>
    <x v="5"/>
    <x v="0"/>
    <x v="0"/>
    <n v="21"/>
    <x v="0"/>
  </r>
  <r>
    <d v="2020-04-21T00:00:00"/>
    <x v="3"/>
    <x v="2"/>
    <x v="0"/>
    <n v="438074111.54000002"/>
    <x v="3"/>
    <x v="2"/>
    <x v="0"/>
    <x v="11"/>
    <x v="5"/>
    <x v="0"/>
    <x v="5"/>
    <x v="0"/>
    <x v="0"/>
    <n v="21"/>
    <x v="0"/>
  </r>
  <r>
    <d v="2020-04-21T00:00:00"/>
    <x v="3"/>
    <x v="2"/>
    <x v="1"/>
    <n v="2507648862.79"/>
    <x v="3"/>
    <x v="2"/>
    <x v="1"/>
    <x v="12"/>
    <x v="5"/>
    <x v="0"/>
    <x v="5"/>
    <x v="0"/>
    <x v="0"/>
    <n v="21"/>
    <x v="0"/>
  </r>
  <r>
    <d v="2020-04-20T00:00:00"/>
    <x v="1"/>
    <x v="0"/>
    <x v="2"/>
    <n v="4365.0200000000004"/>
    <x v="1"/>
    <x v="0"/>
    <x v="2"/>
    <x v="1"/>
    <x v="5"/>
    <x v="0"/>
    <x v="5"/>
    <x v="0"/>
    <x v="0"/>
    <n v="20"/>
    <x v="0"/>
  </r>
  <r>
    <d v="2020-04-20T00:00:00"/>
    <x v="0"/>
    <x v="1"/>
    <x v="0"/>
    <n v="14243772.35"/>
    <x v="0"/>
    <x v="1"/>
    <x v="0"/>
    <x v="0"/>
    <x v="5"/>
    <x v="0"/>
    <x v="5"/>
    <x v="0"/>
    <x v="0"/>
    <n v="20"/>
    <x v="0"/>
  </r>
  <r>
    <d v="2020-04-20T00:00:00"/>
    <x v="3"/>
    <x v="2"/>
    <x v="2"/>
    <n v="116500"/>
    <x v="3"/>
    <x v="2"/>
    <x v="2"/>
    <x v="3"/>
    <x v="5"/>
    <x v="0"/>
    <x v="5"/>
    <x v="0"/>
    <x v="0"/>
    <n v="20"/>
    <x v="0"/>
  </r>
  <r>
    <d v="2020-04-20T00:00:00"/>
    <x v="0"/>
    <x v="1"/>
    <x v="1"/>
    <n v="5758.69"/>
    <x v="0"/>
    <x v="1"/>
    <x v="1"/>
    <x v="2"/>
    <x v="5"/>
    <x v="0"/>
    <x v="5"/>
    <x v="0"/>
    <x v="0"/>
    <n v="20"/>
    <x v="0"/>
  </r>
  <r>
    <d v="2020-04-20T00:00:00"/>
    <x v="3"/>
    <x v="3"/>
    <x v="0"/>
    <n v="1212924850.4400001"/>
    <x v="3"/>
    <x v="3"/>
    <x v="0"/>
    <x v="5"/>
    <x v="5"/>
    <x v="0"/>
    <x v="5"/>
    <x v="0"/>
    <x v="0"/>
    <n v="20"/>
    <x v="0"/>
  </r>
  <r>
    <d v="2020-04-20T00:00:00"/>
    <x v="1"/>
    <x v="0"/>
    <x v="0"/>
    <n v="49743296.670000002"/>
    <x v="1"/>
    <x v="0"/>
    <x v="0"/>
    <x v="6"/>
    <x v="5"/>
    <x v="0"/>
    <x v="5"/>
    <x v="0"/>
    <x v="0"/>
    <n v="20"/>
    <x v="0"/>
  </r>
  <r>
    <d v="2020-04-20T00:00:00"/>
    <x v="2"/>
    <x v="1"/>
    <x v="0"/>
    <n v="57563085.460000001"/>
    <x v="2"/>
    <x v="1"/>
    <x v="0"/>
    <x v="4"/>
    <x v="5"/>
    <x v="0"/>
    <x v="5"/>
    <x v="0"/>
    <x v="0"/>
    <n v="20"/>
    <x v="0"/>
  </r>
  <r>
    <d v="2020-04-20T00:00:00"/>
    <x v="1"/>
    <x v="0"/>
    <x v="1"/>
    <n v="1577050862.3800001"/>
    <x v="1"/>
    <x v="0"/>
    <x v="1"/>
    <x v="7"/>
    <x v="5"/>
    <x v="0"/>
    <x v="5"/>
    <x v="0"/>
    <x v="0"/>
    <n v="20"/>
    <x v="0"/>
  </r>
  <r>
    <d v="2020-04-20T00:00:00"/>
    <x v="3"/>
    <x v="2"/>
    <x v="0"/>
    <n v="410367428.79000002"/>
    <x v="3"/>
    <x v="2"/>
    <x v="0"/>
    <x v="8"/>
    <x v="5"/>
    <x v="0"/>
    <x v="5"/>
    <x v="0"/>
    <x v="0"/>
    <n v="20"/>
    <x v="0"/>
  </r>
  <r>
    <d v="2020-04-20T00:00:00"/>
    <x v="3"/>
    <x v="2"/>
    <x v="1"/>
    <n v="16125911298.6"/>
    <x v="3"/>
    <x v="2"/>
    <x v="1"/>
    <x v="9"/>
    <x v="5"/>
    <x v="0"/>
    <x v="5"/>
    <x v="0"/>
    <x v="0"/>
    <n v="20"/>
    <x v="0"/>
  </r>
  <r>
    <d v="2020-04-20T00:00:00"/>
    <x v="3"/>
    <x v="1"/>
    <x v="0"/>
    <n v="40261134.93"/>
    <x v="3"/>
    <x v="1"/>
    <x v="0"/>
    <x v="10"/>
    <x v="5"/>
    <x v="0"/>
    <x v="5"/>
    <x v="0"/>
    <x v="0"/>
    <n v="2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35EE959-9FC1-4B13-A9B7-2AB03421FCDD}" name="Fiscal quaterly worth"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24:F28" firstHeaderRow="1" firstDataRow="1" firstDataCol="1"/>
  <pivotFields count="16">
    <pivotField showAll="0"/>
    <pivotField showAll="0"/>
    <pivotField showAll="0"/>
    <pivotField showAll="0"/>
    <pivotField dataField="1" showAll="0"/>
    <pivotField showAll="0"/>
    <pivotField showAll="0"/>
    <pivotField showAll="0"/>
    <pivotField showAll="0"/>
    <pivotField showAll="0">
      <items count="7">
        <item h="1" x="5"/>
        <item h="1" x="4"/>
        <item h="1" x="3"/>
        <item h="1" x="2"/>
        <item h="1" x="1"/>
        <item x="0"/>
        <item t="default"/>
      </items>
    </pivotField>
    <pivotField axis="axisRow" showAll="0">
      <items count="5">
        <item x="2"/>
        <item x="1"/>
        <item x="0"/>
        <item x="3"/>
        <item t="default"/>
      </items>
    </pivotField>
    <pivotField showAll="0"/>
    <pivotField showAll="0"/>
    <pivotField showAll="0"/>
    <pivotField showAll="0"/>
    <pivotField showAll="0"/>
  </pivotFields>
  <rowFields count="1">
    <field x="10"/>
  </rowFields>
  <rowItems count="4">
    <i>
      <x/>
    </i>
    <i>
      <x v="1"/>
    </i>
    <i>
      <x v="2"/>
    </i>
    <i t="grand">
      <x/>
    </i>
  </rowItems>
  <colItems count="1">
    <i/>
  </colItems>
  <dataFields count="1">
    <dataField name="Sum of Net Collections Amount" fld="4" baseField="0" baseItem="0"/>
  </dataFields>
  <formats count="3">
    <format dxfId="17">
      <pivotArea collapsedLevelsAreSubtotals="1" fieldPosition="0">
        <references count="1">
          <reference field="10" count="0"/>
        </references>
      </pivotArea>
    </format>
    <format dxfId="16">
      <pivotArea field="10" type="button" dataOnly="0" labelOnly="1" outline="0" axis="axisRow" fieldPosition="0"/>
    </format>
    <format dxfId="1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6E1A85-4ADB-4E44-B136-AE7F773EBA64}" name="electronic"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fieldListSortAscending="1">
  <location ref="C58:D63" firstHeaderRow="1" firstDataRow="1" firstDataCol="1"/>
  <pivotFields count="16">
    <pivotField dataField="1" showAll="0"/>
    <pivotField axis="axisRow" showAll="0">
      <items count="5">
        <item x="1"/>
        <item x="3"/>
        <item x="2"/>
        <item x="0"/>
        <item t="default"/>
      </items>
    </pivotField>
    <pivotField showAll="0"/>
    <pivotField showAll="0"/>
    <pivotField showAll="0"/>
    <pivotField showAll="0"/>
    <pivotField showAll="0"/>
    <pivotField showAll="0"/>
    <pivotField showAll="0"/>
    <pivotField showAll="0">
      <items count="7">
        <item h="1" x="5"/>
        <item h="1" x="4"/>
        <item h="1" x="3"/>
        <item h="1" x="2"/>
        <item h="1" x="1"/>
        <item x="0"/>
        <item t="default"/>
      </items>
    </pivotField>
    <pivotField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Count of Record Date" fld="0" subtotal="count" baseField="0" baseItem="0"/>
  </dataFields>
  <chartFormats count="10">
    <chartFormat chart="3" format="0"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 count="1" selected="0">
            <x v="0"/>
          </reference>
        </references>
      </pivotArea>
    </chartFormat>
    <chartFormat chart="7" format="8">
      <pivotArea type="data" outline="0" fieldPosition="0">
        <references count="2">
          <reference field="4294967294" count="1" selected="0">
            <x v="0"/>
          </reference>
          <reference field="1" count="1" selected="0">
            <x v="1"/>
          </reference>
        </references>
      </pivotArea>
    </chartFormat>
    <chartFormat chart="7" format="9">
      <pivotArea type="data" outline="0" fieldPosition="0">
        <references count="2">
          <reference field="4294967294" count="1" selected="0">
            <x v="0"/>
          </reference>
          <reference field="1" count="1" selected="0">
            <x v="2"/>
          </reference>
        </references>
      </pivotArea>
    </chartFormat>
    <chartFormat chart="7" format="10">
      <pivotArea type="data" outline="0" fieldPosition="0">
        <references count="2">
          <reference field="4294967294" count="1" selected="0">
            <x v="0"/>
          </reference>
          <reference field="1" count="1" selected="0">
            <x v="3"/>
          </reference>
        </references>
      </pivotArea>
    </chartFormat>
    <chartFormat chart="3" format="1">
      <pivotArea type="data" outline="0" fieldPosition="0">
        <references count="2">
          <reference field="4294967294" count="1" selected="0">
            <x v="0"/>
          </reference>
          <reference field="1" count="1" selected="0">
            <x v="0"/>
          </reference>
        </references>
      </pivotArea>
    </chartFormat>
    <chartFormat chart="3" format="2">
      <pivotArea type="data" outline="0" fieldPosition="0">
        <references count="2">
          <reference field="4294967294" count="1" selected="0">
            <x v="0"/>
          </reference>
          <reference field="1" count="1" selected="0">
            <x v="1"/>
          </reference>
        </references>
      </pivotArea>
    </chartFormat>
    <chartFormat chart="3" format="3">
      <pivotArea type="data" outline="0" fieldPosition="0">
        <references count="2">
          <reference field="4294967294" count="1" selected="0">
            <x v="0"/>
          </reference>
          <reference field="1" count="1" selected="0">
            <x v="2"/>
          </reference>
        </references>
      </pivotArea>
    </chartFormat>
    <chartFormat chart="3" format="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CE6197F-8FAF-4E1C-9313-C1C1B437CDBA}" name="Channel"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75:D80" firstHeaderRow="1" firstDataRow="1" firstDataCol="1" rowPageCount="1" colPageCount="1"/>
  <pivotFields count="16">
    <pivotField dataField="1" showAll="0"/>
    <pivotField showAll="0"/>
    <pivotField axis="axisRow" showAll="0" sortType="descending">
      <items count="6">
        <item x="3"/>
        <item x="2"/>
        <item x="0"/>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axis="axisPage" multipleItemSelectionAllowed="1" showAll="0">
      <items count="7">
        <item h="1" x="5"/>
        <item h="1" x="4"/>
        <item h="1" x="3"/>
        <item h="1" x="2"/>
        <item h="1" x="1"/>
        <item x="0"/>
        <item t="default"/>
      </items>
    </pivotField>
    <pivotField showAll="0"/>
    <pivotField showAll="0"/>
    <pivotField showAll="0"/>
    <pivotField showAll="0"/>
    <pivotField showAll="0"/>
    <pivotField showAll="0"/>
  </pivotFields>
  <rowFields count="1">
    <field x="2"/>
  </rowFields>
  <rowItems count="5">
    <i>
      <x v="4"/>
    </i>
    <i>
      <x v="1"/>
    </i>
    <i>
      <x v="2"/>
    </i>
    <i>
      <x/>
    </i>
    <i t="grand">
      <x/>
    </i>
  </rowItems>
  <colItems count="1">
    <i/>
  </colItems>
  <pageFields count="1">
    <pageField fld="9" hier="-1"/>
  </pageFields>
  <dataFields count="1">
    <dataField name="Count of Record Date" fld="0" subtotal="count"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54060C-D176-4DE6-9833-E0B275835AC6}" name="Fiscal YOY"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108:D115" firstHeaderRow="1" firstDataRow="1" firstDataCol="1"/>
  <pivotFields count="16">
    <pivotField showAll="0"/>
    <pivotField showAll="0"/>
    <pivotField showAll="0"/>
    <pivotField showAll="0"/>
    <pivotField dataField="1"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 showAll="0"/>
    <pivotField showAll="0"/>
  </pivotFields>
  <rowFields count="1">
    <field x="9"/>
  </rowFields>
  <rowItems count="7">
    <i>
      <x/>
    </i>
    <i>
      <x v="1"/>
    </i>
    <i>
      <x v="2"/>
    </i>
    <i>
      <x v="3"/>
    </i>
    <i>
      <x v="4"/>
    </i>
    <i>
      <x v="5"/>
    </i>
    <i t="grand">
      <x/>
    </i>
  </rowItems>
  <colItems count="1">
    <i/>
  </colItems>
  <dataFields count="1">
    <dataField name="Sum of Net Collections Amount" fld="4" showDataAs="percentDiff" baseField="9"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9C0037-2830-43D6-B2D9-5C295E68C37B}" name="PivotTable79"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C91:E99" firstHeaderRow="0" firstDataRow="1" firstDataCol="1"/>
  <pivotFields count="16">
    <pivotField dataField="1"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items count="7">
        <item h="1" x="5"/>
        <item h="1" x="4"/>
        <item h="1" x="3"/>
        <item h="1" x="2"/>
        <item h="1" x="1"/>
        <item x="0"/>
        <item t="default"/>
      </items>
    </pivotField>
    <pivotField showAll="0"/>
    <pivotField showAll="0"/>
    <pivotField showAll="0"/>
    <pivotField axis="axisRow" showAll="0">
      <items count="13">
        <item x="3"/>
        <item x="2"/>
        <item x="1"/>
        <item x="0"/>
        <item x="11"/>
        <item x="10"/>
        <item x="9"/>
        <item x="8"/>
        <item x="7"/>
        <item x="6"/>
        <item x="5"/>
        <item x="4"/>
        <item t="default"/>
      </items>
    </pivotField>
    <pivotField showAll="0"/>
    <pivotField showAll="0"/>
  </pivotFields>
  <rowFields count="1">
    <field x="13"/>
  </rowFields>
  <rowItems count="8">
    <i>
      <x/>
    </i>
    <i>
      <x v="1"/>
    </i>
    <i>
      <x v="2"/>
    </i>
    <i>
      <x v="3"/>
    </i>
    <i>
      <x v="9"/>
    </i>
    <i>
      <x v="10"/>
    </i>
    <i>
      <x v="11"/>
    </i>
    <i t="grand">
      <x/>
    </i>
  </rowItems>
  <colFields count="1">
    <field x="-2"/>
  </colFields>
  <colItems count="2">
    <i>
      <x/>
    </i>
    <i i="1">
      <x v="1"/>
    </i>
  </colItems>
  <dataFields count="2">
    <dataField name="Count of Record Date" fld="0" subtotal="count" baseField="0" baseItem="0"/>
    <dataField name="Sum of Net Collections Amount" fld="4" baseField="0" baseItem="0" numFmtId="164"/>
  </dataFields>
  <formats count="1">
    <format dxfId="18">
      <pivotArea outline="0" collapsedLevelsAreSubtotals="1" fieldPosition="0">
        <references count="1">
          <reference field="4294967294" count="1" selected="0">
            <x v="1"/>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74AD00-17DA-44A7-AF07-47948EC8E6D4}" name="Total Revenue"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fieldListSortAscending="1">
  <location ref="B3:C5" firstHeaderRow="1" firstDataRow="1" firstDataCol="1"/>
  <pivotFields count="16">
    <pivotField showAll="0"/>
    <pivotField showAll="0"/>
    <pivotField showAll="0"/>
    <pivotField showAll="0"/>
    <pivotField dataField="1" showAll="0"/>
    <pivotField showAll="0"/>
    <pivotField showAll="0"/>
    <pivotField showAll="0"/>
    <pivotField showAll="0"/>
    <pivotField axis="axisRow" showAll="0" sortType="ascending">
      <items count="7">
        <item h="1" x="5"/>
        <item h="1" x="4"/>
        <item h="1" x="3"/>
        <item h="1" x="2"/>
        <item h="1" x="1"/>
        <item x="0"/>
        <item t="default"/>
      </items>
    </pivotField>
    <pivotField showAll="0"/>
    <pivotField showAll="0"/>
    <pivotField showAll="0"/>
    <pivotField showAll="0"/>
    <pivotField showAll="0"/>
    <pivotField showAll="0"/>
  </pivotFields>
  <rowFields count="1">
    <field x="9"/>
  </rowFields>
  <rowItems count="2">
    <i>
      <x v="5"/>
    </i>
    <i t="grand">
      <x/>
    </i>
  </rowItems>
  <colItems count="1">
    <i/>
  </colItems>
  <dataFields count="1">
    <dataField name="Sum of Net Collections Amount" fld="4" baseField="0" baseItem="0" numFmtId="164"/>
  </dataFields>
  <formats count="3">
    <format dxfId="21">
      <pivotArea collapsedLevelsAreSubtotals="1" fieldPosition="0">
        <references count="1">
          <reference field="9" count="0"/>
        </references>
      </pivotArea>
    </format>
    <format dxfId="20">
      <pivotArea grandRow="1" outline="0" collapsedLevelsAreSubtotals="1" fieldPosition="0"/>
    </format>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072719-B909-4A6E-A297-B30EEDA55832}" name="Calendar YOY"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117:D124" firstHeaderRow="1" firstDataRow="1" firstDataCol="1"/>
  <pivotFields count="16">
    <pivotField showAll="0"/>
    <pivotField showAll="0"/>
    <pivotField showAll="0"/>
    <pivotField showAll="0"/>
    <pivotField dataField="1" showAll="0"/>
    <pivotField showAll="0"/>
    <pivotField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s>
  <rowFields count="1">
    <field x="11"/>
  </rowFields>
  <rowItems count="7">
    <i>
      <x/>
    </i>
    <i>
      <x v="1"/>
    </i>
    <i>
      <x v="2"/>
    </i>
    <i>
      <x v="3"/>
    </i>
    <i>
      <x v="4"/>
    </i>
    <i>
      <x v="5"/>
    </i>
    <i t="grand">
      <x/>
    </i>
  </rowItems>
  <colItems count="1">
    <i/>
  </colItems>
  <dataFields count="1">
    <dataField name="Sum of Net Collections Amount" fld="4" showDataAs="percentDiff" baseField="11"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D2AE4DC-A022-4D6E-9A63-8B154A253CA0}" name="Total Refund"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3:F5" firstHeaderRow="1" firstDataRow="1" firstDataCol="1" rowPageCount="1" colPageCount="1"/>
  <pivotFields count="16">
    <pivotField showAll="0"/>
    <pivotField showAll="0"/>
    <pivotField showAll="0"/>
    <pivotField showAll="0"/>
    <pivotField dataField="1" showAll="0"/>
    <pivotField showAll="0"/>
    <pivotField showAll="0"/>
    <pivotField showAll="0"/>
    <pivotField showAll="0"/>
    <pivotField axis="axisRow" showAll="0">
      <items count="7">
        <item h="1" x="5"/>
        <item h="1" x="4"/>
        <item h="1" x="3"/>
        <item h="1" x="2"/>
        <item h="1" x="1"/>
        <item x="0"/>
        <item t="default"/>
      </items>
    </pivotField>
    <pivotField showAll="0"/>
    <pivotField showAll="0"/>
    <pivotField showAll="0"/>
    <pivotField showAll="0"/>
    <pivotField showAll="0"/>
    <pivotField axis="axisPage" showAll="0">
      <items count="3">
        <item x="1"/>
        <item x="0"/>
        <item t="default"/>
      </items>
    </pivotField>
  </pivotFields>
  <rowFields count="1">
    <field x="9"/>
  </rowFields>
  <rowItems count="2">
    <i>
      <x v="5"/>
    </i>
    <i t="grand">
      <x/>
    </i>
  </rowItems>
  <colItems count="1">
    <i/>
  </colItems>
  <pageFields count="1">
    <pageField fld="15" item="0" hier="-1"/>
  </pageFields>
  <dataFields count="1">
    <dataField name="Sum of Net Collections Amount" fld="4" baseField="0" baseItem="0" numFmtId="167"/>
  </dataFields>
  <formats count="3">
    <format dxfId="24">
      <pivotArea outline="0" collapsedLevelsAreSubtotals="1" fieldPosition="0"/>
    </format>
    <format dxfId="23">
      <pivotArea collapsedLevelsAreSubtotals="1" fieldPosition="0">
        <references count="1">
          <reference field="9" count="1">
            <x v="0"/>
          </reference>
        </references>
      </pivotArea>
    </format>
    <format dxfId="22">
      <pivotArea collapsedLevelsAreSubtotals="1" fieldPosition="0">
        <references count="1">
          <reference field="9" count="5">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0151635-A643-4AA7-AD79-0F2E78942E80}" name="Avg amt"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14:G16" firstHeaderRow="0" firstDataRow="1" firstDataCol="1"/>
  <pivotFields count="16">
    <pivotField dataField="1" showAll="0"/>
    <pivotField showAll="0"/>
    <pivotField showAll="0"/>
    <pivotField showAll="0"/>
    <pivotField dataField="1" showAll="0"/>
    <pivotField showAll="0"/>
    <pivotField showAll="0"/>
    <pivotField showAll="0"/>
    <pivotField showAll="0"/>
    <pivotField axis="axisRow" showAll="0">
      <items count="7">
        <item h="1" x="5"/>
        <item h="1" x="4"/>
        <item h="1" x="3"/>
        <item h="1" x="2"/>
        <item h="1" x="1"/>
        <item x="0"/>
        <item t="default"/>
      </items>
    </pivotField>
    <pivotField showAll="0"/>
    <pivotField showAll="0"/>
    <pivotField showAll="0"/>
    <pivotField showAll="0"/>
    <pivotField showAll="0"/>
    <pivotField showAll="0"/>
  </pivotFields>
  <rowFields count="1">
    <field x="9"/>
  </rowFields>
  <rowItems count="2">
    <i>
      <x v="5"/>
    </i>
    <i t="grand">
      <x/>
    </i>
  </rowItems>
  <colFields count="1">
    <field x="-2"/>
  </colFields>
  <colItems count="2">
    <i>
      <x/>
    </i>
    <i i="1">
      <x v="1"/>
    </i>
  </colItems>
  <dataFields count="2">
    <dataField name="Sum of Net Collections Amount" fld="4" baseField="0" baseItem="0" numFmtId="164"/>
    <dataField name="Count of Record Date" fld="0" subtotal="count" baseField="0" baseItem="0"/>
  </dataFields>
  <formats count="1">
    <format dxfId="2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A2E8D5E-1E39-4B59-8712-E03DD8463864}" name="Month worth"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B24:C32" firstHeaderRow="1" firstDataRow="1" firstDataCol="1"/>
  <pivotFields count="16">
    <pivotField showAll="0"/>
    <pivotField showAll="0"/>
    <pivotField showAll="0"/>
    <pivotField showAll="0"/>
    <pivotField dataField="1" showAll="0"/>
    <pivotField showAll="0"/>
    <pivotField showAll="0"/>
    <pivotField showAll="0"/>
    <pivotField showAll="0"/>
    <pivotField showAll="0">
      <items count="7">
        <item h="1" x="5"/>
        <item h="1" x="4"/>
        <item h="1" x="3"/>
        <item h="1" x="2"/>
        <item h="1" x="1"/>
        <item x="0"/>
        <item t="default"/>
      </items>
    </pivotField>
    <pivotField showAll="0"/>
    <pivotField showAll="0"/>
    <pivotField showAll="0"/>
    <pivotField axis="axisRow" showAll="0">
      <items count="13">
        <item x="3"/>
        <item x="2"/>
        <item x="1"/>
        <item x="0"/>
        <item x="11"/>
        <item x="10"/>
        <item x="9"/>
        <item x="8"/>
        <item x="7"/>
        <item x="6"/>
        <item x="5"/>
        <item x="4"/>
        <item t="default"/>
      </items>
    </pivotField>
    <pivotField showAll="0"/>
    <pivotField showAll="0"/>
  </pivotFields>
  <rowFields count="1">
    <field x="13"/>
  </rowFields>
  <rowItems count="8">
    <i>
      <x/>
    </i>
    <i>
      <x v="1"/>
    </i>
    <i>
      <x v="2"/>
    </i>
    <i>
      <x v="3"/>
    </i>
    <i>
      <x v="9"/>
    </i>
    <i>
      <x v="10"/>
    </i>
    <i>
      <x v="11"/>
    </i>
    <i t="grand">
      <x/>
    </i>
  </rowItems>
  <colItems count="1">
    <i/>
  </colItems>
  <dataFields count="1">
    <dataField name="Sum of Net Collections Amount" fld="4" baseField="0" baseItem="0" numFmtId="164"/>
  </dataFields>
  <formats count="3">
    <format dxfId="28">
      <pivotArea outline="0" collapsedLevelsAreSubtotals="1" fieldPosition="0"/>
    </format>
    <format dxfId="27">
      <pivotArea field="13" type="button" dataOnly="0" labelOnly="1" outline="0" axis="axisRow" fieldPosition="0"/>
    </format>
    <format dxfId="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3B86EAD-F5EA-482C-BC5E-6669DAA2895F}" name="Top Tax Category" cacheId="1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B14:C18" firstHeaderRow="1" firstDataRow="1" firstDataCol="1"/>
  <pivotFields count="16">
    <pivotField showAll="0"/>
    <pivotField showAll="0"/>
    <pivotField showAll="0"/>
    <pivotField axis="axisRow" showAll="0">
      <items count="4">
        <item x="2"/>
        <item x="1"/>
        <item x="0"/>
        <item t="default"/>
      </items>
    </pivotField>
    <pivotField dataField="1" showAll="0"/>
    <pivotField showAll="0"/>
    <pivotField showAll="0"/>
    <pivotField showAll="0"/>
    <pivotField showAll="0"/>
    <pivotField showAll="0">
      <items count="7">
        <item h="1" x="5"/>
        <item h="1" x="4"/>
        <item h="1" x="3"/>
        <item h="1" x="2"/>
        <item h="1" x="1"/>
        <item x="0"/>
        <item t="default"/>
      </items>
    </pivotField>
    <pivotField showAll="0"/>
    <pivotField showAll="0"/>
    <pivotField showAll="0"/>
    <pivotField showAll="0"/>
    <pivotField showAll="0"/>
    <pivotField showAll="0"/>
  </pivotFields>
  <rowFields count="1">
    <field x="3"/>
  </rowFields>
  <rowItems count="4">
    <i>
      <x/>
    </i>
    <i>
      <x v="1"/>
    </i>
    <i>
      <x v="2"/>
    </i>
    <i t="grand">
      <x/>
    </i>
  </rowItems>
  <colItems count="1">
    <i/>
  </colItems>
  <dataFields count="1">
    <dataField name="Sum of Net Collections Amount" fld="4" baseField="0" baseItem="0" numFmtId="164"/>
  </dataFields>
  <formats count="1">
    <format dxfId="2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2A0A34A3-2B59-4BD4-B23D-CF58B7B0794E}" sourceName="Fiscal Year">
  <pivotTables>
    <pivotTable tabId="4" name="Total Revenue"/>
    <pivotTable tabId="4" name="Avg amt"/>
    <pivotTable tabId="4" name="Channel"/>
    <pivotTable tabId="4" name="electronic"/>
    <pivotTable tabId="4" name="Fiscal quaterly worth"/>
    <pivotTable tabId="4" name="Month worth"/>
    <pivotTable tabId="4" name="Top Tax Category"/>
    <pivotTable tabId="4" name="Total Refund"/>
    <pivotTable tabId="4" name="PivotTable79"/>
  </pivotTables>
  <data>
    <tabular pivotCacheId="1410462896" crossFilter="none">
      <items count="6">
        <i x="5"/>
        <i x="4"/>
        <i x="3"/>
        <i x="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 Year" xr10:uid="{FE063749-D6A2-43FE-AF81-5933833A0A62}" cache="Slicer_Fiscal_Year" caption="Fiscal Year" startItem="4" style="SlicerStyleDark6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213DB-B879-4082-ACFC-718041D0F907}">
  <sheetPr codeName="Sheet1"/>
  <dimension ref="B1:N124"/>
  <sheetViews>
    <sheetView topLeftCell="A119" zoomScale="85" zoomScaleNormal="85" workbookViewId="0">
      <selection activeCell="B13" sqref="B13"/>
    </sheetView>
  </sheetViews>
  <sheetFormatPr defaultRowHeight="14.4" x14ac:dyDescent="0.3"/>
  <cols>
    <col min="1" max="1" width="8.88671875" customWidth="1"/>
    <col min="2" max="2" width="13.44140625" bestFit="1" customWidth="1"/>
    <col min="3" max="4" width="29.5546875" bestFit="1" customWidth="1"/>
    <col min="5" max="5" width="13.44140625" bestFit="1" customWidth="1"/>
    <col min="6" max="6" width="29.5546875" bestFit="1" customWidth="1"/>
    <col min="7" max="7" width="20.33203125" bestFit="1" customWidth="1"/>
    <col min="8" max="8" width="12" bestFit="1" customWidth="1"/>
    <col min="9" max="9" width="16.44140625" customWidth="1"/>
    <col min="10" max="11" width="14" customWidth="1"/>
    <col min="12" max="12" width="11" bestFit="1" customWidth="1"/>
    <col min="15" max="15" width="11.33203125" bestFit="1" customWidth="1"/>
  </cols>
  <sheetData>
    <row r="1" spans="2:11" x14ac:dyDescent="0.3">
      <c r="E1" s="2" t="s">
        <v>15</v>
      </c>
      <c r="F1" t="s">
        <v>16</v>
      </c>
    </row>
    <row r="2" spans="2:11" x14ac:dyDescent="0.3">
      <c r="B2" s="17" t="s">
        <v>14</v>
      </c>
      <c r="E2" s="17" t="s">
        <v>39</v>
      </c>
    </row>
    <row r="3" spans="2:11" x14ac:dyDescent="0.3">
      <c r="B3" s="2" t="s">
        <v>2</v>
      </c>
      <c r="C3" t="s">
        <v>0</v>
      </c>
      <c r="E3" s="2" t="s">
        <v>2</v>
      </c>
      <c r="F3" t="s">
        <v>0</v>
      </c>
    </row>
    <row r="4" spans="2:11" x14ac:dyDescent="0.3">
      <c r="B4" s="3">
        <v>2025</v>
      </c>
      <c r="C4" s="4">
        <v>3483457514741.8062</v>
      </c>
      <c r="D4" s="4"/>
      <c r="E4" s="3">
        <v>2025</v>
      </c>
      <c r="F4" s="5">
        <v>-5001032.21</v>
      </c>
    </row>
    <row r="5" spans="2:11" x14ac:dyDescent="0.3">
      <c r="B5" s="3" t="s">
        <v>1</v>
      </c>
      <c r="C5" s="4">
        <v>3483457514741.8062</v>
      </c>
      <c r="D5" s="4"/>
      <c r="E5" s="3" t="s">
        <v>1</v>
      </c>
      <c r="F5" s="7">
        <v>-5001032.21</v>
      </c>
    </row>
    <row r="6" spans="2:11" x14ac:dyDescent="0.3">
      <c r="D6" s="4"/>
    </row>
    <row r="7" spans="2:11" x14ac:dyDescent="0.3">
      <c r="D7" s="4"/>
    </row>
    <row r="8" spans="2:11" x14ac:dyDescent="0.3">
      <c r="D8" s="4"/>
    </row>
    <row r="9" spans="2:11" x14ac:dyDescent="0.3">
      <c r="D9" s="4"/>
    </row>
    <row r="10" spans="2:11" x14ac:dyDescent="0.3">
      <c r="D10" s="4"/>
    </row>
    <row r="11" spans="2:11" x14ac:dyDescent="0.3">
      <c r="C11" s="4">
        <f>GETPIVOTDATA("Net Collections Amount",$B$3)</f>
        <v>3483457514741.8062</v>
      </c>
      <c r="F11" s="10">
        <f>GETPIVOTDATA("Net Collections Amount",$E$3)</f>
        <v>-5001032.21</v>
      </c>
    </row>
    <row r="13" spans="2:11" x14ac:dyDescent="0.3">
      <c r="B13" s="17" t="s">
        <v>40</v>
      </c>
      <c r="E13" t="s">
        <v>41</v>
      </c>
    </row>
    <row r="14" spans="2:11" x14ac:dyDescent="0.3">
      <c r="B14" s="2" t="s">
        <v>2</v>
      </c>
      <c r="C14" t="s">
        <v>0</v>
      </c>
      <c r="E14" s="2" t="s">
        <v>2</v>
      </c>
      <c r="F14" t="s">
        <v>0</v>
      </c>
      <c r="G14" t="s">
        <v>17</v>
      </c>
      <c r="H14" t="s">
        <v>42</v>
      </c>
      <c r="I14" s="7">
        <f>C11/D105</f>
        <v>1751361244.2140806</v>
      </c>
    </row>
    <row r="15" spans="2:11" x14ac:dyDescent="0.3">
      <c r="B15" s="3" t="s">
        <v>5</v>
      </c>
      <c r="C15" s="4">
        <v>71784554.799999997</v>
      </c>
      <c r="E15" s="3">
        <v>2025</v>
      </c>
      <c r="F15" s="4">
        <v>3483457514741.8062</v>
      </c>
      <c r="G15" s="18">
        <v>1989</v>
      </c>
      <c r="H15" s="7">
        <f>F15/G15</f>
        <v>1751361244.2140806</v>
      </c>
      <c r="I15" s="6"/>
      <c r="J15" s="6"/>
      <c r="K15" s="6"/>
    </row>
    <row r="16" spans="2:11" x14ac:dyDescent="0.3">
      <c r="B16" s="3" t="s">
        <v>10</v>
      </c>
      <c r="C16" s="4">
        <v>3025840892763.0581</v>
      </c>
      <c r="E16" s="3" t="s">
        <v>1</v>
      </c>
      <c r="F16" s="4">
        <v>3483457514741.8062</v>
      </c>
      <c r="G16" s="18">
        <v>1989</v>
      </c>
      <c r="H16" s="7">
        <f t="shared" ref="H16:H21" si="0">F16/G16</f>
        <v>1751361244.2140806</v>
      </c>
      <c r="I16" s="6"/>
      <c r="J16" s="6"/>
      <c r="K16" s="6"/>
    </row>
    <row r="17" spans="2:14" x14ac:dyDescent="0.3">
      <c r="B17" s="3" t="s">
        <v>8</v>
      </c>
      <c r="C17" s="4">
        <v>457544837423.95032</v>
      </c>
      <c r="H17" s="7" t="e">
        <f t="shared" si="0"/>
        <v>#DIV/0!</v>
      </c>
      <c r="I17" s="6"/>
      <c r="J17" s="6"/>
      <c r="K17" s="6"/>
    </row>
    <row r="18" spans="2:14" x14ac:dyDescent="0.3">
      <c r="B18" s="3" t="s">
        <v>1</v>
      </c>
      <c r="C18" s="4">
        <v>3483457514741.8081</v>
      </c>
      <c r="H18" s="7" t="e">
        <f t="shared" si="0"/>
        <v>#DIV/0!</v>
      </c>
      <c r="I18" s="6"/>
      <c r="J18" s="6"/>
      <c r="K18" s="6"/>
    </row>
    <row r="19" spans="2:14" x14ac:dyDescent="0.3">
      <c r="H19" s="7" t="e">
        <f t="shared" si="0"/>
        <v>#DIV/0!</v>
      </c>
      <c r="I19" s="6"/>
      <c r="J19" s="6"/>
      <c r="K19" s="6"/>
    </row>
    <row r="20" spans="2:14" x14ac:dyDescent="0.3">
      <c r="H20" s="7" t="e">
        <f t="shared" si="0"/>
        <v>#DIV/0!</v>
      </c>
      <c r="I20" s="6"/>
      <c r="J20" s="6"/>
      <c r="K20" s="6"/>
    </row>
    <row r="21" spans="2:14" x14ac:dyDescent="0.3">
      <c r="H21" s="7" t="e">
        <f t="shared" si="0"/>
        <v>#DIV/0!</v>
      </c>
      <c r="I21" s="6"/>
      <c r="J21" s="6"/>
      <c r="K21" s="6"/>
    </row>
    <row r="23" spans="2:14" x14ac:dyDescent="0.3">
      <c r="B23" t="s">
        <v>43</v>
      </c>
      <c r="E23" t="s">
        <v>44</v>
      </c>
    </row>
    <row r="24" spans="2:14" s="12" customFormat="1" ht="43.2" x14ac:dyDescent="0.3">
      <c r="B24" s="11" t="s">
        <v>2</v>
      </c>
      <c r="C24" s="12" t="s">
        <v>0</v>
      </c>
      <c r="E24" s="11" t="s">
        <v>2</v>
      </c>
      <c r="F24" s="12" t="s">
        <v>0</v>
      </c>
      <c r="G24" s="12" t="s">
        <v>49</v>
      </c>
      <c r="H24" s="13" t="s">
        <v>48</v>
      </c>
      <c r="I24" s="13" t="s">
        <v>18</v>
      </c>
      <c r="J24" s="13" t="s">
        <v>50</v>
      </c>
      <c r="K24" s="13" t="s">
        <v>47</v>
      </c>
      <c r="L24" s="13" t="s">
        <v>35</v>
      </c>
      <c r="M24" s="13" t="s">
        <v>36</v>
      </c>
      <c r="N24" s="13" t="s">
        <v>46</v>
      </c>
    </row>
    <row r="25" spans="2:14" x14ac:dyDescent="0.3">
      <c r="B25" s="3">
        <v>1</v>
      </c>
      <c r="C25" s="4">
        <v>573557315733.70984</v>
      </c>
      <c r="E25" s="3">
        <v>1</v>
      </c>
      <c r="F25" s="4">
        <v>1303309729112.1396</v>
      </c>
      <c r="G25" s="14" t="s">
        <v>28</v>
      </c>
      <c r="H25" s="16">
        <v>1</v>
      </c>
      <c r="I25" s="4">
        <f>GETPIVOTDATA("Net Collections Amount",$B$24,"Calendar Month Number",10)</f>
        <v>414463241394.27032</v>
      </c>
      <c r="J25" s="15" t="str">
        <f>IF(ISERROR(I25),_xlfn.FORECAST.LINEAR(H25, I$31:I$36, H$31:H$36), "")</f>
        <v/>
      </c>
      <c r="K25" s="15">
        <f>IF(ISNUMBER(I25),I25,J25)</f>
        <v>414463241394.27032</v>
      </c>
      <c r="L25" s="14" t="s">
        <v>31</v>
      </c>
      <c r="M25" s="15">
        <f>GETPIVOTDATA("Net Collections Amount",$E$24,"Fiscal Quarter Number",1)</f>
        <v>1303309729112.1396</v>
      </c>
      <c r="N25" s="15">
        <f>SUM(K$25:K$27)</f>
        <v>1303309729112.1401</v>
      </c>
    </row>
    <row r="26" spans="2:14" x14ac:dyDescent="0.3">
      <c r="B26" s="3">
        <v>2</v>
      </c>
      <c r="C26" s="4">
        <v>416031753930.81012</v>
      </c>
      <c r="E26" s="3">
        <v>2</v>
      </c>
      <c r="F26" s="4">
        <v>1498272278222.0496</v>
      </c>
      <c r="G26" s="14" t="s">
        <v>29</v>
      </c>
      <c r="H26" s="16">
        <v>2</v>
      </c>
      <c r="I26" s="4">
        <f>GETPIVOTDATA("Net Collections Amount",$B$24,"Calendar Month Number",11)</f>
        <v>368728028088.57983</v>
      </c>
      <c r="J26" s="15" t="str">
        <f t="shared" ref="J26:J31" si="1">IF(ISERROR(I26),_xlfn.FORECAST.LINEAR(H26, I$31:I$36, H$31:H$36), "")</f>
        <v/>
      </c>
      <c r="K26" s="15">
        <f t="shared" ref="K26:K36" si="2">IF(ISNUMBER(I26),I26,J26)</f>
        <v>368728028088.57983</v>
      </c>
      <c r="L26" s="14" t="s">
        <v>31</v>
      </c>
      <c r="M26" s="15">
        <f t="shared" ref="M26:M27" si="3">GETPIVOTDATA("Net Collections Amount",$E$24,"Fiscal Quarter Number",1)</f>
        <v>1303309729112.1396</v>
      </c>
      <c r="N26" s="15">
        <f t="shared" ref="N26:N27" si="4">SUM(K$25:K$27)</f>
        <v>1303309729112.1401</v>
      </c>
    </row>
    <row r="27" spans="2:14" x14ac:dyDescent="0.3">
      <c r="B27" s="3">
        <v>3</v>
      </c>
      <c r="C27" s="4">
        <v>508683208557.53033</v>
      </c>
      <c r="E27" s="3">
        <v>3</v>
      </c>
      <c r="F27" s="4">
        <v>681875507407.62012</v>
      </c>
      <c r="G27" s="14" t="s">
        <v>30</v>
      </c>
      <c r="H27" s="16">
        <v>3</v>
      </c>
      <c r="I27" s="4">
        <f>GETPIVOTDATA("Net Collections Amount",$B$24,"Calendar Month Number",12)</f>
        <v>520118459629.2901</v>
      </c>
      <c r="J27" s="15" t="str">
        <f t="shared" si="1"/>
        <v/>
      </c>
      <c r="K27" s="15">
        <f t="shared" si="2"/>
        <v>520118459629.2901</v>
      </c>
      <c r="L27" s="14" t="s">
        <v>31</v>
      </c>
      <c r="M27" s="15">
        <f t="shared" si="3"/>
        <v>1303309729112.1396</v>
      </c>
      <c r="N27" s="15">
        <f t="shared" si="4"/>
        <v>1303309729112.1401</v>
      </c>
    </row>
    <row r="28" spans="2:14" x14ac:dyDescent="0.3">
      <c r="B28" s="3">
        <v>4</v>
      </c>
      <c r="C28" s="4">
        <v>681875507407.62012</v>
      </c>
      <c r="E28" s="3" t="s">
        <v>1</v>
      </c>
      <c r="F28" s="18">
        <v>3483457514741.8096</v>
      </c>
      <c r="G28" s="14" t="s">
        <v>19</v>
      </c>
      <c r="H28" s="16">
        <v>4</v>
      </c>
      <c r="I28" s="4">
        <f>GETPIVOTDATA("Net Collections Amount",$B$24,"Calendar Month Number",1)</f>
        <v>573557315733.70984</v>
      </c>
      <c r="J28" s="15" t="str">
        <f t="shared" si="1"/>
        <v/>
      </c>
      <c r="K28" s="15">
        <f t="shared" si="2"/>
        <v>573557315733.70984</v>
      </c>
      <c r="L28" s="14" t="s">
        <v>32</v>
      </c>
      <c r="M28" s="15">
        <f>GETPIVOTDATA("Net Collections Amount",$E$24,"Fiscal Quarter Number",2)</f>
        <v>1498272278222.0496</v>
      </c>
      <c r="N28" s="15">
        <f>SUM(K$28:K$30)</f>
        <v>1498272278222.0503</v>
      </c>
    </row>
    <row r="29" spans="2:14" x14ac:dyDescent="0.3">
      <c r="B29" s="3">
        <v>10</v>
      </c>
      <c r="C29" s="4">
        <v>414463241394.27032</v>
      </c>
      <c r="G29" s="14" t="s">
        <v>20</v>
      </c>
      <c r="H29" s="16">
        <v>5</v>
      </c>
      <c r="I29" s="4">
        <f>GETPIVOTDATA("Net Collections Amount",$B$24,"Calendar Month Number",2)</f>
        <v>416031753930.81012</v>
      </c>
      <c r="J29" s="15" t="str">
        <f t="shared" si="1"/>
        <v/>
      </c>
      <c r="K29" s="15">
        <f t="shared" si="2"/>
        <v>416031753930.81012</v>
      </c>
      <c r="L29" s="14" t="s">
        <v>32</v>
      </c>
      <c r="M29" s="15">
        <f t="shared" ref="M29:M30" si="5">GETPIVOTDATA("Net Collections Amount",$E$24,"Fiscal Quarter Number",2)</f>
        <v>1498272278222.0496</v>
      </c>
      <c r="N29" s="15">
        <f t="shared" ref="N29:N30" si="6">SUM(K$28:K$30)</f>
        <v>1498272278222.0503</v>
      </c>
    </row>
    <row r="30" spans="2:14" x14ac:dyDescent="0.3">
      <c r="B30" s="3">
        <v>11</v>
      </c>
      <c r="C30" s="4">
        <v>368728028088.57983</v>
      </c>
      <c r="G30" s="14" t="s">
        <v>21</v>
      </c>
      <c r="H30" s="16">
        <v>6</v>
      </c>
      <c r="I30" s="4">
        <f>GETPIVOTDATA("Net Collections Amount",$B$24,"Calendar Month Number",3)</f>
        <v>508683208557.53033</v>
      </c>
      <c r="J30" s="15" t="str">
        <f t="shared" si="1"/>
        <v/>
      </c>
      <c r="K30" s="15">
        <f t="shared" si="2"/>
        <v>508683208557.53033</v>
      </c>
      <c r="L30" s="14" t="s">
        <v>32</v>
      </c>
      <c r="M30" s="15">
        <f t="shared" si="5"/>
        <v>1498272278222.0496</v>
      </c>
      <c r="N30" s="15">
        <f t="shared" si="6"/>
        <v>1498272278222.0503</v>
      </c>
    </row>
    <row r="31" spans="2:14" x14ac:dyDescent="0.3">
      <c r="B31" s="3">
        <v>12</v>
      </c>
      <c r="C31" s="4">
        <v>520118459629.2901</v>
      </c>
      <c r="G31" s="14" t="s">
        <v>22</v>
      </c>
      <c r="H31" s="16">
        <v>7</v>
      </c>
      <c r="I31" s="15">
        <f>GETPIVOTDATA("Net Collections Amount",$B$24,"Calendar Month Number",4)</f>
        <v>681875507407.62012</v>
      </c>
      <c r="J31" s="15" t="str">
        <f t="shared" si="1"/>
        <v/>
      </c>
      <c r="K31" s="15">
        <f t="shared" si="2"/>
        <v>681875507407.62012</v>
      </c>
      <c r="L31" s="14" t="s">
        <v>33</v>
      </c>
      <c r="M31" s="15">
        <f>GETPIVOTDATA("Net Collections Amount",$E$24,"Fiscal Quarter Number",3)</f>
        <v>681875507407.62012</v>
      </c>
      <c r="N31" s="15">
        <f>SUM(K$31:K$33)</f>
        <v>2032813696484.4197</v>
      </c>
    </row>
    <row r="32" spans="2:14" x14ac:dyDescent="0.3">
      <c r="B32" s="3" t="s">
        <v>1</v>
      </c>
      <c r="C32" s="4">
        <v>3483457514741.8105</v>
      </c>
      <c r="G32" s="14" t="s">
        <v>23</v>
      </c>
      <c r="H32" s="16">
        <v>8</v>
      </c>
      <c r="I32" s="15" t="e">
        <f>GETPIVOTDATA("Net Collections Amount",$B$24,"Calendar Month Number",5)</f>
        <v>#REF!</v>
      </c>
      <c r="J32" s="15">
        <f>IF(ISERROR(I32),_xlfn.FORECAST.ETS(H32, I$25:I$31, H$25:H$31), "")</f>
        <v>658078434548.552</v>
      </c>
      <c r="K32" s="15">
        <f t="shared" si="2"/>
        <v>658078434548.552</v>
      </c>
      <c r="L32" s="14" t="s">
        <v>33</v>
      </c>
      <c r="M32" s="15">
        <f t="shared" ref="M32:M33" si="7">GETPIVOTDATA("Net Collections Amount",$E$24,"Fiscal Quarter Number",3)</f>
        <v>681875507407.62012</v>
      </c>
      <c r="N32" s="15">
        <f t="shared" ref="N32:N33" si="8">SUM(K$31:K$33)</f>
        <v>2032813696484.4197</v>
      </c>
    </row>
    <row r="33" spans="7:14" x14ac:dyDescent="0.3">
      <c r="G33" s="14" t="s">
        <v>24</v>
      </c>
      <c r="H33" s="16">
        <v>9</v>
      </c>
      <c r="I33" s="15" t="e">
        <f>GETPIVOTDATA("Net Collections Amount",$B$24,"Calendar Month Number",6)</f>
        <v>#REF!</v>
      </c>
      <c r="J33" s="15">
        <f t="shared" ref="J33:J36" si="9">IF(ISERROR(I33),_xlfn.FORECAST.ETS(H33, I$25:I$31, H$25:H$31), "")</f>
        <v>692859754528.24756</v>
      </c>
      <c r="K33" s="15">
        <f t="shared" si="2"/>
        <v>692859754528.24756</v>
      </c>
      <c r="L33" s="14" t="s">
        <v>33</v>
      </c>
      <c r="M33" s="15">
        <f t="shared" si="7"/>
        <v>681875507407.62012</v>
      </c>
      <c r="N33" s="15">
        <f t="shared" si="8"/>
        <v>2032813696484.4197</v>
      </c>
    </row>
    <row r="34" spans="7:14" x14ac:dyDescent="0.3">
      <c r="G34" s="14" t="s">
        <v>25</v>
      </c>
      <c r="H34" s="16">
        <v>10</v>
      </c>
      <c r="I34" s="15" t="e">
        <f>GETPIVOTDATA("Net Collections Amount",$B$24,"Calendar Month Number",7)</f>
        <v>#REF!</v>
      </c>
      <c r="J34" s="15">
        <f t="shared" si="9"/>
        <v>727641074507.94324</v>
      </c>
      <c r="K34" s="15">
        <f t="shared" si="2"/>
        <v>727641074507.94324</v>
      </c>
      <c r="L34" s="14" t="s">
        <v>34</v>
      </c>
      <c r="M34" s="15" t="e">
        <f>GETPIVOTDATA("Net Collections Amount",$E$24,"Fiscal Quarter Number",4)</f>
        <v>#REF!</v>
      </c>
      <c r="N34" s="15">
        <f>SUM(K$34:K$36)</f>
        <v>2287267183462.9165</v>
      </c>
    </row>
    <row r="35" spans="7:14" x14ac:dyDescent="0.3">
      <c r="G35" s="14" t="s">
        <v>26</v>
      </c>
      <c r="H35" s="16">
        <v>11</v>
      </c>
      <c r="I35" s="15" t="e">
        <f>GETPIVOTDATA("Net Collections Amount",$B$24,"Calendar Month Number",8)</f>
        <v>#REF!</v>
      </c>
      <c r="J35" s="15">
        <f t="shared" si="9"/>
        <v>762422394487.63879</v>
      </c>
      <c r="K35" s="15">
        <f t="shared" si="2"/>
        <v>762422394487.63879</v>
      </c>
      <c r="L35" s="14" t="s">
        <v>34</v>
      </c>
      <c r="M35" s="15" t="e">
        <f t="shared" ref="M35:M36" si="10">GETPIVOTDATA("Net Collections Amount",$E$24,"Fiscal Quarter Number",4)</f>
        <v>#REF!</v>
      </c>
      <c r="N35" s="15">
        <f t="shared" ref="N35:N36" si="11">SUM(K$34:K$36)</f>
        <v>2287267183462.9165</v>
      </c>
    </row>
    <row r="36" spans="7:14" x14ac:dyDescent="0.3">
      <c r="G36" s="14" t="s">
        <v>27</v>
      </c>
      <c r="H36" s="16">
        <v>12</v>
      </c>
      <c r="I36" s="15" t="e">
        <f>GETPIVOTDATA("Net Collections Amount",$B$24,"Calendar Month Number",9)</f>
        <v>#REF!</v>
      </c>
      <c r="J36" s="15">
        <f t="shared" si="9"/>
        <v>797203714467.33447</v>
      </c>
      <c r="K36" s="15">
        <f t="shared" si="2"/>
        <v>797203714467.33447</v>
      </c>
      <c r="L36" s="14" t="s">
        <v>34</v>
      </c>
      <c r="M36" s="15" t="e">
        <f t="shared" si="10"/>
        <v>#REF!</v>
      </c>
      <c r="N36" s="15">
        <f t="shared" si="11"/>
        <v>2287267183462.9165</v>
      </c>
    </row>
    <row r="37" spans="7:14" x14ac:dyDescent="0.3">
      <c r="H37" s="14"/>
      <c r="I37" s="14"/>
      <c r="J37" s="14"/>
      <c r="K37" s="14"/>
      <c r="L37" s="14"/>
      <c r="M37" s="14"/>
      <c r="N37" s="14"/>
    </row>
    <row r="58" spans="3:4" x14ac:dyDescent="0.3">
      <c r="C58" s="2" t="s">
        <v>2</v>
      </c>
      <c r="D58" t="s">
        <v>17</v>
      </c>
    </row>
    <row r="59" spans="3:4" x14ac:dyDescent="0.3">
      <c r="C59" s="3" t="s">
        <v>9</v>
      </c>
      <c r="D59" s="18">
        <v>407</v>
      </c>
    </row>
    <row r="60" spans="3:4" x14ac:dyDescent="0.3">
      <c r="C60" s="3" t="s">
        <v>11</v>
      </c>
      <c r="D60" s="18">
        <v>815</v>
      </c>
    </row>
    <row r="61" spans="3:4" x14ac:dyDescent="0.3">
      <c r="C61" s="3" t="s">
        <v>3</v>
      </c>
      <c r="D61" s="18">
        <v>406</v>
      </c>
    </row>
    <row r="62" spans="3:4" x14ac:dyDescent="0.3">
      <c r="C62" s="3" t="s">
        <v>6</v>
      </c>
      <c r="D62" s="18">
        <v>361</v>
      </c>
    </row>
    <row r="63" spans="3:4" x14ac:dyDescent="0.3">
      <c r="C63" s="3" t="s">
        <v>1</v>
      </c>
      <c r="D63" s="18">
        <v>1989</v>
      </c>
    </row>
    <row r="73" spans="3:6" x14ac:dyDescent="0.3">
      <c r="C73" s="2" t="s">
        <v>51</v>
      </c>
      <c r="D73" s="3">
        <v>2025</v>
      </c>
    </row>
    <row r="75" spans="3:6" x14ac:dyDescent="0.3">
      <c r="C75" s="2" t="s">
        <v>2</v>
      </c>
      <c r="D75" t="s">
        <v>17</v>
      </c>
      <c r="E75" t="str">
        <f t="shared" ref="E75:F79" si="12">C75</f>
        <v>Row Labels</v>
      </c>
      <c r="F75" t="str">
        <f t="shared" si="12"/>
        <v>Count of Record Date</v>
      </c>
    </row>
    <row r="76" spans="3:6" x14ac:dyDescent="0.3">
      <c r="C76" s="3" t="s">
        <v>4</v>
      </c>
      <c r="D76" s="18">
        <v>949</v>
      </c>
      <c r="E76" t="s">
        <v>45</v>
      </c>
      <c r="F76">
        <f t="shared" si="12"/>
        <v>949</v>
      </c>
    </row>
    <row r="77" spans="3:6" x14ac:dyDescent="0.3">
      <c r="C77" s="3" t="s">
        <v>12</v>
      </c>
      <c r="D77" s="18">
        <v>408</v>
      </c>
      <c r="E77" t="str">
        <f t="shared" si="12"/>
        <v>Internet</v>
      </c>
      <c r="F77">
        <f t="shared" si="12"/>
        <v>408</v>
      </c>
    </row>
    <row r="78" spans="3:6" x14ac:dyDescent="0.3">
      <c r="C78" s="3" t="s">
        <v>7</v>
      </c>
      <c r="D78" s="18">
        <v>361</v>
      </c>
      <c r="E78" t="str">
        <f t="shared" si="12"/>
        <v>Mail</v>
      </c>
      <c r="F78">
        <f t="shared" si="12"/>
        <v>361</v>
      </c>
    </row>
    <row r="79" spans="3:6" x14ac:dyDescent="0.3">
      <c r="C79" s="3" t="s">
        <v>13</v>
      </c>
      <c r="D79" s="18">
        <v>271</v>
      </c>
      <c r="E79" t="str">
        <f t="shared" si="12"/>
        <v>Bank</v>
      </c>
      <c r="F79">
        <f t="shared" si="12"/>
        <v>271</v>
      </c>
    </row>
    <row r="80" spans="3:6" x14ac:dyDescent="0.3">
      <c r="C80" s="3" t="s">
        <v>1</v>
      </c>
      <c r="D80" s="18">
        <v>1989</v>
      </c>
    </row>
    <row r="86" spans="3:8" x14ac:dyDescent="0.3">
      <c r="E86" s="1"/>
    </row>
    <row r="87" spans="3:8" x14ac:dyDescent="0.3">
      <c r="E87" s="4"/>
    </row>
    <row r="88" spans="3:8" x14ac:dyDescent="0.3">
      <c r="E88" s="4"/>
      <c r="F88" s="8"/>
      <c r="G88" s="3"/>
      <c r="H88" s="8"/>
    </row>
    <row r="89" spans="3:8" x14ac:dyDescent="0.3">
      <c r="E89" s="4"/>
      <c r="F89" s="8"/>
      <c r="G89" s="3"/>
      <c r="H89" s="8"/>
    </row>
    <row r="90" spans="3:8" x14ac:dyDescent="0.3">
      <c r="E90" s="4"/>
      <c r="F90" s="8"/>
      <c r="G90" s="3"/>
      <c r="H90" s="8"/>
    </row>
    <row r="91" spans="3:8" x14ac:dyDescent="0.3">
      <c r="C91" s="2" t="s">
        <v>2</v>
      </c>
      <c r="D91" t="s">
        <v>17</v>
      </c>
      <c r="E91" t="s">
        <v>0</v>
      </c>
      <c r="F91" t="str">
        <f t="shared" ref="F91:F104" si="13">C91</f>
        <v>Row Labels</v>
      </c>
      <c r="G91" t="str">
        <f t="shared" ref="G91:G104" si="14">D91</f>
        <v>Count of Record Date</v>
      </c>
      <c r="H91" t="str">
        <f t="shared" ref="H91:H104" si="15">E91</f>
        <v>Sum of Net Collections Amount</v>
      </c>
    </row>
    <row r="92" spans="3:8" x14ac:dyDescent="0.3">
      <c r="C92" s="3">
        <v>1</v>
      </c>
      <c r="D92" s="18">
        <v>305</v>
      </c>
      <c r="E92" s="4">
        <v>573557315733.70984</v>
      </c>
      <c r="F92" t="s">
        <v>19</v>
      </c>
      <c r="G92">
        <f t="shared" si="14"/>
        <v>305</v>
      </c>
      <c r="H92" s="4">
        <f t="shared" si="15"/>
        <v>573557315733.70984</v>
      </c>
    </row>
    <row r="93" spans="3:8" x14ac:dyDescent="0.3">
      <c r="C93" s="3">
        <v>2</v>
      </c>
      <c r="D93" s="18">
        <v>283</v>
      </c>
      <c r="E93" s="4">
        <v>416031753930.81012</v>
      </c>
      <c r="F93" t="s">
        <v>20</v>
      </c>
      <c r="G93">
        <f t="shared" si="14"/>
        <v>283</v>
      </c>
      <c r="H93" s="4">
        <f t="shared" si="15"/>
        <v>416031753930.81012</v>
      </c>
    </row>
    <row r="94" spans="3:8" x14ac:dyDescent="0.3">
      <c r="C94" s="3">
        <v>3</v>
      </c>
      <c r="D94" s="18">
        <v>308</v>
      </c>
      <c r="E94" s="4">
        <v>508683208557.53033</v>
      </c>
      <c r="F94" t="s">
        <v>21</v>
      </c>
      <c r="G94">
        <f t="shared" si="14"/>
        <v>308</v>
      </c>
      <c r="H94" s="4">
        <f t="shared" si="15"/>
        <v>508683208557.53033</v>
      </c>
    </row>
    <row r="95" spans="3:8" x14ac:dyDescent="0.3">
      <c r="C95" s="3">
        <v>4</v>
      </c>
      <c r="D95" s="18">
        <v>194</v>
      </c>
      <c r="E95" s="4">
        <v>681875507407.62012</v>
      </c>
      <c r="F95" t="s">
        <v>22</v>
      </c>
      <c r="G95">
        <f t="shared" si="14"/>
        <v>194</v>
      </c>
      <c r="H95" s="4">
        <f t="shared" si="15"/>
        <v>681875507407.62012</v>
      </c>
    </row>
    <row r="96" spans="3:8" x14ac:dyDescent="0.3">
      <c r="C96" s="3">
        <v>10</v>
      </c>
      <c r="D96" s="18">
        <v>318</v>
      </c>
      <c r="E96" s="4">
        <v>414463241394.27032</v>
      </c>
      <c r="F96" t="s">
        <v>23</v>
      </c>
      <c r="G96">
        <f t="shared" si="14"/>
        <v>318</v>
      </c>
      <c r="H96" s="4">
        <f t="shared" si="15"/>
        <v>414463241394.27032</v>
      </c>
    </row>
    <row r="97" spans="3:8" x14ac:dyDescent="0.3">
      <c r="C97" s="3">
        <v>11</v>
      </c>
      <c r="D97" s="18">
        <v>278</v>
      </c>
      <c r="E97" s="4">
        <v>368728028088.57983</v>
      </c>
      <c r="F97" t="s">
        <v>24</v>
      </c>
      <c r="G97">
        <f t="shared" si="14"/>
        <v>278</v>
      </c>
      <c r="H97" s="4">
        <f t="shared" si="15"/>
        <v>368728028088.57983</v>
      </c>
    </row>
    <row r="98" spans="3:8" x14ac:dyDescent="0.3">
      <c r="C98" s="3">
        <v>12</v>
      </c>
      <c r="D98" s="18">
        <v>303</v>
      </c>
      <c r="E98" s="4">
        <v>520118459629.2901</v>
      </c>
      <c r="F98" t="s">
        <v>25</v>
      </c>
      <c r="G98">
        <f t="shared" si="14"/>
        <v>303</v>
      </c>
      <c r="H98" s="4">
        <f t="shared" si="15"/>
        <v>520118459629.2901</v>
      </c>
    </row>
    <row r="99" spans="3:8" x14ac:dyDescent="0.3">
      <c r="C99" s="3" t="s">
        <v>1</v>
      </c>
      <c r="D99" s="18">
        <v>1989</v>
      </c>
      <c r="E99" s="4">
        <v>3483457514741.8071</v>
      </c>
      <c r="F99" t="s">
        <v>26</v>
      </c>
      <c r="G99">
        <f t="shared" si="14"/>
        <v>1989</v>
      </c>
      <c r="H99" s="4">
        <f t="shared" si="15"/>
        <v>3483457514741.8071</v>
      </c>
    </row>
    <row r="100" spans="3:8" x14ac:dyDescent="0.3">
      <c r="F100" t="s">
        <v>27</v>
      </c>
      <c r="G100">
        <f t="shared" si="14"/>
        <v>0</v>
      </c>
      <c r="H100" s="4">
        <f t="shared" si="15"/>
        <v>0</v>
      </c>
    </row>
    <row r="101" spans="3:8" x14ac:dyDescent="0.3">
      <c r="F101" t="s">
        <v>28</v>
      </c>
      <c r="G101">
        <f t="shared" si="14"/>
        <v>0</v>
      </c>
      <c r="H101" s="4">
        <f t="shared" si="15"/>
        <v>0</v>
      </c>
    </row>
    <row r="102" spans="3:8" x14ac:dyDescent="0.3">
      <c r="F102" t="s">
        <v>29</v>
      </c>
      <c r="G102">
        <f t="shared" si="14"/>
        <v>0</v>
      </c>
      <c r="H102" s="4">
        <f t="shared" si="15"/>
        <v>0</v>
      </c>
    </row>
    <row r="103" spans="3:8" x14ac:dyDescent="0.3">
      <c r="F103" t="s">
        <v>30</v>
      </c>
      <c r="G103">
        <f t="shared" si="14"/>
        <v>0</v>
      </c>
      <c r="H103" s="4">
        <f t="shared" si="15"/>
        <v>0</v>
      </c>
    </row>
    <row r="104" spans="3:8" x14ac:dyDescent="0.3">
      <c r="F104">
        <f t="shared" si="13"/>
        <v>0</v>
      </c>
      <c r="G104">
        <f t="shared" si="14"/>
        <v>0</v>
      </c>
      <c r="H104" s="4">
        <f t="shared" si="15"/>
        <v>0</v>
      </c>
    </row>
    <row r="105" spans="3:8" x14ac:dyDescent="0.3">
      <c r="D105">
        <f>GETPIVOTDATA("Count of Record Date",$C$91)</f>
        <v>1989</v>
      </c>
    </row>
    <row r="108" spans="3:8" x14ac:dyDescent="0.3">
      <c r="C108" s="2" t="s">
        <v>2</v>
      </c>
      <c r="D108" t="s">
        <v>0</v>
      </c>
      <c r="E108" t="str">
        <f t="shared" ref="E108:F114" si="16">C108</f>
        <v>Row Labels</v>
      </c>
      <c r="F108" t="s">
        <v>38</v>
      </c>
      <c r="G108" t="s">
        <v>37</v>
      </c>
    </row>
    <row r="109" spans="3:8" x14ac:dyDescent="0.3">
      <c r="C109" s="3">
        <v>2020</v>
      </c>
      <c r="D109" s="8"/>
      <c r="E109">
        <f t="shared" si="16"/>
        <v>2020</v>
      </c>
      <c r="F109" s="9">
        <f t="shared" si="16"/>
        <v>0</v>
      </c>
      <c r="G109" s="8">
        <f t="shared" ref="G109:G114" si="17">D118</f>
        <v>0</v>
      </c>
    </row>
    <row r="110" spans="3:8" x14ac:dyDescent="0.3">
      <c r="C110" s="3">
        <v>2021</v>
      </c>
      <c r="D110" s="8">
        <v>1.4661686246654391</v>
      </c>
      <c r="E110">
        <f t="shared" si="16"/>
        <v>2021</v>
      </c>
      <c r="F110" s="9">
        <f t="shared" si="16"/>
        <v>1.4661686246654391</v>
      </c>
      <c r="G110" s="8">
        <f t="shared" si="17"/>
        <v>0.74557832447374683</v>
      </c>
    </row>
    <row r="111" spans="3:8" x14ac:dyDescent="0.3">
      <c r="C111" s="3">
        <v>2022</v>
      </c>
      <c r="D111" s="8">
        <v>0.17298134411404062</v>
      </c>
      <c r="E111">
        <f t="shared" si="16"/>
        <v>2022</v>
      </c>
      <c r="F111" s="9">
        <f t="shared" si="16"/>
        <v>0.17298134411404062</v>
      </c>
      <c r="G111" s="8">
        <f t="shared" si="17"/>
        <v>0.11234825852314094</v>
      </c>
    </row>
    <row r="112" spans="3:8" x14ac:dyDescent="0.3">
      <c r="C112" s="3">
        <v>2023</v>
      </c>
      <c r="D112" s="8">
        <v>-5.069249872393973E-2</v>
      </c>
      <c r="E112">
        <f t="shared" si="16"/>
        <v>2023</v>
      </c>
      <c r="F112" s="9">
        <f t="shared" si="16"/>
        <v>-5.069249872393973E-2</v>
      </c>
      <c r="G112" s="8">
        <f t="shared" si="17"/>
        <v>-3.4634771376583225E-2</v>
      </c>
    </row>
    <row r="113" spans="3:7" x14ac:dyDescent="0.3">
      <c r="C113" s="3">
        <v>2024</v>
      </c>
      <c r="D113" s="8">
        <v>7.8715151162042626E-2</v>
      </c>
      <c r="E113">
        <f t="shared" si="16"/>
        <v>2024</v>
      </c>
      <c r="F113" s="9">
        <f t="shared" si="16"/>
        <v>7.8715151162042626E-2</v>
      </c>
      <c r="G113" s="8">
        <f t="shared" si="17"/>
        <v>5.7493814100394322E-2</v>
      </c>
    </row>
    <row r="114" spans="3:7" x14ac:dyDescent="0.3">
      <c r="C114" s="3">
        <v>2025</v>
      </c>
      <c r="D114" s="8">
        <v>-0.4092870924800901</v>
      </c>
      <c r="E114">
        <f t="shared" si="16"/>
        <v>2025</v>
      </c>
      <c r="F114" s="9">
        <f t="shared" si="16"/>
        <v>-0.4092870924800901</v>
      </c>
      <c r="G114" s="8">
        <f t="shared" si="17"/>
        <v>-0.62895229073043868</v>
      </c>
    </row>
    <row r="115" spans="3:7" x14ac:dyDescent="0.3">
      <c r="C115" s="3" t="s">
        <v>1</v>
      </c>
      <c r="D115" s="8"/>
    </row>
    <row r="117" spans="3:7" x14ac:dyDescent="0.3">
      <c r="C117" s="2" t="s">
        <v>2</v>
      </c>
      <c r="D117" t="s">
        <v>0</v>
      </c>
    </row>
    <row r="118" spans="3:7" x14ac:dyDescent="0.3">
      <c r="C118" s="3">
        <v>2020</v>
      </c>
      <c r="D118" s="8"/>
    </row>
    <row r="119" spans="3:7" x14ac:dyDescent="0.3">
      <c r="C119" s="3">
        <v>2021</v>
      </c>
      <c r="D119" s="8">
        <v>0.74557832447374683</v>
      </c>
    </row>
    <row r="120" spans="3:7" x14ac:dyDescent="0.3">
      <c r="C120" s="3">
        <v>2022</v>
      </c>
      <c r="D120" s="8">
        <v>0.11234825852314094</v>
      </c>
    </row>
    <row r="121" spans="3:7" x14ac:dyDescent="0.3">
      <c r="C121" s="3">
        <v>2023</v>
      </c>
      <c r="D121" s="8">
        <v>-3.4634771376583225E-2</v>
      </c>
    </row>
    <row r="122" spans="3:7" x14ac:dyDescent="0.3">
      <c r="C122" s="3">
        <v>2024</v>
      </c>
      <c r="D122" s="8">
        <v>5.7493814100394322E-2</v>
      </c>
    </row>
    <row r="123" spans="3:7" x14ac:dyDescent="0.3">
      <c r="C123" s="3">
        <v>2025</v>
      </c>
      <c r="D123" s="8">
        <v>-0.62895229073043868</v>
      </c>
    </row>
    <row r="124" spans="3:7" x14ac:dyDescent="0.3">
      <c r="C124" s="3" t="s">
        <v>1</v>
      </c>
      <c r="D124" s="8"/>
    </row>
  </sheetData>
  <phoneticPr fontId="3" type="noConversion"/>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FE257-2734-4E8A-AD3B-706F5F102D38}">
  <sheetPr codeName="Sheet2">
    <pageSetUpPr fitToPage="1"/>
  </sheetPr>
  <dimension ref="A1"/>
  <sheetViews>
    <sheetView showGridLines="0" tabSelected="1" topLeftCell="A2" zoomScale="85" zoomScaleNormal="85" workbookViewId="0">
      <selection activeCell="R48" sqref="R48"/>
    </sheetView>
  </sheetViews>
  <sheetFormatPr defaultRowHeight="14.4" x14ac:dyDescent="0.3"/>
  <cols>
    <col min="20" max="20" width="8.88671875" customWidth="1"/>
    <col min="21" max="21" width="10" customWidth="1"/>
  </cols>
  <sheetData/>
  <pageMargins left="0.25" right="0.25" top="0.75" bottom="0.75" header="0.3" footer="0.3"/>
  <pageSetup scale="75"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7F19E14-CFE6-434F-990D-140806C17E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Calculations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Akshaya Sekar</dc:creator>
  <cp:lastModifiedBy>Akshaya Sekar</cp:lastModifiedBy>
  <cp:lastPrinted>2025-04-22T17:20:24Z</cp:lastPrinted>
  <dcterms:created xsi:type="dcterms:W3CDTF">2015-06-05T18:17:20Z</dcterms:created>
  <dcterms:modified xsi:type="dcterms:W3CDTF">2025-04-22T19:14:38Z</dcterms:modified>
</cp:coreProperties>
</file>